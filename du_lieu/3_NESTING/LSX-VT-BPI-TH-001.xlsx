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5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de sharing\GIA CONG UON ONG MIEN TRUNG\"/>
    </mc:Choice>
  </mc:AlternateContent>
  <xr:revisionPtr revIDLastSave="0" documentId="13_ncr:1_{77362369-87B4-4FB4-97CD-ECA24BC351FA}" xr6:coauthVersionLast="47" xr6:coauthVersionMax="47" xr10:uidLastSave="{00000000-0000-0000-0000-000000000000}"/>
  <bookViews>
    <workbookView xWindow="-120" yWindow="-120" windowWidth="29040" windowHeight="15720" activeTab="3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'!$A$10:$AD$537</definedName>
    <definedName name="_xlnm._FilterDatabase" localSheetId="2" hidden="1">'Hao hut vat tu'!$A$12:$P$12</definedName>
    <definedName name="_xlnm._FilterDatabase" localSheetId="0" hidden="1">'List chi tiet'!$A$5:$AC$5</definedName>
    <definedName name="_xlnm._FilterDatabase" localSheetId="3" hidden="1">'LSX-VT'!$A$10:$AE$10</definedName>
    <definedName name="_xlnm._FilterDatabase" localSheetId="1" hidden="1">'Phieu vat tu'!$A$4:$Z$4</definedName>
    <definedName name="_xlnm.Print_Area" localSheetId="4">' '!$A$1:$X$537</definedName>
    <definedName name="_xlnm.Print_Area" localSheetId="2">'Hao hut vat tu'!$A$1:$O$12</definedName>
    <definedName name="_xlnm.Print_Area" localSheetId="0">'List chi tiet'!$A$1:$R$39</definedName>
    <definedName name="_xlnm.Print_Area" localSheetId="3">'LSX-VT'!$A$1:$X$44</definedName>
    <definedName name="_xlnm.Print_Area" localSheetId="1">'Phieu vat tu'!$A$1:$X$4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4" l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11" i="4"/>
  <c r="A12" i="4"/>
  <c r="B12" i="4"/>
  <c r="C12" i="4"/>
  <c r="D12" i="4"/>
  <c r="E12" i="4"/>
  <c r="F12" i="4"/>
  <c r="G12" i="4"/>
  <c r="H12" i="4"/>
  <c r="I12" i="4"/>
  <c r="J12" i="4"/>
  <c r="N12" i="4"/>
  <c r="P12" i="4"/>
  <c r="W12" i="4"/>
  <c r="X12" i="4"/>
  <c r="AB12" i="4"/>
  <c r="AC12" i="4"/>
  <c r="AD12" i="4"/>
  <c r="R12" i="4" s="1"/>
  <c r="AE12" i="4"/>
  <c r="A13" i="4"/>
  <c r="J13" i="4" s="1"/>
  <c r="B13" i="4"/>
  <c r="C13" i="4"/>
  <c r="D13" i="4"/>
  <c r="E13" i="4"/>
  <c r="F13" i="4"/>
  <c r="G13" i="4"/>
  <c r="H13" i="4"/>
  <c r="I13" i="4"/>
  <c r="N13" i="4"/>
  <c r="P13" i="4"/>
  <c r="R13" i="4"/>
  <c r="S13" i="4"/>
  <c r="W13" i="4"/>
  <c r="X13" i="4"/>
  <c r="AB13" i="4"/>
  <c r="AC13" i="4"/>
  <c r="AD13" i="4"/>
  <c r="AE13" i="4"/>
  <c r="A14" i="4"/>
  <c r="B14" i="4"/>
  <c r="C14" i="4"/>
  <c r="D14" i="4"/>
  <c r="E14" i="4"/>
  <c r="F14" i="4"/>
  <c r="G14" i="4"/>
  <c r="H14" i="4"/>
  <c r="I14" i="4"/>
  <c r="J14" i="4"/>
  <c r="N14" i="4"/>
  <c r="P14" i="4"/>
  <c r="R14" i="4"/>
  <c r="W14" i="4"/>
  <c r="X14" i="4"/>
  <c r="AB14" i="4"/>
  <c r="AC14" i="4"/>
  <c r="AD14" i="4"/>
  <c r="S14" i="4" s="1"/>
  <c r="AE14" i="4"/>
  <c r="A15" i="4"/>
  <c r="G15" i="4" s="1"/>
  <c r="B15" i="4"/>
  <c r="C15" i="4"/>
  <c r="D15" i="4"/>
  <c r="E15" i="4"/>
  <c r="F15" i="4"/>
  <c r="H15" i="4"/>
  <c r="I15" i="4"/>
  <c r="J15" i="4"/>
  <c r="N15" i="4"/>
  <c r="P15" i="4"/>
  <c r="W15" i="4"/>
  <c r="X15" i="4"/>
  <c r="AB15" i="4"/>
  <c r="AC15" i="4"/>
  <c r="AD15" i="4"/>
  <c r="R15" i="4" s="1"/>
  <c r="AE15" i="4"/>
  <c r="A16" i="4"/>
  <c r="B16" i="4"/>
  <c r="C16" i="4"/>
  <c r="D16" i="4"/>
  <c r="E16" i="4"/>
  <c r="F16" i="4"/>
  <c r="G16" i="4"/>
  <c r="H16" i="4"/>
  <c r="I16" i="4"/>
  <c r="J16" i="4"/>
  <c r="N16" i="4"/>
  <c r="P16" i="4"/>
  <c r="W16" i="4"/>
  <c r="X16" i="4"/>
  <c r="AB16" i="4"/>
  <c r="AC16" i="4"/>
  <c r="AD16" i="4"/>
  <c r="R16" i="4" s="1"/>
  <c r="AE16" i="4"/>
  <c r="A17" i="4"/>
  <c r="J17" i="4" s="1"/>
  <c r="B17" i="4"/>
  <c r="C17" i="4"/>
  <c r="D17" i="4"/>
  <c r="E17" i="4"/>
  <c r="F17" i="4"/>
  <c r="G17" i="4"/>
  <c r="H17" i="4"/>
  <c r="I17" i="4"/>
  <c r="N17" i="4"/>
  <c r="P17" i="4"/>
  <c r="R17" i="4"/>
  <c r="S17" i="4"/>
  <c r="W17" i="4"/>
  <c r="X17" i="4"/>
  <c r="AB17" i="4"/>
  <c r="AC17" i="4"/>
  <c r="AD17" i="4"/>
  <c r="AE17" i="4"/>
  <c r="A18" i="4"/>
  <c r="B18" i="4"/>
  <c r="C18" i="4"/>
  <c r="D18" i="4"/>
  <c r="E18" i="4"/>
  <c r="F18" i="4"/>
  <c r="G18" i="4"/>
  <c r="H18" i="4"/>
  <c r="I18" i="4"/>
  <c r="J18" i="4"/>
  <c r="N18" i="4"/>
  <c r="P18" i="4"/>
  <c r="R18" i="4"/>
  <c r="W18" i="4"/>
  <c r="X18" i="4"/>
  <c r="AB18" i="4"/>
  <c r="AC18" i="4"/>
  <c r="AD18" i="4"/>
  <c r="S18" i="4" s="1"/>
  <c r="AE18" i="4"/>
  <c r="A19" i="4"/>
  <c r="G19" i="4" s="1"/>
  <c r="B19" i="4"/>
  <c r="C19" i="4"/>
  <c r="D19" i="4"/>
  <c r="E19" i="4"/>
  <c r="F19" i="4"/>
  <c r="H19" i="4"/>
  <c r="I19" i="4"/>
  <c r="J19" i="4"/>
  <c r="N19" i="4"/>
  <c r="P19" i="4"/>
  <c r="W19" i="4"/>
  <c r="X19" i="4"/>
  <c r="AB19" i="4"/>
  <c r="AC19" i="4"/>
  <c r="AD19" i="4"/>
  <c r="R19" i="4" s="1"/>
  <c r="AE19" i="4"/>
  <c r="A20" i="4"/>
  <c r="B20" i="4"/>
  <c r="C20" i="4"/>
  <c r="D20" i="4"/>
  <c r="E20" i="4"/>
  <c r="F20" i="4"/>
  <c r="G20" i="4"/>
  <c r="H20" i="4"/>
  <c r="I20" i="4"/>
  <c r="J20" i="4"/>
  <c r="N20" i="4"/>
  <c r="P20" i="4"/>
  <c r="W20" i="4"/>
  <c r="X20" i="4"/>
  <c r="AB20" i="4"/>
  <c r="AC20" i="4"/>
  <c r="AD20" i="4"/>
  <c r="R20" i="4" s="1"/>
  <c r="AE20" i="4"/>
  <c r="A21" i="4"/>
  <c r="J21" i="4" s="1"/>
  <c r="B21" i="4"/>
  <c r="C21" i="4"/>
  <c r="D21" i="4"/>
  <c r="E21" i="4"/>
  <c r="F21" i="4"/>
  <c r="G21" i="4"/>
  <c r="H21" i="4"/>
  <c r="I21" i="4"/>
  <c r="N21" i="4"/>
  <c r="P21" i="4"/>
  <c r="R21" i="4"/>
  <c r="S21" i="4"/>
  <c r="W21" i="4"/>
  <c r="X21" i="4"/>
  <c r="AB21" i="4"/>
  <c r="AC21" i="4"/>
  <c r="AD21" i="4"/>
  <c r="AE21" i="4"/>
  <c r="A22" i="4"/>
  <c r="B22" i="4"/>
  <c r="C22" i="4"/>
  <c r="D22" i="4"/>
  <c r="E22" i="4"/>
  <c r="F22" i="4"/>
  <c r="G22" i="4"/>
  <c r="H22" i="4"/>
  <c r="I22" i="4"/>
  <c r="J22" i="4"/>
  <c r="N22" i="4"/>
  <c r="P22" i="4"/>
  <c r="R22" i="4"/>
  <c r="W22" i="4"/>
  <c r="X22" i="4"/>
  <c r="AB22" i="4"/>
  <c r="AC22" i="4"/>
  <c r="AD22" i="4"/>
  <c r="S22" i="4" s="1"/>
  <c r="AE22" i="4"/>
  <c r="A23" i="4"/>
  <c r="G23" i="4" s="1"/>
  <c r="B23" i="4"/>
  <c r="C23" i="4"/>
  <c r="D23" i="4"/>
  <c r="E23" i="4"/>
  <c r="F23" i="4"/>
  <c r="H23" i="4"/>
  <c r="I23" i="4"/>
  <c r="J23" i="4"/>
  <c r="N23" i="4"/>
  <c r="P23" i="4"/>
  <c r="W23" i="4"/>
  <c r="X23" i="4"/>
  <c r="AB23" i="4"/>
  <c r="AC23" i="4"/>
  <c r="AD23" i="4"/>
  <c r="R23" i="4" s="1"/>
  <c r="AE23" i="4"/>
  <c r="A24" i="4"/>
  <c r="B24" i="4"/>
  <c r="C24" i="4"/>
  <c r="D24" i="4"/>
  <c r="E24" i="4"/>
  <c r="F24" i="4"/>
  <c r="G24" i="4"/>
  <c r="H24" i="4"/>
  <c r="I24" i="4"/>
  <c r="J24" i="4"/>
  <c r="N24" i="4"/>
  <c r="P24" i="4"/>
  <c r="W24" i="4"/>
  <c r="X24" i="4"/>
  <c r="AB24" i="4"/>
  <c r="AC24" i="4"/>
  <c r="AD24" i="4"/>
  <c r="R24" i="4" s="1"/>
  <c r="AE24" i="4"/>
  <c r="A25" i="4"/>
  <c r="J25" i="4" s="1"/>
  <c r="B25" i="4"/>
  <c r="C25" i="4"/>
  <c r="D25" i="4"/>
  <c r="E25" i="4"/>
  <c r="F25" i="4"/>
  <c r="G25" i="4"/>
  <c r="H25" i="4"/>
  <c r="I25" i="4"/>
  <c r="N25" i="4"/>
  <c r="P25" i="4"/>
  <c r="R25" i="4"/>
  <c r="S25" i="4"/>
  <c r="W25" i="4"/>
  <c r="X25" i="4"/>
  <c r="AB25" i="4"/>
  <c r="AC25" i="4"/>
  <c r="AD25" i="4"/>
  <c r="AE25" i="4"/>
  <c r="A26" i="4"/>
  <c r="B26" i="4"/>
  <c r="C26" i="4"/>
  <c r="D26" i="4"/>
  <c r="E26" i="4"/>
  <c r="F26" i="4"/>
  <c r="G26" i="4"/>
  <c r="H26" i="4"/>
  <c r="I26" i="4"/>
  <c r="J26" i="4"/>
  <c r="N26" i="4"/>
  <c r="P26" i="4"/>
  <c r="R26" i="4"/>
  <c r="W26" i="4"/>
  <c r="X26" i="4"/>
  <c r="AB26" i="4"/>
  <c r="AC26" i="4"/>
  <c r="AD26" i="4"/>
  <c r="S26" i="4" s="1"/>
  <c r="AE26" i="4"/>
  <c r="A27" i="4"/>
  <c r="G27" i="4" s="1"/>
  <c r="B27" i="4"/>
  <c r="C27" i="4"/>
  <c r="D27" i="4"/>
  <c r="E27" i="4"/>
  <c r="F27" i="4"/>
  <c r="H27" i="4"/>
  <c r="I27" i="4"/>
  <c r="J27" i="4"/>
  <c r="N27" i="4"/>
  <c r="P27" i="4"/>
  <c r="W27" i="4"/>
  <c r="X27" i="4"/>
  <c r="AB27" i="4"/>
  <c r="AC27" i="4"/>
  <c r="AD27" i="4"/>
  <c r="R27" i="4" s="1"/>
  <c r="AE27" i="4"/>
  <c r="A28" i="4"/>
  <c r="B28" i="4"/>
  <c r="C28" i="4"/>
  <c r="D28" i="4"/>
  <c r="E28" i="4"/>
  <c r="F28" i="4"/>
  <c r="G28" i="4"/>
  <c r="H28" i="4"/>
  <c r="I28" i="4"/>
  <c r="J28" i="4"/>
  <c r="N28" i="4"/>
  <c r="P28" i="4"/>
  <c r="W28" i="4"/>
  <c r="X28" i="4"/>
  <c r="AB28" i="4"/>
  <c r="AC28" i="4"/>
  <c r="AD28" i="4"/>
  <c r="R28" i="4" s="1"/>
  <c r="AE28" i="4"/>
  <c r="A29" i="4"/>
  <c r="J29" i="4" s="1"/>
  <c r="B29" i="4"/>
  <c r="C29" i="4"/>
  <c r="D29" i="4"/>
  <c r="E29" i="4"/>
  <c r="F29" i="4"/>
  <c r="G29" i="4"/>
  <c r="H29" i="4"/>
  <c r="I29" i="4"/>
  <c r="N29" i="4"/>
  <c r="P29" i="4"/>
  <c r="R29" i="4"/>
  <c r="S29" i="4"/>
  <c r="W29" i="4"/>
  <c r="X29" i="4"/>
  <c r="AB29" i="4"/>
  <c r="AC29" i="4"/>
  <c r="AD29" i="4"/>
  <c r="AE29" i="4"/>
  <c r="A30" i="4"/>
  <c r="B30" i="4"/>
  <c r="C30" i="4"/>
  <c r="D30" i="4"/>
  <c r="E30" i="4"/>
  <c r="F30" i="4"/>
  <c r="G30" i="4"/>
  <c r="H30" i="4"/>
  <c r="I30" i="4"/>
  <c r="J30" i="4"/>
  <c r="N30" i="4"/>
  <c r="P30" i="4"/>
  <c r="R30" i="4"/>
  <c r="W30" i="4"/>
  <c r="X30" i="4"/>
  <c r="AB30" i="4"/>
  <c r="AC30" i="4"/>
  <c r="AD30" i="4"/>
  <c r="S30" i="4" s="1"/>
  <c r="AE30" i="4"/>
  <c r="A31" i="4"/>
  <c r="G31" i="4" s="1"/>
  <c r="B31" i="4"/>
  <c r="C31" i="4"/>
  <c r="D31" i="4"/>
  <c r="E31" i="4"/>
  <c r="F31" i="4"/>
  <c r="H31" i="4"/>
  <c r="I31" i="4"/>
  <c r="J31" i="4"/>
  <c r="N31" i="4"/>
  <c r="P31" i="4"/>
  <c r="W31" i="4"/>
  <c r="X31" i="4"/>
  <c r="AB31" i="4"/>
  <c r="AC31" i="4"/>
  <c r="AD31" i="4"/>
  <c r="S31" i="4" s="1"/>
  <c r="AE31" i="4"/>
  <c r="A32" i="4"/>
  <c r="B32" i="4"/>
  <c r="C32" i="4"/>
  <c r="D32" i="4"/>
  <c r="E32" i="4"/>
  <c r="F32" i="4"/>
  <c r="G32" i="4"/>
  <c r="H32" i="4"/>
  <c r="I32" i="4"/>
  <c r="J32" i="4"/>
  <c r="N32" i="4"/>
  <c r="P32" i="4"/>
  <c r="W32" i="4"/>
  <c r="X32" i="4"/>
  <c r="AB32" i="4"/>
  <c r="AC32" i="4"/>
  <c r="AD32" i="4"/>
  <c r="R32" i="4" s="1"/>
  <c r="AE32" i="4"/>
  <c r="A33" i="4"/>
  <c r="J33" i="4" s="1"/>
  <c r="B33" i="4"/>
  <c r="C33" i="4"/>
  <c r="D33" i="4"/>
  <c r="E33" i="4"/>
  <c r="F33" i="4"/>
  <c r="G33" i="4"/>
  <c r="H33" i="4"/>
  <c r="I33" i="4"/>
  <c r="N33" i="4"/>
  <c r="P33" i="4"/>
  <c r="R33" i="4"/>
  <c r="S33" i="4"/>
  <c r="W33" i="4"/>
  <c r="X33" i="4"/>
  <c r="AB33" i="4"/>
  <c r="AC33" i="4"/>
  <c r="AD33" i="4"/>
  <c r="AE33" i="4"/>
  <c r="A34" i="4"/>
  <c r="B34" i="4"/>
  <c r="C34" i="4"/>
  <c r="D34" i="4"/>
  <c r="E34" i="4"/>
  <c r="F34" i="4"/>
  <c r="G34" i="4"/>
  <c r="H34" i="4"/>
  <c r="I34" i="4"/>
  <c r="J34" i="4"/>
  <c r="N34" i="4"/>
  <c r="P34" i="4"/>
  <c r="R34" i="4"/>
  <c r="W34" i="4"/>
  <c r="X34" i="4"/>
  <c r="AB34" i="4"/>
  <c r="AC34" i="4"/>
  <c r="AD34" i="4"/>
  <c r="S34" i="4" s="1"/>
  <c r="AE34" i="4"/>
  <c r="A35" i="4"/>
  <c r="G35" i="4" s="1"/>
  <c r="B35" i="4"/>
  <c r="C35" i="4"/>
  <c r="D35" i="4"/>
  <c r="E35" i="4"/>
  <c r="F35" i="4"/>
  <c r="H35" i="4"/>
  <c r="I35" i="4"/>
  <c r="J35" i="4"/>
  <c r="N35" i="4"/>
  <c r="P35" i="4"/>
  <c r="W35" i="4"/>
  <c r="X35" i="4"/>
  <c r="AB35" i="4"/>
  <c r="AC35" i="4"/>
  <c r="AD35" i="4"/>
  <c r="S35" i="4" s="1"/>
  <c r="AE35" i="4"/>
  <c r="A36" i="4"/>
  <c r="B36" i="4"/>
  <c r="C36" i="4"/>
  <c r="D36" i="4"/>
  <c r="E36" i="4"/>
  <c r="F36" i="4"/>
  <c r="G36" i="4"/>
  <c r="H36" i="4"/>
  <c r="I36" i="4"/>
  <c r="J36" i="4"/>
  <c r="N36" i="4"/>
  <c r="P36" i="4"/>
  <c r="W36" i="4"/>
  <c r="X36" i="4"/>
  <c r="AB36" i="4"/>
  <c r="AC36" i="4"/>
  <c r="AD36" i="4"/>
  <c r="R36" i="4" s="1"/>
  <c r="AE36" i="4"/>
  <c r="A37" i="4"/>
  <c r="J37" i="4" s="1"/>
  <c r="B37" i="4"/>
  <c r="C37" i="4"/>
  <c r="D37" i="4"/>
  <c r="E37" i="4"/>
  <c r="F37" i="4"/>
  <c r="G37" i="4"/>
  <c r="H37" i="4"/>
  <c r="I37" i="4"/>
  <c r="N37" i="4"/>
  <c r="P37" i="4"/>
  <c r="R37" i="4"/>
  <c r="S37" i="4"/>
  <c r="W37" i="4"/>
  <c r="X37" i="4"/>
  <c r="AB37" i="4"/>
  <c r="AC37" i="4"/>
  <c r="AD37" i="4"/>
  <c r="AE37" i="4"/>
  <c r="A38" i="4"/>
  <c r="B38" i="4"/>
  <c r="C38" i="4"/>
  <c r="D38" i="4"/>
  <c r="E38" i="4"/>
  <c r="F38" i="4"/>
  <c r="G38" i="4"/>
  <c r="H38" i="4"/>
  <c r="I38" i="4"/>
  <c r="J38" i="4"/>
  <c r="N38" i="4"/>
  <c r="P38" i="4"/>
  <c r="R38" i="4"/>
  <c r="W38" i="4"/>
  <c r="X38" i="4"/>
  <c r="AB38" i="4"/>
  <c r="AC38" i="4"/>
  <c r="AD38" i="4"/>
  <c r="S38" i="4" s="1"/>
  <c r="AE38" i="4"/>
  <c r="A39" i="4"/>
  <c r="G39" i="4" s="1"/>
  <c r="B39" i="4"/>
  <c r="C39" i="4"/>
  <c r="D39" i="4"/>
  <c r="E39" i="4"/>
  <c r="F39" i="4"/>
  <c r="H39" i="4"/>
  <c r="I39" i="4"/>
  <c r="J39" i="4"/>
  <c r="N39" i="4"/>
  <c r="P39" i="4"/>
  <c r="W39" i="4"/>
  <c r="X39" i="4"/>
  <c r="AB39" i="4"/>
  <c r="AC39" i="4"/>
  <c r="AD39" i="4"/>
  <c r="R39" i="4" s="1"/>
  <c r="AE39" i="4"/>
  <c r="A40" i="4"/>
  <c r="B40" i="4"/>
  <c r="C40" i="4"/>
  <c r="D40" i="4"/>
  <c r="E40" i="4"/>
  <c r="F40" i="4"/>
  <c r="G40" i="4"/>
  <c r="H40" i="4"/>
  <c r="I40" i="4"/>
  <c r="J40" i="4"/>
  <c r="N40" i="4"/>
  <c r="P40" i="4"/>
  <c r="W40" i="4"/>
  <c r="X40" i="4"/>
  <c r="AB40" i="4"/>
  <c r="AC40" i="4"/>
  <c r="AD40" i="4"/>
  <c r="R40" i="4" s="1"/>
  <c r="AE40" i="4"/>
  <c r="A41" i="4"/>
  <c r="J41" i="4" s="1"/>
  <c r="B41" i="4"/>
  <c r="C41" i="4"/>
  <c r="D41" i="4"/>
  <c r="E41" i="4"/>
  <c r="F41" i="4"/>
  <c r="G41" i="4"/>
  <c r="H41" i="4"/>
  <c r="I41" i="4"/>
  <c r="N41" i="4"/>
  <c r="P41" i="4"/>
  <c r="R41" i="4"/>
  <c r="S41" i="4"/>
  <c r="W41" i="4"/>
  <c r="X41" i="4"/>
  <c r="AB41" i="4"/>
  <c r="AC41" i="4"/>
  <c r="AD41" i="4"/>
  <c r="AE41" i="4"/>
  <c r="A42" i="4"/>
  <c r="B42" i="4"/>
  <c r="C42" i="4"/>
  <c r="D42" i="4"/>
  <c r="E42" i="4"/>
  <c r="F42" i="4"/>
  <c r="G42" i="4"/>
  <c r="H42" i="4"/>
  <c r="I42" i="4"/>
  <c r="J42" i="4"/>
  <c r="N42" i="4"/>
  <c r="P42" i="4"/>
  <c r="R42" i="4"/>
  <c r="W42" i="4"/>
  <c r="X42" i="4"/>
  <c r="AB42" i="4"/>
  <c r="AC42" i="4"/>
  <c r="AD42" i="4"/>
  <c r="S42" i="4" s="1"/>
  <c r="AE42" i="4"/>
  <c r="A43" i="4"/>
  <c r="G43" i="4" s="1"/>
  <c r="B43" i="4"/>
  <c r="C43" i="4"/>
  <c r="D43" i="4"/>
  <c r="E43" i="4"/>
  <c r="F43" i="4"/>
  <c r="H43" i="4"/>
  <c r="I43" i="4"/>
  <c r="J43" i="4"/>
  <c r="N43" i="4"/>
  <c r="P43" i="4"/>
  <c r="W43" i="4"/>
  <c r="X43" i="4"/>
  <c r="AB43" i="4"/>
  <c r="AC43" i="4"/>
  <c r="AD43" i="4"/>
  <c r="R43" i="4" s="1"/>
  <c r="AE43" i="4"/>
  <c r="A44" i="4"/>
  <c r="B44" i="4"/>
  <c r="C44" i="4"/>
  <c r="D44" i="4"/>
  <c r="E44" i="4"/>
  <c r="F44" i="4"/>
  <c r="G44" i="4"/>
  <c r="H44" i="4"/>
  <c r="I44" i="4"/>
  <c r="J44" i="4"/>
  <c r="N44" i="4"/>
  <c r="P44" i="4"/>
  <c r="W44" i="4"/>
  <c r="X44" i="4"/>
  <c r="AB44" i="4"/>
  <c r="AC44" i="4"/>
  <c r="AD44" i="4"/>
  <c r="R44" i="4" s="1"/>
  <c r="AE44" i="4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D9" i="4"/>
  <c r="AD11" i="4"/>
  <c r="R35" i="4" l="1"/>
  <c r="R31" i="4"/>
  <c r="S44" i="4"/>
  <c r="S40" i="4"/>
  <c r="S36" i="4"/>
  <c r="S32" i="4"/>
  <c r="S28" i="4"/>
  <c r="S24" i="4"/>
  <c r="S20" i="4"/>
  <c r="S16" i="4"/>
  <c r="S12" i="4"/>
  <c r="S43" i="4"/>
  <c r="S39" i="4"/>
  <c r="S27" i="4"/>
  <c r="S23" i="4"/>
  <c r="S19" i="4"/>
  <c r="S15" i="4"/>
  <c r="AC2" i="1"/>
  <c r="AC5" i="1"/>
  <c r="AC1" i="1"/>
  <c r="G4" i="1"/>
  <c r="S11" i="4"/>
  <c r="R11" i="4"/>
  <c r="S9" i="4"/>
  <c r="R9" i="4"/>
  <c r="AB6" i="1"/>
  <c r="AB5" i="1"/>
  <c r="AE11" i="4"/>
  <c r="AE10" i="4"/>
  <c r="U3" i="2"/>
  <c r="T3" i="2"/>
  <c r="S3" i="2"/>
  <c r="R3" i="2"/>
  <c r="Q3" i="2"/>
  <c r="P3" i="2"/>
  <c r="N3" i="2"/>
  <c r="M3" i="2"/>
  <c r="R2" i="2"/>
  <c r="Q2" i="2"/>
  <c r="P8" i="4"/>
  <c r="I8" i="4"/>
  <c r="H8" i="4"/>
  <c r="L4" i="1"/>
  <c r="J4" i="1"/>
  <c r="H4" i="1"/>
  <c r="R5" i="2"/>
  <c r="X2" i="2"/>
  <c r="V2" i="2"/>
  <c r="V5" i="2"/>
  <c r="Q5" i="2"/>
  <c r="X5" i="2"/>
  <c r="X4" i="2"/>
  <c r="AC11" i="4"/>
  <c r="AB11" i="4"/>
  <c r="X11" i="4"/>
  <c r="W11" i="4"/>
  <c r="P11" i="4"/>
  <c r="N11" i="4"/>
  <c r="I11" i="4"/>
  <c r="H11" i="4"/>
  <c r="F11" i="4"/>
  <c r="E11" i="4"/>
  <c r="D11" i="4"/>
  <c r="C11" i="4"/>
  <c r="B11" i="4"/>
  <c r="A11" i="4"/>
  <c r="J11" i="4" s="1"/>
  <c r="G11" i="4" l="1"/>
  <c r="W3" i="2"/>
  <c r="S2" i="2"/>
  <c r="S1" i="1"/>
  <c r="Z1" i="4" s="1"/>
  <c r="Y1" i="4" l="1"/>
  <c r="AA5" i="1" l="1"/>
  <c r="AA6" i="1"/>
  <c r="Z5" i="1"/>
  <c r="O11" i="3"/>
  <c r="I8" i="5"/>
  <c r="H8" i="5"/>
  <c r="AD11" i="5"/>
  <c r="AC11" i="5"/>
  <c r="AB11" i="5"/>
  <c r="X11" i="5"/>
  <c r="W11" i="5"/>
  <c r="P11" i="5"/>
  <c r="N11" i="5"/>
  <c r="M11" i="5"/>
  <c r="I11" i="5"/>
  <c r="H11" i="5"/>
  <c r="F11" i="5"/>
  <c r="E11" i="5"/>
  <c r="D11" i="5"/>
  <c r="C11" i="5"/>
  <c r="B11" i="5"/>
  <c r="A11" i="5"/>
  <c r="AC9" i="5"/>
  <c r="P8" i="5"/>
  <c r="C5" i="5"/>
  <c r="C4" i="5"/>
  <c r="G11" i="5" l="1"/>
  <c r="J11" i="5"/>
  <c r="AC9" i="4" l="1"/>
  <c r="O10" i="3"/>
  <c r="O12" i="3"/>
  <c r="Q1" i="2"/>
  <c r="N12" i="3"/>
  <c r="M12" i="3"/>
  <c r="L12" i="3"/>
  <c r="K12" i="3"/>
  <c r="J12" i="3"/>
  <c r="I12" i="3"/>
  <c r="H12" i="3"/>
  <c r="M11" i="3"/>
  <c r="K11" i="3"/>
  <c r="J11" i="3"/>
  <c r="I11" i="3"/>
  <c r="G11" i="3"/>
  <c r="F11" i="3"/>
  <c r="L11" i="3" s="1"/>
  <c r="E11" i="3"/>
  <c r="D11" i="3"/>
  <c r="H11" i="3" s="1"/>
  <c r="N11" i="3" l="1"/>
  <c r="P1" i="2"/>
  <c r="U1" i="2" s="1"/>
  <c r="N1" i="2"/>
  <c r="R1" i="2" l="1"/>
  <c r="T1" i="2"/>
  <c r="C6" i="3"/>
  <c r="C3" i="3"/>
  <c r="K10" i="3"/>
  <c r="K9" i="3"/>
  <c r="K8" i="3"/>
  <c r="K7" i="3"/>
  <c r="K6" i="3"/>
  <c r="K5" i="3"/>
  <c r="K4" i="3"/>
  <c r="K3" i="3"/>
  <c r="K2" i="3"/>
  <c r="W1" i="2"/>
  <c r="W4" i="2"/>
  <c r="G2" i="2"/>
  <c r="B3" i="1" l="1"/>
  <c r="AC3" i="1" s="1"/>
  <c r="B4" i="1"/>
  <c r="AC4" i="1" s="1"/>
  <c r="U2" i="2" l="1"/>
  <c r="T2" i="2" s="1"/>
  <c r="C3" i="4"/>
  <c r="C3" i="5"/>
  <c r="C1" i="3"/>
  <c r="O1" i="3" s="1"/>
  <c r="K1" i="3"/>
  <c r="C4" i="4"/>
  <c r="C5" i="4"/>
  <c r="U5" i="2" l="1"/>
  <c r="T5" i="2" s="1"/>
</calcChain>
</file>

<file path=xl/sharedStrings.xml><?xml version="1.0" encoding="utf-8"?>
<sst xmlns="http://schemas.openxmlformats.org/spreadsheetml/2006/main" count="507" uniqueCount="156">
  <si>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</si>
  <si>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</si>
  <si>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</si>
  <si>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</si>
  <si>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</si>
  <si>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</si>
  <si>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</si>
  <si>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</si>
  <si>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</si>
  <si>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</si>
  <si>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</si>
  <si>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</si>
  <si>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</si>
  <si>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</si>
  <si>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</si>
  <si>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</si>
  <si>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</si>
  <si>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</si>
  <si>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</si>
  <si>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</si>
  <si>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</si>
  <si>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</si>
  <si>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</si>
  <si>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</si>
  <si>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</si>
  <si>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</si>
  <si>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</si>
  <si>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</si>
  <si>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</si>
  <si>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</si>
  <si>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</si>
  <si>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</si>
  <si>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</si>
  <si>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</si>
  <si>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</si>
  <si>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</si>
  <si>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</si>
  <si>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</si>
  <si>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</si>
  <si>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</si>
  <si>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</si>
  <si>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</si>
  <si>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</si>
  <si>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</si>
  <si>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</si>
  <si>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</si>
  <si>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</si>
  <si>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</si>
  <si>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</si>
  <si>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</si>
  <si>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</si>
  <si>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</si>
  <si>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</si>
  <si>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</si>
  <si>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</si>
  <si>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</si>
  <si>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</si>
  <si>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</si>
  <si>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</si>
  <si>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</si>
  <si>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</si>
  <si>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</si>
  <si>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</si>
  <si>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</si>
  <si>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</si>
  <si>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</si>
  <si>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</si>
  <si>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</si>
  <si>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</si>
  <si>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</si>
  <si>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</si>
  <si>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</si>
  <si>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</si>
  <si>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</si>
  <si>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</si>
  <si>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</si>
  <si>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</si>
  <si>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</si>
  <si>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</si>
  <si>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</si>
  <si>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</si>
  <si>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</si>
  <si>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</si>
  <si>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</si>
  <si>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</si>
  <si>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</si>
  <si>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</si>
  <si>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</si>
  <si>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</si>
  <si>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</si>
  <si>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</si>
  <si>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</si>
  <si>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</si>
  <si>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</si>
  <si>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</si>
  <si>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</si>
  <si>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</si>
  <si>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</si>
  <si>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</si>
  <si>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</si>
  <si>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</si>
  <si>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</si>
  <si>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</si>
  <si>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</si>
  <si>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</si>
  <si>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</si>
  <si>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</si>
  <si>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</si>
  <si>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</si>
  <si>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</si>
  <si>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</si>
  <si>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</si>
  <si>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REMAIN</t>
  </si>
  <si>
    <t>10726-040 DG XK BPI HO REDEV SUPPLY MATERIAL</t>
  </si>
  <si>
    <t>10726-040</t>
  </si>
  <si>
    <t>LSX-VT-BPI-TH-001</t>
  </si>
  <si>
    <t>SS2410</t>
  </si>
  <si>
    <t>SS2289</t>
  </si>
  <si>
    <t>SS2595</t>
  </si>
  <si>
    <t>SS2058</t>
  </si>
  <si>
    <t>SS2414</t>
  </si>
  <si>
    <t>SS2413</t>
  </si>
  <si>
    <t>SS2411</t>
  </si>
  <si>
    <t>SS2423</t>
  </si>
  <si>
    <t>SS2084</t>
  </si>
  <si>
    <t>SS2057</t>
  </si>
  <si>
    <t>SS2064</t>
  </si>
  <si>
    <t>SS2065</t>
  </si>
  <si>
    <t>SS2063</t>
  </si>
  <si>
    <t>SS2062</t>
  </si>
  <si>
    <t>SS2416</t>
  </si>
  <si>
    <t>SS2286</t>
  </si>
  <si>
    <t>SS2050</t>
  </si>
  <si>
    <t>SS2394</t>
  </si>
  <si>
    <t>SS2409</t>
  </si>
  <si>
    <t>SS2408</t>
  </si>
  <si>
    <t>SS2053</t>
  </si>
  <si>
    <t>SS2052</t>
  </si>
  <si>
    <t>SS2051</t>
  </si>
  <si>
    <t>SS2391</t>
  </si>
  <si>
    <t>SS2434</t>
  </si>
  <si>
    <t>SS2381</t>
  </si>
  <si>
    <t>SS2055</t>
  </si>
  <si>
    <t>SS2431</t>
  </si>
  <si>
    <t>SS2594</t>
  </si>
  <si>
    <t>SS2060</t>
  </si>
  <si>
    <t>SS2059</t>
  </si>
  <si>
    <t>SS2061</t>
  </si>
  <si>
    <t>SS2054</t>
  </si>
  <si>
    <t>SS2056</t>
  </si>
  <si>
    <t>PIPE400X20</t>
  </si>
  <si>
    <t>UỐN</t>
  </si>
  <si>
    <t>X</t>
  </si>
  <si>
    <t>A500-GR.C</t>
  </si>
  <si>
    <t>NMMT</t>
  </si>
  <si>
    <t>LEVEL 46 - ROOF CROWN - SHIPMENT 1-GIA CONG UON ONG GIAO NHA MAY MIEN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</si>
</sst>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&quot;-Part Name&quot;"/>
    <numFmt numFmtId="166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indexed="12"/>
      <name val="Calibri"/>
      <family val="2"/>
      <scheme val="minor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7">
    <xf numFmtId="0" fontId="0" fillId="0" borderId="0" xfId="0"/>
    <xf numFmtId="0" fontId="15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4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5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0" fontId="11" fillId="0" borderId="0" xfId="0" applyNumberFormat="1" applyFont="1"/>
    <xf numFmtId="10" fontId="3" fillId="0" borderId="0" xfId="0" applyNumberFormat="1" applyFont="1"/>
    <xf numFmtId="0" fontId="15" fillId="7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3" fillId="0" borderId="0" xfId="0" applyNumberFormat="1" applyFont="1" applyAlignment="1">
      <alignment vertical="center"/>
    </xf>
    <xf numFmtId="14" fontId="13" fillId="0" borderId="0" xfId="0" applyNumberFormat="1" applyFont="1" applyAlignment="1">
      <alignment horizontal="centerContinuous" vertical="center"/>
    </xf>
    <xf numFmtId="14" fontId="14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7" fillId="0" borderId="0" xfId="1" applyFont="1"/>
    <xf numFmtId="0" fontId="2" fillId="0" borderId="0" xfId="0" applyFont="1" applyAlignment="1">
      <alignment horizontal="right" vertical="center"/>
    </xf>
    <xf numFmtId="0" fontId="9" fillId="5" borderId="0" xfId="0" applyFont="1" applyFill="1" applyAlignment="1">
      <alignment horizontal="right" vertical="top" wrapText="1"/>
    </xf>
    <xf numFmtId="43" fontId="2" fillId="0" borderId="0" xfId="1" applyFont="1" applyAlignment="1">
      <alignment vertical="center"/>
    </xf>
    <xf numFmtId="43" fontId="9" fillId="5" borderId="0" xfId="1" applyFont="1" applyFill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7" borderId="0" xfId="0" applyFont="1" applyFill="1" applyAlignment="1">
      <alignment horizontal="center" vertical="center" wrapText="1"/>
    </xf>
    <xf numFmtId="166" fontId="11" fillId="0" borderId="0" xfId="0" applyNumberFormat="1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1" fillId="4" borderId="0" xfId="1" applyFont="1" applyFill="1"/>
    <xf numFmtId="43" fontId="0" fillId="0" borderId="0" xfId="1" applyFont="1" applyAlignment="1">
      <alignment horizontal="center"/>
    </xf>
    <xf numFmtId="43" fontId="10" fillId="5" borderId="0" xfId="1" applyFont="1" applyFill="1" applyAlignment="1">
      <alignment horizontal="center" vertical="top" wrapText="1"/>
    </xf>
    <xf numFmtId="43" fontId="7" fillId="0" borderId="0" xfId="1" applyFont="1" applyAlignment="1">
      <alignment horizontal="right"/>
    </xf>
    <xf numFmtId="43" fontId="2" fillId="0" borderId="0" xfId="1" applyFont="1" applyAlignment="1">
      <alignment horizontal="centerContinuous" vertical="center"/>
    </xf>
    <xf numFmtId="43" fontId="11" fillId="0" borderId="0" xfId="1" applyFont="1"/>
    <xf numFmtId="0" fontId="15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43" fontId="3" fillId="0" borderId="0" xfId="1" applyFont="1"/>
    <xf numFmtId="43" fontId="1" fillId="6" borderId="0" xfId="1" applyFont="1" applyFill="1" applyAlignment="1">
      <alignment vertical="top"/>
    </xf>
    <xf numFmtId="43" fontId="0" fillId="0" borderId="0" xfId="1" applyFont="1" applyAlignment="1">
      <alignment horizontal="right"/>
    </xf>
    <xf numFmtId="164" fontId="1" fillId="0" borderId="0" xfId="1" applyNumberFormat="1" applyFont="1"/>
    <xf numFmtId="2" fontId="0" fillId="0" borderId="0" xfId="0" applyNumberFormat="1"/>
    <xf numFmtId="0" fontId="1" fillId="4" borderId="0" xfId="0" applyFont="1" applyFill="1"/>
    <xf numFmtId="43" fontId="8" fillId="4" borderId="0" xfId="1" applyFont="1" applyFill="1"/>
    <xf numFmtId="0" fontId="7" fillId="8" borderId="0" xfId="0" applyFont="1" applyFill="1" applyAlignment="1">
      <alignment horizontal="center"/>
    </xf>
    <xf numFmtId="0" fontId="15" fillId="3" borderId="0" xfId="0" applyFont="1" applyFill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  <xf numFmtId="43" fontId="1" fillId="3" borderId="0" xfId="1" applyFont="1" applyFill="1" applyAlignment="1">
      <alignment vertical="top"/>
    </xf>
    <xf numFmtId="0" fontId="8" fillId="3" borderId="0" xfId="0" applyFont="1" applyFill="1" applyAlignment="1">
      <alignment horizontal="center" vertical="top"/>
    </xf>
    <xf numFmtId="14" fontId="1" fillId="3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top"/>
    </xf>
    <xf numFmtId="0" fontId="14" fillId="3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2">
    <cellStyle name="Comma" xfId="1" builtinId="3"/>
    <cellStyle name="Normal" xfId="0" builtinId="0"/>
  </cellStyles>
  <dxfs count="2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8.emf"/><Relationship Id="rId1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5" Type="http://schemas.openxmlformats.org/officeDocument/2006/relationships/image" Target="../media/image10.emf"/><Relationship Id="rId4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</xdr:row>
          <xdr:rowOff>171450</xdr:rowOff>
        </xdr:from>
        <xdr:to>
          <xdr:col>19</xdr:col>
          <xdr:colOff>219074</xdr:colOff>
          <xdr:row>3</xdr:row>
          <xdr:rowOff>19050</xdr:rowOff>
        </xdr:to>
        <xdr:sp macro="" textlink="">
          <xdr:nvSpPr>
            <xdr:cNvPr id="4100" name="CommandButton2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390525</xdr:colOff>
          <xdr:row>1</xdr:row>
          <xdr:rowOff>171450</xdr:rowOff>
        </xdr:from>
        <xdr:to>
          <xdr:col>20</xdr:col>
          <xdr:colOff>419101</xdr:colOff>
          <xdr:row>3</xdr:row>
          <xdr:rowOff>19050</xdr:rowOff>
        </xdr:to>
        <xdr:sp macro="" textlink="">
          <xdr:nvSpPr>
            <xdr:cNvPr id="4101" name="CommandButton1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266700</xdr:colOff>
          <xdr:row>1</xdr:row>
          <xdr:rowOff>180975</xdr:rowOff>
        </xdr:from>
        <xdr:to>
          <xdr:col>21</xdr:col>
          <xdr:colOff>714375</xdr:colOff>
          <xdr:row>3</xdr:row>
          <xdr:rowOff>28575</xdr:rowOff>
        </xdr:to>
        <xdr:sp macro="" textlink="">
          <xdr:nvSpPr>
            <xdr:cNvPr id="4102" name="CommandButton3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0</xdr:row>
          <xdr:rowOff>133350</xdr:rowOff>
        </xdr:from>
        <xdr:to>
          <xdr:col>22</xdr:col>
          <xdr:colOff>523875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695325</xdr:colOff>
          <xdr:row>0</xdr:row>
          <xdr:rowOff>133350</xdr:rowOff>
        </xdr:from>
        <xdr:to>
          <xdr:col>23</xdr:col>
          <xdr:colOff>180975</xdr:colOff>
          <xdr:row>1</xdr:row>
          <xdr:rowOff>219075</xdr:rowOff>
        </xdr:to>
        <xdr:sp macro="" textlink="">
          <xdr:nvSpPr>
            <xdr:cNvPr id="3075" name="CommandButton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457200</xdr:colOff>
          <xdr:row>0</xdr:row>
          <xdr:rowOff>142875</xdr:rowOff>
        </xdr:from>
        <xdr:to>
          <xdr:col>23</xdr:col>
          <xdr:colOff>904875</xdr:colOff>
          <xdr:row>1</xdr:row>
          <xdr:rowOff>228600</xdr:rowOff>
        </xdr:to>
        <xdr:sp macro="" textlink="">
          <xdr:nvSpPr>
            <xdr:cNvPr id="3076" name="CommandButton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866775</xdr:colOff>
          <xdr:row>1</xdr:row>
          <xdr:rowOff>304800</xdr:rowOff>
        </xdr:from>
        <xdr:to>
          <xdr:col>15</xdr:col>
          <xdr:colOff>9525</xdr:colOff>
          <xdr:row>3</xdr:row>
          <xdr:rowOff>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0</xdr:row>
          <xdr:rowOff>133350</xdr:rowOff>
        </xdr:from>
        <xdr:to>
          <xdr:col>15</xdr:col>
          <xdr:colOff>485775</xdr:colOff>
          <xdr:row>2</xdr:row>
          <xdr:rowOff>28575</xdr:rowOff>
        </xdr:to>
        <xdr:sp macro="" textlink="">
          <xdr:nvSpPr>
            <xdr:cNvPr id="2050" name="CommandButton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</xdr:colOff>
          <xdr:row>3</xdr:row>
          <xdr:rowOff>28575</xdr:rowOff>
        </xdr:from>
        <xdr:to>
          <xdr:col>15</xdr:col>
          <xdr:colOff>485775</xdr:colOff>
          <xdr:row>4</xdr:row>
          <xdr:rowOff>123825</xdr:rowOff>
        </xdr:to>
        <xdr:sp macro="" textlink="">
          <xdr:nvSpPr>
            <xdr:cNvPr id="2051" name="CommandButton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</xdr:row>
          <xdr:rowOff>114300</xdr:rowOff>
        </xdr:from>
        <xdr:to>
          <xdr:col>15</xdr:col>
          <xdr:colOff>504825</xdr:colOff>
          <xdr:row>7</xdr:row>
          <xdr:rowOff>9525</xdr:rowOff>
        </xdr:to>
        <xdr:sp macro="" textlink="">
          <xdr:nvSpPr>
            <xdr:cNvPr id="2052" name="CommandButton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781050</xdr:colOff>
          <xdr:row>6</xdr:row>
          <xdr:rowOff>161925</xdr:rowOff>
        </xdr:from>
        <xdr:to>
          <xdr:col>28</xdr:col>
          <xdr:colOff>1114426</xdr:colOff>
          <xdr:row>8</xdr:row>
          <xdr:rowOff>57150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1323975</xdr:colOff>
          <xdr:row>7</xdr:row>
          <xdr:rowOff>0</xdr:rowOff>
        </xdr:from>
        <xdr:to>
          <xdr:col>28</xdr:col>
          <xdr:colOff>1771650</xdr:colOff>
          <xdr:row>8</xdr:row>
          <xdr:rowOff>85725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171450</xdr:colOff>
          <xdr:row>6</xdr:row>
          <xdr:rowOff>152400</xdr:rowOff>
        </xdr:from>
        <xdr:to>
          <xdr:col>25</xdr:col>
          <xdr:colOff>85725</xdr:colOff>
          <xdr:row>8</xdr:row>
          <xdr:rowOff>47625</xdr:rowOff>
        </xdr:to>
        <xdr:sp macro="" textlink="">
          <xdr:nvSpPr>
            <xdr:cNvPr id="1028" name="Command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6</xdr:row>
          <xdr:rowOff>152400</xdr:rowOff>
        </xdr:from>
        <xdr:to>
          <xdr:col>26</xdr:col>
          <xdr:colOff>295275</xdr:colOff>
          <xdr:row>8</xdr:row>
          <xdr:rowOff>47625</xdr:rowOff>
        </xdr:to>
        <xdr:sp macro="" textlink="">
          <xdr:nvSpPr>
            <xdr:cNvPr id="1029" name="Command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142875</xdr:colOff>
          <xdr:row>6</xdr:row>
          <xdr:rowOff>161925</xdr:rowOff>
        </xdr:from>
        <xdr:to>
          <xdr:col>27</xdr:col>
          <xdr:colOff>590550</xdr:colOff>
          <xdr:row>8</xdr:row>
          <xdr:rowOff>57150</xdr:rowOff>
        </xdr:to>
        <xdr:sp macro="" textlink="">
          <xdr:nvSpPr>
            <xdr:cNvPr id="1030" name="Command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1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6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5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8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7.emf"/><Relationship Id="rId4" Type="http://schemas.openxmlformats.org/officeDocument/2006/relationships/control" Target="../activeX/activeX8.xml"/><Relationship Id="rId9" Type="http://schemas.openxmlformats.org/officeDocument/2006/relationships/image" Target="../media/image9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12" Type="http://schemas.openxmlformats.org/officeDocument/2006/relationships/control" Target="../activeX/activeX1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11" Type="http://schemas.openxmlformats.org/officeDocument/2006/relationships/image" Target="../media/image12.emf"/><Relationship Id="rId5" Type="http://schemas.openxmlformats.org/officeDocument/2006/relationships/image" Target="../media/image10.emf"/><Relationship Id="rId10" Type="http://schemas.openxmlformats.org/officeDocument/2006/relationships/control" Target="../activeX/activeX14.xml"/><Relationship Id="rId4" Type="http://schemas.openxmlformats.org/officeDocument/2006/relationships/control" Target="../activeX/activeX11.xml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4.emf"/><Relationship Id="rId4" Type="http://schemas.openxmlformats.org/officeDocument/2006/relationships/control" Target="../activeX/activeX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105"/>
  <sheetViews>
    <sheetView view="pageBreakPreview" zoomScale="85" zoomScaleNormal="100" zoomScaleSheetLayoutView="85" workbookViewId="0">
      <pane ySplit="5" topLeftCell="A6" activePane="bottomLeft" state="frozenSplit"/>
      <selection pane="bottomLeft" activeCell="Z6" sqref="Z6:Z39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36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14.7109375" style="19" customWidth="1"/>
    <col min="8" max="8" width="5" style="19" customWidth="1"/>
    <col min="9" max="9" width="9.5703125" style="78" bestFit="1" customWidth="1"/>
    <col min="10" max="10" width="12.140625" style="78" customWidth="1"/>
    <col min="11" max="11" width="17.7109375" style="19" bestFit="1" customWidth="1"/>
    <col min="12" max="12" width="40.7109375" style="19" bestFit="1" customWidth="1"/>
    <col min="13" max="13" width="7.42578125" style="19" bestFit="1" customWidth="1"/>
    <col min="14" max="14" width="6.5703125" style="19" bestFit="1" customWidth="1"/>
    <col min="15" max="15" width="7.28515625" style="19" customWidth="1"/>
    <col min="16" max="16" width="8.42578125" style="19" bestFit="1" customWidth="1"/>
    <col min="17" max="17" width="7.140625" style="35" bestFit="1" customWidth="1"/>
    <col min="18" max="18" width="12.140625" style="66" bestFit="1" customWidth="1"/>
    <col min="19" max="19" width="6.5703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16.5703125" style="36" customWidth="1"/>
    <col min="27" max="27" width="11.42578125" style="26" customWidth="1"/>
    <col min="28" max="28" width="16.140625" style="36" customWidth="1"/>
    <col min="29" max="29" width="9.140625" style="36"/>
    <col min="30" max="16384" width="9.140625" style="19"/>
  </cols>
  <sheetData>
    <row r="1" spans="1:29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60"/>
      <c r="J1" s="60"/>
      <c r="K1" s="32"/>
      <c r="L1" s="29"/>
      <c r="M1" s="29"/>
      <c r="N1" s="29"/>
      <c r="O1" s="29"/>
      <c r="P1" s="29"/>
      <c r="Q1" s="63"/>
      <c r="R1" s="64"/>
      <c r="S1" s="70">
        <f>MATCH(9.9E+307,A:A)</f>
        <v>39</v>
      </c>
      <c r="T1" s="29"/>
      <c r="U1" s="29"/>
      <c r="V1" s="29"/>
      <c r="W1" s="29"/>
      <c r="X1" s="29"/>
      <c r="Y1" s="29"/>
      <c r="Z1" s="28"/>
      <c r="AA1" s="62"/>
      <c r="AB1" s="91"/>
      <c r="AC1" s="105" t="str">
        <f>IFERROR(IF(H1="Qty","A-B",IF(IFERROR(FIND("-",TRIM(RIGHT(SUBSTITUTE(B1,"_",REPT(" ",99)),99))),"")&lt;&gt;"",IFERROR(MID(B1, FIND("_", B1) + 1, FIND("-", B1, FIND("_", B1)) - FIND("_", B1) - 1),""),TRIM(RIGHT(SUBSTITUTE(B1,"_",REPT(" ",99)),99)))),"")</f>
        <v/>
      </c>
    </row>
    <row r="2" spans="1:29" customFormat="1" ht="18.75" customHeight="1" x14ac:dyDescent="0.25">
      <c r="A2" s="7" t="s">
        <v>111</v>
      </c>
      <c r="B2" s="33" t="s">
        <v>113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63"/>
      <c r="R2" s="65"/>
      <c r="S2" s="32"/>
      <c r="T2" s="32"/>
      <c r="U2" s="32"/>
      <c r="V2" s="32"/>
      <c r="W2" s="32"/>
      <c r="X2" s="32"/>
      <c r="Y2" s="32"/>
      <c r="Z2" s="28"/>
      <c r="AA2" s="62"/>
      <c r="AB2" s="91"/>
      <c r="AC2" s="105" t="str">
        <f>IFERROR(IF(H2="Qty","A-B",IF(IFERROR(FIND("-",TRIM(RIGHT(SUBSTITUTE(B2,"_",REPT(" ",99)),99))),"")&lt;&gt;"",IFERROR(MID(B2, FIND("_", B2) + 1, FIND("-", B2, FIND("_", B2)) - FIND("_", B2) - 1),""),TRIM(RIGHT(SUBSTITUTE(B2,"_",REPT(" ",99)),99)))),"")</f>
        <v/>
      </c>
    </row>
    <row r="3" spans="1:29" customFormat="1" x14ac:dyDescent="0.25">
      <c r="A3" s="7" t="s">
        <v>1</v>
      </c>
      <c r="B3" s="33" t="str">
        <f ca="1">INDEX(V6:V99999, MATCH(1, INDEX(SUBTOTAL(3, OFFSET(V6, ROW(V6:V99999)-ROW(V6), 0)), 0), 0))</f>
        <v>10726-040</v>
      </c>
      <c r="C3" s="7"/>
      <c r="I3" s="56"/>
      <c r="J3" s="56"/>
      <c r="Q3" s="35"/>
      <c r="R3" s="65"/>
      <c r="Z3" s="7"/>
      <c r="AA3" s="26"/>
      <c r="AB3" s="36"/>
      <c r="AC3" s="105" t="str">
        <f ca="1">IFERROR(IF(H3="Qty","A-B",IF(IFERROR(FIND("-",TRIM(RIGHT(SUBSTITUTE(B3,"_",REPT(" ",99)),99))),"")&lt;&gt;"",IFERROR(MID(B3, FIND("_", B3) + 1, FIND("-", B3, FIND("_", B3)) - FIND("_", B3) - 1),""),TRIM(RIGHT(SUBSTITUTE(B3,"_",REPT(" ",99)),99)))),"")</f>
        <v/>
      </c>
    </row>
    <row r="4" spans="1:29" customFormat="1" x14ac:dyDescent="0.25">
      <c r="A4" s="7" t="s">
        <v>2</v>
      </c>
      <c r="B4" s="33" t="str">
        <f ca="1">INDEX(Z6:Z99999, MATCH(1, INDEX(SUBTOTAL(3, OFFSET(Z6, ROW(Z6:Z99999)-ROW(Z6), 0)), 0), 0))</f>
        <v>LEVEL 46 - ROOF CROWN - SHIPMENT 1-GIA CONG UON ONG GIAO NHA MAY MIEN TRUNG</v>
      </c>
      <c r="C4" s="7"/>
      <c r="G4">
        <f ca="1">SUMPRODUCT(G6:G99999, H6:H99999, SUBTOTAL(103, OFFSET(G6, ROW(G6:G99999)-ROW(G6), 0)))</f>
        <v>324036</v>
      </c>
      <c r="H4" s="84">
        <f ca="1">SUMPRODUCT(SUBTOTAL(109, OFFSET(H6, ROW(H6:H99995)-ROW(H6), 0)), (B6:B99995&lt;&gt;"") * (B6:B99995&lt;&gt;0))</f>
        <v>56</v>
      </c>
      <c r="I4" s="84"/>
      <c r="J4" s="84">
        <f ca="1">SUMPRODUCT(SUBTOTAL(109, OFFSET(J6, ROW(J6:J99995)-ROW(J6), 0)), (B6:B99995&lt;&gt;"") * (B6:B99995&lt;&gt;0))</f>
        <v>59447.58</v>
      </c>
      <c r="L4" s="37">
        <f ca="1">SUMPRODUCT(SUBTOTAL(103, OFFSET(B6, ROW(B6:B99996)-ROW(B6), 0)))</f>
        <v>34</v>
      </c>
      <c r="Q4" s="35"/>
      <c r="R4" s="65"/>
      <c r="Z4" s="7"/>
      <c r="AA4" s="26"/>
      <c r="AB4" s="36"/>
      <c r="AC4" s="105" t="str">
        <f ca="1">IFERROR(IF(H4="Qty","A-B",IF(IFERROR(FIND("-",TRIM(RIGHT(SUBSTITUTE(B4,"_",REPT(" ",99)),99))),"")&lt;&gt;"",IFERROR(MID(B4, FIND("_", B4) + 1, FIND("-", B4, FIND("_", B4)) - FIND("_", B4) - 1),""),TRIM(RIGHT(SUBSTITUTE(B4,"_",REPT(" ",99)),99)))),"")</f>
        <v/>
      </c>
    </row>
    <row r="5" spans="1:29" s="44" customFormat="1" ht="27.75" customHeight="1" x14ac:dyDescent="0.25">
      <c r="A5" s="92" t="s">
        <v>3</v>
      </c>
      <c r="B5" s="93" t="s">
        <v>4</v>
      </c>
      <c r="C5" s="94" t="s">
        <v>5</v>
      </c>
      <c r="D5" s="93" t="s">
        <v>6</v>
      </c>
      <c r="E5" s="93" t="s">
        <v>7</v>
      </c>
      <c r="F5" s="93" t="s">
        <v>8</v>
      </c>
      <c r="G5" s="92" t="s">
        <v>9</v>
      </c>
      <c r="H5" s="93" t="s">
        <v>10</v>
      </c>
      <c r="I5" s="95" t="s">
        <v>11</v>
      </c>
      <c r="J5" s="95" t="s">
        <v>12</v>
      </c>
      <c r="K5" s="93" t="s">
        <v>13</v>
      </c>
      <c r="L5" s="92" t="s">
        <v>14</v>
      </c>
      <c r="M5" s="93" t="s">
        <v>15</v>
      </c>
      <c r="N5" s="93" t="s">
        <v>16</v>
      </c>
      <c r="O5" s="93" t="s">
        <v>151</v>
      </c>
      <c r="P5" s="93" t="s">
        <v>17</v>
      </c>
      <c r="Q5" s="96" t="s">
        <v>18</v>
      </c>
      <c r="R5" s="97" t="s">
        <v>19</v>
      </c>
      <c r="S5" s="93" t="s">
        <v>20</v>
      </c>
      <c r="T5" s="93" t="s">
        <v>21</v>
      </c>
      <c r="U5" s="93" t="s">
        <v>22</v>
      </c>
      <c r="V5" s="93" t="s">
        <v>23</v>
      </c>
      <c r="W5" s="93" t="s">
        <v>24</v>
      </c>
      <c r="X5" s="93" t="s">
        <v>25</v>
      </c>
      <c r="Y5" s="93" t="s">
        <v>26</v>
      </c>
      <c r="Z5" s="98" t="str">
        <f>IF(L5="Số Nesting","Hang Muc",TRIM(MID(SUBSTITUTE(L5,"-",REPT(" ",LEN(L5))),4*LEN(L5)+1,LEN(L5))))</f>
        <v>Hang Muc</v>
      </c>
      <c r="AA5" s="104" t="str">
        <f>IFERROR(IF(K5="Quy Cách Vật Tư","Nguồn Gốc Vật Tư",K5),"")</f>
        <v>Nguồn Gốc Vật Tư</v>
      </c>
      <c r="AB5" s="98" t="str">
        <f>$B$2</f>
        <v>10726-040 DG XK BPI HO REDEV SUPPLY MATERIAL</v>
      </c>
      <c r="AC5" s="106" t="str">
        <f>IFERROR(IF(H5="Qty","A-B",IF(IFERROR(FIND("-",TRIM(RIGHT(SUBSTITUTE(B5,"_",REPT(" ",99)),99))),"")&lt;&gt;"",IFERROR(MID(B5, FIND("_", B5) + 1, FIND("-", B5, FIND("_", B5)) - FIND("_", B5) - 1),""),TRIM(RIGHT(SUBSTITUTE(B5,"_",REPT(" ",99)),99)))),"")</f>
        <v>A-B</v>
      </c>
    </row>
    <row r="6" spans="1:29" x14ac:dyDescent="0.25">
      <c r="A6" s="26">
        <v>1</v>
      </c>
      <c r="B6" s="19" t="s">
        <v>116</v>
      </c>
      <c r="C6" s="36" t="s">
        <v>153</v>
      </c>
      <c r="D6" s="19" t="s">
        <v>150</v>
      </c>
      <c r="E6" s="19">
        <v>20</v>
      </c>
      <c r="F6" s="19">
        <v>400</v>
      </c>
      <c r="G6" s="19">
        <v>923</v>
      </c>
      <c r="H6" s="19">
        <v>1</v>
      </c>
      <c r="I6" s="78">
        <v>149.47</v>
      </c>
      <c r="J6" s="78">
        <v>149.47</v>
      </c>
      <c r="K6" s="19">
        <v>12000</v>
      </c>
      <c r="L6" s="19" t="s">
        <v>115</v>
      </c>
      <c r="M6" s="26"/>
      <c r="N6" s="26"/>
      <c r="O6" s="26" t="s">
        <v>152</v>
      </c>
      <c r="P6" s="26"/>
      <c r="Q6" s="35">
        <v>1</v>
      </c>
      <c r="R6" s="50">
        <v>46269</v>
      </c>
      <c r="S6" s="26"/>
      <c r="T6" s="26"/>
      <c r="U6" s="26"/>
      <c r="V6" s="26" t="s">
        <v>114</v>
      </c>
      <c r="W6" s="26"/>
      <c r="X6" s="26"/>
      <c r="Y6" s="26"/>
      <c r="Z6" s="36" t="s">
        <v>155</v>
      </c>
      <c r="AA6" s="26">
        <f>IFERROR(IF(K6="Quy Cách Vật Tư","Nguồn Gốc Vật Tư",K6),"")</f>
        <v>12000</v>
      </c>
      <c r="AB6" s="36" t="str">
        <f>$B$2</f>
        <v>10726-040 DG XK BPI HO REDEV SUPPLY MATERIAL</v>
      </c>
    </row>
    <row r="7" spans="1:29" x14ac:dyDescent="0.25">
      <c r="A7" s="26">
        <v>2</v>
      </c>
      <c r="B7" s="19" t="s">
        <v>117</v>
      </c>
      <c r="C7" s="36" t="s">
        <v>153</v>
      </c>
      <c r="D7" s="19" t="s">
        <v>150</v>
      </c>
      <c r="E7" s="19">
        <v>20</v>
      </c>
      <c r="F7" s="19">
        <v>400</v>
      </c>
      <c r="G7" s="19">
        <v>793</v>
      </c>
      <c r="H7" s="19">
        <v>2</v>
      </c>
      <c r="I7" s="78">
        <v>144.54</v>
      </c>
      <c r="J7" s="78">
        <v>289.08</v>
      </c>
      <c r="K7" s="19">
        <v>12000</v>
      </c>
      <c r="L7" s="19" t="s">
        <v>115</v>
      </c>
      <c r="M7" s="26"/>
      <c r="N7" s="26"/>
      <c r="O7" s="26" t="s">
        <v>152</v>
      </c>
      <c r="P7" s="26"/>
      <c r="Q7" s="35">
        <v>1</v>
      </c>
      <c r="R7" s="50">
        <v>46269</v>
      </c>
      <c r="S7" s="26"/>
      <c r="T7" s="26"/>
      <c r="U7" s="26"/>
      <c r="V7" s="26" t="s">
        <v>114</v>
      </c>
      <c r="W7" s="26"/>
      <c r="X7" s="26"/>
      <c r="Y7" s="26"/>
      <c r="Z7" s="36" t="s">
        <v>155</v>
      </c>
      <c r="AA7" s="26">
        <f t="shared" ref="AA7:AA39" si="0">IFERROR(IF(K7="Quy Cách Vật Tư","Nguồn Gốc Vật Tư",K7),"")</f>
        <v>12000</v>
      </c>
      <c r="AB7" s="36" t="str">
        <f t="shared" ref="AB7:AB39" si="1">$B$2</f>
        <v>10726-040 DG XK BPI HO REDEV SUPPLY MATERIAL</v>
      </c>
    </row>
    <row r="8" spans="1:29" x14ac:dyDescent="0.25">
      <c r="A8" s="26">
        <v>3</v>
      </c>
      <c r="B8" s="19" t="s">
        <v>118</v>
      </c>
      <c r="C8" s="36" t="s">
        <v>153</v>
      </c>
      <c r="D8" s="19" t="s">
        <v>150</v>
      </c>
      <c r="E8" s="19">
        <v>20</v>
      </c>
      <c r="F8" s="19">
        <v>400</v>
      </c>
      <c r="G8" s="19">
        <v>2121</v>
      </c>
      <c r="H8" s="19">
        <v>1</v>
      </c>
      <c r="I8" s="78">
        <v>371.37</v>
      </c>
      <c r="J8" s="78">
        <v>371.37</v>
      </c>
      <c r="K8" s="19">
        <v>12000</v>
      </c>
      <c r="L8" s="19" t="s">
        <v>115</v>
      </c>
      <c r="M8" s="26"/>
      <c r="N8" s="26"/>
      <c r="O8" s="26" t="s">
        <v>152</v>
      </c>
      <c r="P8" s="26"/>
      <c r="Q8" s="35">
        <v>1</v>
      </c>
      <c r="R8" s="50">
        <v>46269</v>
      </c>
      <c r="S8" s="26"/>
      <c r="T8" s="26"/>
      <c r="U8" s="26"/>
      <c r="V8" s="26" t="s">
        <v>114</v>
      </c>
      <c r="W8" s="26"/>
      <c r="X8" s="26"/>
      <c r="Y8" s="26"/>
      <c r="Z8" s="36" t="s">
        <v>155</v>
      </c>
      <c r="AA8" s="26">
        <f t="shared" si="0"/>
        <v>12000</v>
      </c>
      <c r="AB8" s="36" t="str">
        <f t="shared" si="1"/>
        <v>10726-040 DG XK BPI HO REDEV SUPPLY MATERIAL</v>
      </c>
    </row>
    <row r="9" spans="1:29" x14ac:dyDescent="0.25">
      <c r="A9" s="26">
        <v>4</v>
      </c>
      <c r="B9" s="19" t="s">
        <v>119</v>
      </c>
      <c r="C9" s="36" t="s">
        <v>153</v>
      </c>
      <c r="D9" s="19" t="s">
        <v>150</v>
      </c>
      <c r="E9" s="19">
        <v>20</v>
      </c>
      <c r="F9" s="19">
        <v>400</v>
      </c>
      <c r="G9" s="19">
        <v>9435</v>
      </c>
      <c r="H9" s="19">
        <v>2</v>
      </c>
      <c r="I9" s="78">
        <v>1734.2</v>
      </c>
      <c r="J9" s="78">
        <v>3468.4</v>
      </c>
      <c r="K9" s="19">
        <v>12000</v>
      </c>
      <c r="L9" s="19" t="s">
        <v>115</v>
      </c>
      <c r="M9" s="26"/>
      <c r="N9" s="26"/>
      <c r="O9" s="26" t="s">
        <v>152</v>
      </c>
      <c r="P9" s="26"/>
      <c r="Q9" s="35">
        <v>1</v>
      </c>
      <c r="R9" s="50">
        <v>46269</v>
      </c>
      <c r="S9" s="26"/>
      <c r="T9" s="26"/>
      <c r="U9" s="26"/>
      <c r="V9" s="26" t="s">
        <v>114</v>
      </c>
      <c r="W9" s="26"/>
      <c r="X9" s="26"/>
      <c r="Y9" s="26"/>
      <c r="Z9" s="36" t="s">
        <v>155</v>
      </c>
      <c r="AA9" s="26">
        <f t="shared" si="0"/>
        <v>12000</v>
      </c>
      <c r="AB9" s="36" t="str">
        <f t="shared" si="1"/>
        <v>10726-040 DG XK BPI HO REDEV SUPPLY MATERIAL</v>
      </c>
    </row>
    <row r="10" spans="1:29" x14ac:dyDescent="0.25">
      <c r="A10" s="26">
        <v>5</v>
      </c>
      <c r="B10" s="19" t="s">
        <v>120</v>
      </c>
      <c r="C10" s="36" t="s">
        <v>153</v>
      </c>
      <c r="D10" s="19" t="s">
        <v>150</v>
      </c>
      <c r="E10" s="19">
        <v>20</v>
      </c>
      <c r="F10" s="19">
        <v>400</v>
      </c>
      <c r="G10" s="19">
        <v>1148</v>
      </c>
      <c r="H10" s="19">
        <v>1</v>
      </c>
      <c r="I10" s="78">
        <v>171.12</v>
      </c>
      <c r="J10" s="78">
        <v>171.12</v>
      </c>
      <c r="K10" s="19">
        <v>12000</v>
      </c>
      <c r="L10" s="19" t="s">
        <v>115</v>
      </c>
      <c r="M10" s="26"/>
      <c r="N10" s="26"/>
      <c r="O10" s="26" t="s">
        <v>152</v>
      </c>
      <c r="P10" s="26"/>
      <c r="Q10" s="35">
        <v>1</v>
      </c>
      <c r="R10" s="50">
        <v>46269</v>
      </c>
      <c r="S10" s="26"/>
      <c r="T10" s="26"/>
      <c r="U10" s="26"/>
      <c r="V10" s="26" t="s">
        <v>114</v>
      </c>
      <c r="W10" s="26"/>
      <c r="X10" s="26"/>
      <c r="Y10" s="26"/>
      <c r="Z10" s="36" t="s">
        <v>155</v>
      </c>
      <c r="AA10" s="26">
        <f t="shared" si="0"/>
        <v>12000</v>
      </c>
      <c r="AB10" s="36" t="str">
        <f t="shared" si="1"/>
        <v>10726-040 DG XK BPI HO REDEV SUPPLY MATERIAL</v>
      </c>
    </row>
    <row r="11" spans="1:29" x14ac:dyDescent="0.25">
      <c r="A11" s="26">
        <v>6</v>
      </c>
      <c r="B11" s="19" t="s">
        <v>121</v>
      </c>
      <c r="C11" s="36" t="s">
        <v>153</v>
      </c>
      <c r="D11" s="19" t="s">
        <v>150</v>
      </c>
      <c r="E11" s="19">
        <v>20</v>
      </c>
      <c r="F11" s="19">
        <v>400</v>
      </c>
      <c r="G11" s="19">
        <v>1161</v>
      </c>
      <c r="H11" s="19">
        <v>1</v>
      </c>
      <c r="I11" s="78">
        <v>171.24</v>
      </c>
      <c r="J11" s="78">
        <v>171.24</v>
      </c>
      <c r="K11" s="19">
        <v>12000</v>
      </c>
      <c r="L11" s="19" t="s">
        <v>115</v>
      </c>
      <c r="M11" s="26"/>
      <c r="N11" s="26"/>
      <c r="O11" s="26" t="s">
        <v>152</v>
      </c>
      <c r="P11" s="26"/>
      <c r="Q11" s="35">
        <v>1</v>
      </c>
      <c r="R11" s="50">
        <v>46269</v>
      </c>
      <c r="S11" s="26"/>
      <c r="T11" s="26"/>
      <c r="U11" s="26"/>
      <c r="V11" s="26" t="s">
        <v>114</v>
      </c>
      <c r="W11" s="26"/>
      <c r="X11" s="26"/>
      <c r="Y11" s="26"/>
      <c r="Z11" s="36" t="s">
        <v>155</v>
      </c>
      <c r="AA11" s="26">
        <f t="shared" si="0"/>
        <v>12000</v>
      </c>
      <c r="AB11" s="36" t="str">
        <f t="shared" si="1"/>
        <v>10726-040 DG XK BPI HO REDEV SUPPLY MATERIAL</v>
      </c>
    </row>
    <row r="12" spans="1:29" x14ac:dyDescent="0.25">
      <c r="A12" s="26">
        <v>7</v>
      </c>
      <c r="B12" s="19" t="s">
        <v>122</v>
      </c>
      <c r="C12" s="36" t="s">
        <v>153</v>
      </c>
      <c r="D12" s="19" t="s">
        <v>150</v>
      </c>
      <c r="E12" s="19">
        <v>20</v>
      </c>
      <c r="F12" s="19">
        <v>400</v>
      </c>
      <c r="G12" s="19">
        <v>923</v>
      </c>
      <c r="H12" s="19">
        <v>1</v>
      </c>
      <c r="I12" s="78">
        <v>149.61000000000001</v>
      </c>
      <c r="J12" s="78">
        <v>149.61000000000001</v>
      </c>
      <c r="K12" s="19">
        <v>12000</v>
      </c>
      <c r="L12" s="19" t="s">
        <v>115</v>
      </c>
      <c r="M12" s="26"/>
      <c r="N12" s="26"/>
      <c r="O12" s="26" t="s">
        <v>152</v>
      </c>
      <c r="P12" s="26"/>
      <c r="Q12" s="35">
        <v>1</v>
      </c>
      <c r="R12" s="50">
        <v>46269</v>
      </c>
      <c r="S12" s="26"/>
      <c r="T12" s="26"/>
      <c r="U12" s="26"/>
      <c r="V12" s="26" t="s">
        <v>114</v>
      </c>
      <c r="W12" s="26"/>
      <c r="X12" s="26"/>
      <c r="Y12" s="26"/>
      <c r="Z12" s="36" t="s">
        <v>155</v>
      </c>
      <c r="AA12" s="26">
        <f t="shared" si="0"/>
        <v>12000</v>
      </c>
      <c r="AB12" s="36" t="str">
        <f t="shared" si="1"/>
        <v>10726-040 DG XK BPI HO REDEV SUPPLY MATERIAL</v>
      </c>
    </row>
    <row r="13" spans="1:29" x14ac:dyDescent="0.25">
      <c r="A13" s="26">
        <v>8</v>
      </c>
      <c r="B13" s="19" t="s">
        <v>123</v>
      </c>
      <c r="C13" s="36" t="s">
        <v>153</v>
      </c>
      <c r="D13" s="19" t="s">
        <v>150</v>
      </c>
      <c r="E13" s="19">
        <v>20</v>
      </c>
      <c r="F13" s="19">
        <v>400</v>
      </c>
      <c r="G13" s="19">
        <v>768</v>
      </c>
      <c r="H13" s="19">
        <v>1</v>
      </c>
      <c r="I13" s="78">
        <v>138.72999999999999</v>
      </c>
      <c r="J13" s="78">
        <v>138.72999999999999</v>
      </c>
      <c r="K13" s="19">
        <v>12000</v>
      </c>
      <c r="L13" s="19" t="s">
        <v>115</v>
      </c>
      <c r="M13" s="26"/>
      <c r="N13" s="26"/>
      <c r="O13" s="26" t="s">
        <v>152</v>
      </c>
      <c r="P13" s="26"/>
      <c r="Q13" s="35">
        <v>1</v>
      </c>
      <c r="R13" s="50">
        <v>46269</v>
      </c>
      <c r="S13" s="26"/>
      <c r="T13" s="26"/>
      <c r="U13" s="26"/>
      <c r="V13" s="26" t="s">
        <v>114</v>
      </c>
      <c r="W13" s="26"/>
      <c r="X13" s="26"/>
      <c r="Y13" s="26"/>
      <c r="Z13" s="36" t="s">
        <v>155</v>
      </c>
      <c r="AA13" s="26">
        <f t="shared" si="0"/>
        <v>12000</v>
      </c>
      <c r="AB13" s="36" t="str">
        <f t="shared" si="1"/>
        <v>10726-040 DG XK BPI HO REDEV SUPPLY MATERIAL</v>
      </c>
    </row>
    <row r="14" spans="1:29" x14ac:dyDescent="0.25">
      <c r="A14" s="26">
        <v>9</v>
      </c>
      <c r="B14" s="19" t="s">
        <v>124</v>
      </c>
      <c r="C14" s="36" t="s">
        <v>153</v>
      </c>
      <c r="D14" s="19" t="s">
        <v>150</v>
      </c>
      <c r="E14" s="19">
        <v>20</v>
      </c>
      <c r="F14" s="19">
        <v>400</v>
      </c>
      <c r="G14" s="19">
        <v>8538</v>
      </c>
      <c r="H14" s="19">
        <v>1</v>
      </c>
      <c r="I14" s="78">
        <v>1571.81</v>
      </c>
      <c r="J14" s="78">
        <v>1571.81</v>
      </c>
      <c r="K14" s="19">
        <v>12000</v>
      </c>
      <c r="L14" s="19" t="s">
        <v>115</v>
      </c>
      <c r="M14" s="26"/>
      <c r="N14" s="26"/>
      <c r="O14" s="26" t="s">
        <v>152</v>
      </c>
      <c r="P14" s="26"/>
      <c r="Q14" s="35">
        <v>1</v>
      </c>
      <c r="R14" s="50">
        <v>46269</v>
      </c>
      <c r="S14" s="26"/>
      <c r="T14" s="26"/>
      <c r="U14" s="26"/>
      <c r="V14" s="26" t="s">
        <v>114</v>
      </c>
      <c r="W14" s="26"/>
      <c r="X14" s="26"/>
      <c r="Y14" s="26"/>
      <c r="Z14" s="36" t="s">
        <v>155</v>
      </c>
      <c r="AA14" s="26">
        <f t="shared" si="0"/>
        <v>12000</v>
      </c>
      <c r="AB14" s="36" t="str">
        <f t="shared" si="1"/>
        <v>10726-040 DG XK BPI HO REDEV SUPPLY MATERIAL</v>
      </c>
    </row>
    <row r="15" spans="1:29" x14ac:dyDescent="0.25">
      <c r="A15" s="26">
        <v>10</v>
      </c>
      <c r="B15" s="19" t="s">
        <v>125</v>
      </c>
      <c r="C15" s="36" t="s">
        <v>153</v>
      </c>
      <c r="D15" s="19" t="s">
        <v>150</v>
      </c>
      <c r="E15" s="19">
        <v>20</v>
      </c>
      <c r="F15" s="19">
        <v>400</v>
      </c>
      <c r="G15" s="19">
        <v>8563</v>
      </c>
      <c r="H15" s="19">
        <v>1</v>
      </c>
      <c r="I15" s="78">
        <v>1576.47</v>
      </c>
      <c r="J15" s="78">
        <v>1576.47</v>
      </c>
      <c r="K15" s="19">
        <v>12000</v>
      </c>
      <c r="L15" s="19" t="s">
        <v>115</v>
      </c>
      <c r="M15" s="26"/>
      <c r="N15" s="26"/>
      <c r="O15" s="26" t="s">
        <v>152</v>
      </c>
      <c r="P15" s="26"/>
      <c r="Q15" s="35">
        <v>1</v>
      </c>
      <c r="R15" s="50">
        <v>46269</v>
      </c>
      <c r="S15" s="26"/>
      <c r="T15" s="26"/>
      <c r="U15" s="26"/>
      <c r="V15" s="26" t="s">
        <v>114</v>
      </c>
      <c r="W15" s="26"/>
      <c r="X15" s="26"/>
      <c r="Y15" s="26"/>
      <c r="Z15" s="36" t="s">
        <v>155</v>
      </c>
      <c r="AA15" s="26">
        <f t="shared" si="0"/>
        <v>12000</v>
      </c>
      <c r="AB15" s="36" t="str">
        <f t="shared" si="1"/>
        <v>10726-040 DG XK BPI HO REDEV SUPPLY MATERIAL</v>
      </c>
    </row>
    <row r="16" spans="1:29" x14ac:dyDescent="0.25">
      <c r="A16" s="26">
        <v>11</v>
      </c>
      <c r="B16" s="19" t="s">
        <v>126</v>
      </c>
      <c r="C16" s="36" t="s">
        <v>153</v>
      </c>
      <c r="D16" s="19" t="s">
        <v>150</v>
      </c>
      <c r="E16" s="19">
        <v>20</v>
      </c>
      <c r="F16" s="19">
        <v>400</v>
      </c>
      <c r="G16" s="19">
        <v>9669</v>
      </c>
      <c r="H16" s="19">
        <v>2</v>
      </c>
      <c r="I16" s="78">
        <v>1780.8</v>
      </c>
      <c r="J16" s="78">
        <v>3561.6</v>
      </c>
      <c r="K16" s="19">
        <v>12000</v>
      </c>
      <c r="L16" s="19" t="s">
        <v>115</v>
      </c>
      <c r="M16" s="26"/>
      <c r="N16" s="26"/>
      <c r="O16" s="26" t="s">
        <v>152</v>
      </c>
      <c r="P16" s="26"/>
      <c r="Q16" s="35">
        <v>1</v>
      </c>
      <c r="R16" s="50">
        <v>46269</v>
      </c>
      <c r="S16" s="26"/>
      <c r="T16" s="26"/>
      <c r="U16" s="26"/>
      <c r="V16" s="26" t="s">
        <v>114</v>
      </c>
      <c r="W16" s="26"/>
      <c r="X16" s="26"/>
      <c r="Y16" s="26"/>
      <c r="Z16" s="36" t="s">
        <v>155</v>
      </c>
      <c r="AA16" s="26">
        <f t="shared" si="0"/>
        <v>12000</v>
      </c>
      <c r="AB16" s="36" t="str">
        <f t="shared" si="1"/>
        <v>10726-040 DG XK BPI HO REDEV SUPPLY MATERIAL</v>
      </c>
    </row>
    <row r="17" spans="1:28" x14ac:dyDescent="0.25">
      <c r="A17" s="26">
        <v>12</v>
      </c>
      <c r="B17" s="19" t="s">
        <v>127</v>
      </c>
      <c r="C17" s="36" t="s">
        <v>153</v>
      </c>
      <c r="D17" s="19" t="s">
        <v>150</v>
      </c>
      <c r="E17" s="19">
        <v>20</v>
      </c>
      <c r="F17" s="19">
        <v>400</v>
      </c>
      <c r="G17" s="19">
        <v>9472</v>
      </c>
      <c r="H17" s="19">
        <v>2</v>
      </c>
      <c r="I17" s="78">
        <v>1744.51</v>
      </c>
      <c r="J17" s="78">
        <v>3489.02</v>
      </c>
      <c r="K17" s="19">
        <v>12000</v>
      </c>
      <c r="L17" s="19" t="s">
        <v>115</v>
      </c>
      <c r="M17" s="26"/>
      <c r="N17" s="26"/>
      <c r="O17" s="26" t="s">
        <v>152</v>
      </c>
      <c r="P17" s="26"/>
      <c r="Q17" s="35">
        <v>1</v>
      </c>
      <c r="R17" s="50">
        <v>46269</v>
      </c>
      <c r="S17" s="26"/>
      <c r="T17" s="26"/>
      <c r="U17" s="26"/>
      <c r="V17" s="26" t="s">
        <v>114</v>
      </c>
      <c r="W17" s="26"/>
      <c r="X17" s="26"/>
      <c r="Y17" s="26"/>
      <c r="Z17" s="36" t="s">
        <v>155</v>
      </c>
      <c r="AA17" s="26">
        <f t="shared" si="0"/>
        <v>12000</v>
      </c>
      <c r="AB17" s="36" t="str">
        <f t="shared" si="1"/>
        <v>10726-040 DG XK BPI HO REDEV SUPPLY MATERIAL</v>
      </c>
    </row>
    <row r="18" spans="1:28" x14ac:dyDescent="0.25">
      <c r="A18" s="26">
        <v>13</v>
      </c>
      <c r="B18" s="19" t="s">
        <v>128</v>
      </c>
      <c r="C18" s="36" t="s">
        <v>153</v>
      </c>
      <c r="D18" s="19" t="s">
        <v>150</v>
      </c>
      <c r="E18" s="19">
        <v>20</v>
      </c>
      <c r="F18" s="19">
        <v>400</v>
      </c>
      <c r="G18" s="19">
        <v>10943</v>
      </c>
      <c r="H18" s="19">
        <v>2</v>
      </c>
      <c r="I18" s="78">
        <v>2015.72</v>
      </c>
      <c r="J18" s="78">
        <v>4031.44</v>
      </c>
      <c r="K18" s="19">
        <v>12000</v>
      </c>
      <c r="L18" s="19" t="s">
        <v>115</v>
      </c>
      <c r="M18" s="26"/>
      <c r="N18" s="26"/>
      <c r="O18" s="26" t="s">
        <v>152</v>
      </c>
      <c r="P18" s="26"/>
      <c r="Q18" s="35">
        <v>1</v>
      </c>
      <c r="R18" s="50">
        <v>46269</v>
      </c>
      <c r="S18" s="26"/>
      <c r="T18" s="26"/>
      <c r="U18" s="26"/>
      <c r="V18" s="26" t="s">
        <v>114</v>
      </c>
      <c r="W18" s="26"/>
      <c r="X18" s="26"/>
      <c r="Y18" s="26"/>
      <c r="Z18" s="36" t="s">
        <v>155</v>
      </c>
      <c r="AA18" s="26">
        <f t="shared" si="0"/>
        <v>12000</v>
      </c>
      <c r="AB18" s="36" t="str">
        <f t="shared" si="1"/>
        <v>10726-040 DG XK BPI HO REDEV SUPPLY MATERIAL</v>
      </c>
    </row>
    <row r="19" spans="1:28" x14ac:dyDescent="0.25">
      <c r="A19" s="26">
        <v>14</v>
      </c>
      <c r="B19" s="19" t="s">
        <v>129</v>
      </c>
      <c r="C19" s="36" t="s">
        <v>153</v>
      </c>
      <c r="D19" s="19" t="s">
        <v>150</v>
      </c>
      <c r="E19" s="19">
        <v>20</v>
      </c>
      <c r="F19" s="19">
        <v>400</v>
      </c>
      <c r="G19" s="19">
        <v>7792</v>
      </c>
      <c r="H19" s="19">
        <v>2</v>
      </c>
      <c r="I19" s="78">
        <v>1434.84</v>
      </c>
      <c r="J19" s="78">
        <v>2869.68</v>
      </c>
      <c r="K19" s="19">
        <v>12000</v>
      </c>
      <c r="L19" s="19" t="s">
        <v>115</v>
      </c>
      <c r="M19" s="26"/>
      <c r="N19" s="26"/>
      <c r="O19" s="26" t="s">
        <v>152</v>
      </c>
      <c r="P19" s="26"/>
      <c r="Q19" s="35">
        <v>1</v>
      </c>
      <c r="R19" s="50">
        <v>46269</v>
      </c>
      <c r="S19" s="26"/>
      <c r="T19" s="26"/>
      <c r="U19" s="26"/>
      <c r="V19" s="26" t="s">
        <v>114</v>
      </c>
      <c r="W19" s="26"/>
      <c r="X19" s="26"/>
      <c r="Y19" s="26"/>
      <c r="Z19" s="36" t="s">
        <v>155</v>
      </c>
      <c r="AA19" s="26">
        <f t="shared" si="0"/>
        <v>12000</v>
      </c>
      <c r="AB19" s="36" t="str">
        <f t="shared" si="1"/>
        <v>10726-040 DG XK BPI HO REDEV SUPPLY MATERIAL</v>
      </c>
    </row>
    <row r="20" spans="1:28" x14ac:dyDescent="0.25">
      <c r="A20" s="26">
        <v>15</v>
      </c>
      <c r="B20" s="19" t="s">
        <v>130</v>
      </c>
      <c r="C20" s="36" t="s">
        <v>153</v>
      </c>
      <c r="D20" s="19" t="s">
        <v>150</v>
      </c>
      <c r="E20" s="19">
        <v>20</v>
      </c>
      <c r="F20" s="19">
        <v>400</v>
      </c>
      <c r="G20" s="19">
        <v>952</v>
      </c>
      <c r="H20" s="19">
        <v>2</v>
      </c>
      <c r="I20" s="78">
        <v>157.29</v>
      </c>
      <c r="J20" s="78">
        <v>314.58</v>
      </c>
      <c r="K20" s="19">
        <v>12000</v>
      </c>
      <c r="L20" s="19" t="s">
        <v>115</v>
      </c>
      <c r="M20" s="26"/>
      <c r="N20" s="26"/>
      <c r="O20" s="26" t="s">
        <v>152</v>
      </c>
      <c r="P20" s="26"/>
      <c r="Q20" s="35">
        <v>1</v>
      </c>
      <c r="R20" s="50">
        <v>46269</v>
      </c>
      <c r="S20" s="26"/>
      <c r="T20" s="26"/>
      <c r="U20" s="26"/>
      <c r="V20" s="26" t="s">
        <v>114</v>
      </c>
      <c r="W20" s="26"/>
      <c r="X20" s="26"/>
      <c r="Y20" s="26"/>
      <c r="Z20" s="36" t="s">
        <v>155</v>
      </c>
      <c r="AA20" s="26">
        <f t="shared" si="0"/>
        <v>12000</v>
      </c>
      <c r="AB20" s="36" t="str">
        <f t="shared" si="1"/>
        <v>10726-040 DG XK BPI HO REDEV SUPPLY MATERIAL</v>
      </c>
    </row>
    <row r="21" spans="1:28" x14ac:dyDescent="0.25">
      <c r="A21" s="26">
        <v>16</v>
      </c>
      <c r="B21" s="19" t="s">
        <v>131</v>
      </c>
      <c r="C21" s="36" t="s">
        <v>153</v>
      </c>
      <c r="D21" s="19" t="s">
        <v>150</v>
      </c>
      <c r="E21" s="19">
        <v>20</v>
      </c>
      <c r="F21" s="19">
        <v>400</v>
      </c>
      <c r="G21" s="19">
        <v>796</v>
      </c>
      <c r="H21" s="19">
        <v>2</v>
      </c>
      <c r="I21" s="78">
        <v>144.58000000000001</v>
      </c>
      <c r="J21" s="78">
        <v>289.16000000000003</v>
      </c>
      <c r="K21" s="19">
        <v>12000</v>
      </c>
      <c r="L21" s="19" t="s">
        <v>115</v>
      </c>
      <c r="M21" s="26"/>
      <c r="N21" s="26"/>
      <c r="O21" s="26" t="s">
        <v>152</v>
      </c>
      <c r="P21" s="26"/>
      <c r="Q21" s="35">
        <v>1</v>
      </c>
      <c r="R21" s="50">
        <v>46269</v>
      </c>
      <c r="S21" s="26"/>
      <c r="T21" s="26"/>
      <c r="U21" s="26"/>
      <c r="V21" s="26" t="s">
        <v>114</v>
      </c>
      <c r="W21" s="26"/>
      <c r="X21" s="26"/>
      <c r="Y21" s="26"/>
      <c r="Z21" s="36" t="s">
        <v>155</v>
      </c>
      <c r="AA21" s="26">
        <f t="shared" si="0"/>
        <v>12000</v>
      </c>
      <c r="AB21" s="36" t="str">
        <f t="shared" si="1"/>
        <v>10726-040 DG XK BPI HO REDEV SUPPLY MATERIAL</v>
      </c>
    </row>
    <row r="22" spans="1:28" x14ac:dyDescent="0.25">
      <c r="A22" s="26">
        <v>17</v>
      </c>
      <c r="B22" s="19" t="s">
        <v>132</v>
      </c>
      <c r="C22" s="36" t="s">
        <v>153</v>
      </c>
      <c r="D22" s="19" t="s">
        <v>150</v>
      </c>
      <c r="E22" s="19">
        <v>20</v>
      </c>
      <c r="F22" s="19">
        <v>400</v>
      </c>
      <c r="G22" s="19">
        <v>8860</v>
      </c>
      <c r="H22" s="19">
        <v>2</v>
      </c>
      <c r="I22" s="78">
        <v>1631.65</v>
      </c>
      <c r="J22" s="78">
        <v>3263.3</v>
      </c>
      <c r="K22" s="19">
        <v>12000</v>
      </c>
      <c r="L22" s="19" t="s">
        <v>115</v>
      </c>
      <c r="M22" s="26"/>
      <c r="N22" s="26"/>
      <c r="O22" s="26" t="s">
        <v>152</v>
      </c>
      <c r="P22" s="26"/>
      <c r="Q22" s="35">
        <v>1</v>
      </c>
      <c r="R22" s="50">
        <v>46269</v>
      </c>
      <c r="S22" s="26"/>
      <c r="T22" s="26"/>
      <c r="U22" s="26"/>
      <c r="V22" s="26" t="s">
        <v>114</v>
      </c>
      <c r="W22" s="26"/>
      <c r="X22" s="26"/>
      <c r="Y22" s="26"/>
      <c r="Z22" s="36" t="s">
        <v>155</v>
      </c>
      <c r="AA22" s="26">
        <f t="shared" si="0"/>
        <v>12000</v>
      </c>
      <c r="AB22" s="36" t="str">
        <f t="shared" si="1"/>
        <v>10726-040 DG XK BPI HO REDEV SUPPLY MATERIAL</v>
      </c>
    </row>
    <row r="23" spans="1:28" x14ac:dyDescent="0.25">
      <c r="A23" s="26">
        <v>18</v>
      </c>
      <c r="B23" s="19" t="s">
        <v>133</v>
      </c>
      <c r="C23" s="36" t="s">
        <v>153</v>
      </c>
      <c r="D23" s="19" t="s">
        <v>150</v>
      </c>
      <c r="E23" s="19">
        <v>20</v>
      </c>
      <c r="F23" s="19">
        <v>400</v>
      </c>
      <c r="G23" s="19">
        <v>1184</v>
      </c>
      <c r="H23" s="19">
        <v>2</v>
      </c>
      <c r="I23" s="78">
        <v>206.47</v>
      </c>
      <c r="J23" s="78">
        <v>412.94</v>
      </c>
      <c r="K23" s="19">
        <v>12000</v>
      </c>
      <c r="L23" s="19" t="s">
        <v>115</v>
      </c>
      <c r="M23" s="26"/>
      <c r="N23" s="26"/>
      <c r="O23" s="26" t="s">
        <v>152</v>
      </c>
      <c r="P23" s="26"/>
      <c r="Q23" s="35">
        <v>1</v>
      </c>
      <c r="R23" s="50">
        <v>46269</v>
      </c>
      <c r="S23" s="26"/>
      <c r="T23" s="26"/>
      <c r="U23" s="26"/>
      <c r="V23" s="26" t="s">
        <v>114</v>
      </c>
      <c r="W23" s="26"/>
      <c r="X23" s="26"/>
      <c r="Y23" s="26"/>
      <c r="Z23" s="36" t="s">
        <v>155</v>
      </c>
      <c r="AA23" s="26">
        <f t="shared" si="0"/>
        <v>12000</v>
      </c>
      <c r="AB23" s="36" t="str">
        <f t="shared" si="1"/>
        <v>10726-040 DG XK BPI HO REDEV SUPPLY MATERIAL</v>
      </c>
    </row>
    <row r="24" spans="1:28" x14ac:dyDescent="0.25">
      <c r="A24" s="26">
        <v>19</v>
      </c>
      <c r="B24" s="19" t="s">
        <v>134</v>
      </c>
      <c r="C24" s="36" t="s">
        <v>153</v>
      </c>
      <c r="D24" s="19" t="s">
        <v>150</v>
      </c>
      <c r="E24" s="19">
        <v>20</v>
      </c>
      <c r="F24" s="19">
        <v>400</v>
      </c>
      <c r="G24" s="19">
        <v>1078</v>
      </c>
      <c r="H24" s="19">
        <v>1</v>
      </c>
      <c r="I24" s="78">
        <v>161.5</v>
      </c>
      <c r="J24" s="78">
        <v>161.5</v>
      </c>
      <c r="K24" s="19">
        <v>12000</v>
      </c>
      <c r="L24" s="19" t="s">
        <v>115</v>
      </c>
      <c r="M24" s="26"/>
      <c r="N24" s="26"/>
      <c r="O24" s="26" t="s">
        <v>152</v>
      </c>
      <c r="P24" s="26"/>
      <c r="Q24" s="35">
        <v>1</v>
      </c>
      <c r="R24" s="50">
        <v>46269</v>
      </c>
      <c r="S24" s="26"/>
      <c r="T24" s="26"/>
      <c r="U24" s="26"/>
      <c r="V24" s="26" t="s">
        <v>114</v>
      </c>
      <c r="W24" s="26"/>
      <c r="X24" s="26"/>
      <c r="Y24" s="26"/>
      <c r="Z24" s="36" t="s">
        <v>155</v>
      </c>
      <c r="AA24" s="26">
        <f t="shared" si="0"/>
        <v>12000</v>
      </c>
      <c r="AB24" s="36" t="str">
        <f t="shared" si="1"/>
        <v>10726-040 DG XK BPI HO REDEV SUPPLY MATERIAL</v>
      </c>
    </row>
    <row r="25" spans="1:28" x14ac:dyDescent="0.25">
      <c r="A25" s="26">
        <v>20</v>
      </c>
      <c r="B25" s="19" t="s">
        <v>135</v>
      </c>
      <c r="C25" s="36" t="s">
        <v>153</v>
      </c>
      <c r="D25" s="19" t="s">
        <v>150</v>
      </c>
      <c r="E25" s="19">
        <v>20</v>
      </c>
      <c r="F25" s="19">
        <v>400</v>
      </c>
      <c r="G25" s="19">
        <v>1078</v>
      </c>
      <c r="H25" s="19">
        <v>1</v>
      </c>
      <c r="I25" s="78">
        <v>161.5</v>
      </c>
      <c r="J25" s="78">
        <v>161.5</v>
      </c>
      <c r="K25" s="19">
        <v>12000</v>
      </c>
      <c r="L25" s="19" t="s">
        <v>115</v>
      </c>
      <c r="M25" s="26"/>
      <c r="N25" s="26"/>
      <c r="O25" s="26" t="s">
        <v>152</v>
      </c>
      <c r="P25" s="26"/>
      <c r="Q25" s="35">
        <v>1</v>
      </c>
      <c r="R25" s="50">
        <v>46269</v>
      </c>
      <c r="S25" s="26"/>
      <c r="T25" s="26"/>
      <c r="U25" s="26"/>
      <c r="V25" s="26" t="s">
        <v>114</v>
      </c>
      <c r="W25" s="26"/>
      <c r="X25" s="26"/>
      <c r="Y25" s="26"/>
      <c r="Z25" s="36" t="s">
        <v>155</v>
      </c>
      <c r="AA25" s="26">
        <f t="shared" si="0"/>
        <v>12000</v>
      </c>
      <c r="AB25" s="36" t="str">
        <f t="shared" si="1"/>
        <v>10726-040 DG XK BPI HO REDEV SUPPLY MATERIAL</v>
      </c>
    </row>
    <row r="26" spans="1:28" x14ac:dyDescent="0.25">
      <c r="A26" s="26">
        <v>21</v>
      </c>
      <c r="B26" s="19" t="s">
        <v>136</v>
      </c>
      <c r="C26" s="36" t="s">
        <v>153</v>
      </c>
      <c r="D26" s="19" t="s">
        <v>150</v>
      </c>
      <c r="E26" s="19">
        <v>20</v>
      </c>
      <c r="F26" s="19">
        <v>400</v>
      </c>
      <c r="G26" s="19">
        <v>8638</v>
      </c>
      <c r="H26" s="19">
        <v>2</v>
      </c>
      <c r="I26" s="78">
        <v>1594.46</v>
      </c>
      <c r="J26" s="78">
        <v>3188.92</v>
      </c>
      <c r="K26" s="19">
        <v>12000</v>
      </c>
      <c r="L26" s="19" t="s">
        <v>115</v>
      </c>
      <c r="M26" s="26"/>
      <c r="N26" s="26"/>
      <c r="O26" s="26" t="s">
        <v>152</v>
      </c>
      <c r="P26" s="26"/>
      <c r="Q26" s="35">
        <v>1</v>
      </c>
      <c r="R26" s="50">
        <v>46269</v>
      </c>
      <c r="S26" s="26"/>
      <c r="T26" s="26"/>
      <c r="U26" s="26"/>
      <c r="V26" s="26" t="s">
        <v>114</v>
      </c>
      <c r="W26" s="26"/>
      <c r="X26" s="26"/>
      <c r="Y26" s="26"/>
      <c r="Z26" s="36" t="s">
        <v>155</v>
      </c>
      <c r="AA26" s="26">
        <f t="shared" si="0"/>
        <v>12000</v>
      </c>
      <c r="AB26" s="36" t="str">
        <f t="shared" si="1"/>
        <v>10726-040 DG XK BPI HO REDEV SUPPLY MATERIAL</v>
      </c>
    </row>
    <row r="27" spans="1:28" x14ac:dyDescent="0.25">
      <c r="A27" s="26">
        <v>22</v>
      </c>
      <c r="B27" s="19" t="s">
        <v>137</v>
      </c>
      <c r="C27" s="36" t="s">
        <v>153</v>
      </c>
      <c r="D27" s="19" t="s">
        <v>150</v>
      </c>
      <c r="E27" s="19">
        <v>20</v>
      </c>
      <c r="F27" s="19">
        <v>400</v>
      </c>
      <c r="G27" s="19">
        <v>9619</v>
      </c>
      <c r="H27" s="19">
        <v>2</v>
      </c>
      <c r="I27" s="78">
        <v>1775.67</v>
      </c>
      <c r="J27" s="78">
        <v>3551.34</v>
      </c>
      <c r="K27" s="19">
        <v>12000</v>
      </c>
      <c r="L27" s="19" t="s">
        <v>115</v>
      </c>
      <c r="M27" s="26"/>
      <c r="N27" s="26"/>
      <c r="O27" s="26" t="s">
        <v>152</v>
      </c>
      <c r="P27" s="26"/>
      <c r="Q27" s="35">
        <v>1</v>
      </c>
      <c r="R27" s="50">
        <v>46269</v>
      </c>
      <c r="S27" s="26"/>
      <c r="T27" s="26"/>
      <c r="U27" s="26"/>
      <c r="V27" s="26" t="s">
        <v>114</v>
      </c>
      <c r="W27" s="26"/>
      <c r="X27" s="26"/>
      <c r="Y27" s="26"/>
      <c r="Z27" s="36" t="s">
        <v>155</v>
      </c>
      <c r="AA27" s="26">
        <f t="shared" si="0"/>
        <v>12000</v>
      </c>
      <c r="AB27" s="36" t="str">
        <f t="shared" si="1"/>
        <v>10726-040 DG XK BPI HO REDEV SUPPLY MATERIAL</v>
      </c>
    </row>
    <row r="28" spans="1:28" x14ac:dyDescent="0.25">
      <c r="A28" s="26">
        <v>23</v>
      </c>
      <c r="B28" s="19" t="s">
        <v>138</v>
      </c>
      <c r="C28" s="36" t="s">
        <v>153</v>
      </c>
      <c r="D28" s="19" t="s">
        <v>150</v>
      </c>
      <c r="E28" s="19">
        <v>20</v>
      </c>
      <c r="F28" s="19">
        <v>400</v>
      </c>
      <c r="G28" s="19">
        <v>8829</v>
      </c>
      <c r="H28" s="19">
        <v>2</v>
      </c>
      <c r="I28" s="78">
        <v>1629.72</v>
      </c>
      <c r="J28" s="78">
        <v>3259.44</v>
      </c>
      <c r="K28" s="19">
        <v>12000</v>
      </c>
      <c r="L28" s="19" t="s">
        <v>115</v>
      </c>
      <c r="M28" s="26"/>
      <c r="N28" s="26"/>
      <c r="O28" s="26" t="s">
        <v>152</v>
      </c>
      <c r="P28" s="26"/>
      <c r="Q28" s="35">
        <v>1</v>
      </c>
      <c r="R28" s="50">
        <v>46269</v>
      </c>
      <c r="S28" s="26"/>
      <c r="T28" s="26"/>
      <c r="U28" s="26"/>
      <c r="V28" s="26" t="s">
        <v>114</v>
      </c>
      <c r="W28" s="26"/>
      <c r="X28" s="26"/>
      <c r="Y28" s="26"/>
      <c r="Z28" s="36" t="s">
        <v>155</v>
      </c>
      <c r="AA28" s="26">
        <f t="shared" si="0"/>
        <v>12000</v>
      </c>
      <c r="AB28" s="36" t="str">
        <f t="shared" si="1"/>
        <v>10726-040 DG XK BPI HO REDEV SUPPLY MATERIAL</v>
      </c>
    </row>
    <row r="29" spans="1:28" x14ac:dyDescent="0.25">
      <c r="A29" s="26">
        <v>24</v>
      </c>
      <c r="B29" s="19" t="s">
        <v>139</v>
      </c>
      <c r="C29" s="36" t="s">
        <v>153</v>
      </c>
      <c r="D29" s="19" t="s">
        <v>150</v>
      </c>
      <c r="E29" s="19">
        <v>20</v>
      </c>
      <c r="F29" s="19">
        <v>400</v>
      </c>
      <c r="G29" s="19">
        <v>1080</v>
      </c>
      <c r="H29" s="19">
        <v>2</v>
      </c>
      <c r="I29" s="78">
        <v>187.49</v>
      </c>
      <c r="J29" s="78">
        <v>374.98</v>
      </c>
      <c r="K29" s="19">
        <v>12000</v>
      </c>
      <c r="L29" s="19" t="s">
        <v>115</v>
      </c>
      <c r="M29" s="26"/>
      <c r="N29" s="26"/>
      <c r="O29" s="26" t="s">
        <v>152</v>
      </c>
      <c r="P29" s="26"/>
      <c r="Q29" s="35">
        <v>1</v>
      </c>
      <c r="R29" s="50">
        <v>46269</v>
      </c>
      <c r="S29" s="26"/>
      <c r="T29" s="26"/>
      <c r="U29" s="26"/>
      <c r="V29" s="26" t="s">
        <v>114</v>
      </c>
      <c r="W29" s="26"/>
      <c r="X29" s="26"/>
      <c r="Y29" s="26"/>
      <c r="Z29" s="36" t="s">
        <v>155</v>
      </c>
      <c r="AA29" s="26">
        <f t="shared" si="0"/>
        <v>12000</v>
      </c>
      <c r="AB29" s="36" t="str">
        <f t="shared" si="1"/>
        <v>10726-040 DG XK BPI HO REDEV SUPPLY MATERIAL</v>
      </c>
    </row>
    <row r="30" spans="1:28" x14ac:dyDescent="0.25">
      <c r="A30" s="26">
        <v>25</v>
      </c>
      <c r="B30" s="19" t="s">
        <v>140</v>
      </c>
      <c r="C30" s="36" t="s">
        <v>153</v>
      </c>
      <c r="D30" s="19" t="s">
        <v>150</v>
      </c>
      <c r="E30" s="19">
        <v>20</v>
      </c>
      <c r="F30" s="19">
        <v>400</v>
      </c>
      <c r="G30" s="19">
        <v>2526</v>
      </c>
      <c r="H30" s="19">
        <v>1</v>
      </c>
      <c r="I30" s="78">
        <v>465.22</v>
      </c>
      <c r="J30" s="78">
        <v>465.22</v>
      </c>
      <c r="K30" s="19">
        <v>12000</v>
      </c>
      <c r="L30" s="19" t="s">
        <v>115</v>
      </c>
      <c r="M30" s="26"/>
      <c r="N30" s="26"/>
      <c r="O30" s="26" t="s">
        <v>152</v>
      </c>
      <c r="P30" s="26"/>
      <c r="Q30" s="35">
        <v>1</v>
      </c>
      <c r="R30" s="50">
        <v>46269</v>
      </c>
      <c r="S30" s="26"/>
      <c r="T30" s="26"/>
      <c r="U30" s="26"/>
      <c r="V30" s="26" t="s">
        <v>114</v>
      </c>
      <c r="W30" s="26"/>
      <c r="X30" s="26"/>
      <c r="Y30" s="26"/>
      <c r="Z30" s="36" t="s">
        <v>155</v>
      </c>
      <c r="AA30" s="26">
        <f t="shared" si="0"/>
        <v>12000</v>
      </c>
      <c r="AB30" s="36" t="str">
        <f t="shared" si="1"/>
        <v>10726-040 DG XK BPI HO REDEV SUPPLY MATERIAL</v>
      </c>
    </row>
    <row r="31" spans="1:28" x14ac:dyDescent="0.25">
      <c r="A31" s="26">
        <v>26</v>
      </c>
      <c r="B31" s="19" t="s">
        <v>141</v>
      </c>
      <c r="C31" s="36" t="s">
        <v>153</v>
      </c>
      <c r="D31" s="19" t="s">
        <v>150</v>
      </c>
      <c r="E31" s="19">
        <v>20</v>
      </c>
      <c r="F31" s="19">
        <v>400</v>
      </c>
      <c r="G31" s="19">
        <v>1261</v>
      </c>
      <c r="H31" s="19">
        <v>2</v>
      </c>
      <c r="I31" s="78">
        <v>224.43</v>
      </c>
      <c r="J31" s="78">
        <v>448.86</v>
      </c>
      <c r="K31" s="19">
        <v>12000</v>
      </c>
      <c r="L31" s="19" t="s">
        <v>115</v>
      </c>
      <c r="M31" s="26"/>
      <c r="N31" s="26"/>
      <c r="O31" s="26" t="s">
        <v>152</v>
      </c>
      <c r="P31" s="26"/>
      <c r="Q31" s="35">
        <v>1</v>
      </c>
      <c r="R31" s="50">
        <v>46269</v>
      </c>
      <c r="S31" s="26"/>
      <c r="T31" s="26"/>
      <c r="U31" s="26"/>
      <c r="V31" s="26" t="s">
        <v>114</v>
      </c>
      <c r="W31" s="26"/>
      <c r="X31" s="26"/>
      <c r="Y31" s="26"/>
      <c r="Z31" s="36" t="s">
        <v>155</v>
      </c>
      <c r="AA31" s="26">
        <f t="shared" si="0"/>
        <v>12000</v>
      </c>
      <c r="AB31" s="36" t="str">
        <f t="shared" si="1"/>
        <v>10726-040 DG XK BPI HO REDEV SUPPLY MATERIAL</v>
      </c>
    </row>
    <row r="32" spans="1:28" x14ac:dyDescent="0.25">
      <c r="A32" s="26">
        <v>27</v>
      </c>
      <c r="B32" s="19" t="s">
        <v>142</v>
      </c>
      <c r="C32" s="36" t="s">
        <v>153</v>
      </c>
      <c r="D32" s="19" t="s">
        <v>150</v>
      </c>
      <c r="E32" s="19">
        <v>20</v>
      </c>
      <c r="F32" s="19">
        <v>400</v>
      </c>
      <c r="G32" s="19">
        <v>10682</v>
      </c>
      <c r="H32" s="19">
        <v>2</v>
      </c>
      <c r="I32" s="78">
        <v>1977.69</v>
      </c>
      <c r="J32" s="78">
        <v>3955.38</v>
      </c>
      <c r="K32" s="19">
        <v>12000</v>
      </c>
      <c r="L32" s="19" t="s">
        <v>115</v>
      </c>
      <c r="M32" s="26"/>
      <c r="N32" s="26"/>
      <c r="O32" s="26" t="s">
        <v>152</v>
      </c>
      <c r="P32" s="26"/>
      <c r="Q32" s="35">
        <v>1</v>
      </c>
      <c r="R32" s="50">
        <v>46269</v>
      </c>
      <c r="S32" s="26"/>
      <c r="T32" s="26"/>
      <c r="U32" s="26"/>
      <c r="V32" s="26" t="s">
        <v>114</v>
      </c>
      <c r="W32" s="26"/>
      <c r="X32" s="26"/>
      <c r="Y32" s="26"/>
      <c r="Z32" s="36" t="s">
        <v>155</v>
      </c>
      <c r="AA32" s="26">
        <f t="shared" si="0"/>
        <v>12000</v>
      </c>
      <c r="AB32" s="36" t="str">
        <f t="shared" si="1"/>
        <v>10726-040 DG XK BPI HO REDEV SUPPLY MATERIAL</v>
      </c>
    </row>
    <row r="33" spans="1:28" x14ac:dyDescent="0.25">
      <c r="A33" s="26">
        <v>28</v>
      </c>
      <c r="B33" s="19" t="s">
        <v>143</v>
      </c>
      <c r="C33" s="36" t="s">
        <v>153</v>
      </c>
      <c r="D33" s="19" t="s">
        <v>150</v>
      </c>
      <c r="E33" s="19">
        <v>20</v>
      </c>
      <c r="F33" s="19">
        <v>400</v>
      </c>
      <c r="G33" s="19">
        <v>1256</v>
      </c>
      <c r="H33" s="19">
        <v>2</v>
      </c>
      <c r="I33" s="78">
        <v>223.94</v>
      </c>
      <c r="J33" s="78">
        <v>447.88</v>
      </c>
      <c r="K33" s="19">
        <v>12000</v>
      </c>
      <c r="L33" s="19" t="s">
        <v>115</v>
      </c>
      <c r="M33" s="26"/>
      <c r="N33" s="26"/>
      <c r="O33" s="26" t="s">
        <v>152</v>
      </c>
      <c r="P33" s="26"/>
      <c r="Q33" s="35">
        <v>1</v>
      </c>
      <c r="R33" s="50">
        <v>46269</v>
      </c>
      <c r="S33" s="26"/>
      <c r="T33" s="26"/>
      <c r="U33" s="26"/>
      <c r="V33" s="26" t="s">
        <v>114</v>
      </c>
      <c r="W33" s="26"/>
      <c r="X33" s="26"/>
      <c r="Y33" s="26"/>
      <c r="Z33" s="36" t="s">
        <v>155</v>
      </c>
      <c r="AA33" s="26">
        <f t="shared" si="0"/>
        <v>12000</v>
      </c>
      <c r="AB33" s="36" t="str">
        <f t="shared" si="1"/>
        <v>10726-040 DG XK BPI HO REDEV SUPPLY MATERIAL</v>
      </c>
    </row>
    <row r="34" spans="1:28" x14ac:dyDescent="0.25">
      <c r="A34" s="26">
        <v>29</v>
      </c>
      <c r="B34" s="19" t="s">
        <v>144</v>
      </c>
      <c r="C34" s="36" t="s">
        <v>153</v>
      </c>
      <c r="D34" s="19" t="s">
        <v>150</v>
      </c>
      <c r="E34" s="19">
        <v>20</v>
      </c>
      <c r="F34" s="19">
        <v>400</v>
      </c>
      <c r="G34" s="19">
        <v>2021</v>
      </c>
      <c r="H34" s="19">
        <v>1</v>
      </c>
      <c r="I34" s="78">
        <v>354.1</v>
      </c>
      <c r="J34" s="78">
        <v>354.1</v>
      </c>
      <c r="K34" s="19">
        <v>12000</v>
      </c>
      <c r="L34" s="19" t="s">
        <v>115</v>
      </c>
      <c r="M34" s="26"/>
      <c r="N34" s="26"/>
      <c r="O34" s="26" t="s">
        <v>152</v>
      </c>
      <c r="P34" s="26"/>
      <c r="Q34" s="35">
        <v>1</v>
      </c>
      <c r="R34" s="50">
        <v>46269</v>
      </c>
      <c r="S34" s="26"/>
      <c r="T34" s="26"/>
      <c r="U34" s="26"/>
      <c r="V34" s="26" t="s">
        <v>114</v>
      </c>
      <c r="W34" s="26"/>
      <c r="X34" s="26"/>
      <c r="Y34" s="26"/>
      <c r="Z34" s="36" t="s">
        <v>155</v>
      </c>
      <c r="AA34" s="26">
        <f t="shared" si="0"/>
        <v>12000</v>
      </c>
      <c r="AB34" s="36" t="str">
        <f t="shared" si="1"/>
        <v>10726-040 DG XK BPI HO REDEV SUPPLY MATERIAL</v>
      </c>
    </row>
    <row r="35" spans="1:28" x14ac:dyDescent="0.25">
      <c r="A35" s="26">
        <v>30</v>
      </c>
      <c r="B35" s="19" t="s">
        <v>145</v>
      </c>
      <c r="C35" s="36" t="s">
        <v>153</v>
      </c>
      <c r="D35" s="19" t="s">
        <v>150</v>
      </c>
      <c r="E35" s="19">
        <v>20</v>
      </c>
      <c r="F35" s="19">
        <v>400</v>
      </c>
      <c r="G35" s="19">
        <v>10721</v>
      </c>
      <c r="H35" s="19">
        <v>2</v>
      </c>
      <c r="I35" s="78">
        <v>1986.05</v>
      </c>
      <c r="J35" s="78">
        <v>3972.1</v>
      </c>
      <c r="K35" s="19">
        <v>12000</v>
      </c>
      <c r="L35" s="19" t="s">
        <v>115</v>
      </c>
      <c r="M35" s="26"/>
      <c r="N35" s="26"/>
      <c r="O35" s="26" t="s">
        <v>152</v>
      </c>
      <c r="P35" s="26"/>
      <c r="Q35" s="35">
        <v>1</v>
      </c>
      <c r="R35" s="50">
        <v>46269</v>
      </c>
      <c r="S35" s="26"/>
      <c r="T35" s="26"/>
      <c r="U35" s="26"/>
      <c r="V35" s="26" t="s">
        <v>114</v>
      </c>
      <c r="W35" s="26"/>
      <c r="X35" s="26"/>
      <c r="Y35" s="26"/>
      <c r="Z35" s="36" t="s">
        <v>155</v>
      </c>
      <c r="AA35" s="26">
        <f t="shared" si="0"/>
        <v>12000</v>
      </c>
      <c r="AB35" s="36" t="str">
        <f t="shared" si="1"/>
        <v>10726-040 DG XK BPI HO REDEV SUPPLY MATERIAL</v>
      </c>
    </row>
    <row r="36" spans="1:28" x14ac:dyDescent="0.25">
      <c r="A36" s="26">
        <v>31</v>
      </c>
      <c r="B36" s="19" t="s">
        <v>146</v>
      </c>
      <c r="C36" s="36" t="s">
        <v>153</v>
      </c>
      <c r="D36" s="19" t="s">
        <v>150</v>
      </c>
      <c r="E36" s="19">
        <v>20</v>
      </c>
      <c r="F36" s="19">
        <v>400</v>
      </c>
      <c r="G36" s="19">
        <v>8480</v>
      </c>
      <c r="H36" s="19">
        <v>2</v>
      </c>
      <c r="I36" s="78">
        <v>1570.65</v>
      </c>
      <c r="J36" s="78">
        <v>3141.3</v>
      </c>
      <c r="K36" s="19">
        <v>12000</v>
      </c>
      <c r="L36" s="19" t="s">
        <v>115</v>
      </c>
      <c r="M36" s="26"/>
      <c r="N36" s="26"/>
      <c r="O36" s="26" t="s">
        <v>152</v>
      </c>
      <c r="P36" s="26"/>
      <c r="Q36" s="35">
        <v>1</v>
      </c>
      <c r="R36" s="50">
        <v>46269</v>
      </c>
      <c r="S36" s="26"/>
      <c r="T36" s="26"/>
      <c r="U36" s="26"/>
      <c r="V36" s="26" t="s">
        <v>114</v>
      </c>
      <c r="W36" s="26"/>
      <c r="X36" s="26"/>
      <c r="Y36" s="26"/>
      <c r="Z36" s="36" t="s">
        <v>155</v>
      </c>
      <c r="AA36" s="26">
        <f t="shared" si="0"/>
        <v>12000</v>
      </c>
      <c r="AB36" s="36" t="str">
        <f t="shared" si="1"/>
        <v>10726-040 DG XK BPI HO REDEV SUPPLY MATERIAL</v>
      </c>
    </row>
    <row r="37" spans="1:28" x14ac:dyDescent="0.25">
      <c r="A37" s="26">
        <v>32</v>
      </c>
      <c r="B37" s="19" t="s">
        <v>147</v>
      </c>
      <c r="C37" s="36" t="s">
        <v>153</v>
      </c>
      <c r="D37" s="19" t="s">
        <v>150</v>
      </c>
      <c r="E37" s="19">
        <v>20</v>
      </c>
      <c r="F37" s="19">
        <v>400</v>
      </c>
      <c r="G37" s="19">
        <v>10204</v>
      </c>
      <c r="H37" s="19">
        <v>2</v>
      </c>
      <c r="I37" s="78">
        <v>1890.2</v>
      </c>
      <c r="J37" s="78">
        <v>3780.4</v>
      </c>
      <c r="K37" s="19">
        <v>12000</v>
      </c>
      <c r="L37" s="19" t="s">
        <v>115</v>
      </c>
      <c r="M37" s="26"/>
      <c r="N37" s="26"/>
      <c r="O37" s="26" t="s">
        <v>152</v>
      </c>
      <c r="P37" s="26"/>
      <c r="Q37" s="35">
        <v>1</v>
      </c>
      <c r="R37" s="50">
        <v>46269</v>
      </c>
      <c r="S37" s="26"/>
      <c r="T37" s="26"/>
      <c r="U37" s="26"/>
      <c r="V37" s="26" t="s">
        <v>114</v>
      </c>
      <c r="W37" s="26"/>
      <c r="X37" s="26"/>
      <c r="Y37" s="26"/>
      <c r="Z37" s="36" t="s">
        <v>155</v>
      </c>
      <c r="AA37" s="26">
        <f t="shared" si="0"/>
        <v>12000</v>
      </c>
      <c r="AB37" s="36" t="str">
        <f t="shared" si="1"/>
        <v>10726-040 DG XK BPI HO REDEV SUPPLY MATERIAL</v>
      </c>
    </row>
    <row r="38" spans="1:28" x14ac:dyDescent="0.25">
      <c r="A38" s="26">
        <v>33</v>
      </c>
      <c r="B38" s="19" t="s">
        <v>148</v>
      </c>
      <c r="C38" s="36" t="s">
        <v>153</v>
      </c>
      <c r="D38" s="19" t="s">
        <v>150</v>
      </c>
      <c r="E38" s="19">
        <v>20</v>
      </c>
      <c r="F38" s="19">
        <v>400</v>
      </c>
      <c r="G38" s="19">
        <v>7984</v>
      </c>
      <c r="H38" s="19">
        <v>2</v>
      </c>
      <c r="I38" s="78">
        <v>1477.61</v>
      </c>
      <c r="J38" s="78">
        <v>2955.22</v>
      </c>
      <c r="K38" s="19">
        <v>12000</v>
      </c>
      <c r="L38" s="19" t="s">
        <v>115</v>
      </c>
      <c r="M38" s="26"/>
      <c r="N38" s="26"/>
      <c r="O38" s="26" t="s">
        <v>152</v>
      </c>
      <c r="P38" s="26"/>
      <c r="Q38" s="35">
        <v>1</v>
      </c>
      <c r="R38" s="50">
        <v>46269</v>
      </c>
      <c r="S38" s="26"/>
      <c r="T38" s="26"/>
      <c r="U38" s="26"/>
      <c r="V38" s="26" t="s">
        <v>114</v>
      </c>
      <c r="W38" s="26"/>
      <c r="X38" s="26"/>
      <c r="Y38" s="26"/>
      <c r="Z38" s="36" t="s">
        <v>155</v>
      </c>
      <c r="AA38" s="26">
        <f t="shared" si="0"/>
        <v>12000</v>
      </c>
      <c r="AB38" s="36" t="str">
        <f t="shared" si="1"/>
        <v>10726-040 DG XK BPI HO REDEV SUPPLY MATERIAL</v>
      </c>
    </row>
    <row r="39" spans="1:28" x14ac:dyDescent="0.25">
      <c r="A39" s="26">
        <v>34</v>
      </c>
      <c r="B39" s="19" t="s">
        <v>149</v>
      </c>
      <c r="C39" s="36" t="s">
        <v>153</v>
      </c>
      <c r="D39" s="19" t="s">
        <v>150</v>
      </c>
      <c r="E39" s="19">
        <v>20</v>
      </c>
      <c r="F39" s="19">
        <v>400</v>
      </c>
      <c r="G39" s="19">
        <v>7944</v>
      </c>
      <c r="H39" s="19">
        <v>2</v>
      </c>
      <c r="I39" s="78">
        <v>1470.21</v>
      </c>
      <c r="J39" s="78">
        <v>2940.42</v>
      </c>
      <c r="K39" s="19">
        <v>12000</v>
      </c>
      <c r="L39" s="19" t="s">
        <v>115</v>
      </c>
      <c r="M39" s="26"/>
      <c r="N39" s="26"/>
      <c r="O39" s="26" t="s">
        <v>152</v>
      </c>
      <c r="P39" s="26"/>
      <c r="Q39" s="35">
        <v>1</v>
      </c>
      <c r="R39" s="50">
        <v>46269</v>
      </c>
      <c r="S39" s="26"/>
      <c r="T39" s="26"/>
      <c r="U39" s="26"/>
      <c r="V39" s="26" t="s">
        <v>114</v>
      </c>
      <c r="W39" s="26"/>
      <c r="X39" s="26"/>
      <c r="Y39" s="26"/>
      <c r="Z39" s="36" t="s">
        <v>155</v>
      </c>
      <c r="AA39" s="26">
        <f t="shared" si="0"/>
        <v>12000</v>
      </c>
      <c r="AB39" s="36" t="str">
        <f t="shared" si="1"/>
        <v>10726-040 DG XK BPI HO REDEV SUPPLY MATERIAL</v>
      </c>
    </row>
    <row r="40" spans="1:28" x14ac:dyDescent="0.25">
      <c r="M40" s="26"/>
      <c r="N40" s="26"/>
      <c r="O40" s="26"/>
      <c r="P40" s="26"/>
      <c r="R40" s="50"/>
      <c r="S40" s="26"/>
      <c r="T40" s="26"/>
      <c r="U40" s="26"/>
      <c r="V40" s="26"/>
      <c r="W40" s="26"/>
      <c r="X40" s="26"/>
      <c r="Y40" s="26"/>
    </row>
    <row r="41" spans="1:28" x14ac:dyDescent="0.25">
      <c r="M41" s="26"/>
      <c r="N41" s="26"/>
      <c r="O41" s="26"/>
      <c r="P41" s="26"/>
      <c r="R41" s="50"/>
      <c r="S41" s="26"/>
      <c r="T41" s="26"/>
      <c r="U41" s="26"/>
      <c r="V41" s="26"/>
      <c r="W41" s="26"/>
      <c r="X41" s="26"/>
      <c r="Y41" s="26"/>
    </row>
    <row r="42" spans="1:28" x14ac:dyDescent="0.25">
      <c r="M42" s="26"/>
      <c r="N42" s="26"/>
      <c r="O42" s="26"/>
      <c r="P42" s="26"/>
      <c r="R42" s="50"/>
      <c r="S42" s="26"/>
      <c r="T42" s="26"/>
      <c r="U42" s="26"/>
      <c r="V42" s="26"/>
      <c r="W42" s="26"/>
      <c r="X42" s="26"/>
      <c r="Y42" s="26"/>
    </row>
    <row r="43" spans="1:28" x14ac:dyDescent="0.25">
      <c r="M43" s="26"/>
      <c r="N43" s="26"/>
      <c r="O43" s="26"/>
      <c r="P43" s="26"/>
      <c r="R43" s="50"/>
      <c r="S43" s="26"/>
      <c r="T43" s="26"/>
      <c r="U43" s="26"/>
      <c r="V43" s="26"/>
      <c r="W43" s="26"/>
      <c r="X43" s="26"/>
      <c r="Y43" s="26"/>
    </row>
    <row r="44" spans="1:28" x14ac:dyDescent="0.25">
      <c r="M44" s="26"/>
      <c r="N44" s="26"/>
      <c r="O44" s="26"/>
      <c r="P44" s="26"/>
      <c r="R44" s="50"/>
      <c r="S44" s="26"/>
      <c r="T44" s="26"/>
      <c r="U44" s="26"/>
      <c r="V44" s="26"/>
      <c r="W44" s="26"/>
      <c r="X44" s="26"/>
      <c r="Y44" s="26"/>
    </row>
    <row r="45" spans="1:28" x14ac:dyDescent="0.25">
      <c r="M45" s="26"/>
      <c r="N45" s="26"/>
      <c r="O45" s="26"/>
      <c r="P45" s="26"/>
      <c r="R45" s="50"/>
      <c r="S45" s="26"/>
      <c r="T45" s="26"/>
      <c r="U45" s="26"/>
      <c r="V45" s="26"/>
      <c r="W45" s="26"/>
      <c r="X45" s="26"/>
      <c r="Y45" s="26"/>
    </row>
    <row r="46" spans="1:28" x14ac:dyDescent="0.25">
      <c r="M46" s="26"/>
      <c r="N46" s="26"/>
      <c r="O46" s="26"/>
      <c r="P46" s="26"/>
      <c r="R46" s="50"/>
      <c r="S46" s="26"/>
      <c r="T46" s="26"/>
      <c r="U46" s="26"/>
      <c r="V46" s="26"/>
      <c r="W46" s="26"/>
      <c r="X46" s="26"/>
      <c r="Y46" s="26"/>
    </row>
    <row r="47" spans="1:28" x14ac:dyDescent="0.25">
      <c r="M47" s="26"/>
      <c r="N47" s="26"/>
      <c r="O47" s="26"/>
      <c r="P47" s="26"/>
      <c r="R47" s="50"/>
      <c r="S47" s="26"/>
      <c r="T47" s="26"/>
      <c r="U47" s="26"/>
      <c r="V47" s="26"/>
      <c r="W47" s="26"/>
      <c r="X47" s="26"/>
      <c r="Y47" s="26"/>
    </row>
    <row r="48" spans="1:28" x14ac:dyDescent="0.25">
      <c r="M48" s="26"/>
      <c r="N48" s="26"/>
      <c r="O48" s="26"/>
      <c r="P48" s="26"/>
      <c r="R48" s="50"/>
      <c r="S48" s="26"/>
      <c r="T48" s="26"/>
      <c r="U48" s="26"/>
      <c r="V48" s="26"/>
      <c r="W48" s="26"/>
      <c r="X48" s="26"/>
      <c r="Y48" s="26"/>
    </row>
    <row r="49" spans="13:25" x14ac:dyDescent="0.25">
      <c r="M49" s="26"/>
      <c r="N49" s="26"/>
      <c r="O49" s="26"/>
      <c r="P49" s="26"/>
      <c r="R49" s="50"/>
      <c r="S49" s="26"/>
      <c r="T49" s="26"/>
      <c r="U49" s="26"/>
      <c r="V49" s="26"/>
      <c r="W49" s="26"/>
      <c r="X49" s="26"/>
      <c r="Y49" s="26"/>
    </row>
    <row r="50" spans="13:25" x14ac:dyDescent="0.25">
      <c r="M50" s="26"/>
      <c r="N50" s="26"/>
      <c r="O50" s="26"/>
      <c r="P50" s="26"/>
      <c r="R50" s="50"/>
      <c r="S50" s="26"/>
      <c r="T50" s="26"/>
      <c r="U50" s="26"/>
      <c r="V50" s="26"/>
      <c r="W50" s="26"/>
      <c r="X50" s="26"/>
      <c r="Y50" s="26"/>
    </row>
    <row r="51" spans="13:25" x14ac:dyDescent="0.25">
      <c r="M51" s="26"/>
      <c r="N51" s="26"/>
      <c r="O51" s="26"/>
      <c r="P51" s="26"/>
      <c r="R51" s="50"/>
      <c r="S51" s="26"/>
      <c r="T51" s="26"/>
      <c r="U51" s="26"/>
      <c r="V51" s="26"/>
      <c r="W51" s="26"/>
      <c r="X51" s="26"/>
      <c r="Y51" s="26"/>
    </row>
    <row r="52" spans="13:25" x14ac:dyDescent="0.25">
      <c r="M52" s="26"/>
      <c r="N52" s="26"/>
      <c r="O52" s="26"/>
      <c r="P52" s="26"/>
      <c r="R52" s="50"/>
      <c r="S52" s="26"/>
      <c r="T52" s="26"/>
      <c r="U52" s="26"/>
      <c r="V52" s="26"/>
      <c r="W52" s="26"/>
      <c r="X52" s="26"/>
      <c r="Y52" s="26"/>
    </row>
    <row r="53" spans="13:25" x14ac:dyDescent="0.25">
      <c r="M53" s="26"/>
      <c r="N53" s="26"/>
      <c r="O53" s="26"/>
      <c r="P53" s="26"/>
      <c r="R53" s="50"/>
      <c r="S53" s="26"/>
      <c r="T53" s="26"/>
      <c r="U53" s="26"/>
      <c r="V53" s="26"/>
      <c r="W53" s="26"/>
      <c r="X53" s="26"/>
      <c r="Y53" s="26"/>
    </row>
    <row r="54" spans="13:25" x14ac:dyDescent="0.25">
      <c r="M54" s="26"/>
      <c r="N54" s="26"/>
      <c r="O54" s="26"/>
      <c r="P54" s="26"/>
      <c r="R54" s="50"/>
      <c r="S54" s="26"/>
      <c r="T54" s="26"/>
      <c r="U54" s="26"/>
      <c r="V54" s="26"/>
      <c r="W54" s="26"/>
      <c r="X54" s="26"/>
      <c r="Y54" s="26"/>
    </row>
    <row r="55" spans="13:25" x14ac:dyDescent="0.25">
      <c r="M55" s="26"/>
      <c r="N55" s="26"/>
      <c r="O55" s="26"/>
      <c r="P55" s="26"/>
      <c r="R55" s="50"/>
      <c r="S55" s="26"/>
      <c r="T55" s="26"/>
      <c r="U55" s="26"/>
      <c r="V55" s="26"/>
      <c r="W55" s="26"/>
      <c r="X55" s="26"/>
      <c r="Y55" s="26"/>
    </row>
    <row r="56" spans="13:25" x14ac:dyDescent="0.25">
      <c r="M56" s="26"/>
      <c r="N56" s="26"/>
      <c r="O56" s="26"/>
      <c r="P56" s="26"/>
      <c r="R56" s="50"/>
      <c r="S56" s="26"/>
      <c r="T56" s="26"/>
      <c r="U56" s="26"/>
      <c r="V56" s="26"/>
      <c r="W56" s="26"/>
      <c r="X56" s="26"/>
      <c r="Y56" s="26"/>
    </row>
    <row r="57" spans="13:25" x14ac:dyDescent="0.25">
      <c r="M57" s="26"/>
      <c r="N57" s="26"/>
      <c r="O57" s="26"/>
      <c r="P57" s="26"/>
      <c r="R57" s="50"/>
      <c r="S57" s="26"/>
      <c r="T57" s="26"/>
      <c r="U57" s="26"/>
      <c r="V57" s="26"/>
      <c r="W57" s="26"/>
      <c r="X57" s="26"/>
      <c r="Y57" s="26"/>
    </row>
    <row r="58" spans="13:25" x14ac:dyDescent="0.25">
      <c r="M58" s="26"/>
      <c r="N58" s="26"/>
      <c r="O58" s="26"/>
      <c r="P58" s="26"/>
      <c r="R58" s="50"/>
      <c r="S58" s="26"/>
      <c r="T58" s="26"/>
      <c r="U58" s="26"/>
      <c r="V58" s="26"/>
      <c r="W58" s="26"/>
      <c r="X58" s="26"/>
      <c r="Y58" s="26"/>
    </row>
    <row r="59" spans="13:25" x14ac:dyDescent="0.25">
      <c r="M59" s="26"/>
      <c r="N59" s="26"/>
      <c r="O59" s="26"/>
      <c r="P59" s="26"/>
      <c r="R59" s="50"/>
      <c r="S59" s="26"/>
      <c r="T59" s="26"/>
      <c r="U59" s="26"/>
      <c r="V59" s="26"/>
      <c r="W59" s="26"/>
      <c r="X59" s="26"/>
      <c r="Y59" s="26"/>
    </row>
    <row r="60" spans="13:25" x14ac:dyDescent="0.25">
      <c r="M60" s="26"/>
      <c r="N60" s="26"/>
      <c r="O60" s="26"/>
      <c r="P60" s="26"/>
      <c r="R60" s="50"/>
      <c r="S60" s="26"/>
      <c r="T60" s="26"/>
      <c r="U60" s="26"/>
      <c r="V60" s="26"/>
      <c r="W60" s="26"/>
      <c r="X60" s="26"/>
      <c r="Y60" s="26"/>
    </row>
    <row r="61" spans="13:25" x14ac:dyDescent="0.25">
      <c r="M61" s="26"/>
      <c r="N61" s="26"/>
      <c r="O61" s="26"/>
      <c r="P61" s="26"/>
      <c r="R61" s="50"/>
      <c r="S61" s="26"/>
      <c r="T61" s="26"/>
      <c r="U61" s="26"/>
      <c r="V61" s="26"/>
      <c r="W61" s="26"/>
      <c r="X61" s="26"/>
      <c r="Y61" s="26"/>
    </row>
    <row r="62" spans="13:25" x14ac:dyDescent="0.25">
      <c r="M62" s="26"/>
      <c r="N62" s="26"/>
      <c r="O62" s="26"/>
      <c r="P62" s="26"/>
      <c r="R62" s="50"/>
      <c r="S62" s="26"/>
      <c r="T62" s="26"/>
      <c r="U62" s="26"/>
      <c r="V62" s="26"/>
      <c r="W62" s="26"/>
      <c r="X62" s="26"/>
      <c r="Y62" s="26"/>
    </row>
    <row r="63" spans="13:25" x14ac:dyDescent="0.25">
      <c r="M63" s="26"/>
      <c r="N63" s="26"/>
      <c r="O63" s="26"/>
      <c r="P63" s="26"/>
      <c r="R63" s="50"/>
      <c r="S63" s="26"/>
      <c r="T63" s="26"/>
      <c r="U63" s="26"/>
      <c r="V63" s="26"/>
      <c r="W63" s="26"/>
      <c r="X63" s="26"/>
      <c r="Y63" s="26"/>
    </row>
    <row r="64" spans="13:25" x14ac:dyDescent="0.25">
      <c r="M64" s="26"/>
      <c r="N64" s="26"/>
      <c r="O64" s="26"/>
      <c r="P64" s="26"/>
      <c r="R64" s="50"/>
      <c r="S64" s="26"/>
      <c r="T64" s="26"/>
      <c r="U64" s="26"/>
      <c r="V64" s="26"/>
      <c r="W64" s="26"/>
      <c r="X64" s="26"/>
      <c r="Y64" s="26"/>
    </row>
    <row r="65" spans="13:25" x14ac:dyDescent="0.25">
      <c r="M65" s="26"/>
      <c r="N65" s="26"/>
      <c r="O65" s="26"/>
      <c r="P65" s="26"/>
      <c r="R65" s="50"/>
      <c r="S65" s="26"/>
      <c r="T65" s="26"/>
      <c r="U65" s="26"/>
      <c r="V65" s="26"/>
      <c r="W65" s="26"/>
      <c r="X65" s="26"/>
      <c r="Y65" s="26"/>
    </row>
    <row r="66" spans="13:25" x14ac:dyDescent="0.25">
      <c r="M66" s="26"/>
      <c r="N66" s="26"/>
      <c r="O66" s="26"/>
      <c r="P66" s="26"/>
      <c r="R66" s="50"/>
      <c r="S66" s="26"/>
      <c r="T66" s="26"/>
      <c r="U66" s="26"/>
      <c r="V66" s="26"/>
      <c r="W66" s="26"/>
      <c r="X66" s="26"/>
      <c r="Y66" s="26"/>
    </row>
    <row r="67" spans="13:25" x14ac:dyDescent="0.25">
      <c r="M67" s="26"/>
      <c r="N67" s="26"/>
      <c r="O67" s="26"/>
      <c r="P67" s="26"/>
      <c r="R67" s="50"/>
      <c r="S67" s="26"/>
      <c r="T67" s="26"/>
      <c r="U67" s="26"/>
      <c r="V67" s="26"/>
      <c r="W67" s="26"/>
      <c r="X67" s="26"/>
      <c r="Y67" s="26"/>
    </row>
    <row r="68" spans="13:25" x14ac:dyDescent="0.25">
      <c r="M68" s="26"/>
      <c r="N68" s="26"/>
      <c r="O68" s="26"/>
      <c r="P68" s="26"/>
      <c r="R68" s="50"/>
      <c r="S68" s="26"/>
      <c r="T68" s="26"/>
      <c r="U68" s="26"/>
      <c r="V68" s="26"/>
      <c r="W68" s="26"/>
      <c r="X68" s="26"/>
      <c r="Y68" s="26"/>
    </row>
    <row r="69" spans="13:25" x14ac:dyDescent="0.25">
      <c r="M69" s="26"/>
      <c r="N69" s="26"/>
      <c r="O69" s="26"/>
      <c r="P69" s="26"/>
      <c r="R69" s="50"/>
      <c r="S69" s="26"/>
      <c r="T69" s="26"/>
      <c r="U69" s="26"/>
      <c r="V69" s="26"/>
      <c r="W69" s="26"/>
      <c r="X69" s="26"/>
      <c r="Y69" s="26"/>
    </row>
    <row r="70" spans="13:25" x14ac:dyDescent="0.25">
      <c r="M70" s="26"/>
      <c r="N70" s="26"/>
      <c r="O70" s="26"/>
      <c r="P70" s="26"/>
      <c r="R70" s="50"/>
      <c r="S70" s="26"/>
      <c r="T70" s="26"/>
      <c r="U70" s="26"/>
      <c r="V70" s="26"/>
      <c r="W70" s="26"/>
      <c r="X70" s="26"/>
      <c r="Y70" s="26"/>
    </row>
    <row r="71" spans="13:25" x14ac:dyDescent="0.25">
      <c r="M71" s="26"/>
      <c r="N71" s="26"/>
      <c r="O71" s="26"/>
      <c r="P71" s="26"/>
      <c r="R71" s="50"/>
      <c r="S71" s="26"/>
      <c r="T71" s="26"/>
      <c r="U71" s="26"/>
      <c r="V71" s="26"/>
      <c r="W71" s="26"/>
      <c r="X71" s="26"/>
      <c r="Y71" s="26"/>
    </row>
    <row r="72" spans="13:25" x14ac:dyDescent="0.25">
      <c r="M72" s="26"/>
      <c r="N72" s="26"/>
      <c r="O72" s="26"/>
      <c r="P72" s="26"/>
      <c r="R72" s="50"/>
      <c r="S72" s="26"/>
      <c r="T72" s="26"/>
      <c r="U72" s="26"/>
      <c r="V72" s="26"/>
      <c r="W72" s="26"/>
      <c r="X72" s="26"/>
      <c r="Y72" s="26"/>
    </row>
    <row r="73" spans="13:25" x14ac:dyDescent="0.25">
      <c r="M73" s="26"/>
      <c r="N73" s="26"/>
      <c r="O73" s="26"/>
      <c r="P73" s="26"/>
      <c r="R73" s="50"/>
      <c r="S73" s="26"/>
      <c r="T73" s="26"/>
      <c r="U73" s="26"/>
      <c r="V73" s="26"/>
      <c r="W73" s="26"/>
      <c r="X73" s="26"/>
      <c r="Y73" s="26"/>
    </row>
    <row r="74" spans="13:25" x14ac:dyDescent="0.25">
      <c r="M74" s="26"/>
      <c r="N74" s="26"/>
      <c r="O74" s="26"/>
      <c r="P74" s="26"/>
      <c r="R74" s="50"/>
      <c r="S74" s="26"/>
      <c r="T74" s="26"/>
      <c r="U74" s="26"/>
      <c r="V74" s="26"/>
      <c r="W74" s="26"/>
      <c r="X74" s="26"/>
      <c r="Y74" s="26"/>
    </row>
    <row r="75" spans="13:25" x14ac:dyDescent="0.25">
      <c r="M75" s="26"/>
      <c r="N75" s="26"/>
      <c r="O75" s="26"/>
      <c r="P75" s="26"/>
      <c r="R75" s="50"/>
      <c r="S75" s="26"/>
      <c r="T75" s="26"/>
      <c r="U75" s="26"/>
      <c r="V75" s="26"/>
      <c r="W75" s="26"/>
      <c r="X75" s="26"/>
      <c r="Y75" s="26"/>
    </row>
    <row r="76" spans="13:25" x14ac:dyDescent="0.25">
      <c r="M76" s="26"/>
      <c r="N76" s="26"/>
      <c r="O76" s="26"/>
      <c r="P76" s="26"/>
      <c r="R76" s="50"/>
      <c r="S76" s="26"/>
      <c r="T76" s="26"/>
      <c r="U76" s="26"/>
      <c r="V76" s="26"/>
      <c r="W76" s="26"/>
      <c r="X76" s="26"/>
      <c r="Y76" s="26"/>
    </row>
    <row r="77" spans="13:25" x14ac:dyDescent="0.25">
      <c r="M77" s="26"/>
      <c r="N77" s="26"/>
      <c r="O77" s="26"/>
      <c r="P77" s="26"/>
      <c r="R77" s="50"/>
      <c r="S77" s="26"/>
      <c r="T77" s="26"/>
      <c r="U77" s="26"/>
      <c r="V77" s="26"/>
      <c r="W77" s="26"/>
      <c r="X77" s="26"/>
      <c r="Y77" s="26"/>
    </row>
    <row r="78" spans="13:25" x14ac:dyDescent="0.25">
      <c r="M78" s="26"/>
      <c r="N78" s="26"/>
      <c r="O78" s="26"/>
      <c r="P78" s="26"/>
      <c r="R78" s="50"/>
      <c r="S78" s="26"/>
      <c r="T78" s="26"/>
      <c r="U78" s="26"/>
      <c r="V78" s="26"/>
      <c r="W78" s="26"/>
      <c r="X78" s="26"/>
      <c r="Y78" s="26"/>
    </row>
    <row r="79" spans="13:25" x14ac:dyDescent="0.25">
      <c r="M79" s="26"/>
      <c r="N79" s="26"/>
      <c r="O79" s="26"/>
      <c r="P79" s="26"/>
      <c r="R79" s="50"/>
      <c r="S79" s="26"/>
      <c r="T79" s="26"/>
      <c r="U79" s="26"/>
      <c r="V79" s="26"/>
      <c r="W79" s="26"/>
      <c r="X79" s="26"/>
      <c r="Y79" s="26"/>
    </row>
    <row r="80" spans="13:25" x14ac:dyDescent="0.25">
      <c r="M80" s="26"/>
      <c r="N80" s="26"/>
      <c r="O80" s="26"/>
      <c r="P80" s="26"/>
      <c r="R80" s="50"/>
      <c r="S80" s="26"/>
      <c r="T80" s="26"/>
      <c r="U80" s="26"/>
      <c r="V80" s="26"/>
      <c r="W80" s="26"/>
      <c r="X80" s="26"/>
      <c r="Y80" s="26"/>
    </row>
    <row r="81" spans="13:25" x14ac:dyDescent="0.25">
      <c r="M81" s="26"/>
      <c r="N81" s="26"/>
      <c r="O81" s="26"/>
      <c r="P81" s="26"/>
      <c r="R81" s="50"/>
      <c r="S81" s="26"/>
      <c r="T81" s="26"/>
      <c r="U81" s="26"/>
      <c r="V81" s="26"/>
      <c r="W81" s="26"/>
      <c r="X81" s="26"/>
      <c r="Y81" s="26"/>
    </row>
    <row r="82" spans="13:25" x14ac:dyDescent="0.25">
      <c r="M82" s="26"/>
      <c r="N82" s="26"/>
      <c r="O82" s="26"/>
      <c r="P82" s="26"/>
      <c r="R82" s="50"/>
      <c r="S82" s="26"/>
      <c r="T82" s="26"/>
      <c r="U82" s="26"/>
      <c r="V82" s="26"/>
      <c r="W82" s="26"/>
      <c r="X82" s="26"/>
      <c r="Y82" s="26"/>
    </row>
    <row r="83" spans="13:25" x14ac:dyDescent="0.25">
      <c r="M83" s="26"/>
      <c r="N83" s="26"/>
      <c r="O83" s="26"/>
      <c r="P83" s="26"/>
      <c r="R83" s="50"/>
      <c r="S83" s="26"/>
      <c r="T83" s="26"/>
      <c r="U83" s="26"/>
      <c r="V83" s="26"/>
      <c r="W83" s="26"/>
      <c r="X83" s="26"/>
      <c r="Y83" s="26"/>
    </row>
    <row r="84" spans="13:25" x14ac:dyDescent="0.25">
      <c r="M84" s="26"/>
      <c r="N84" s="26"/>
      <c r="O84" s="26"/>
      <c r="P84" s="26"/>
      <c r="R84" s="50"/>
      <c r="S84" s="26"/>
      <c r="T84" s="26"/>
      <c r="U84" s="26"/>
      <c r="V84" s="26"/>
      <c r="W84" s="26"/>
      <c r="X84" s="26"/>
      <c r="Y84" s="26"/>
    </row>
    <row r="85" spans="13:25" x14ac:dyDescent="0.25">
      <c r="M85" s="26"/>
      <c r="N85" s="26"/>
      <c r="O85" s="26"/>
      <c r="P85" s="26"/>
      <c r="R85" s="50"/>
      <c r="S85" s="26"/>
      <c r="T85" s="26"/>
      <c r="U85" s="26"/>
      <c r="V85" s="26"/>
      <c r="W85" s="26"/>
      <c r="X85" s="26"/>
      <c r="Y85" s="26"/>
    </row>
    <row r="86" spans="13:25" x14ac:dyDescent="0.25">
      <c r="M86" s="26"/>
      <c r="N86" s="26"/>
      <c r="O86" s="26"/>
      <c r="P86" s="26"/>
      <c r="R86" s="50"/>
      <c r="S86" s="26"/>
      <c r="T86" s="26"/>
      <c r="U86" s="26"/>
      <c r="V86" s="26"/>
      <c r="W86" s="26"/>
      <c r="X86" s="26"/>
      <c r="Y86" s="26"/>
    </row>
    <row r="87" spans="13:25" x14ac:dyDescent="0.25">
      <c r="M87" s="26"/>
      <c r="N87" s="26"/>
      <c r="O87" s="26"/>
      <c r="P87" s="26"/>
      <c r="R87" s="50"/>
      <c r="S87" s="26"/>
      <c r="T87" s="26"/>
      <c r="U87" s="26"/>
      <c r="V87" s="26"/>
      <c r="W87" s="26"/>
      <c r="X87" s="26"/>
      <c r="Y87" s="26"/>
    </row>
    <row r="88" spans="13:25" x14ac:dyDescent="0.25">
      <c r="M88" s="26"/>
      <c r="N88" s="26"/>
      <c r="O88" s="26"/>
      <c r="P88" s="26"/>
      <c r="R88" s="50"/>
      <c r="S88" s="26"/>
      <c r="T88" s="26"/>
      <c r="U88" s="26"/>
      <c r="V88" s="26"/>
      <c r="W88" s="26"/>
      <c r="X88" s="26"/>
      <c r="Y88" s="26"/>
    </row>
    <row r="89" spans="13:25" x14ac:dyDescent="0.25">
      <c r="M89" s="26"/>
      <c r="N89" s="26"/>
      <c r="O89" s="26"/>
      <c r="P89" s="26"/>
      <c r="R89" s="50"/>
      <c r="S89" s="26"/>
      <c r="T89" s="26"/>
      <c r="U89" s="26"/>
      <c r="V89" s="26"/>
      <c r="W89" s="26"/>
      <c r="X89" s="26"/>
      <c r="Y89" s="26"/>
    </row>
    <row r="90" spans="13:25" x14ac:dyDescent="0.25">
      <c r="M90" s="26"/>
      <c r="N90" s="26"/>
      <c r="O90" s="26"/>
      <c r="P90" s="26"/>
      <c r="R90" s="50"/>
      <c r="S90" s="26"/>
      <c r="T90" s="26"/>
      <c r="U90" s="26"/>
      <c r="V90" s="26"/>
      <c r="W90" s="26"/>
      <c r="X90" s="26"/>
      <c r="Y90" s="26"/>
    </row>
    <row r="91" spans="13:25" x14ac:dyDescent="0.25">
      <c r="M91" s="26"/>
      <c r="N91" s="26"/>
      <c r="O91" s="26"/>
      <c r="P91" s="26"/>
      <c r="R91" s="50"/>
      <c r="S91" s="26"/>
      <c r="T91" s="26"/>
      <c r="U91" s="26"/>
      <c r="V91" s="26"/>
      <c r="W91" s="26"/>
      <c r="X91" s="26"/>
      <c r="Y91" s="26"/>
    </row>
    <row r="92" spans="13:25" x14ac:dyDescent="0.25">
      <c r="M92" s="26"/>
      <c r="N92" s="26"/>
      <c r="O92" s="26"/>
      <c r="P92" s="26"/>
      <c r="R92" s="50"/>
      <c r="S92" s="26"/>
      <c r="T92" s="26"/>
      <c r="U92" s="26"/>
      <c r="V92" s="26"/>
      <c r="W92" s="26"/>
      <c r="X92" s="26"/>
      <c r="Y92" s="26"/>
    </row>
    <row r="93" spans="13:25" x14ac:dyDescent="0.25">
      <c r="M93" s="26"/>
      <c r="N93" s="26"/>
      <c r="O93" s="26"/>
      <c r="P93" s="26"/>
      <c r="R93" s="50"/>
      <c r="S93" s="26"/>
      <c r="T93" s="26"/>
      <c r="U93" s="26"/>
      <c r="V93" s="26"/>
      <c r="W93" s="26"/>
      <c r="X93" s="26"/>
      <c r="Y93" s="26"/>
    </row>
    <row r="94" spans="13:25" x14ac:dyDescent="0.25">
      <c r="M94" s="26"/>
      <c r="N94" s="26"/>
      <c r="O94" s="26"/>
      <c r="P94" s="26"/>
      <c r="R94" s="50"/>
      <c r="S94" s="26"/>
      <c r="T94" s="26"/>
      <c r="U94" s="26"/>
      <c r="V94" s="26"/>
      <c r="W94" s="26"/>
      <c r="X94" s="26"/>
      <c r="Y94" s="26"/>
    </row>
    <row r="95" spans="13:25" x14ac:dyDescent="0.25">
      <c r="M95" s="26"/>
      <c r="N95" s="26"/>
      <c r="O95" s="26"/>
      <c r="P95" s="26"/>
      <c r="R95" s="50"/>
      <c r="S95" s="26"/>
      <c r="T95" s="26"/>
      <c r="U95" s="26"/>
      <c r="V95" s="26"/>
      <c r="W95" s="26"/>
      <c r="X95" s="26"/>
      <c r="Y95" s="26"/>
    </row>
    <row r="96" spans="13:25" x14ac:dyDescent="0.25">
      <c r="M96" s="26"/>
      <c r="N96" s="26"/>
      <c r="O96" s="26"/>
      <c r="P96" s="26"/>
      <c r="R96" s="50"/>
      <c r="S96" s="26"/>
      <c r="T96" s="26"/>
      <c r="U96" s="26"/>
      <c r="V96" s="26"/>
      <c r="W96" s="26"/>
      <c r="X96" s="26"/>
      <c r="Y96" s="26"/>
    </row>
    <row r="97" spans="13:25" x14ac:dyDescent="0.25">
      <c r="M97" s="26"/>
      <c r="N97" s="26"/>
      <c r="O97" s="26"/>
      <c r="P97" s="26"/>
      <c r="R97" s="50"/>
      <c r="S97" s="26"/>
      <c r="T97" s="26"/>
      <c r="U97" s="26"/>
      <c r="V97" s="26"/>
      <c r="W97" s="26"/>
      <c r="X97" s="26"/>
      <c r="Y97" s="26"/>
    </row>
    <row r="98" spans="13:25" x14ac:dyDescent="0.25">
      <c r="M98" s="26"/>
      <c r="N98" s="26"/>
      <c r="O98" s="26"/>
      <c r="P98" s="26"/>
      <c r="R98" s="50"/>
      <c r="S98" s="26"/>
      <c r="T98" s="26"/>
      <c r="U98" s="26"/>
      <c r="V98" s="26"/>
      <c r="W98" s="26"/>
      <c r="X98" s="26"/>
      <c r="Y98" s="26"/>
    </row>
    <row r="99" spans="13:25" x14ac:dyDescent="0.25">
      <c r="M99" s="26"/>
      <c r="N99" s="26"/>
      <c r="O99" s="26"/>
      <c r="P99" s="26"/>
      <c r="R99" s="50"/>
      <c r="S99" s="26"/>
      <c r="T99" s="26"/>
      <c r="U99" s="26"/>
      <c r="V99" s="26"/>
      <c r="W99" s="26"/>
      <c r="X99" s="26"/>
      <c r="Y99" s="26"/>
    </row>
    <row r="100" spans="13:25" x14ac:dyDescent="0.25">
      <c r="M100" s="26"/>
      <c r="N100" s="26"/>
      <c r="O100" s="26"/>
      <c r="P100" s="26"/>
      <c r="R100" s="50"/>
      <c r="S100" s="26"/>
      <c r="T100" s="26"/>
      <c r="U100" s="26"/>
      <c r="V100" s="26"/>
      <c r="W100" s="26"/>
      <c r="X100" s="26"/>
      <c r="Y100" s="26"/>
    </row>
    <row r="101" spans="13:25" x14ac:dyDescent="0.25">
      <c r="M101" s="26"/>
      <c r="N101" s="26"/>
      <c r="O101" s="26"/>
      <c r="P101" s="26"/>
      <c r="R101" s="50"/>
      <c r="S101" s="26"/>
      <c r="T101" s="26"/>
      <c r="U101" s="26"/>
      <c r="V101" s="26"/>
      <c r="W101" s="26"/>
      <c r="X101" s="26"/>
      <c r="Y101" s="26"/>
    </row>
    <row r="102" spans="13:25" x14ac:dyDescent="0.25">
      <c r="M102" s="26"/>
      <c r="N102" s="26"/>
      <c r="O102" s="26"/>
      <c r="P102" s="26"/>
      <c r="R102" s="50"/>
      <c r="S102" s="26"/>
      <c r="T102" s="26"/>
      <c r="U102" s="26"/>
      <c r="V102" s="26"/>
      <c r="W102" s="26"/>
      <c r="X102" s="26"/>
      <c r="Y102" s="26"/>
    </row>
    <row r="103" spans="13:25" x14ac:dyDescent="0.25">
      <c r="M103" s="26"/>
      <c r="N103" s="26"/>
      <c r="O103" s="26"/>
      <c r="P103" s="26"/>
      <c r="R103" s="50"/>
      <c r="S103" s="26"/>
      <c r="T103" s="26"/>
      <c r="U103" s="26"/>
      <c r="V103" s="26"/>
      <c r="W103" s="26"/>
      <c r="X103" s="26"/>
      <c r="Y103" s="26"/>
    </row>
    <row r="104" spans="13:25" x14ac:dyDescent="0.25">
      <c r="M104" s="26"/>
      <c r="N104" s="26"/>
      <c r="O104" s="26"/>
      <c r="P104" s="26"/>
      <c r="R104" s="50"/>
      <c r="S104" s="26"/>
      <c r="T104" s="26"/>
      <c r="U104" s="26"/>
      <c r="V104" s="26"/>
      <c r="W104" s="26"/>
      <c r="X104" s="26"/>
      <c r="Y104" s="26"/>
    </row>
    <row r="105" spans="13:25" x14ac:dyDescent="0.25">
      <c r="M105" s="26"/>
      <c r="N105" s="26"/>
      <c r="O105" s="26"/>
      <c r="P105" s="26"/>
      <c r="R105" s="50"/>
      <c r="S105" s="26"/>
      <c r="T105" s="26"/>
      <c r="U105" s="26"/>
      <c r="V105" s="26"/>
      <c r="W105" s="26"/>
      <c r="X105" s="26"/>
      <c r="Y105" s="26"/>
    </row>
  </sheetData>
  <autoFilter ref="A5:AC39" xr:uid="{5066690D-782B-420E-9262-0373E5AE9827}">
    <filterColumn colId="16">
      <filters>
        <filter val="1"/>
      </filters>
    </filterColumn>
  </autoFilter>
  <conditionalFormatting sqref="A2:J2">
    <cfRule type="expression" dxfId="25" priority="4">
      <formula>$D2&lt;&gt;""</formula>
    </cfRule>
  </conditionalFormatting>
  <conditionalFormatting sqref="A1:AA1 L2:Q2 S2:AA2 A3:AA3 A4:G4 A40:AB1048576 AB1:AB39 A5:AA39">
    <cfRule type="expression" dxfId="24" priority="6">
      <formula>$D1&lt;&gt;""</formula>
    </cfRule>
  </conditionalFormatting>
  <conditionalFormatting sqref="K4:AA4">
    <cfRule type="expression" dxfId="23" priority="1">
      <formula>$D4&lt;&gt;""</formula>
    </cfRule>
  </conditionalFormatting>
  <pageMargins left="0.7" right="0.7" top="0.75" bottom="0.75" header="0.3" footer="0.3"/>
  <pageSetup paperSize="8" scale="57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2" r:id="rId4" name="CommandButton3">
          <controlPr defaultSize="0" autoFill="0" autoLine="0" r:id="rId5">
            <anchor moveWithCells="1">
              <from>
                <xdr:col>21</xdr:col>
                <xdr:colOff>266700</xdr:colOff>
                <xdr:row>1</xdr:row>
                <xdr:rowOff>180975</xdr:rowOff>
              </from>
              <to>
                <xdr:col>21</xdr:col>
                <xdr:colOff>714375</xdr:colOff>
                <xdr:row>3</xdr:row>
                <xdr:rowOff>28575</xdr:rowOff>
              </to>
            </anchor>
          </controlPr>
        </control>
      </mc:Choice>
      <mc:Fallback>
        <control shapeId="4102" r:id="rId4" name="CommandButton3"/>
      </mc:Fallback>
    </mc:AlternateContent>
    <mc:AlternateContent xmlns:mc="http://schemas.openxmlformats.org/markup-compatibility/2006">
      <mc:Choice Requires="x14">
        <control shapeId="4101" r:id="rId6" name="CommandButton1">
          <controlPr defaultSize="0" autoFill="0" autoLine="0" r:id="rId7">
            <anchor moveWithCells="1">
              <from>
                <xdr:col>19</xdr:col>
                <xdr:colOff>390525</xdr:colOff>
                <xdr:row>1</xdr:row>
                <xdr:rowOff>171450</xdr:rowOff>
              </from>
              <to>
                <xdr:col>20</xdr:col>
                <xdr:colOff>419100</xdr:colOff>
                <xdr:row>3</xdr:row>
                <xdr:rowOff>19050</xdr:rowOff>
              </to>
            </anchor>
          </controlPr>
        </control>
      </mc:Choice>
      <mc:Fallback>
        <control shapeId="4101" r:id="rId6" name="CommandButton1"/>
      </mc:Fallback>
    </mc:AlternateContent>
    <mc:AlternateContent xmlns:mc="http://schemas.openxmlformats.org/markup-compatibility/2006">
      <mc:Choice Requires="x14">
        <control shapeId="4100" r:id="rId8" name="CommandButton2">
          <controlPr defaultSize="0" autoFill="0" autoLine="0" r:id="rId9">
            <anchor moveWithCells="1">
              <from>
                <xdr:col>18</xdr:col>
                <xdr:colOff>200025</xdr:colOff>
                <xdr:row>1</xdr:row>
                <xdr:rowOff>171450</xdr:rowOff>
              </from>
              <to>
                <xdr:col>19</xdr:col>
                <xdr:colOff>219075</xdr:colOff>
                <xdr:row>3</xdr:row>
                <xdr:rowOff>19050</xdr:rowOff>
              </to>
            </anchor>
          </controlPr>
        </control>
      </mc:Choice>
      <mc:Fallback>
        <control shapeId="4100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7"/>
  <sheetViews>
    <sheetView view="pageBreakPreview" zoomScale="82" zoomScaleNormal="94" zoomScaleSheetLayoutView="82" workbookViewId="0">
      <pane ySplit="4" topLeftCell="A5" activePane="bottomLeft" state="frozenSplit"/>
      <selection pane="bottomLeft" activeCell="A3" sqref="A3:XFD3"/>
    </sheetView>
  </sheetViews>
  <sheetFormatPr defaultRowHeight="15" x14ac:dyDescent="0.25"/>
  <cols>
    <col min="1" max="1" width="6.5703125" style="2" customWidth="1"/>
    <col min="2" max="2" width="14.42578125" customWidth="1"/>
    <col min="3" max="3" width="16.28515625" bestFit="1" customWidth="1"/>
    <col min="4" max="4" width="21.14062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style="55" customWidth="1"/>
    <col min="9" max="9" width="7" customWidth="1"/>
    <col min="10" max="10" width="7.28515625" style="55" customWidth="1"/>
    <col min="11" max="11" width="5.7109375" style="2" customWidth="1"/>
    <col min="12" max="12" width="9.42578125" style="56" customWidth="1"/>
    <col min="13" max="13" width="8.42578125" style="56" bestFit="1" customWidth="1"/>
    <col min="14" max="14" width="13.140625" style="56" customWidth="1"/>
    <col min="15" max="15" width="14.140625" style="74" customWidth="1"/>
    <col min="16" max="16" width="14.140625" style="56" customWidth="1"/>
    <col min="17" max="17" width="18.42578125" style="57" customWidth="1"/>
    <col min="18" max="19" width="14" style="57" customWidth="1"/>
    <col min="20" max="20" width="14.140625" style="57" customWidth="1"/>
    <col min="21" max="21" width="21.85546875" style="56" customWidth="1"/>
    <col min="22" max="22" width="7.42578125" style="35" customWidth="1"/>
    <col min="23" max="23" width="14.7109375" bestFit="1" customWidth="1"/>
    <col min="24" max="24" width="30.28515625" customWidth="1"/>
    <col min="25" max="25" width="0.28515625" customWidth="1"/>
    <col min="26" max="26" width="11.42578125" style="55" customWidth="1"/>
  </cols>
  <sheetData>
    <row r="1" spans="1:26" ht="15" customHeight="1" x14ac:dyDescent="0.25">
      <c r="G1" s="28"/>
      <c r="H1" s="58"/>
      <c r="I1" s="29"/>
      <c r="J1" s="58"/>
      <c r="K1" s="30"/>
      <c r="L1" s="60"/>
      <c r="M1" s="60"/>
      <c r="N1" s="56" t="str">
        <f>IF(J1&lt;&gt;"",J1*I1*H1*7.85/10^6,"")</f>
        <v/>
      </c>
      <c r="O1" s="72"/>
      <c r="P1" s="56" t="str">
        <f>IF(J1&lt;&gt;"",J1*I1*H1*7.85/10^6,"")</f>
        <v/>
      </c>
      <c r="Q1" s="57" t="str">
        <f>IF(O1="NEWPLATE", N1, "")</f>
        <v/>
      </c>
      <c r="R1" s="57" t="str">
        <f>IF(O1&lt;&gt;"NEW", N1, "")</f>
        <v/>
      </c>
      <c r="T1" s="57" t="str">
        <f>IFERROR(MAX(ROUND(N1-P1-IF(S1="",0,S1)-U1, 2), 0),"")</f>
        <v/>
      </c>
      <c r="U1" s="56" t="str">
        <f>IFERROR(ROUND(P1*0.3/100, 2),"")</f>
        <v/>
      </c>
      <c r="W1" s="40" t="str">
        <f>IFERROR(IF(A1="No
STT","Lệnh Sản Xuất",LEFT(C1,FIND("#",SUBSTITUTE(C1,"-","#",4))-1)),"")</f>
        <v/>
      </c>
      <c r="X1" s="48"/>
    </row>
    <row r="2" spans="1:26" ht="24.75" customHeight="1" x14ac:dyDescent="0.25">
      <c r="G2" s="29" t="str">
        <f ca="1">"Phiếu Yêu Cầu Vật Tư - "&amp;IFERROR(LEFT(INDEX(C5:C99998,MATCH(1,INDEX(SUBTOTAL(3,OFFSET(C5,ROW(C5:C99998)-ROW(C5),0)),0),0)),FIND("#",SUBSTITUTE(INDEX(C5:C99998,MATCH(1,INDEX(SUBTOTAL(3,OFFSET(C5,ROW(C5:C99998)-ROW(C5),0)),0),0)),"-","#",4))-1),"")</f>
        <v xml:space="preserve">Phiếu Yêu Cầu Vật Tư - </v>
      </c>
      <c r="J2" s="58"/>
      <c r="K2" s="30"/>
      <c r="L2" s="60"/>
      <c r="M2" s="60"/>
      <c r="N2" s="60"/>
      <c r="O2" s="72"/>
      <c r="P2" s="72"/>
      <c r="Q2" s="85" t="str">
        <f>IF(LEFT(O2,3)="NEW", N2, "")</f>
        <v/>
      </c>
      <c r="R2" s="85">
        <f>IF(O2&lt;&gt;"NEW",N2,"")</f>
        <v>0</v>
      </c>
      <c r="S2" s="85" t="str">
        <f ca="1">IFERROR(INDEX($J$3:$Y$100029,MATCH($Z2,$Y$3:$Y$100029,0),MATCH(S$3,$J$3:$X$3,0)),"")</f>
        <v/>
      </c>
      <c r="T2" s="56" t="str">
        <f ca="1">IF(IFERROR(IF(N2-SUM(P2, S2, U2)&lt;0,"",N2-SUM(P2, S2, U2)),"")&lt;1,"",IFERROR(IF(N2-SUM(P2, S2, U2)&lt;0,"",N2-SUM(P2, S2, U2)),""))</f>
        <v/>
      </c>
      <c r="U2" s="85">
        <f ca="1">IF(G2&lt;&gt;"",IF(IFERROR(IF(N2-SUM(P2, S2, IFERROR(IF(N2-SUM(P2, S2)&lt;0,"",IF(N2-SUM(P2, S2)&lt;IF(N2&lt;&gt;"",P2*0.3/100,""),N2-SUM(P2, S2),IF(N2&lt;&gt;"",P2*0.3/100,""))),""))&lt;0,"",N2-SUM(P2, S2, IFERROR(IF(N2-SUM(P2, S2)&lt;0,"",IF(N2-SUM(P2, S2)&lt;IF(N2&lt;&gt;"",P2*0.3/100,""),N2-SUM(P2, S2),IF(N2&lt;&gt;"",P2*0.3/100,""))),""))),"")&lt;1,IFERROR(IF(N2-SUM(P2, S2)&lt;0,"",IF(N2-SUM(P2, S2)&lt;IF(N2&lt;&gt;"",P2*0.3/100,""),N2-SUM(P2, S2),IF(N2&lt;&gt;"",P2*0.3/100,""))),"")+IFERROR(IF(N2-SUM(P2, S2, IFERROR(IF(N2-SUM(P2, S2)&lt;0,"",IF(N2-SUM(P2, S2)&lt;IF(N2&lt;&gt;"",P2*0.3/100,""),N2-SUM(P2, S2),IF(N2&lt;&gt;"",P2*0.3/100,""))),""))&lt;0,"",N2-SUM(P2, S2, IFERROR(IF(N2-SUM(P2, S2)&lt;0,"",IF(N2-SUM(P2, S2)&lt;IF(N2&lt;&gt;"",P2*0.3/100,""),N2-SUM(P2, S2),IF(N2&lt;&gt;"",P2*0.3/100,""))),""))),""),IFERROR(IF(N2-SUM(P2, S2)&lt;0,"",IF(N2-SUM(P2, S2)&lt;IF(N2&lt;&gt;"",P2*0.3/100,""),N2-SUM(P2, S2),IF(N2&lt;&gt;"",P2*0.3/100,""))),"")),"")</f>
        <v>0</v>
      </c>
      <c r="V2" s="80" t="str">
        <f>IFERROR(VALUE(TRIM(RIGHT(SUBSTITUTE(W2,"-",REPT(" ",99)),99))),"")</f>
        <v/>
      </c>
      <c r="X2" s="67" t="str">
        <f>IF(C2&lt;&gt;"",IF('List chi tiet'!$B$2&lt;&gt;"",'List chi tiet'!$B$2,""),"")</f>
        <v/>
      </c>
    </row>
    <row r="3" spans="1:26" ht="21" customHeight="1" x14ac:dyDescent="0.25">
      <c r="M3" s="86">
        <f ca="1">SUMPRODUCT(SUBTOTAL(109, OFFSET(M5, ROW(M5:M99995)-ROW(M5), 0)), (B5:B99995&lt;&gt;"") * (B5:B99995&lt;&gt;0))</f>
        <v>0</v>
      </c>
      <c r="N3" s="73">
        <f ca="1">SUMPRODUCT(SUBTOTAL(109, OFFSET(N5, ROW(N5:N99995)-ROW(N5), 0)), (C5:C99995&lt;&gt;"") * (C5:C99995&lt;&gt;0))</f>
        <v>0</v>
      </c>
      <c r="O3" s="2"/>
      <c r="P3" s="73">
        <f ca="1">SUMPRODUCT(SUBTOTAL(109, OFFSET(P5, ROW(P5:P99995)-ROW(P5), 0)), (E5:E99995&lt;&gt;"") * (E5:E99995&lt;&gt;0))</f>
        <v>0</v>
      </c>
      <c r="Q3" s="87">
        <f ca="1">SUMPRODUCT(SUBTOTAL(109, OFFSET(Q5, ROW(Q5:Q99995)-ROW(Q5), 0)), (F5:F99995&lt;&gt;"") * (F5:F99995&lt;&gt;0))</f>
        <v>0</v>
      </c>
      <c r="R3" s="87">
        <f ca="1">SUMPRODUCT(SUBTOTAL(109, OFFSET(R5, ROW(R5:R99995)-ROW(R5), 0)), (G5:G99995&lt;&gt;"") * (G5:G99995&lt;&gt;0))</f>
        <v>0</v>
      </c>
      <c r="S3" s="87">
        <f ca="1">SUMPRODUCT(SUBTOTAL(109, OFFSET(S5, ROW(S5:S99995)-ROW(S5), 0)), (H5:H99995&lt;&gt;"") * (H5:H99995&lt;&gt;0))</f>
        <v>0</v>
      </c>
      <c r="T3" s="87">
        <f ca="1">SUMPRODUCT(SUBTOTAL(109, OFFSET(T5, ROW(T5:T99995)-ROW(T5), 0)), (G5:G99995&lt;&gt;"") * (G5:G99995&lt;&gt;0))</f>
        <v>0</v>
      </c>
      <c r="U3" s="73">
        <f ca="1">SUMPRODUCT(SUBTOTAL(109, OFFSET(U5, ROW(U5:U99995)-ROW(U5), 0)), (J5:J99995&lt;&gt;"") * (J5:J99995&lt;&gt;0))</f>
        <v>0</v>
      </c>
      <c r="V3" s="88"/>
      <c r="W3" s="31">
        <f ca="1">N3-P3-S3-T3-U3</f>
        <v>0</v>
      </c>
      <c r="X3" s="49"/>
      <c r="Y3" s="49"/>
      <c r="Z3" s="49"/>
    </row>
    <row r="4" spans="1:26" s="1" customFormat="1" ht="37.5" customHeight="1" x14ac:dyDescent="0.25">
      <c r="A4" s="38" t="s">
        <v>105</v>
      </c>
      <c r="B4" s="38" t="s">
        <v>29</v>
      </c>
      <c r="C4" s="38" t="s">
        <v>30</v>
      </c>
      <c r="D4" s="38" t="s">
        <v>31</v>
      </c>
      <c r="E4" s="38" t="s">
        <v>32</v>
      </c>
      <c r="F4" s="38" t="s">
        <v>33</v>
      </c>
      <c r="G4" s="38" t="s">
        <v>34</v>
      </c>
      <c r="H4" s="59" t="s">
        <v>35</v>
      </c>
      <c r="I4" s="38" t="s">
        <v>36</v>
      </c>
      <c r="J4" s="59" t="s">
        <v>37</v>
      </c>
      <c r="K4" s="38" t="s">
        <v>38</v>
      </c>
      <c r="L4" s="61" t="s">
        <v>39</v>
      </c>
      <c r="M4" s="61" t="s">
        <v>40</v>
      </c>
      <c r="N4" s="61" t="s">
        <v>41</v>
      </c>
      <c r="O4" s="61" t="s">
        <v>106</v>
      </c>
      <c r="P4" s="61" t="s">
        <v>42</v>
      </c>
      <c r="Q4" s="75" t="s">
        <v>100</v>
      </c>
      <c r="R4" s="75" t="s">
        <v>101</v>
      </c>
      <c r="S4" s="75" t="s">
        <v>102</v>
      </c>
      <c r="T4" s="75" t="s">
        <v>103</v>
      </c>
      <c r="U4" s="61" t="s">
        <v>110</v>
      </c>
      <c r="V4" s="39" t="s">
        <v>99</v>
      </c>
      <c r="W4" s="68" t="str">
        <f>IFERROR(IF(A4="No
STT","Lệnh Sản Xuất",LEFT(C4,FIND("#",SUBSTITUTE(C4,"-","#",4))-1)),"")</f>
        <v>Lệnh Sản Xuất</v>
      </c>
      <c r="X4" s="67" t="str">
        <f>IF(C4&lt;&gt;"",IF('List chi tiet'!$B$2&lt;&gt;"",'List chi tiet'!$B$2,""),"")</f>
        <v>10726-040 DG XK BPI HO REDEV SUPPLY MATERIAL</v>
      </c>
      <c r="Z4" s="79" t="s">
        <v>112</v>
      </c>
    </row>
    <row r="5" spans="1:26" hidden="1" x14ac:dyDescent="0.25">
      <c r="Q5" s="56" t="str">
        <f>IF(LEFT(O5,3)="NEW", N5, "")</f>
        <v/>
      </c>
      <c r="R5" s="56">
        <f>IF(O5&lt;&gt;"NEW",N5,"")</f>
        <v>0</v>
      </c>
      <c r="S5" s="56"/>
      <c r="T5" s="56">
        <f>IFERROR(IF(N5-SUM(P5, S5, U5)&lt;0,"",N5-SUM(P5, S5, U5)),"")</f>
        <v>0</v>
      </c>
      <c r="U5" s="56">
        <f>IFERROR(IF(N5-SUM(P5, S5)&lt;0,"",IF(N5-SUM(P5, S5)&lt;IF(N5&lt;&gt;"",P5*0.3/100,""),N5-SUM(P5, S5),IF(N5&lt;&gt;"",P5*0.3/100,""))),"")</f>
        <v>0</v>
      </c>
      <c r="V5" s="80" t="str">
        <f>IFERROR(VALUE(TRIM(RIGHT(SUBSTITUTE(W5,"-",REPT(" ",99)),99))),"")</f>
        <v/>
      </c>
      <c r="X5" s="67" t="str">
        <f>IF(C5&lt;&gt;"",IF('List chi tiet'!$B$2&lt;&gt;"",'List chi tiet'!$B$2,""),"")</f>
        <v/>
      </c>
    </row>
    <row r="7" spans="1:26" x14ac:dyDescent="0.25">
      <c r="S7" s="76"/>
    </row>
  </sheetData>
  <autoFilter ref="A4:Z5" xr:uid="{D2A6A5F0-356C-44D7-9599-9289458D208E}">
    <filterColumn colId="21">
      <filters>
        <filter val="0"/>
      </filters>
    </filterColumn>
  </autoFilter>
  <phoneticPr fontId="18" type="noConversion"/>
  <conditionalFormatting sqref="A5:B7 C7:W7 A8:W1048576">
    <cfRule type="expression" dxfId="22" priority="16">
      <formula>$A5&lt;&gt;""</formula>
    </cfRule>
  </conditionalFormatting>
  <conditionalFormatting sqref="A2:G2 I2:P2 Y3:Z3 X3:X1048576 A4:V4 W4:W6 C5:P5">
    <cfRule type="expression" dxfId="21" priority="24">
      <formula>$A2&lt;&gt;""</formula>
    </cfRule>
  </conditionalFormatting>
  <conditionalFormatting sqref="A3:W3">
    <cfRule type="expression" dxfId="20" priority="1">
      <formula>$A3&lt;&gt;""</formula>
    </cfRule>
  </conditionalFormatting>
  <conditionalFormatting sqref="A1:X1">
    <cfRule type="expression" dxfId="19" priority="17">
      <formula>$A1&lt;&gt;""</formula>
    </cfRule>
  </conditionalFormatting>
  <conditionalFormatting sqref="C6:U6">
    <cfRule type="expression" dxfId="18" priority="18">
      <formula>$A6&lt;&gt;""</formula>
    </cfRule>
  </conditionalFormatting>
  <conditionalFormatting sqref="Q2:U2">
    <cfRule type="expression" dxfId="17" priority="2">
      <formula>$AD2&lt;&gt;""</formula>
    </cfRule>
    <cfRule type="expression" dxfId="16" priority="3">
      <formula>"$AC1&lt;&gt;"""""</formula>
    </cfRule>
  </conditionalFormatting>
  <conditionalFormatting sqref="Q5:U5">
    <cfRule type="expression" dxfId="15" priority="10">
      <formula>$AD5&lt;&gt;""</formula>
    </cfRule>
    <cfRule type="expression" dxfId="14" priority="11">
      <formula>"$AC1&lt;&gt;"""""</formula>
    </cfRule>
  </conditionalFormatting>
  <conditionalFormatting sqref="V5:V6">
    <cfRule type="expression" dxfId="13" priority="9">
      <formula>$A5&lt;&gt;""</formula>
    </cfRule>
  </conditionalFormatting>
  <conditionalFormatting sqref="V2:X2">
    <cfRule type="expression" dxfId="12" priority="6">
      <formula>$A2&lt;&gt;""</formula>
    </cfRule>
  </conditionalFormatting>
  <pageMargins left="0.7" right="0.7" top="0.75" bottom="0.75" header="0.3" footer="0.3"/>
  <pageSetup paperSize="8" scale="33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13</xdr:col>
                <xdr:colOff>866775</xdr:colOff>
                <xdr:row>1</xdr:row>
                <xdr:rowOff>304800</xdr:rowOff>
              </from>
              <to>
                <xdr:col>15</xdr:col>
                <xdr:colOff>9525</xdr:colOff>
                <xdr:row>3</xdr:row>
                <xdr:rowOff>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6" r:id="rId6" name="CommandButton3">
          <controlPr defaultSize="0" autoFill="0" autoLine="0" r:id="rId7">
            <anchor moveWithCells="1">
              <from>
                <xdr:col>23</xdr:col>
                <xdr:colOff>457200</xdr:colOff>
                <xdr:row>0</xdr:row>
                <xdr:rowOff>142875</xdr:rowOff>
              </from>
              <to>
                <xdr:col>23</xdr:col>
                <xdr:colOff>904875</xdr:colOff>
                <xdr:row>1</xdr:row>
                <xdr:rowOff>228600</xdr:rowOff>
              </to>
            </anchor>
          </controlPr>
        </control>
      </mc:Choice>
      <mc:Fallback>
        <control shapeId="3076" r:id="rId6" name="CommandButton3"/>
      </mc:Fallback>
    </mc:AlternateContent>
    <mc:AlternateContent xmlns:mc="http://schemas.openxmlformats.org/markup-compatibility/2006">
      <mc:Choice Requires="x14">
        <control shapeId="3075" r:id="rId8" name="CommandButton1">
          <controlPr defaultSize="0" autoFill="0" autoLine="0" r:id="rId9">
            <anchor moveWithCells="1">
              <from>
                <xdr:col>22</xdr:col>
                <xdr:colOff>695325</xdr:colOff>
                <xdr:row>0</xdr:row>
                <xdr:rowOff>133350</xdr:rowOff>
              </from>
              <to>
                <xdr:col>23</xdr:col>
                <xdr:colOff>180975</xdr:colOff>
                <xdr:row>1</xdr:row>
                <xdr:rowOff>219075</xdr:rowOff>
              </to>
            </anchor>
          </controlPr>
        </control>
      </mc:Choice>
      <mc:Fallback>
        <control shapeId="3075" r:id="rId8" name="CommandButton1"/>
      </mc:Fallback>
    </mc:AlternateContent>
    <mc:AlternateContent xmlns:mc="http://schemas.openxmlformats.org/markup-compatibility/2006">
      <mc:Choice Requires="x14">
        <control shapeId="3074" r:id="rId10" name="CommandButton2">
          <controlPr defaultSize="0" autoFill="0" autoLine="0" r:id="rId11">
            <anchor moveWithCells="1">
              <from>
                <xdr:col>22</xdr:col>
                <xdr:colOff>76200</xdr:colOff>
                <xdr:row>0</xdr:row>
                <xdr:rowOff>133350</xdr:rowOff>
              </from>
              <to>
                <xdr:col>22</xdr:col>
                <xdr:colOff>523875</xdr:colOff>
                <xdr:row>1</xdr:row>
                <xdr:rowOff>219075</xdr:rowOff>
              </to>
            </anchor>
          </controlPr>
        </control>
      </mc:Choice>
      <mc:Fallback>
        <control shapeId="3074" r:id="rId10" name="Command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/>
  <dimension ref="A1:O31"/>
  <sheetViews>
    <sheetView view="pageBreakPreview" zoomScale="95" zoomScaleNormal="100" zoomScaleSheetLayoutView="95" workbookViewId="0">
      <pane ySplit="12" topLeftCell="A13" activePane="bottomLeft" state="frozenSplit"/>
      <selection pane="bottomLeft" activeCell="K1" sqref="K1:K11"/>
    </sheetView>
  </sheetViews>
  <sheetFormatPr defaultRowHeight="15" x14ac:dyDescent="0.25"/>
  <cols>
    <col min="1" max="1" width="8.7109375" style="26" customWidth="1"/>
    <col min="2" max="2" width="27.140625" style="19" customWidth="1"/>
    <col min="3" max="3" width="40" style="19" customWidth="1"/>
    <col min="4" max="4" width="9.5703125" style="78" customWidth="1"/>
    <col min="5" max="5" width="11.140625" style="78" customWidth="1"/>
    <col min="6" max="6" width="10.140625" style="78" customWidth="1"/>
    <col min="7" max="7" width="12.85546875" style="78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26" bestFit="1" customWidth="1"/>
    <col min="16" max="16384" width="9.140625" style="19"/>
  </cols>
  <sheetData>
    <row r="1" spans="1:15" customFormat="1" x14ac:dyDescent="0.25">
      <c r="A1" s="6" t="s">
        <v>43</v>
      </c>
      <c r="C1" t="str">
        <f ca="1">IF(LEN('List chi tiet'!$B$3)=0,"",'List chi tiet'!$B$3)</f>
        <v>10726-040</v>
      </c>
      <c r="D1" s="56"/>
      <c r="E1" s="56"/>
      <c r="F1" s="56"/>
      <c r="G1" s="56"/>
      <c r="I1" s="5" t="s">
        <v>44</v>
      </c>
      <c r="K1" s="7" t="str">
        <f ca="1">IF(LEN('List chi tiet'!$B$3)=0,"",'List chi tiet'!$B$3)</f>
        <v>10726-040</v>
      </c>
      <c r="L1" s="2" t="s">
        <v>107</v>
      </c>
      <c r="M1" s="2"/>
      <c r="N1" s="2"/>
      <c r="O1" s="2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45</v>
      </c>
      <c r="D2" s="56"/>
      <c r="E2" s="56"/>
      <c r="F2" s="56"/>
      <c r="G2" s="56"/>
      <c r="I2" t="s">
        <v>59</v>
      </c>
      <c r="K2" s="8" t="str">
        <f ca="1">IFERROR(LOOKUP(2, 1/((C$13:C$998="Total")*(SUBTOTAL(103, OFFSET(C$13, ROW(C$13:C$998)-MIN(ROW(C$13:C$998)), 0)))), F$13:F$998),"")</f>
        <v/>
      </c>
      <c r="L2" s="2" t="s">
        <v>108</v>
      </c>
      <c r="M2" s="2"/>
      <c r="N2" s="2"/>
      <c r="O2" s="2"/>
    </row>
    <row r="3" spans="1:15" customFormat="1" x14ac:dyDescent="0.25">
      <c r="A3" s="7" t="s">
        <v>46</v>
      </c>
      <c r="C3" t="str">
        <f ca="1">IFERROR(INDEX(O13:O99997, MATCH(1, INDEX(SUBTOTAL(3, OFFSET(O13, ROW(O13:O99997)-ROW(O13), 0)), 0), 0)),"")</f>
        <v/>
      </c>
      <c r="D3" s="56"/>
      <c r="E3" s="56"/>
      <c r="F3" s="56"/>
      <c r="G3" s="56"/>
      <c r="I3" t="s">
        <v>60</v>
      </c>
      <c r="K3" s="8" t="str">
        <f ca="1">IFERROR(LOOKUP(2, 1/((C$13:C$998="Total")*(SUBTOTAL(103, OFFSET(C$13, ROW(C$13:C$998)-MIN(ROW(C$13:C$998)), 0)))), D$13:D$998),"")</f>
        <v/>
      </c>
      <c r="L3" s="2" t="s">
        <v>108</v>
      </c>
      <c r="M3" s="2"/>
      <c r="N3" s="2"/>
      <c r="O3" s="2"/>
    </row>
    <row r="4" spans="1:15" customFormat="1" x14ac:dyDescent="0.25">
      <c r="A4" s="7" t="s">
        <v>47</v>
      </c>
      <c r="D4" s="56"/>
      <c r="E4" s="56"/>
      <c r="F4" s="56"/>
      <c r="G4" s="56"/>
      <c r="I4" t="s">
        <v>61</v>
      </c>
      <c r="K4" s="8" t="str">
        <f ca="1">IFERROR(LOOKUP(2, 1/((C$13:C$998="Total")*(SUBTOTAL(103, OFFSET(C$13, ROW(C$13:C$998)-MIN(ROW(C$13:C$998)), 0)))), E$13:E$998),"")</f>
        <v/>
      </c>
      <c r="L4" s="2" t="s">
        <v>108</v>
      </c>
      <c r="M4" s="2"/>
      <c r="N4" s="2"/>
      <c r="O4" s="2"/>
    </row>
    <row r="5" spans="1:15" customFormat="1" x14ac:dyDescent="0.25">
      <c r="A5" s="7" t="s">
        <v>48</v>
      </c>
      <c r="D5" s="56"/>
      <c r="E5" s="56"/>
      <c r="F5" s="56"/>
      <c r="G5" s="56"/>
      <c r="I5" t="s">
        <v>62</v>
      </c>
      <c r="K5" s="8" t="str">
        <f ca="1">IFERROR(LOOKUP(2, 1/((C$13:C$998="Total")*(SUBTOTAL(103, OFFSET(C$13, ROW(C$13:C$998)-MIN(ROW(C$13:C$998)), 0)))), G$13:G$998),"")</f>
        <v/>
      </c>
      <c r="L5" s="2" t="s">
        <v>108</v>
      </c>
      <c r="M5" s="2"/>
      <c r="N5" s="2"/>
      <c r="O5" s="2"/>
    </row>
    <row r="6" spans="1:15" customFormat="1" x14ac:dyDescent="0.25">
      <c r="A6" s="7" t="s">
        <v>58</v>
      </c>
      <c r="C6" t="str">
        <f ca="1">IFERROR(INDEX(M13:M99997, MATCH(1, INDEX(SUBTOTAL(3, OFFSET(M13, ROW(M13:M99997)-ROW(M13), 0)), 0), 0)),"")</f>
        <v/>
      </c>
      <c r="D6" s="56"/>
      <c r="E6" s="56"/>
      <c r="F6" s="56"/>
      <c r="G6" s="56"/>
      <c r="I6" t="s">
        <v>63</v>
      </c>
      <c r="K6" s="3" t="str">
        <f ca="1">IFERROR(LOOKUP(2, 1/((C$13:C$998="Total")*(SUBTOTAL(103, OFFSET(C$13, ROW(C$13:C$998)-MIN(ROW(C$13:C$998)), 0)))), H$13:H$998),"")</f>
        <v/>
      </c>
      <c r="L6" s="2" t="s">
        <v>109</v>
      </c>
      <c r="M6" s="2"/>
      <c r="N6" s="2"/>
      <c r="O6" s="2"/>
    </row>
    <row r="7" spans="1:15" customFormat="1" x14ac:dyDescent="0.25">
      <c r="A7" s="7" t="s">
        <v>49</v>
      </c>
      <c r="B7" s="7">
        <v>0</v>
      </c>
      <c r="D7" s="56"/>
      <c r="E7" s="56"/>
      <c r="F7" s="56"/>
      <c r="G7" s="56"/>
      <c r="I7" t="s">
        <v>64</v>
      </c>
      <c r="K7" s="8" t="str">
        <f ca="1">IFERROR(LOOKUP(2, 1/((C$13:C$998="Total")*(SUBTOTAL(103, OFFSET(C$13, ROW(C$13:C$998)-MIN(ROW(C$13:C$998)), 0)))), I$13:I$998),"")</f>
        <v/>
      </c>
      <c r="L7" s="2" t="s">
        <v>108</v>
      </c>
      <c r="M7" s="2"/>
      <c r="N7" s="2"/>
      <c r="O7" s="2"/>
    </row>
    <row r="8" spans="1:15" customFormat="1" x14ac:dyDescent="0.25">
      <c r="A8" s="7" t="s">
        <v>50</v>
      </c>
      <c r="D8" s="56"/>
      <c r="E8" s="56"/>
      <c r="F8" s="56"/>
      <c r="G8" s="56"/>
      <c r="I8" t="s">
        <v>65</v>
      </c>
      <c r="K8" s="8" t="str">
        <f ca="1">IFERROR(LOOKUP(2, 1/((C$13:C$998="Total")*(SUBTOTAL(103, OFFSET(C$13, ROW(C$13:C$998)-MIN(ROW(C$13:C$998)), 0)))), J$13:J$998),"")</f>
        <v/>
      </c>
      <c r="L8" s="2" t="s">
        <v>108</v>
      </c>
      <c r="M8" s="2"/>
      <c r="N8" s="2"/>
      <c r="O8" s="2"/>
    </row>
    <row r="9" spans="1:15" customFormat="1" x14ac:dyDescent="0.25">
      <c r="A9" s="7"/>
      <c r="D9" s="56"/>
      <c r="E9" s="56"/>
      <c r="F9" s="56"/>
      <c r="G9" s="56"/>
      <c r="I9" t="s">
        <v>66</v>
      </c>
      <c r="K9" s="3" t="str">
        <f ca="1">IFERROR(LOOKUP(2, 1/((C$13:C$998="Total")*(SUBTOTAL(103, OFFSET(C$13, ROW(C$13:C$998)-MIN(ROW(C$13:C$998)), 0)))), K$13:K$998),"")</f>
        <v/>
      </c>
      <c r="L9" s="2" t="s">
        <v>109</v>
      </c>
      <c r="M9" s="2"/>
      <c r="N9" s="2"/>
      <c r="O9" s="2"/>
    </row>
    <row r="10" spans="1:15" customFormat="1" x14ac:dyDescent="0.25">
      <c r="A10" s="7"/>
      <c r="D10" s="56"/>
      <c r="E10" s="56"/>
      <c r="F10" s="56"/>
      <c r="G10" s="56"/>
      <c r="I10" s="9" t="s">
        <v>67</v>
      </c>
      <c r="K10" s="10" t="str">
        <f ca="1">IFERROR(LOOKUP(2, 1/((C$13:C$998="Total")*(SUBTOTAL(103, OFFSET(C$13, ROW(C$13:C$998)-MIN(ROW(C$13:C$998)), 0)))), L$13:L$998),"")</f>
        <v/>
      </c>
      <c r="L10" s="2" t="s">
        <v>109</v>
      </c>
      <c r="M10" s="2"/>
      <c r="N10" s="2"/>
      <c r="O10" s="2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51</v>
      </c>
      <c r="C11" s="25"/>
      <c r="D11" s="81" t="str">
        <f>IF(C11&lt;&gt;"",SUBTOTAL(9,D10:D10),"")</f>
        <v/>
      </c>
      <c r="E11" s="81" t="str">
        <f>IF(C11&lt;&gt;"",SUBTOTAL(9,E10:E10),"")</f>
        <v/>
      </c>
      <c r="F11" s="81" t="str">
        <f>IF(C11&lt;&gt;"",SUBTOTAL(9,F10:F10),"")</f>
        <v/>
      </c>
      <c r="G11" s="81" t="str">
        <f>IF(C11&lt;&gt;"",SUBTOTAL(9,G10:G10),"")</f>
        <v/>
      </c>
      <c r="H11" s="47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47" t="str">
        <f>IF(C11&lt;&gt;"",IF(D11+E11&gt;0, J11/(D11+E11), 0),"")</f>
        <v/>
      </c>
      <c r="L11" s="47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45" t="str">
        <f>IFERROR(IF(C11="Nesting No","Hạng Mục",IF(C11="Total",O10,TRIM(MID(SUBSTITUTE(C11,"-",REPT(" ",LEN(C11))),4*LEN(C11)+1,LEN(C11))))),"")</f>
        <v/>
      </c>
    </row>
    <row r="12" spans="1:15" s="44" customFormat="1" ht="21.75" customHeight="1" x14ac:dyDescent="0.25">
      <c r="A12" s="41" t="s">
        <v>3</v>
      </c>
      <c r="B12" s="42" t="s">
        <v>52</v>
      </c>
      <c r="C12" s="42" t="s">
        <v>53</v>
      </c>
      <c r="D12" s="82" t="s">
        <v>54</v>
      </c>
      <c r="E12" s="82" t="s">
        <v>55</v>
      </c>
      <c r="F12" s="82" t="s">
        <v>56</v>
      </c>
      <c r="G12" s="82" t="s">
        <v>57</v>
      </c>
      <c r="H12" s="43" t="str">
        <f>IFERROR(IF(C12="Nesting No","%Remain",IF(D12+E12&gt;0, G12/(D12+E12),"")),"")</f>
        <v>%Remain</v>
      </c>
      <c r="I12" s="44" t="str">
        <f>IFERROR(IF(C12&lt;&gt;"",IF(C12="Nesting No","Tiêu Hao (kg)",ROUND(F12*0.1/100, 2)),""),"")</f>
        <v>Tiêu Hao (kg)</v>
      </c>
      <c r="J12" s="44" t="str">
        <f>IFERROR(IF(C12&lt;&gt;"",IF(C12="Nesting No","Phế Liệu(Waste)",MAX(ROUND(D12+E12-F12-G12-I12, 2), 0)),""),"")</f>
        <v>Phế Liệu(Waste)</v>
      </c>
      <c r="K12" s="43" t="str">
        <f>IFERROR(IF(C12="Nesting No","%Phế Liệu",IF(D12+E12&gt;0, J12/(D12+E12),"")),"")</f>
        <v>%Phế Liệu</v>
      </c>
      <c r="L12" s="43" t="str">
        <f>IFERROR(IF(C12="Nesting No","%Hao Hụt",IF(F12&gt;0, J12/F12,"")),"")</f>
        <v>%Hao Hụt</v>
      </c>
      <c r="M12" s="45" t="str">
        <f>IFERROR(IF(C12="Nesting No","LSX",IF(C12="Total",M11,TRIM(LEFT(C12,FIND("#",SUBSTITUTE(C12,"-","#",4))-1)))),"")</f>
        <v>LSX</v>
      </c>
      <c r="N12" s="45" t="str">
        <f>IFERROR(IF(C12="Nesting No","Lần B.Hành",VALUE(IF(C12="Total",N11,TRIM(RIGHT(SUBSTITUTE(M12,"-",REPT(" ",99)),99))))),"")</f>
        <v>Lần B.Hành</v>
      </c>
      <c r="O12" s="45" t="str">
        <f>IFERROR(IF(C12="Nesting No","Hạng Mục",IF(C12="Total",O11,TRIM(MID(SUBSTITUTE(C12,"-",REPT(" ",LEN(C12))),4*LEN(C12)+1,LEN(C12))))),"")</f>
        <v>Hạng Mục</v>
      </c>
    </row>
    <row r="13" spans="1:15" x14ac:dyDescent="0.25">
      <c r="A13" s="2"/>
      <c r="B13" s="2"/>
      <c r="C13"/>
      <c r="D13" s="56"/>
      <c r="E13" s="56"/>
      <c r="F13" s="56"/>
      <c r="G13" s="83"/>
      <c r="H13" s="43"/>
      <c r="I13" s="44"/>
      <c r="J13" s="44"/>
      <c r="K13" s="43"/>
      <c r="L13" s="43"/>
      <c r="M13" s="45"/>
      <c r="N13" s="45"/>
      <c r="O13" s="45"/>
    </row>
    <row r="14" spans="1:15" x14ac:dyDescent="0.25">
      <c r="D14" s="81"/>
      <c r="E14" s="81"/>
      <c r="F14" s="81"/>
      <c r="G14" s="81"/>
      <c r="H14" s="47"/>
      <c r="I14" s="5"/>
      <c r="J14" s="5"/>
      <c r="K14" s="47"/>
      <c r="L14" s="47"/>
      <c r="M14" s="2"/>
      <c r="N14" s="2"/>
      <c r="O14" s="45"/>
    </row>
    <row r="15" spans="1:15" x14ac:dyDescent="0.25">
      <c r="H15" s="46"/>
      <c r="K15" s="46"/>
      <c r="L15" s="46"/>
      <c r="O15" s="45"/>
    </row>
    <row r="16" spans="1:15" x14ac:dyDescent="0.25">
      <c r="D16" s="81"/>
      <c r="E16" s="81"/>
      <c r="F16" s="81"/>
      <c r="G16" s="81"/>
      <c r="H16" s="47"/>
      <c r="I16" s="5"/>
      <c r="J16" s="5"/>
      <c r="K16" s="47"/>
      <c r="L16" s="47"/>
      <c r="M16" s="2"/>
      <c r="N16" s="2"/>
      <c r="O16" s="45"/>
    </row>
    <row r="17" spans="3:15" x14ac:dyDescent="0.25">
      <c r="H17" s="43"/>
      <c r="I17" s="44"/>
      <c r="J17" s="44"/>
      <c r="K17" s="43"/>
      <c r="L17" s="43"/>
      <c r="M17" s="2"/>
      <c r="N17" s="2"/>
      <c r="O17" s="45"/>
    </row>
    <row r="18" spans="3:15" x14ac:dyDescent="0.25">
      <c r="C18" s="5"/>
      <c r="D18" s="81"/>
      <c r="E18" s="81"/>
      <c r="F18" s="81"/>
      <c r="G18" s="81"/>
      <c r="H18" s="47"/>
      <c r="I18" s="5"/>
      <c r="J18" s="5"/>
      <c r="K18" s="47"/>
      <c r="L18" s="47"/>
      <c r="M18" s="2"/>
      <c r="N18" s="2"/>
      <c r="O18" s="45"/>
    </row>
    <row r="19" spans="3:15" x14ac:dyDescent="0.25">
      <c r="H19" s="46"/>
      <c r="K19" s="46"/>
      <c r="L19" s="46"/>
    </row>
    <row r="20" spans="3:15" x14ac:dyDescent="0.25">
      <c r="C20" s="5"/>
      <c r="D20" s="81"/>
      <c r="E20" s="81"/>
      <c r="F20" s="81"/>
      <c r="G20" s="81"/>
      <c r="H20" s="47"/>
      <c r="I20" s="5"/>
      <c r="J20" s="5"/>
      <c r="K20" s="47"/>
      <c r="L20" s="47"/>
    </row>
    <row r="21" spans="3:15" x14ac:dyDescent="0.25">
      <c r="H21" s="46"/>
      <c r="I21" s="69"/>
      <c r="J21" s="69"/>
      <c r="K21" s="46"/>
      <c r="L21" s="46"/>
    </row>
    <row r="22" spans="3:15" x14ac:dyDescent="0.25">
      <c r="H22" s="46"/>
      <c r="K22" s="46"/>
      <c r="L22" s="46"/>
    </row>
    <row r="23" spans="3:15" x14ac:dyDescent="0.25">
      <c r="H23" s="46"/>
      <c r="K23" s="46"/>
      <c r="L23" s="46"/>
    </row>
    <row r="24" spans="3:15" x14ac:dyDescent="0.25">
      <c r="H24" s="46"/>
      <c r="K24" s="46"/>
      <c r="L24" s="46"/>
    </row>
    <row r="25" spans="3:15" x14ac:dyDescent="0.25">
      <c r="H25" s="46"/>
      <c r="K25" s="46"/>
      <c r="L25" s="46"/>
    </row>
    <row r="26" spans="3:15" x14ac:dyDescent="0.25">
      <c r="H26" s="46"/>
      <c r="K26" s="46"/>
      <c r="L26" s="46"/>
    </row>
    <row r="27" spans="3:15" x14ac:dyDescent="0.25">
      <c r="H27" s="46"/>
      <c r="K27" s="46"/>
      <c r="L27" s="46"/>
    </row>
    <row r="28" spans="3:15" x14ac:dyDescent="0.25">
      <c r="H28" s="46"/>
      <c r="K28" s="46"/>
      <c r="L28" s="46"/>
    </row>
    <row r="29" spans="3:15" x14ac:dyDescent="0.25">
      <c r="H29" s="46"/>
      <c r="K29" s="46"/>
      <c r="L29" s="46"/>
    </row>
    <row r="30" spans="3:15" x14ac:dyDescent="0.25">
      <c r="H30" s="46"/>
      <c r="K30" s="46"/>
      <c r="L30" s="46"/>
    </row>
    <row r="31" spans="3:15" x14ac:dyDescent="0.25">
      <c r="H31" s="46"/>
      <c r="K31" s="46"/>
      <c r="L31" s="46"/>
    </row>
  </sheetData>
  <conditionalFormatting sqref="A13:G13">
    <cfRule type="expression" dxfId="11" priority="24">
      <formula>$V13&lt;&gt;""</formula>
    </cfRule>
  </conditionalFormatting>
  <conditionalFormatting sqref="A1:N12">
    <cfRule type="expression" dxfId="10" priority="31">
      <formula>$F1&lt;&gt;""</formula>
    </cfRule>
  </conditionalFormatting>
  <conditionalFormatting sqref="A14:N18">
    <cfRule type="expression" dxfId="9" priority="1">
      <formula>$F14&lt;&gt;""</formula>
    </cfRule>
  </conditionalFormatting>
  <conditionalFormatting sqref="A19:O1048576">
    <cfRule type="expression" dxfId="8" priority="5">
      <formula>$F19&lt;&gt;""</formula>
    </cfRule>
  </conditionalFormatting>
  <conditionalFormatting sqref="H13:N13">
    <cfRule type="expression" dxfId="7" priority="23">
      <formula>$F13&lt;&gt;""</formula>
    </cfRule>
  </conditionalFormatting>
  <conditionalFormatting sqref="O1:O18">
    <cfRule type="expression" dxfId="6" priority="12">
      <formula>$F1&lt;&gt;""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2" r:id="rId4" name="CommandButton3">
          <controlPr defaultSize="0" autoFill="0" autoLine="0" r:id="rId5">
            <anchor moveWithCells="1">
              <from>
                <xdr:col>15</xdr:col>
                <xdr:colOff>76200</xdr:colOff>
                <xdr:row>5</xdr:row>
                <xdr:rowOff>114300</xdr:rowOff>
              </from>
              <to>
                <xdr:col>15</xdr:col>
                <xdr:colOff>504825</xdr:colOff>
                <xdr:row>7</xdr:row>
                <xdr:rowOff>9525</xdr:rowOff>
              </to>
            </anchor>
          </controlPr>
        </control>
      </mc:Choice>
      <mc:Fallback>
        <control shapeId="2052" r:id="rId4" name="CommandButton3"/>
      </mc:Fallback>
    </mc:AlternateContent>
    <mc:AlternateContent xmlns:mc="http://schemas.openxmlformats.org/markup-compatibility/2006">
      <mc:Choice Requires="x14">
        <control shapeId="2051" r:id="rId6" name="CommandButton1">
          <controlPr defaultSize="0" autoFill="0" autoLine="0" r:id="rId7">
            <anchor moveWithCells="1">
              <from>
                <xdr:col>15</xdr:col>
                <xdr:colOff>57150</xdr:colOff>
                <xdr:row>3</xdr:row>
                <xdr:rowOff>28575</xdr:rowOff>
              </from>
              <to>
                <xdr:col>15</xdr:col>
                <xdr:colOff>485775</xdr:colOff>
                <xdr:row>4</xdr:row>
                <xdr:rowOff>123825</xdr:rowOff>
              </to>
            </anchor>
          </controlPr>
        </control>
      </mc:Choice>
      <mc:Fallback>
        <control shapeId="2051" r:id="rId6" name="CommandButton1"/>
      </mc:Fallback>
    </mc:AlternateContent>
    <mc:AlternateContent xmlns:mc="http://schemas.openxmlformats.org/markup-compatibility/2006">
      <mc:Choice Requires="x14">
        <control shapeId="2050" r:id="rId8" name="CommandButton2">
          <controlPr defaultSize="0" autoFill="0" autoLine="0" autoPict="0" r:id="rId9">
            <anchor moveWithCells="1">
              <from>
                <xdr:col>15</xdr:col>
                <xdr:colOff>47625</xdr:colOff>
                <xdr:row>0</xdr:row>
                <xdr:rowOff>133350</xdr:rowOff>
              </from>
              <to>
                <xdr:col>15</xdr:col>
                <xdr:colOff>485775</xdr:colOff>
                <xdr:row>2</xdr:row>
                <xdr:rowOff>28575</xdr:rowOff>
              </to>
            </anchor>
          </controlPr>
        </control>
      </mc:Choice>
      <mc:Fallback>
        <control shapeId="2050" r:id="rId8" name="CommandButton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537"/>
  <sheetViews>
    <sheetView tabSelected="1" view="pageBreakPreview" zoomScale="82" zoomScaleNormal="100" zoomScaleSheetLayoutView="82" workbookViewId="0">
      <pane ySplit="10" topLeftCell="A11" activePane="bottomLeft" state="frozenSplit"/>
      <selection pane="bottomLeft" activeCell="C5" sqref="C5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15.7109375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10.140625" customWidth="1"/>
    <col min="13" max="13" width="18.42578125" customWidth="1"/>
    <col min="14" max="14" width="20.85546875" bestFit="1" customWidth="1"/>
    <col min="15" max="15" width="5.7109375" bestFit="1" customWidth="1"/>
    <col min="16" max="16" width="26.7109375" style="36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5.140625" style="19" customWidth="1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51" customWidth="1"/>
    <col min="25" max="25" width="8.140625" customWidth="1"/>
    <col min="26" max="27" width="6.42578125" bestFit="1" customWidth="1"/>
    <col min="28" max="28" width="12.28515625" customWidth="1"/>
    <col min="29" max="29" width="33.5703125" style="7" customWidth="1"/>
    <col min="30" max="30" width="10" style="2" customWidth="1"/>
    <col min="31" max="31" width="28.5703125" style="7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00"/>
      <c r="Q1" s="13"/>
      <c r="R1" s="13"/>
      <c r="S1" s="13"/>
      <c r="T1" s="13"/>
      <c r="U1" s="13"/>
      <c r="V1" s="13"/>
      <c r="W1" s="14"/>
      <c r="X1" s="52"/>
      <c r="Y1" s="71">
        <f>MATCH(9.9E+307,A:A)</f>
        <v>44</v>
      </c>
      <c r="Z1" s="71">
        <f>'List chi tiet'!S1+5</f>
        <v>44</v>
      </c>
      <c r="AA1" s="11"/>
      <c r="AB1" s="11"/>
      <c r="AC1" s="34"/>
      <c r="AD1" s="12"/>
      <c r="AE1" s="90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4" t="s">
        <v>68</v>
      </c>
      <c r="N2" s="15"/>
      <c r="O2" s="15"/>
      <c r="P2" s="100"/>
      <c r="Q2" s="16"/>
      <c r="R2" s="16"/>
      <c r="S2" s="16"/>
      <c r="T2" s="16"/>
      <c r="U2" s="16"/>
      <c r="V2" s="16"/>
      <c r="W2" s="17"/>
      <c r="X2" s="53"/>
      <c r="Y2" s="15"/>
      <c r="Z2" s="15"/>
      <c r="AA2" s="15"/>
      <c r="AB2" s="15"/>
      <c r="AC2" s="34"/>
      <c r="AD2" s="12"/>
      <c r="AE2" s="90"/>
    </row>
    <row r="3" spans="1:31" x14ac:dyDescent="0.25">
      <c r="A3" s="18" t="s">
        <v>69</v>
      </c>
      <c r="C3" s="4" t="str">
        <f ca="1">'List chi tiet'!B3&amp;"-"&amp;'List chi tiet'!B2</f>
        <v>10726-040-10726-040 DG XK BPI HO REDEV SUPPLY MATERIAL</v>
      </c>
    </row>
    <row r="4" spans="1:31" x14ac:dyDescent="0.25">
      <c r="A4" s="18" t="s">
        <v>70</v>
      </c>
      <c r="C4" s="5" t="str">
        <f ca="1">INDEX(M11:M99692, MATCH(1, INDEX(SUBTOTAL(3, OFFSET(M11, ROW(M11:M99692)-ROW(M11), 0)), 0), 0))</f>
        <v>LSX-VT-BPI-TH-001</v>
      </c>
    </row>
    <row r="5" spans="1:31" x14ac:dyDescent="0.25">
      <c r="A5" s="18" t="s">
        <v>71</v>
      </c>
      <c r="C5" s="4" t="str">
        <f ca="1">INDEX(P11:P99692, MATCH(1, INDEX(SUBTOTAL(3, OFFSET(P11, ROW(P11:P99692)-ROW(P11), 0)), 0), 0))</f>
        <v>LEVEL 46 - ROOF CROWN - SHIPMENT 1-GIA CONG UON ONG GIAO NHA MAY MIEN TRUNG</v>
      </c>
    </row>
    <row r="6" spans="1:31" x14ac:dyDescent="0.25">
      <c r="A6" s="18" t="s">
        <v>72</v>
      </c>
      <c r="C6" s="4" t="s">
        <v>73</v>
      </c>
    </row>
    <row r="7" spans="1:31" x14ac:dyDescent="0.25">
      <c r="A7" s="18" t="s">
        <v>74</v>
      </c>
      <c r="C7" s="18"/>
    </row>
    <row r="8" spans="1:31" x14ac:dyDescent="0.25">
      <c r="A8" s="18" t="s">
        <v>75</v>
      </c>
      <c r="C8" s="18"/>
      <c r="H8" s="84">
        <f ca="1">SUMPRODUCT(SUBTOTAL(109, OFFSET(H11, ROW(H11:H99999)-ROW(H11), 0)), (B11:B99999&lt;&gt;"") * (B11:B99999&lt;&gt;0))</f>
        <v>56</v>
      </c>
      <c r="I8" s="84">
        <f ca="1">SUMPRODUCT(SUBTOTAL(109, OFFSET(I11, ROW(I11:I99999)-ROW(I11), 0)), (B11:B99999&lt;&gt;"") * (B11:B99999&lt;&gt;0))</f>
        <v>59447.58</v>
      </c>
      <c r="P8" s="101">
        <f ca="1">VALUE(SUMPRODUCT(SUBTOTAL(103,OFFSET(B11,ROW(B11:B99692)-MIN(ROW(B11:B99692)),,1)),--(B11:B99692&lt;&gt;"")))</f>
        <v>34</v>
      </c>
    </row>
    <row r="9" spans="1:31" x14ac:dyDescent="0.25">
      <c r="A9" s="18" t="s">
        <v>76</v>
      </c>
      <c r="C9" s="18"/>
      <c r="R9" s="26" t="str">
        <f>IFERROR(IF(OR(AD9=6000,AD9=12000),"x",""),"")</f>
        <v/>
      </c>
      <c r="S9" s="26" t="str">
        <f>IF(AD9&lt;&gt;"",IF(OR(AD9=6000,AD9=12000),"","x"),"")</f>
        <v/>
      </c>
      <c r="AC9" s="7" t="str">
        <f>IFERROR(VLOOKUP(A9,'List chi tiet'!$A:$L,12,0),"")</f>
        <v/>
      </c>
      <c r="AD9" s="2" t="str">
        <f>IF('List chi tiet'!K4&lt;&gt;"",'List chi tiet'!K4,"")</f>
        <v/>
      </c>
    </row>
    <row r="10" spans="1:31" s="1" customFormat="1" ht="33.75" customHeight="1" x14ac:dyDescent="0.25">
      <c r="A10" s="22" t="s">
        <v>77</v>
      </c>
      <c r="B10" s="22" t="s">
        <v>78</v>
      </c>
      <c r="C10" s="22" t="s">
        <v>79</v>
      </c>
      <c r="D10" s="22" t="s">
        <v>80</v>
      </c>
      <c r="E10" s="22" t="s">
        <v>81</v>
      </c>
      <c r="F10" s="22" t="s">
        <v>82</v>
      </c>
      <c r="G10" s="22" t="s">
        <v>83</v>
      </c>
      <c r="H10" s="22" t="s">
        <v>84</v>
      </c>
      <c r="I10" s="22" t="s">
        <v>85</v>
      </c>
      <c r="J10" s="22" t="s">
        <v>86</v>
      </c>
      <c r="K10" s="22" t="s">
        <v>87</v>
      </c>
      <c r="L10" s="22" t="s">
        <v>88</v>
      </c>
      <c r="M10" s="22" t="s">
        <v>58</v>
      </c>
      <c r="N10" s="22" t="s">
        <v>89</v>
      </c>
      <c r="O10" s="22" t="s">
        <v>90</v>
      </c>
      <c r="P10" s="102" t="s">
        <v>27</v>
      </c>
      <c r="Q10" s="23" t="s">
        <v>91</v>
      </c>
      <c r="R10" s="23" t="s">
        <v>92</v>
      </c>
      <c r="S10" s="23" t="s">
        <v>93</v>
      </c>
      <c r="T10" s="23" t="s">
        <v>94</v>
      </c>
      <c r="U10" s="23" t="s">
        <v>151</v>
      </c>
      <c r="V10" s="23" t="s">
        <v>96</v>
      </c>
      <c r="W10" s="24" t="s">
        <v>104</v>
      </c>
      <c r="X10" s="54" t="s">
        <v>97</v>
      </c>
      <c r="Y10" s="22" t="s">
        <v>20</v>
      </c>
      <c r="Z10" s="22" t="s">
        <v>21</v>
      </c>
      <c r="AA10" s="22" t="s">
        <v>22</v>
      </c>
      <c r="AB10" s="22" t="s">
        <v>23</v>
      </c>
      <c r="AC10" s="99" t="s">
        <v>98</v>
      </c>
      <c r="AD10" s="103" t="s">
        <v>28</v>
      </c>
      <c r="AE10" s="89" t="str">
        <f>IF(LEN('List chi tiet'!$B$2)=0,"",'List chi tiet'!$B$2)</f>
        <v>10726-040 DG XK BPI HO REDEV SUPPLY MATERIAL</v>
      </c>
    </row>
    <row r="11" spans="1:31" x14ac:dyDescent="0.25">
      <c r="A11" s="2">
        <f>IF('List chi tiet'!A6&lt;&gt;"",'List chi tiet'!A6,"")</f>
        <v>1</v>
      </c>
      <c r="B11" s="2" t="str">
        <f>IF('List chi tiet'!B6&lt;&gt;"",'List chi tiet'!B6,"")</f>
        <v>SS2410</v>
      </c>
      <c r="C11" s="55">
        <f>IF('List chi tiet'!E6&lt;&gt;"",'List chi tiet'!E6,"")</f>
        <v>20</v>
      </c>
      <c r="D11" s="55">
        <f>IF('List chi tiet'!F6&lt;&gt;"",'List chi tiet'!F6,"")</f>
        <v>400</v>
      </c>
      <c r="E11">
        <f>IF('List chi tiet'!G6&lt;&gt;"",'List chi tiet'!G6,"")</f>
        <v>923</v>
      </c>
      <c r="F11" t="str">
        <f>IF('List chi tiet'!C6&lt;&gt;"",'List chi tiet'!C6,"")</f>
        <v>A500-GR.C</v>
      </c>
      <c r="G11" s="2" t="str">
        <f>IF(A11&lt;&gt;"","Pcs","")</f>
        <v>Pcs</v>
      </c>
      <c r="H11">
        <f>IF('List chi tiet'!H6&lt;&gt;"",'List chi tiet'!H6,"")</f>
        <v>1</v>
      </c>
      <c r="I11" s="56">
        <f>IF('List chi tiet'!J6&lt;&gt;"",'List chi tiet'!J6,"")</f>
        <v>149.47</v>
      </c>
      <c r="J11" s="2" t="str">
        <f>IF(A11&lt;&gt;"","SC-VT1","")</f>
        <v>SC-VT1</v>
      </c>
      <c r="K11" s="2" t="str">
        <f>IF(B11&lt;&gt;"","SC-VT1","")</f>
        <v>SC-VT1</v>
      </c>
      <c r="L11" t="s">
        <v>154</v>
      </c>
      <c r="M11" t="s">
        <v>115</v>
      </c>
      <c r="N11" t="str">
        <f>IF('List chi tiet'!D6&lt;&gt;"",'List chi tiet'!D6,"")</f>
        <v>PIPE400X20</v>
      </c>
      <c r="O11" s="25"/>
      <c r="P11" s="36" t="str">
        <f>IF('List chi tiet'!Z6&lt;&gt;"",'List chi tiet'!Z6,"")</f>
        <v>LEVEL 46 - ROOF CROWN - SHIPMENT 1-GIA CONG UON ONG GIAO NHA MAY MIEN TRUNG</v>
      </c>
      <c r="Q11" s="26"/>
      <c r="R11" s="26" t="str">
        <f>IFERROR(IF(OR(AD11=6000,AD11=12000),"x",""),"")</f>
        <v>x</v>
      </c>
      <c r="S11" s="26" t="str">
        <f>IF(AD11&lt;&gt;"",IF(OR(AD11=6000,AD11=12000),"","x"),"")</f>
        <v/>
      </c>
      <c r="T11" s="26"/>
      <c r="U11" s="26" t="s">
        <v>152</v>
      </c>
      <c r="V11" s="26"/>
      <c r="W11" s="27">
        <f>IF('List chi tiet'!Q6&lt;&gt;"",'List chi tiet'!Q6,"")</f>
        <v>1</v>
      </c>
      <c r="X11" s="50">
        <f>IF('List chi tiet'!R6&lt;&gt;"",'List chi tiet'!R6,"")</f>
        <v>46269</v>
      </c>
      <c r="AB11" t="str">
        <f>IF('List chi tiet'!V6&lt;&gt;"",'List chi tiet'!V6,"")</f>
        <v>10726-040</v>
      </c>
      <c r="AC11" s="7" t="str">
        <f>IF('List chi tiet'!L6&lt;&gt;"",'List chi tiet'!L6,"")</f>
        <v>LSX-VT-BPI-TH-001</v>
      </c>
      <c r="AD11" s="2">
        <f>IF('List chi tiet'!K6&lt;&gt;"",'List chi tiet'!K6,"")</f>
        <v>12000</v>
      </c>
      <c r="AE11" s="89" t="str">
        <f>IF(LEN('List chi tiet'!$B$2)=0,"",'List chi tiet'!$B$2)</f>
        <v>10726-040 DG XK BPI HO REDEV SUPPLY MATERIAL</v>
      </c>
    </row>
    <row r="12" spans="1:31" ht="25.5" x14ac:dyDescent="0.25">
      <c r="A12" s="2">
        <f>IF('List chi tiet'!A7&lt;&gt;"",'List chi tiet'!A7,"")</f>
        <v>2</v>
      </c>
      <c r="B12" s="2" t="str">
        <f>IF('List chi tiet'!B7&lt;&gt;"",'List chi tiet'!B7,"")</f>
        <v>SS2289</v>
      </c>
      <c r="C12" s="55">
        <f>IF('List chi tiet'!E7&lt;&gt;"",'List chi tiet'!E7,"")</f>
        <v>20</v>
      </c>
      <c r="D12" s="55">
        <f>IF('List chi tiet'!F7&lt;&gt;"",'List chi tiet'!F7,"")</f>
        <v>400</v>
      </c>
      <c r="E12">
        <f>IF('List chi tiet'!G7&lt;&gt;"",'List chi tiet'!G7,"")</f>
        <v>793</v>
      </c>
      <c r="F12" t="str">
        <f>IF('List chi tiet'!C7&lt;&gt;"",'List chi tiet'!C7,"")</f>
        <v>A500-GR.C</v>
      </c>
      <c r="G12" s="2" t="str">
        <f t="shared" ref="G12:G44" si="0">IF(A12&lt;&gt;"","Pcs","")</f>
        <v>Pcs</v>
      </c>
      <c r="H12">
        <f>IF('List chi tiet'!H7&lt;&gt;"",'List chi tiet'!H7,"")</f>
        <v>2</v>
      </c>
      <c r="I12" s="56">
        <f>IF('List chi tiet'!J7&lt;&gt;"",'List chi tiet'!J7,"")</f>
        <v>289.08</v>
      </c>
      <c r="J12" s="2" t="str">
        <f t="shared" ref="J12:J44" si="1">IF(A12&lt;&gt;"","SC-VT1","")</f>
        <v>SC-VT1</v>
      </c>
      <c r="K12" s="2" t="str">
        <f t="shared" ref="K12:K44" si="2">IF(B12&lt;&gt;"","SC-VT1","")</f>
        <v>SC-VT1</v>
      </c>
      <c r="L12" t="s">
        <v>154</v>
      </c>
      <c r="M12" t="s">
        <v>115</v>
      </c>
      <c r="N12" t="str">
        <f>IF('List chi tiet'!D7&lt;&gt;"",'List chi tiet'!D7,"")</f>
        <v>PIPE400X20</v>
      </c>
      <c r="O12" s="25"/>
      <c r="P12" s="36" t="str">
        <f>IF('List chi tiet'!Z7&lt;&gt;"",'List chi tiet'!Z7,"")</f>
        <v>LEVEL 46 - ROOF CROWN - SHIPMENT 1-GIA CONG UON ONG GIAO NHA MAY MIEN TRUNG</v>
      </c>
      <c r="Q12" s="26"/>
      <c r="R12" s="26" t="str">
        <f t="shared" ref="R12:R44" si="3">IFERROR(IF(OR(AD12=6000,AD12=12000),"x",""),"")</f>
        <v>x</v>
      </c>
      <c r="S12" s="26" t="str">
        <f t="shared" ref="S12:S44" si="4">IF(AD12&lt;&gt;"",IF(OR(AD12=6000,AD12=12000),"","x"),"")</f>
        <v/>
      </c>
      <c r="T12" s="26"/>
      <c r="U12" s="26" t="s">
        <v>152</v>
      </c>
      <c r="V12" s="26"/>
      <c r="W12" s="27">
        <f>IF('List chi tiet'!Q7&lt;&gt;"",'List chi tiet'!Q7,"")</f>
        <v>1</v>
      </c>
      <c r="X12" s="50">
        <f>IF('List chi tiet'!R7&lt;&gt;"",'List chi tiet'!R7,"")</f>
        <v>46269</v>
      </c>
      <c r="AB12" t="str">
        <f>IF('List chi tiet'!V7&lt;&gt;"",'List chi tiet'!V7,"")</f>
        <v>10726-040</v>
      </c>
      <c r="AC12" s="7" t="str">
        <f>IF('List chi tiet'!L7&lt;&gt;"",'List chi tiet'!L7,"")</f>
        <v>LSX-VT-BPI-TH-001</v>
      </c>
      <c r="AD12" s="2">
        <f>IF('List chi tiet'!K7&lt;&gt;"",'List chi tiet'!K7,"")</f>
        <v>12000</v>
      </c>
      <c r="AE12" s="89" t="str">
        <f>IF(LEN('List chi tiet'!$B$2)=0,"",'List chi tiet'!$B$2)</f>
        <v>10726-040 DG XK BPI HO REDEV SUPPLY MATERIAL</v>
      </c>
    </row>
    <row r="13" spans="1:31" ht="25.5" x14ac:dyDescent="0.25">
      <c r="A13" s="2">
        <f>IF('List chi tiet'!A8&lt;&gt;"",'List chi tiet'!A8,"")</f>
        <v>3</v>
      </c>
      <c r="B13" s="2" t="str">
        <f>IF('List chi tiet'!B8&lt;&gt;"",'List chi tiet'!B8,"")</f>
        <v>SS2595</v>
      </c>
      <c r="C13" s="55">
        <f>IF('List chi tiet'!E8&lt;&gt;"",'List chi tiet'!E8,"")</f>
        <v>20</v>
      </c>
      <c r="D13" s="55">
        <f>IF('List chi tiet'!F8&lt;&gt;"",'List chi tiet'!F8,"")</f>
        <v>400</v>
      </c>
      <c r="E13">
        <f>IF('List chi tiet'!G8&lt;&gt;"",'List chi tiet'!G8,"")</f>
        <v>2121</v>
      </c>
      <c r="F13" t="str">
        <f>IF('List chi tiet'!C8&lt;&gt;"",'List chi tiet'!C8,"")</f>
        <v>A500-GR.C</v>
      </c>
      <c r="G13" s="2" t="str">
        <f t="shared" si="0"/>
        <v>Pcs</v>
      </c>
      <c r="H13">
        <f>IF('List chi tiet'!H8&lt;&gt;"",'List chi tiet'!H8,"")</f>
        <v>1</v>
      </c>
      <c r="I13" s="56">
        <f>IF('List chi tiet'!J8&lt;&gt;"",'List chi tiet'!J8,"")</f>
        <v>371.37</v>
      </c>
      <c r="J13" s="2" t="str">
        <f t="shared" si="1"/>
        <v>SC-VT1</v>
      </c>
      <c r="K13" s="2" t="str">
        <f t="shared" si="2"/>
        <v>SC-VT1</v>
      </c>
      <c r="L13" t="s">
        <v>154</v>
      </c>
      <c r="M13" t="s">
        <v>115</v>
      </c>
      <c r="N13" t="str">
        <f>IF('List chi tiet'!D8&lt;&gt;"",'List chi tiet'!D8,"")</f>
        <v>PIPE400X20</v>
      </c>
      <c r="O13" s="25"/>
      <c r="P13" s="36" t="str">
        <f>IF('List chi tiet'!Z8&lt;&gt;"",'List chi tiet'!Z8,"")</f>
        <v>LEVEL 46 - ROOF CROWN - SHIPMENT 1-GIA CONG UON ONG GIAO NHA MAY MIEN TRUNG</v>
      </c>
      <c r="Q13" s="26"/>
      <c r="R13" s="26" t="str">
        <f t="shared" si="3"/>
        <v>x</v>
      </c>
      <c r="S13" s="26" t="str">
        <f t="shared" si="4"/>
        <v/>
      </c>
      <c r="T13" s="26"/>
      <c r="U13" s="26" t="s">
        <v>152</v>
      </c>
      <c r="V13" s="26"/>
      <c r="W13" s="27">
        <f>IF('List chi tiet'!Q8&lt;&gt;"",'List chi tiet'!Q8,"")</f>
        <v>1</v>
      </c>
      <c r="X13" s="50">
        <f>IF('List chi tiet'!R8&lt;&gt;"",'List chi tiet'!R8,"")</f>
        <v>46269</v>
      </c>
      <c r="AB13" t="str">
        <f>IF('List chi tiet'!V8&lt;&gt;"",'List chi tiet'!V8,"")</f>
        <v>10726-040</v>
      </c>
      <c r="AC13" s="7" t="str">
        <f>IF('List chi tiet'!L8&lt;&gt;"",'List chi tiet'!L8,"")</f>
        <v>LSX-VT-BPI-TH-001</v>
      </c>
      <c r="AD13" s="2">
        <f>IF('List chi tiet'!K8&lt;&gt;"",'List chi tiet'!K8,"")</f>
        <v>12000</v>
      </c>
      <c r="AE13" s="89" t="str">
        <f>IF(LEN('List chi tiet'!$B$2)=0,"",'List chi tiet'!$B$2)</f>
        <v>10726-040 DG XK BPI HO REDEV SUPPLY MATERIAL</v>
      </c>
    </row>
    <row r="14" spans="1:31" ht="25.5" x14ac:dyDescent="0.25">
      <c r="A14" s="2">
        <f>IF('List chi tiet'!A9&lt;&gt;"",'List chi tiet'!A9,"")</f>
        <v>4</v>
      </c>
      <c r="B14" s="2" t="str">
        <f>IF('List chi tiet'!B9&lt;&gt;"",'List chi tiet'!B9,"")</f>
        <v>SS2058</v>
      </c>
      <c r="C14" s="55">
        <f>IF('List chi tiet'!E9&lt;&gt;"",'List chi tiet'!E9,"")</f>
        <v>20</v>
      </c>
      <c r="D14" s="55">
        <f>IF('List chi tiet'!F9&lt;&gt;"",'List chi tiet'!F9,"")</f>
        <v>400</v>
      </c>
      <c r="E14">
        <f>IF('List chi tiet'!G9&lt;&gt;"",'List chi tiet'!G9,"")</f>
        <v>9435</v>
      </c>
      <c r="F14" t="str">
        <f>IF('List chi tiet'!C9&lt;&gt;"",'List chi tiet'!C9,"")</f>
        <v>A500-GR.C</v>
      </c>
      <c r="G14" s="2" t="str">
        <f t="shared" si="0"/>
        <v>Pcs</v>
      </c>
      <c r="H14">
        <f>IF('List chi tiet'!H9&lt;&gt;"",'List chi tiet'!H9,"")</f>
        <v>2</v>
      </c>
      <c r="I14" s="56">
        <f>IF('List chi tiet'!J9&lt;&gt;"",'List chi tiet'!J9,"")</f>
        <v>3468.4</v>
      </c>
      <c r="J14" s="2" t="str">
        <f t="shared" si="1"/>
        <v>SC-VT1</v>
      </c>
      <c r="K14" s="2" t="str">
        <f t="shared" si="2"/>
        <v>SC-VT1</v>
      </c>
      <c r="L14" t="s">
        <v>154</v>
      </c>
      <c r="M14" t="s">
        <v>115</v>
      </c>
      <c r="N14" t="str">
        <f>IF('List chi tiet'!D9&lt;&gt;"",'List chi tiet'!D9,"")</f>
        <v>PIPE400X20</v>
      </c>
      <c r="O14" s="25"/>
      <c r="P14" s="36" t="str">
        <f>IF('List chi tiet'!Z9&lt;&gt;"",'List chi tiet'!Z9,"")</f>
        <v>LEVEL 46 - ROOF CROWN - SHIPMENT 1-GIA CONG UON ONG GIAO NHA MAY MIEN TRUNG</v>
      </c>
      <c r="Q14" s="26"/>
      <c r="R14" s="26" t="str">
        <f t="shared" si="3"/>
        <v>x</v>
      </c>
      <c r="S14" s="26" t="str">
        <f t="shared" si="4"/>
        <v/>
      </c>
      <c r="T14" s="26"/>
      <c r="U14" s="26" t="s">
        <v>152</v>
      </c>
      <c r="V14" s="26"/>
      <c r="W14" s="27">
        <f>IF('List chi tiet'!Q9&lt;&gt;"",'List chi tiet'!Q9,"")</f>
        <v>1</v>
      </c>
      <c r="X14" s="50">
        <f>IF('List chi tiet'!R9&lt;&gt;"",'List chi tiet'!R9,"")</f>
        <v>46269</v>
      </c>
      <c r="AB14" t="str">
        <f>IF('List chi tiet'!V9&lt;&gt;"",'List chi tiet'!V9,"")</f>
        <v>10726-040</v>
      </c>
      <c r="AC14" s="7" t="str">
        <f>IF('List chi tiet'!L9&lt;&gt;"",'List chi tiet'!L9,"")</f>
        <v>LSX-VT-BPI-TH-001</v>
      </c>
      <c r="AD14" s="2">
        <f>IF('List chi tiet'!K9&lt;&gt;"",'List chi tiet'!K9,"")</f>
        <v>12000</v>
      </c>
      <c r="AE14" s="89" t="str">
        <f>IF(LEN('List chi tiet'!$B$2)=0,"",'List chi tiet'!$B$2)</f>
        <v>10726-040 DG XK BPI HO REDEV SUPPLY MATERIAL</v>
      </c>
    </row>
    <row r="15" spans="1:31" ht="25.5" x14ac:dyDescent="0.25">
      <c r="A15" s="2">
        <f>IF('List chi tiet'!A10&lt;&gt;"",'List chi tiet'!A10,"")</f>
        <v>5</v>
      </c>
      <c r="B15" s="2" t="str">
        <f>IF('List chi tiet'!B10&lt;&gt;"",'List chi tiet'!B10,"")</f>
        <v>SS2414</v>
      </c>
      <c r="C15" s="55">
        <f>IF('List chi tiet'!E10&lt;&gt;"",'List chi tiet'!E10,"")</f>
        <v>20</v>
      </c>
      <c r="D15" s="55">
        <f>IF('List chi tiet'!F10&lt;&gt;"",'List chi tiet'!F10,"")</f>
        <v>400</v>
      </c>
      <c r="E15">
        <f>IF('List chi tiet'!G10&lt;&gt;"",'List chi tiet'!G10,"")</f>
        <v>1148</v>
      </c>
      <c r="F15" t="str">
        <f>IF('List chi tiet'!C10&lt;&gt;"",'List chi tiet'!C10,"")</f>
        <v>A500-GR.C</v>
      </c>
      <c r="G15" s="2" t="str">
        <f t="shared" si="0"/>
        <v>Pcs</v>
      </c>
      <c r="H15">
        <f>IF('List chi tiet'!H10&lt;&gt;"",'List chi tiet'!H10,"")</f>
        <v>1</v>
      </c>
      <c r="I15" s="56">
        <f>IF('List chi tiet'!J10&lt;&gt;"",'List chi tiet'!J10,"")</f>
        <v>171.12</v>
      </c>
      <c r="J15" s="2" t="str">
        <f t="shared" si="1"/>
        <v>SC-VT1</v>
      </c>
      <c r="K15" s="2" t="str">
        <f t="shared" si="2"/>
        <v>SC-VT1</v>
      </c>
      <c r="L15" t="s">
        <v>154</v>
      </c>
      <c r="M15" t="s">
        <v>115</v>
      </c>
      <c r="N15" t="str">
        <f>IF('List chi tiet'!D10&lt;&gt;"",'List chi tiet'!D10,"")</f>
        <v>PIPE400X20</v>
      </c>
      <c r="O15" s="25"/>
      <c r="P15" s="36" t="str">
        <f>IF('List chi tiet'!Z10&lt;&gt;"",'List chi tiet'!Z10,"")</f>
        <v>LEVEL 46 - ROOF CROWN - SHIPMENT 1-GIA CONG UON ONG GIAO NHA MAY MIEN TRUNG</v>
      </c>
      <c r="Q15" s="26"/>
      <c r="R15" s="26" t="str">
        <f t="shared" si="3"/>
        <v>x</v>
      </c>
      <c r="S15" s="26" t="str">
        <f t="shared" si="4"/>
        <v/>
      </c>
      <c r="T15" s="26"/>
      <c r="U15" s="26" t="s">
        <v>152</v>
      </c>
      <c r="V15" s="26"/>
      <c r="W15" s="27">
        <f>IF('List chi tiet'!Q10&lt;&gt;"",'List chi tiet'!Q10,"")</f>
        <v>1</v>
      </c>
      <c r="X15" s="50">
        <f>IF('List chi tiet'!R10&lt;&gt;"",'List chi tiet'!R10,"")</f>
        <v>46269</v>
      </c>
      <c r="AB15" t="str">
        <f>IF('List chi tiet'!V10&lt;&gt;"",'List chi tiet'!V10,"")</f>
        <v>10726-040</v>
      </c>
      <c r="AC15" s="7" t="str">
        <f>IF('List chi tiet'!L10&lt;&gt;"",'List chi tiet'!L10,"")</f>
        <v>LSX-VT-BPI-TH-001</v>
      </c>
      <c r="AD15" s="2">
        <f>IF('List chi tiet'!K10&lt;&gt;"",'List chi tiet'!K10,"")</f>
        <v>12000</v>
      </c>
      <c r="AE15" s="89" t="str">
        <f>IF(LEN('List chi tiet'!$B$2)=0,"",'List chi tiet'!$B$2)</f>
        <v>10726-040 DG XK BPI HO REDEV SUPPLY MATERIAL</v>
      </c>
    </row>
    <row r="16" spans="1:31" ht="25.5" x14ac:dyDescent="0.25">
      <c r="A16" s="2">
        <f>IF('List chi tiet'!A11&lt;&gt;"",'List chi tiet'!A11,"")</f>
        <v>6</v>
      </c>
      <c r="B16" s="2" t="str">
        <f>IF('List chi tiet'!B11&lt;&gt;"",'List chi tiet'!B11,"")</f>
        <v>SS2413</v>
      </c>
      <c r="C16" s="55">
        <f>IF('List chi tiet'!E11&lt;&gt;"",'List chi tiet'!E11,"")</f>
        <v>20</v>
      </c>
      <c r="D16" s="55">
        <f>IF('List chi tiet'!F11&lt;&gt;"",'List chi tiet'!F11,"")</f>
        <v>400</v>
      </c>
      <c r="E16">
        <f>IF('List chi tiet'!G11&lt;&gt;"",'List chi tiet'!G11,"")</f>
        <v>1161</v>
      </c>
      <c r="F16" t="str">
        <f>IF('List chi tiet'!C11&lt;&gt;"",'List chi tiet'!C11,"")</f>
        <v>A500-GR.C</v>
      </c>
      <c r="G16" s="2" t="str">
        <f t="shared" si="0"/>
        <v>Pcs</v>
      </c>
      <c r="H16">
        <f>IF('List chi tiet'!H11&lt;&gt;"",'List chi tiet'!H11,"")</f>
        <v>1</v>
      </c>
      <c r="I16" s="56">
        <f>IF('List chi tiet'!J11&lt;&gt;"",'List chi tiet'!J11,"")</f>
        <v>171.24</v>
      </c>
      <c r="J16" s="2" t="str">
        <f t="shared" si="1"/>
        <v>SC-VT1</v>
      </c>
      <c r="K16" s="2" t="str">
        <f t="shared" si="2"/>
        <v>SC-VT1</v>
      </c>
      <c r="L16" t="s">
        <v>154</v>
      </c>
      <c r="M16" t="s">
        <v>115</v>
      </c>
      <c r="N16" t="str">
        <f>IF('List chi tiet'!D11&lt;&gt;"",'List chi tiet'!D11,"")</f>
        <v>PIPE400X20</v>
      </c>
      <c r="O16" s="25"/>
      <c r="P16" s="36" t="str">
        <f>IF('List chi tiet'!Z11&lt;&gt;"",'List chi tiet'!Z11,"")</f>
        <v>LEVEL 46 - ROOF CROWN - SHIPMENT 1-GIA CONG UON ONG GIAO NHA MAY MIEN TRUNG</v>
      </c>
      <c r="Q16" s="26"/>
      <c r="R16" s="26" t="str">
        <f t="shared" si="3"/>
        <v>x</v>
      </c>
      <c r="S16" s="26" t="str">
        <f t="shared" si="4"/>
        <v/>
      </c>
      <c r="T16" s="26"/>
      <c r="U16" s="26" t="s">
        <v>152</v>
      </c>
      <c r="V16" s="26"/>
      <c r="W16" s="27">
        <f>IF('List chi tiet'!Q11&lt;&gt;"",'List chi tiet'!Q11,"")</f>
        <v>1</v>
      </c>
      <c r="X16" s="50">
        <f>IF('List chi tiet'!R11&lt;&gt;"",'List chi tiet'!R11,"")</f>
        <v>46269</v>
      </c>
      <c r="AB16" t="str">
        <f>IF('List chi tiet'!V11&lt;&gt;"",'List chi tiet'!V11,"")</f>
        <v>10726-040</v>
      </c>
      <c r="AC16" s="7" t="str">
        <f>IF('List chi tiet'!L11&lt;&gt;"",'List chi tiet'!L11,"")</f>
        <v>LSX-VT-BPI-TH-001</v>
      </c>
      <c r="AD16" s="2">
        <f>IF('List chi tiet'!K11&lt;&gt;"",'List chi tiet'!K11,"")</f>
        <v>12000</v>
      </c>
      <c r="AE16" s="89" t="str">
        <f>IF(LEN('List chi tiet'!$B$2)=0,"",'List chi tiet'!$B$2)</f>
        <v>10726-040 DG XK BPI HO REDEV SUPPLY MATERIAL</v>
      </c>
    </row>
    <row r="17" spans="1:31" ht="25.5" x14ac:dyDescent="0.25">
      <c r="A17" s="2">
        <f>IF('List chi tiet'!A12&lt;&gt;"",'List chi tiet'!A12,"")</f>
        <v>7</v>
      </c>
      <c r="B17" s="2" t="str">
        <f>IF('List chi tiet'!B12&lt;&gt;"",'List chi tiet'!B12,"")</f>
        <v>SS2411</v>
      </c>
      <c r="C17" s="55">
        <f>IF('List chi tiet'!E12&lt;&gt;"",'List chi tiet'!E12,"")</f>
        <v>20</v>
      </c>
      <c r="D17" s="55">
        <f>IF('List chi tiet'!F12&lt;&gt;"",'List chi tiet'!F12,"")</f>
        <v>400</v>
      </c>
      <c r="E17">
        <f>IF('List chi tiet'!G12&lt;&gt;"",'List chi tiet'!G12,"")</f>
        <v>923</v>
      </c>
      <c r="F17" t="str">
        <f>IF('List chi tiet'!C12&lt;&gt;"",'List chi tiet'!C12,"")</f>
        <v>A500-GR.C</v>
      </c>
      <c r="G17" s="2" t="str">
        <f t="shared" si="0"/>
        <v>Pcs</v>
      </c>
      <c r="H17">
        <f>IF('List chi tiet'!H12&lt;&gt;"",'List chi tiet'!H12,"")</f>
        <v>1</v>
      </c>
      <c r="I17" s="56">
        <f>IF('List chi tiet'!J12&lt;&gt;"",'List chi tiet'!J12,"")</f>
        <v>149.61000000000001</v>
      </c>
      <c r="J17" s="2" t="str">
        <f t="shared" si="1"/>
        <v>SC-VT1</v>
      </c>
      <c r="K17" s="2" t="str">
        <f t="shared" si="2"/>
        <v>SC-VT1</v>
      </c>
      <c r="L17" t="s">
        <v>154</v>
      </c>
      <c r="M17" t="s">
        <v>115</v>
      </c>
      <c r="N17" t="str">
        <f>IF('List chi tiet'!D12&lt;&gt;"",'List chi tiet'!D12,"")</f>
        <v>PIPE400X20</v>
      </c>
      <c r="O17" s="25"/>
      <c r="P17" s="36" t="str">
        <f>IF('List chi tiet'!Z12&lt;&gt;"",'List chi tiet'!Z12,"")</f>
        <v>LEVEL 46 - ROOF CROWN - SHIPMENT 1-GIA CONG UON ONG GIAO NHA MAY MIEN TRUNG</v>
      </c>
      <c r="Q17" s="26"/>
      <c r="R17" s="26" t="str">
        <f t="shared" si="3"/>
        <v>x</v>
      </c>
      <c r="S17" s="26" t="str">
        <f t="shared" si="4"/>
        <v/>
      </c>
      <c r="T17" s="26"/>
      <c r="U17" s="26" t="s">
        <v>152</v>
      </c>
      <c r="V17" s="26"/>
      <c r="W17" s="27">
        <f>IF('List chi tiet'!Q12&lt;&gt;"",'List chi tiet'!Q12,"")</f>
        <v>1</v>
      </c>
      <c r="X17" s="50">
        <f>IF('List chi tiet'!R12&lt;&gt;"",'List chi tiet'!R12,"")</f>
        <v>46269</v>
      </c>
      <c r="AB17" t="str">
        <f>IF('List chi tiet'!V12&lt;&gt;"",'List chi tiet'!V12,"")</f>
        <v>10726-040</v>
      </c>
      <c r="AC17" s="7" t="str">
        <f>IF('List chi tiet'!L12&lt;&gt;"",'List chi tiet'!L12,"")</f>
        <v>LSX-VT-BPI-TH-001</v>
      </c>
      <c r="AD17" s="2">
        <f>IF('List chi tiet'!K12&lt;&gt;"",'List chi tiet'!K12,"")</f>
        <v>12000</v>
      </c>
      <c r="AE17" s="89" t="str">
        <f>IF(LEN('List chi tiet'!$B$2)=0,"",'List chi tiet'!$B$2)</f>
        <v>10726-040 DG XK BPI HO REDEV SUPPLY MATERIAL</v>
      </c>
    </row>
    <row r="18" spans="1:31" ht="25.5" x14ac:dyDescent="0.25">
      <c r="A18" s="2">
        <f>IF('List chi tiet'!A13&lt;&gt;"",'List chi tiet'!A13,"")</f>
        <v>8</v>
      </c>
      <c r="B18" s="2" t="str">
        <f>IF('List chi tiet'!B13&lt;&gt;"",'List chi tiet'!B13,"")</f>
        <v>SS2423</v>
      </c>
      <c r="C18" s="55">
        <f>IF('List chi tiet'!E13&lt;&gt;"",'List chi tiet'!E13,"")</f>
        <v>20</v>
      </c>
      <c r="D18" s="55">
        <f>IF('List chi tiet'!F13&lt;&gt;"",'List chi tiet'!F13,"")</f>
        <v>400</v>
      </c>
      <c r="E18">
        <f>IF('List chi tiet'!G13&lt;&gt;"",'List chi tiet'!G13,"")</f>
        <v>768</v>
      </c>
      <c r="F18" t="str">
        <f>IF('List chi tiet'!C13&lt;&gt;"",'List chi tiet'!C13,"")</f>
        <v>A500-GR.C</v>
      </c>
      <c r="G18" s="2" t="str">
        <f t="shared" si="0"/>
        <v>Pcs</v>
      </c>
      <c r="H18">
        <f>IF('List chi tiet'!H13&lt;&gt;"",'List chi tiet'!H13,"")</f>
        <v>1</v>
      </c>
      <c r="I18" s="56">
        <f>IF('List chi tiet'!J13&lt;&gt;"",'List chi tiet'!J13,"")</f>
        <v>138.72999999999999</v>
      </c>
      <c r="J18" s="2" t="str">
        <f t="shared" si="1"/>
        <v>SC-VT1</v>
      </c>
      <c r="K18" s="2" t="str">
        <f t="shared" si="2"/>
        <v>SC-VT1</v>
      </c>
      <c r="L18" t="s">
        <v>154</v>
      </c>
      <c r="M18" t="s">
        <v>115</v>
      </c>
      <c r="N18" t="str">
        <f>IF('List chi tiet'!D13&lt;&gt;"",'List chi tiet'!D13,"")</f>
        <v>PIPE400X20</v>
      </c>
      <c r="O18" s="25"/>
      <c r="P18" s="36" t="str">
        <f>IF('List chi tiet'!Z13&lt;&gt;"",'List chi tiet'!Z13,"")</f>
        <v>LEVEL 46 - ROOF CROWN - SHIPMENT 1-GIA CONG UON ONG GIAO NHA MAY MIEN TRUNG</v>
      </c>
      <c r="Q18" s="26"/>
      <c r="R18" s="26" t="str">
        <f t="shared" si="3"/>
        <v>x</v>
      </c>
      <c r="S18" s="26" t="str">
        <f t="shared" si="4"/>
        <v/>
      </c>
      <c r="T18" s="26"/>
      <c r="U18" s="26" t="s">
        <v>152</v>
      </c>
      <c r="V18" s="26"/>
      <c r="W18" s="27">
        <f>IF('List chi tiet'!Q13&lt;&gt;"",'List chi tiet'!Q13,"")</f>
        <v>1</v>
      </c>
      <c r="X18" s="50">
        <f>IF('List chi tiet'!R13&lt;&gt;"",'List chi tiet'!R13,"")</f>
        <v>46269</v>
      </c>
      <c r="AB18" t="str">
        <f>IF('List chi tiet'!V13&lt;&gt;"",'List chi tiet'!V13,"")</f>
        <v>10726-040</v>
      </c>
      <c r="AC18" s="7" t="str">
        <f>IF('List chi tiet'!L13&lt;&gt;"",'List chi tiet'!L13,"")</f>
        <v>LSX-VT-BPI-TH-001</v>
      </c>
      <c r="AD18" s="2">
        <f>IF('List chi tiet'!K13&lt;&gt;"",'List chi tiet'!K13,"")</f>
        <v>12000</v>
      </c>
      <c r="AE18" s="89" t="str">
        <f>IF(LEN('List chi tiet'!$B$2)=0,"",'List chi tiet'!$B$2)</f>
        <v>10726-040 DG XK BPI HO REDEV SUPPLY MATERIAL</v>
      </c>
    </row>
    <row r="19" spans="1:31" ht="25.5" x14ac:dyDescent="0.25">
      <c r="A19" s="2">
        <f>IF('List chi tiet'!A14&lt;&gt;"",'List chi tiet'!A14,"")</f>
        <v>9</v>
      </c>
      <c r="B19" s="2" t="str">
        <f>IF('List chi tiet'!B14&lt;&gt;"",'List chi tiet'!B14,"")</f>
        <v>SS2084</v>
      </c>
      <c r="C19" s="55">
        <f>IF('List chi tiet'!E14&lt;&gt;"",'List chi tiet'!E14,"")</f>
        <v>20</v>
      </c>
      <c r="D19" s="55">
        <f>IF('List chi tiet'!F14&lt;&gt;"",'List chi tiet'!F14,"")</f>
        <v>400</v>
      </c>
      <c r="E19">
        <f>IF('List chi tiet'!G14&lt;&gt;"",'List chi tiet'!G14,"")</f>
        <v>8538</v>
      </c>
      <c r="F19" t="str">
        <f>IF('List chi tiet'!C14&lt;&gt;"",'List chi tiet'!C14,"")</f>
        <v>A500-GR.C</v>
      </c>
      <c r="G19" s="2" t="str">
        <f t="shared" si="0"/>
        <v>Pcs</v>
      </c>
      <c r="H19">
        <f>IF('List chi tiet'!H14&lt;&gt;"",'List chi tiet'!H14,"")</f>
        <v>1</v>
      </c>
      <c r="I19" s="56">
        <f>IF('List chi tiet'!J14&lt;&gt;"",'List chi tiet'!J14,"")</f>
        <v>1571.81</v>
      </c>
      <c r="J19" s="2" t="str">
        <f t="shared" si="1"/>
        <v>SC-VT1</v>
      </c>
      <c r="K19" s="2" t="str">
        <f t="shared" si="2"/>
        <v>SC-VT1</v>
      </c>
      <c r="L19" t="s">
        <v>154</v>
      </c>
      <c r="M19" t="s">
        <v>115</v>
      </c>
      <c r="N19" t="str">
        <f>IF('List chi tiet'!D14&lt;&gt;"",'List chi tiet'!D14,"")</f>
        <v>PIPE400X20</v>
      </c>
      <c r="O19" s="25"/>
      <c r="P19" s="36" t="str">
        <f>IF('List chi tiet'!Z14&lt;&gt;"",'List chi tiet'!Z14,"")</f>
        <v>LEVEL 46 - ROOF CROWN - SHIPMENT 1-GIA CONG UON ONG GIAO NHA MAY MIEN TRUNG</v>
      </c>
      <c r="Q19" s="26"/>
      <c r="R19" s="26" t="str">
        <f t="shared" si="3"/>
        <v>x</v>
      </c>
      <c r="S19" s="26" t="str">
        <f t="shared" si="4"/>
        <v/>
      </c>
      <c r="T19" s="26"/>
      <c r="U19" s="26" t="s">
        <v>152</v>
      </c>
      <c r="V19" s="26"/>
      <c r="W19" s="27">
        <f>IF('List chi tiet'!Q14&lt;&gt;"",'List chi tiet'!Q14,"")</f>
        <v>1</v>
      </c>
      <c r="X19" s="50">
        <f>IF('List chi tiet'!R14&lt;&gt;"",'List chi tiet'!R14,"")</f>
        <v>46269</v>
      </c>
      <c r="AB19" t="str">
        <f>IF('List chi tiet'!V14&lt;&gt;"",'List chi tiet'!V14,"")</f>
        <v>10726-040</v>
      </c>
      <c r="AC19" s="7" t="str">
        <f>IF('List chi tiet'!L14&lt;&gt;"",'List chi tiet'!L14,"")</f>
        <v>LSX-VT-BPI-TH-001</v>
      </c>
      <c r="AD19" s="2">
        <f>IF('List chi tiet'!K14&lt;&gt;"",'List chi tiet'!K14,"")</f>
        <v>12000</v>
      </c>
      <c r="AE19" s="89" t="str">
        <f>IF(LEN('List chi tiet'!$B$2)=0,"",'List chi tiet'!$B$2)</f>
        <v>10726-040 DG XK BPI HO REDEV SUPPLY MATERIAL</v>
      </c>
    </row>
    <row r="20" spans="1:31" ht="25.5" x14ac:dyDescent="0.25">
      <c r="A20" s="2">
        <f>IF('List chi tiet'!A15&lt;&gt;"",'List chi tiet'!A15,"")</f>
        <v>10</v>
      </c>
      <c r="B20" s="2" t="str">
        <f>IF('List chi tiet'!B15&lt;&gt;"",'List chi tiet'!B15,"")</f>
        <v>SS2057</v>
      </c>
      <c r="C20" s="55">
        <f>IF('List chi tiet'!E15&lt;&gt;"",'List chi tiet'!E15,"")</f>
        <v>20</v>
      </c>
      <c r="D20" s="55">
        <f>IF('List chi tiet'!F15&lt;&gt;"",'List chi tiet'!F15,"")</f>
        <v>400</v>
      </c>
      <c r="E20">
        <f>IF('List chi tiet'!G15&lt;&gt;"",'List chi tiet'!G15,"")</f>
        <v>8563</v>
      </c>
      <c r="F20" t="str">
        <f>IF('List chi tiet'!C15&lt;&gt;"",'List chi tiet'!C15,"")</f>
        <v>A500-GR.C</v>
      </c>
      <c r="G20" s="2" t="str">
        <f t="shared" si="0"/>
        <v>Pcs</v>
      </c>
      <c r="H20">
        <f>IF('List chi tiet'!H15&lt;&gt;"",'List chi tiet'!H15,"")</f>
        <v>1</v>
      </c>
      <c r="I20" s="56">
        <f>IF('List chi tiet'!J15&lt;&gt;"",'List chi tiet'!J15,"")</f>
        <v>1576.47</v>
      </c>
      <c r="J20" s="2" t="str">
        <f t="shared" si="1"/>
        <v>SC-VT1</v>
      </c>
      <c r="K20" s="2" t="str">
        <f t="shared" si="2"/>
        <v>SC-VT1</v>
      </c>
      <c r="L20" t="s">
        <v>154</v>
      </c>
      <c r="M20" t="s">
        <v>115</v>
      </c>
      <c r="N20" t="str">
        <f>IF('List chi tiet'!D15&lt;&gt;"",'List chi tiet'!D15,"")</f>
        <v>PIPE400X20</v>
      </c>
      <c r="O20" s="25"/>
      <c r="P20" s="36" t="str">
        <f>IF('List chi tiet'!Z15&lt;&gt;"",'List chi tiet'!Z15,"")</f>
        <v>LEVEL 46 - ROOF CROWN - SHIPMENT 1-GIA CONG UON ONG GIAO NHA MAY MIEN TRUNG</v>
      </c>
      <c r="Q20" s="26"/>
      <c r="R20" s="26" t="str">
        <f t="shared" si="3"/>
        <v>x</v>
      </c>
      <c r="S20" s="26" t="str">
        <f t="shared" si="4"/>
        <v/>
      </c>
      <c r="T20" s="26"/>
      <c r="U20" s="26" t="s">
        <v>152</v>
      </c>
      <c r="V20" s="26"/>
      <c r="W20" s="27">
        <f>IF('List chi tiet'!Q15&lt;&gt;"",'List chi tiet'!Q15,"")</f>
        <v>1</v>
      </c>
      <c r="X20" s="50">
        <f>IF('List chi tiet'!R15&lt;&gt;"",'List chi tiet'!R15,"")</f>
        <v>46269</v>
      </c>
      <c r="AB20" t="str">
        <f>IF('List chi tiet'!V15&lt;&gt;"",'List chi tiet'!V15,"")</f>
        <v>10726-040</v>
      </c>
      <c r="AC20" s="7" t="str">
        <f>IF('List chi tiet'!L15&lt;&gt;"",'List chi tiet'!L15,"")</f>
        <v>LSX-VT-BPI-TH-001</v>
      </c>
      <c r="AD20" s="2">
        <f>IF('List chi tiet'!K15&lt;&gt;"",'List chi tiet'!K15,"")</f>
        <v>12000</v>
      </c>
      <c r="AE20" s="89" t="str">
        <f>IF(LEN('List chi tiet'!$B$2)=0,"",'List chi tiet'!$B$2)</f>
        <v>10726-040 DG XK BPI HO REDEV SUPPLY MATERIAL</v>
      </c>
    </row>
    <row r="21" spans="1:31" ht="25.5" x14ac:dyDescent="0.25">
      <c r="A21" s="2">
        <f>IF('List chi tiet'!A16&lt;&gt;"",'List chi tiet'!A16,"")</f>
        <v>11</v>
      </c>
      <c r="B21" s="2" t="str">
        <f>IF('List chi tiet'!B16&lt;&gt;"",'List chi tiet'!B16,"")</f>
        <v>SS2064</v>
      </c>
      <c r="C21" s="55">
        <f>IF('List chi tiet'!E16&lt;&gt;"",'List chi tiet'!E16,"")</f>
        <v>20</v>
      </c>
      <c r="D21" s="55">
        <f>IF('List chi tiet'!F16&lt;&gt;"",'List chi tiet'!F16,"")</f>
        <v>400</v>
      </c>
      <c r="E21">
        <f>IF('List chi tiet'!G16&lt;&gt;"",'List chi tiet'!G16,"")</f>
        <v>9669</v>
      </c>
      <c r="F21" t="str">
        <f>IF('List chi tiet'!C16&lt;&gt;"",'List chi tiet'!C16,"")</f>
        <v>A500-GR.C</v>
      </c>
      <c r="G21" s="2" t="str">
        <f t="shared" si="0"/>
        <v>Pcs</v>
      </c>
      <c r="H21">
        <f>IF('List chi tiet'!H16&lt;&gt;"",'List chi tiet'!H16,"")</f>
        <v>2</v>
      </c>
      <c r="I21" s="56">
        <f>IF('List chi tiet'!J16&lt;&gt;"",'List chi tiet'!J16,"")</f>
        <v>3561.6</v>
      </c>
      <c r="J21" s="2" t="str">
        <f t="shared" si="1"/>
        <v>SC-VT1</v>
      </c>
      <c r="K21" s="2" t="str">
        <f t="shared" si="2"/>
        <v>SC-VT1</v>
      </c>
      <c r="L21" t="s">
        <v>154</v>
      </c>
      <c r="M21" t="s">
        <v>115</v>
      </c>
      <c r="N21" t="str">
        <f>IF('List chi tiet'!D16&lt;&gt;"",'List chi tiet'!D16,"")</f>
        <v>PIPE400X20</v>
      </c>
      <c r="O21" s="25"/>
      <c r="P21" s="36" t="str">
        <f>IF('List chi tiet'!Z16&lt;&gt;"",'List chi tiet'!Z16,"")</f>
        <v>LEVEL 46 - ROOF CROWN - SHIPMENT 1-GIA CONG UON ONG GIAO NHA MAY MIEN TRUNG</v>
      </c>
      <c r="Q21" s="26"/>
      <c r="R21" s="26" t="str">
        <f t="shared" si="3"/>
        <v>x</v>
      </c>
      <c r="S21" s="26" t="str">
        <f t="shared" si="4"/>
        <v/>
      </c>
      <c r="T21" s="26"/>
      <c r="U21" s="26" t="s">
        <v>152</v>
      </c>
      <c r="V21" s="26"/>
      <c r="W21" s="27">
        <f>IF('List chi tiet'!Q16&lt;&gt;"",'List chi tiet'!Q16,"")</f>
        <v>1</v>
      </c>
      <c r="X21" s="50">
        <f>IF('List chi tiet'!R16&lt;&gt;"",'List chi tiet'!R16,"")</f>
        <v>46269</v>
      </c>
      <c r="AB21" t="str">
        <f>IF('List chi tiet'!V16&lt;&gt;"",'List chi tiet'!V16,"")</f>
        <v>10726-040</v>
      </c>
      <c r="AC21" s="7" t="str">
        <f>IF('List chi tiet'!L16&lt;&gt;"",'List chi tiet'!L16,"")</f>
        <v>LSX-VT-BPI-TH-001</v>
      </c>
      <c r="AD21" s="2">
        <f>IF('List chi tiet'!K16&lt;&gt;"",'List chi tiet'!K16,"")</f>
        <v>12000</v>
      </c>
      <c r="AE21" s="89" t="str">
        <f>IF(LEN('List chi tiet'!$B$2)=0,"",'List chi tiet'!$B$2)</f>
        <v>10726-040 DG XK BPI HO REDEV SUPPLY MATERIAL</v>
      </c>
    </row>
    <row r="22" spans="1:31" ht="25.5" x14ac:dyDescent="0.25">
      <c r="A22" s="2">
        <f>IF('List chi tiet'!A17&lt;&gt;"",'List chi tiet'!A17,"")</f>
        <v>12</v>
      </c>
      <c r="B22" s="2" t="str">
        <f>IF('List chi tiet'!B17&lt;&gt;"",'List chi tiet'!B17,"")</f>
        <v>SS2065</v>
      </c>
      <c r="C22" s="55">
        <f>IF('List chi tiet'!E17&lt;&gt;"",'List chi tiet'!E17,"")</f>
        <v>20</v>
      </c>
      <c r="D22" s="55">
        <f>IF('List chi tiet'!F17&lt;&gt;"",'List chi tiet'!F17,"")</f>
        <v>400</v>
      </c>
      <c r="E22">
        <f>IF('List chi tiet'!G17&lt;&gt;"",'List chi tiet'!G17,"")</f>
        <v>9472</v>
      </c>
      <c r="F22" t="str">
        <f>IF('List chi tiet'!C17&lt;&gt;"",'List chi tiet'!C17,"")</f>
        <v>A500-GR.C</v>
      </c>
      <c r="G22" s="2" t="str">
        <f t="shared" si="0"/>
        <v>Pcs</v>
      </c>
      <c r="H22">
        <f>IF('List chi tiet'!H17&lt;&gt;"",'List chi tiet'!H17,"")</f>
        <v>2</v>
      </c>
      <c r="I22" s="56">
        <f>IF('List chi tiet'!J17&lt;&gt;"",'List chi tiet'!J17,"")</f>
        <v>3489.02</v>
      </c>
      <c r="J22" s="2" t="str">
        <f t="shared" si="1"/>
        <v>SC-VT1</v>
      </c>
      <c r="K22" s="2" t="str">
        <f t="shared" si="2"/>
        <v>SC-VT1</v>
      </c>
      <c r="L22" t="s">
        <v>154</v>
      </c>
      <c r="M22" t="s">
        <v>115</v>
      </c>
      <c r="N22" t="str">
        <f>IF('List chi tiet'!D17&lt;&gt;"",'List chi tiet'!D17,"")</f>
        <v>PIPE400X20</v>
      </c>
      <c r="O22" s="25"/>
      <c r="P22" s="36" t="str">
        <f>IF('List chi tiet'!Z17&lt;&gt;"",'List chi tiet'!Z17,"")</f>
        <v>LEVEL 46 - ROOF CROWN - SHIPMENT 1-GIA CONG UON ONG GIAO NHA MAY MIEN TRUNG</v>
      </c>
      <c r="Q22" s="26"/>
      <c r="R22" s="26" t="str">
        <f t="shared" si="3"/>
        <v>x</v>
      </c>
      <c r="S22" s="26" t="str">
        <f t="shared" si="4"/>
        <v/>
      </c>
      <c r="T22" s="26"/>
      <c r="U22" s="26" t="s">
        <v>152</v>
      </c>
      <c r="V22" s="26"/>
      <c r="W22" s="27">
        <f>IF('List chi tiet'!Q17&lt;&gt;"",'List chi tiet'!Q17,"")</f>
        <v>1</v>
      </c>
      <c r="X22" s="50">
        <f>IF('List chi tiet'!R17&lt;&gt;"",'List chi tiet'!R17,"")</f>
        <v>46269</v>
      </c>
      <c r="AB22" t="str">
        <f>IF('List chi tiet'!V17&lt;&gt;"",'List chi tiet'!V17,"")</f>
        <v>10726-040</v>
      </c>
      <c r="AC22" s="7" t="str">
        <f>IF('List chi tiet'!L17&lt;&gt;"",'List chi tiet'!L17,"")</f>
        <v>LSX-VT-BPI-TH-001</v>
      </c>
      <c r="AD22" s="2">
        <f>IF('List chi tiet'!K17&lt;&gt;"",'List chi tiet'!K17,"")</f>
        <v>12000</v>
      </c>
      <c r="AE22" s="89" t="str">
        <f>IF(LEN('List chi tiet'!$B$2)=0,"",'List chi tiet'!$B$2)</f>
        <v>10726-040 DG XK BPI HO REDEV SUPPLY MATERIAL</v>
      </c>
    </row>
    <row r="23" spans="1:31" ht="25.5" x14ac:dyDescent="0.25">
      <c r="A23" s="2">
        <f>IF('List chi tiet'!A18&lt;&gt;"",'List chi tiet'!A18,"")</f>
        <v>13</v>
      </c>
      <c r="B23" s="2" t="str">
        <f>IF('List chi tiet'!B18&lt;&gt;"",'List chi tiet'!B18,"")</f>
        <v>SS2063</v>
      </c>
      <c r="C23" s="55">
        <f>IF('List chi tiet'!E18&lt;&gt;"",'List chi tiet'!E18,"")</f>
        <v>20</v>
      </c>
      <c r="D23" s="55">
        <f>IF('List chi tiet'!F18&lt;&gt;"",'List chi tiet'!F18,"")</f>
        <v>400</v>
      </c>
      <c r="E23">
        <f>IF('List chi tiet'!G18&lt;&gt;"",'List chi tiet'!G18,"")</f>
        <v>10943</v>
      </c>
      <c r="F23" t="str">
        <f>IF('List chi tiet'!C18&lt;&gt;"",'List chi tiet'!C18,"")</f>
        <v>A500-GR.C</v>
      </c>
      <c r="G23" s="2" t="str">
        <f t="shared" si="0"/>
        <v>Pcs</v>
      </c>
      <c r="H23">
        <f>IF('List chi tiet'!H18&lt;&gt;"",'List chi tiet'!H18,"")</f>
        <v>2</v>
      </c>
      <c r="I23" s="56">
        <f>IF('List chi tiet'!J18&lt;&gt;"",'List chi tiet'!J18,"")</f>
        <v>4031.44</v>
      </c>
      <c r="J23" s="2" t="str">
        <f t="shared" si="1"/>
        <v>SC-VT1</v>
      </c>
      <c r="K23" s="2" t="str">
        <f t="shared" si="2"/>
        <v>SC-VT1</v>
      </c>
      <c r="L23" t="s">
        <v>154</v>
      </c>
      <c r="M23" t="s">
        <v>115</v>
      </c>
      <c r="N23" t="str">
        <f>IF('List chi tiet'!D18&lt;&gt;"",'List chi tiet'!D18,"")</f>
        <v>PIPE400X20</v>
      </c>
      <c r="O23" s="25"/>
      <c r="P23" s="36" t="str">
        <f>IF('List chi tiet'!Z18&lt;&gt;"",'List chi tiet'!Z18,"")</f>
        <v>LEVEL 46 - ROOF CROWN - SHIPMENT 1-GIA CONG UON ONG GIAO NHA MAY MIEN TRUNG</v>
      </c>
      <c r="Q23" s="26"/>
      <c r="R23" s="26" t="str">
        <f t="shared" si="3"/>
        <v>x</v>
      </c>
      <c r="S23" s="26" t="str">
        <f t="shared" si="4"/>
        <v/>
      </c>
      <c r="T23" s="26"/>
      <c r="U23" s="26" t="s">
        <v>152</v>
      </c>
      <c r="V23" s="26"/>
      <c r="W23" s="27">
        <f>IF('List chi tiet'!Q18&lt;&gt;"",'List chi tiet'!Q18,"")</f>
        <v>1</v>
      </c>
      <c r="X23" s="50">
        <f>IF('List chi tiet'!R18&lt;&gt;"",'List chi tiet'!R18,"")</f>
        <v>46269</v>
      </c>
      <c r="AB23" t="str">
        <f>IF('List chi tiet'!V18&lt;&gt;"",'List chi tiet'!V18,"")</f>
        <v>10726-040</v>
      </c>
      <c r="AC23" s="7" t="str">
        <f>IF('List chi tiet'!L18&lt;&gt;"",'List chi tiet'!L18,"")</f>
        <v>LSX-VT-BPI-TH-001</v>
      </c>
      <c r="AD23" s="2">
        <f>IF('List chi tiet'!K18&lt;&gt;"",'List chi tiet'!K18,"")</f>
        <v>12000</v>
      </c>
      <c r="AE23" s="89" t="str">
        <f>IF(LEN('List chi tiet'!$B$2)=0,"",'List chi tiet'!$B$2)</f>
        <v>10726-040 DG XK BPI HO REDEV SUPPLY MATERIAL</v>
      </c>
    </row>
    <row r="24" spans="1:31" ht="25.5" x14ac:dyDescent="0.25">
      <c r="A24" s="2">
        <f>IF('List chi tiet'!A19&lt;&gt;"",'List chi tiet'!A19,"")</f>
        <v>14</v>
      </c>
      <c r="B24" s="2" t="str">
        <f>IF('List chi tiet'!B19&lt;&gt;"",'List chi tiet'!B19,"")</f>
        <v>SS2062</v>
      </c>
      <c r="C24" s="55">
        <f>IF('List chi tiet'!E19&lt;&gt;"",'List chi tiet'!E19,"")</f>
        <v>20</v>
      </c>
      <c r="D24" s="55">
        <f>IF('List chi tiet'!F19&lt;&gt;"",'List chi tiet'!F19,"")</f>
        <v>400</v>
      </c>
      <c r="E24">
        <f>IF('List chi tiet'!G19&lt;&gt;"",'List chi tiet'!G19,"")</f>
        <v>7792</v>
      </c>
      <c r="F24" t="str">
        <f>IF('List chi tiet'!C19&lt;&gt;"",'List chi tiet'!C19,"")</f>
        <v>A500-GR.C</v>
      </c>
      <c r="G24" s="2" t="str">
        <f t="shared" si="0"/>
        <v>Pcs</v>
      </c>
      <c r="H24">
        <f>IF('List chi tiet'!H19&lt;&gt;"",'List chi tiet'!H19,"")</f>
        <v>2</v>
      </c>
      <c r="I24" s="56">
        <f>IF('List chi tiet'!J19&lt;&gt;"",'List chi tiet'!J19,"")</f>
        <v>2869.68</v>
      </c>
      <c r="J24" s="2" t="str">
        <f t="shared" si="1"/>
        <v>SC-VT1</v>
      </c>
      <c r="K24" s="2" t="str">
        <f t="shared" si="2"/>
        <v>SC-VT1</v>
      </c>
      <c r="L24" t="s">
        <v>154</v>
      </c>
      <c r="M24" t="s">
        <v>115</v>
      </c>
      <c r="N24" t="str">
        <f>IF('List chi tiet'!D19&lt;&gt;"",'List chi tiet'!D19,"")</f>
        <v>PIPE400X20</v>
      </c>
      <c r="O24" s="25"/>
      <c r="P24" s="36" t="str">
        <f>IF('List chi tiet'!Z19&lt;&gt;"",'List chi tiet'!Z19,"")</f>
        <v>LEVEL 46 - ROOF CROWN - SHIPMENT 1-GIA CONG UON ONG GIAO NHA MAY MIEN TRUNG</v>
      </c>
      <c r="Q24" s="26"/>
      <c r="R24" s="26" t="str">
        <f t="shared" si="3"/>
        <v>x</v>
      </c>
      <c r="S24" s="26" t="str">
        <f t="shared" si="4"/>
        <v/>
      </c>
      <c r="T24" s="26"/>
      <c r="U24" s="26" t="s">
        <v>152</v>
      </c>
      <c r="V24" s="26"/>
      <c r="W24" s="27">
        <f>IF('List chi tiet'!Q19&lt;&gt;"",'List chi tiet'!Q19,"")</f>
        <v>1</v>
      </c>
      <c r="X24" s="50">
        <f>IF('List chi tiet'!R19&lt;&gt;"",'List chi tiet'!R19,"")</f>
        <v>46269</v>
      </c>
      <c r="AB24" t="str">
        <f>IF('List chi tiet'!V19&lt;&gt;"",'List chi tiet'!V19,"")</f>
        <v>10726-040</v>
      </c>
      <c r="AC24" s="7" t="str">
        <f>IF('List chi tiet'!L19&lt;&gt;"",'List chi tiet'!L19,"")</f>
        <v>LSX-VT-BPI-TH-001</v>
      </c>
      <c r="AD24" s="2">
        <f>IF('List chi tiet'!K19&lt;&gt;"",'List chi tiet'!K19,"")</f>
        <v>12000</v>
      </c>
      <c r="AE24" s="89" t="str">
        <f>IF(LEN('List chi tiet'!$B$2)=0,"",'List chi tiet'!$B$2)</f>
        <v>10726-040 DG XK BPI HO REDEV SUPPLY MATERIAL</v>
      </c>
    </row>
    <row r="25" spans="1:31" ht="25.5" x14ac:dyDescent="0.25">
      <c r="A25" s="2">
        <f>IF('List chi tiet'!A20&lt;&gt;"",'List chi tiet'!A20,"")</f>
        <v>15</v>
      </c>
      <c r="B25" s="2" t="str">
        <f>IF('List chi tiet'!B20&lt;&gt;"",'List chi tiet'!B20,"")</f>
        <v>SS2416</v>
      </c>
      <c r="C25" s="55">
        <f>IF('List chi tiet'!E20&lt;&gt;"",'List chi tiet'!E20,"")</f>
        <v>20</v>
      </c>
      <c r="D25" s="55">
        <f>IF('List chi tiet'!F20&lt;&gt;"",'List chi tiet'!F20,"")</f>
        <v>400</v>
      </c>
      <c r="E25">
        <f>IF('List chi tiet'!G20&lt;&gt;"",'List chi tiet'!G20,"")</f>
        <v>952</v>
      </c>
      <c r="F25" t="str">
        <f>IF('List chi tiet'!C20&lt;&gt;"",'List chi tiet'!C20,"")</f>
        <v>A500-GR.C</v>
      </c>
      <c r="G25" s="2" t="str">
        <f t="shared" si="0"/>
        <v>Pcs</v>
      </c>
      <c r="H25">
        <f>IF('List chi tiet'!H20&lt;&gt;"",'List chi tiet'!H20,"")</f>
        <v>2</v>
      </c>
      <c r="I25" s="56">
        <f>IF('List chi tiet'!J20&lt;&gt;"",'List chi tiet'!J20,"")</f>
        <v>314.58</v>
      </c>
      <c r="J25" s="2" t="str">
        <f t="shared" si="1"/>
        <v>SC-VT1</v>
      </c>
      <c r="K25" s="2" t="str">
        <f t="shared" si="2"/>
        <v>SC-VT1</v>
      </c>
      <c r="L25" t="s">
        <v>154</v>
      </c>
      <c r="M25" t="s">
        <v>115</v>
      </c>
      <c r="N25" t="str">
        <f>IF('List chi tiet'!D20&lt;&gt;"",'List chi tiet'!D20,"")</f>
        <v>PIPE400X20</v>
      </c>
      <c r="O25" s="25"/>
      <c r="P25" s="36" t="str">
        <f>IF('List chi tiet'!Z20&lt;&gt;"",'List chi tiet'!Z20,"")</f>
        <v>LEVEL 46 - ROOF CROWN - SHIPMENT 1-GIA CONG UON ONG GIAO NHA MAY MIEN TRUNG</v>
      </c>
      <c r="Q25" s="26"/>
      <c r="R25" s="26" t="str">
        <f t="shared" si="3"/>
        <v>x</v>
      </c>
      <c r="S25" s="26" t="str">
        <f t="shared" si="4"/>
        <v/>
      </c>
      <c r="T25" s="26"/>
      <c r="U25" s="26" t="s">
        <v>152</v>
      </c>
      <c r="V25" s="26"/>
      <c r="W25" s="27">
        <f>IF('List chi tiet'!Q20&lt;&gt;"",'List chi tiet'!Q20,"")</f>
        <v>1</v>
      </c>
      <c r="X25" s="50">
        <f>IF('List chi tiet'!R20&lt;&gt;"",'List chi tiet'!R20,"")</f>
        <v>46269</v>
      </c>
      <c r="AB25" t="str">
        <f>IF('List chi tiet'!V20&lt;&gt;"",'List chi tiet'!V20,"")</f>
        <v>10726-040</v>
      </c>
      <c r="AC25" s="7" t="str">
        <f>IF('List chi tiet'!L20&lt;&gt;"",'List chi tiet'!L20,"")</f>
        <v>LSX-VT-BPI-TH-001</v>
      </c>
      <c r="AD25" s="2">
        <f>IF('List chi tiet'!K20&lt;&gt;"",'List chi tiet'!K20,"")</f>
        <v>12000</v>
      </c>
      <c r="AE25" s="89" t="str">
        <f>IF(LEN('List chi tiet'!$B$2)=0,"",'List chi tiet'!$B$2)</f>
        <v>10726-040 DG XK BPI HO REDEV SUPPLY MATERIAL</v>
      </c>
    </row>
    <row r="26" spans="1:31" ht="25.5" x14ac:dyDescent="0.25">
      <c r="A26" s="2">
        <f>IF('List chi tiet'!A21&lt;&gt;"",'List chi tiet'!A21,"")</f>
        <v>16</v>
      </c>
      <c r="B26" s="2" t="str">
        <f>IF('List chi tiet'!B21&lt;&gt;"",'List chi tiet'!B21,"")</f>
        <v>SS2286</v>
      </c>
      <c r="C26" s="55">
        <f>IF('List chi tiet'!E21&lt;&gt;"",'List chi tiet'!E21,"")</f>
        <v>20</v>
      </c>
      <c r="D26" s="55">
        <f>IF('List chi tiet'!F21&lt;&gt;"",'List chi tiet'!F21,"")</f>
        <v>400</v>
      </c>
      <c r="E26">
        <f>IF('List chi tiet'!G21&lt;&gt;"",'List chi tiet'!G21,"")</f>
        <v>796</v>
      </c>
      <c r="F26" t="str">
        <f>IF('List chi tiet'!C21&lt;&gt;"",'List chi tiet'!C21,"")</f>
        <v>A500-GR.C</v>
      </c>
      <c r="G26" s="2" t="str">
        <f t="shared" si="0"/>
        <v>Pcs</v>
      </c>
      <c r="H26">
        <f>IF('List chi tiet'!H21&lt;&gt;"",'List chi tiet'!H21,"")</f>
        <v>2</v>
      </c>
      <c r="I26" s="56">
        <f>IF('List chi tiet'!J21&lt;&gt;"",'List chi tiet'!J21,"")</f>
        <v>289.16000000000003</v>
      </c>
      <c r="J26" s="2" t="str">
        <f t="shared" si="1"/>
        <v>SC-VT1</v>
      </c>
      <c r="K26" s="2" t="str">
        <f t="shared" si="2"/>
        <v>SC-VT1</v>
      </c>
      <c r="L26" t="s">
        <v>154</v>
      </c>
      <c r="M26" t="s">
        <v>115</v>
      </c>
      <c r="N26" t="str">
        <f>IF('List chi tiet'!D21&lt;&gt;"",'List chi tiet'!D21,"")</f>
        <v>PIPE400X20</v>
      </c>
      <c r="O26" s="25"/>
      <c r="P26" s="36" t="str">
        <f>IF('List chi tiet'!Z21&lt;&gt;"",'List chi tiet'!Z21,"")</f>
        <v>LEVEL 46 - ROOF CROWN - SHIPMENT 1-GIA CONG UON ONG GIAO NHA MAY MIEN TRUNG</v>
      </c>
      <c r="Q26" s="26"/>
      <c r="R26" s="26" t="str">
        <f t="shared" si="3"/>
        <v>x</v>
      </c>
      <c r="S26" s="26" t="str">
        <f t="shared" si="4"/>
        <v/>
      </c>
      <c r="T26" s="26"/>
      <c r="U26" s="26" t="s">
        <v>152</v>
      </c>
      <c r="V26" s="26"/>
      <c r="W26" s="27">
        <f>IF('List chi tiet'!Q21&lt;&gt;"",'List chi tiet'!Q21,"")</f>
        <v>1</v>
      </c>
      <c r="X26" s="50">
        <f>IF('List chi tiet'!R21&lt;&gt;"",'List chi tiet'!R21,"")</f>
        <v>46269</v>
      </c>
      <c r="AB26" t="str">
        <f>IF('List chi tiet'!V21&lt;&gt;"",'List chi tiet'!V21,"")</f>
        <v>10726-040</v>
      </c>
      <c r="AC26" s="7" t="str">
        <f>IF('List chi tiet'!L21&lt;&gt;"",'List chi tiet'!L21,"")</f>
        <v>LSX-VT-BPI-TH-001</v>
      </c>
      <c r="AD26" s="2">
        <f>IF('List chi tiet'!K21&lt;&gt;"",'List chi tiet'!K21,"")</f>
        <v>12000</v>
      </c>
      <c r="AE26" s="89" t="str">
        <f>IF(LEN('List chi tiet'!$B$2)=0,"",'List chi tiet'!$B$2)</f>
        <v>10726-040 DG XK BPI HO REDEV SUPPLY MATERIAL</v>
      </c>
    </row>
    <row r="27" spans="1:31" ht="25.5" x14ac:dyDescent="0.25">
      <c r="A27" s="2">
        <f>IF('List chi tiet'!A22&lt;&gt;"",'List chi tiet'!A22,"")</f>
        <v>17</v>
      </c>
      <c r="B27" s="2" t="str">
        <f>IF('List chi tiet'!B22&lt;&gt;"",'List chi tiet'!B22,"")</f>
        <v>SS2050</v>
      </c>
      <c r="C27" s="55">
        <f>IF('List chi tiet'!E22&lt;&gt;"",'List chi tiet'!E22,"")</f>
        <v>20</v>
      </c>
      <c r="D27" s="55">
        <f>IF('List chi tiet'!F22&lt;&gt;"",'List chi tiet'!F22,"")</f>
        <v>400</v>
      </c>
      <c r="E27">
        <f>IF('List chi tiet'!G22&lt;&gt;"",'List chi tiet'!G22,"")</f>
        <v>8860</v>
      </c>
      <c r="F27" t="str">
        <f>IF('List chi tiet'!C22&lt;&gt;"",'List chi tiet'!C22,"")</f>
        <v>A500-GR.C</v>
      </c>
      <c r="G27" s="2" t="str">
        <f t="shared" si="0"/>
        <v>Pcs</v>
      </c>
      <c r="H27">
        <f>IF('List chi tiet'!H22&lt;&gt;"",'List chi tiet'!H22,"")</f>
        <v>2</v>
      </c>
      <c r="I27" s="56">
        <f>IF('List chi tiet'!J22&lt;&gt;"",'List chi tiet'!J22,"")</f>
        <v>3263.3</v>
      </c>
      <c r="J27" s="2" t="str">
        <f t="shared" si="1"/>
        <v>SC-VT1</v>
      </c>
      <c r="K27" s="2" t="str">
        <f t="shared" si="2"/>
        <v>SC-VT1</v>
      </c>
      <c r="L27" t="s">
        <v>154</v>
      </c>
      <c r="M27" t="s">
        <v>115</v>
      </c>
      <c r="N27" t="str">
        <f>IF('List chi tiet'!D22&lt;&gt;"",'List chi tiet'!D22,"")</f>
        <v>PIPE400X20</v>
      </c>
      <c r="O27" s="25"/>
      <c r="P27" s="36" t="str">
        <f>IF('List chi tiet'!Z22&lt;&gt;"",'List chi tiet'!Z22,"")</f>
        <v>LEVEL 46 - ROOF CROWN - SHIPMENT 1-GIA CONG UON ONG GIAO NHA MAY MIEN TRUNG</v>
      </c>
      <c r="Q27" s="26"/>
      <c r="R27" s="26" t="str">
        <f t="shared" si="3"/>
        <v>x</v>
      </c>
      <c r="S27" s="26" t="str">
        <f t="shared" si="4"/>
        <v/>
      </c>
      <c r="T27" s="26"/>
      <c r="U27" s="26" t="s">
        <v>152</v>
      </c>
      <c r="V27" s="26"/>
      <c r="W27" s="27">
        <f>IF('List chi tiet'!Q22&lt;&gt;"",'List chi tiet'!Q22,"")</f>
        <v>1</v>
      </c>
      <c r="X27" s="50">
        <f>IF('List chi tiet'!R22&lt;&gt;"",'List chi tiet'!R22,"")</f>
        <v>46269</v>
      </c>
      <c r="AB27" t="str">
        <f>IF('List chi tiet'!V22&lt;&gt;"",'List chi tiet'!V22,"")</f>
        <v>10726-040</v>
      </c>
      <c r="AC27" s="7" t="str">
        <f>IF('List chi tiet'!L22&lt;&gt;"",'List chi tiet'!L22,"")</f>
        <v>LSX-VT-BPI-TH-001</v>
      </c>
      <c r="AD27" s="2">
        <f>IF('List chi tiet'!K22&lt;&gt;"",'List chi tiet'!K22,"")</f>
        <v>12000</v>
      </c>
      <c r="AE27" s="89" t="str">
        <f>IF(LEN('List chi tiet'!$B$2)=0,"",'List chi tiet'!$B$2)</f>
        <v>10726-040 DG XK BPI HO REDEV SUPPLY MATERIAL</v>
      </c>
    </row>
    <row r="28" spans="1:31" ht="25.5" x14ac:dyDescent="0.25">
      <c r="A28" s="2">
        <f>IF('List chi tiet'!A23&lt;&gt;"",'List chi tiet'!A23,"")</f>
        <v>18</v>
      </c>
      <c r="B28" s="2" t="str">
        <f>IF('List chi tiet'!B23&lt;&gt;"",'List chi tiet'!B23,"")</f>
        <v>SS2394</v>
      </c>
      <c r="C28" s="55">
        <f>IF('List chi tiet'!E23&lt;&gt;"",'List chi tiet'!E23,"")</f>
        <v>20</v>
      </c>
      <c r="D28" s="55">
        <f>IF('List chi tiet'!F23&lt;&gt;"",'List chi tiet'!F23,"")</f>
        <v>400</v>
      </c>
      <c r="E28">
        <f>IF('List chi tiet'!G23&lt;&gt;"",'List chi tiet'!G23,"")</f>
        <v>1184</v>
      </c>
      <c r="F28" t="str">
        <f>IF('List chi tiet'!C23&lt;&gt;"",'List chi tiet'!C23,"")</f>
        <v>A500-GR.C</v>
      </c>
      <c r="G28" s="2" t="str">
        <f t="shared" si="0"/>
        <v>Pcs</v>
      </c>
      <c r="H28">
        <f>IF('List chi tiet'!H23&lt;&gt;"",'List chi tiet'!H23,"")</f>
        <v>2</v>
      </c>
      <c r="I28" s="56">
        <f>IF('List chi tiet'!J23&lt;&gt;"",'List chi tiet'!J23,"")</f>
        <v>412.94</v>
      </c>
      <c r="J28" s="2" t="str">
        <f t="shared" si="1"/>
        <v>SC-VT1</v>
      </c>
      <c r="K28" s="2" t="str">
        <f t="shared" si="2"/>
        <v>SC-VT1</v>
      </c>
      <c r="L28" t="s">
        <v>154</v>
      </c>
      <c r="M28" t="s">
        <v>115</v>
      </c>
      <c r="N28" t="str">
        <f>IF('List chi tiet'!D23&lt;&gt;"",'List chi tiet'!D23,"")</f>
        <v>PIPE400X20</v>
      </c>
      <c r="O28" s="25"/>
      <c r="P28" s="36" t="str">
        <f>IF('List chi tiet'!Z23&lt;&gt;"",'List chi tiet'!Z23,"")</f>
        <v>LEVEL 46 - ROOF CROWN - SHIPMENT 1-GIA CONG UON ONG GIAO NHA MAY MIEN TRUNG</v>
      </c>
      <c r="Q28" s="26"/>
      <c r="R28" s="26" t="str">
        <f t="shared" si="3"/>
        <v>x</v>
      </c>
      <c r="S28" s="26" t="str">
        <f t="shared" si="4"/>
        <v/>
      </c>
      <c r="T28" s="26"/>
      <c r="U28" s="26" t="s">
        <v>152</v>
      </c>
      <c r="V28" s="26"/>
      <c r="W28" s="27">
        <f>IF('List chi tiet'!Q23&lt;&gt;"",'List chi tiet'!Q23,"")</f>
        <v>1</v>
      </c>
      <c r="X28" s="50">
        <f>IF('List chi tiet'!R23&lt;&gt;"",'List chi tiet'!R23,"")</f>
        <v>46269</v>
      </c>
      <c r="AB28" t="str">
        <f>IF('List chi tiet'!V23&lt;&gt;"",'List chi tiet'!V23,"")</f>
        <v>10726-040</v>
      </c>
      <c r="AC28" s="7" t="str">
        <f>IF('List chi tiet'!L23&lt;&gt;"",'List chi tiet'!L23,"")</f>
        <v>LSX-VT-BPI-TH-001</v>
      </c>
      <c r="AD28" s="2">
        <f>IF('List chi tiet'!K23&lt;&gt;"",'List chi tiet'!K23,"")</f>
        <v>12000</v>
      </c>
      <c r="AE28" s="89" t="str">
        <f>IF(LEN('List chi tiet'!$B$2)=0,"",'List chi tiet'!$B$2)</f>
        <v>10726-040 DG XK BPI HO REDEV SUPPLY MATERIAL</v>
      </c>
    </row>
    <row r="29" spans="1:31" ht="25.5" x14ac:dyDescent="0.25">
      <c r="A29" s="2">
        <f>IF('List chi tiet'!A24&lt;&gt;"",'List chi tiet'!A24,"")</f>
        <v>19</v>
      </c>
      <c r="B29" s="2" t="str">
        <f>IF('List chi tiet'!B24&lt;&gt;"",'List chi tiet'!B24,"")</f>
        <v>SS2409</v>
      </c>
      <c r="C29" s="55">
        <f>IF('List chi tiet'!E24&lt;&gt;"",'List chi tiet'!E24,"")</f>
        <v>20</v>
      </c>
      <c r="D29" s="55">
        <f>IF('List chi tiet'!F24&lt;&gt;"",'List chi tiet'!F24,"")</f>
        <v>400</v>
      </c>
      <c r="E29">
        <f>IF('List chi tiet'!G24&lt;&gt;"",'List chi tiet'!G24,"")</f>
        <v>1078</v>
      </c>
      <c r="F29" t="str">
        <f>IF('List chi tiet'!C24&lt;&gt;"",'List chi tiet'!C24,"")</f>
        <v>A500-GR.C</v>
      </c>
      <c r="G29" s="2" t="str">
        <f t="shared" si="0"/>
        <v>Pcs</v>
      </c>
      <c r="H29">
        <f>IF('List chi tiet'!H24&lt;&gt;"",'List chi tiet'!H24,"")</f>
        <v>1</v>
      </c>
      <c r="I29" s="56">
        <f>IF('List chi tiet'!J24&lt;&gt;"",'List chi tiet'!J24,"")</f>
        <v>161.5</v>
      </c>
      <c r="J29" s="2" t="str">
        <f t="shared" si="1"/>
        <v>SC-VT1</v>
      </c>
      <c r="K29" s="2" t="str">
        <f t="shared" si="2"/>
        <v>SC-VT1</v>
      </c>
      <c r="L29" t="s">
        <v>154</v>
      </c>
      <c r="M29" t="s">
        <v>115</v>
      </c>
      <c r="N29" t="str">
        <f>IF('List chi tiet'!D24&lt;&gt;"",'List chi tiet'!D24,"")</f>
        <v>PIPE400X20</v>
      </c>
      <c r="O29" s="25"/>
      <c r="P29" s="36" t="str">
        <f>IF('List chi tiet'!Z24&lt;&gt;"",'List chi tiet'!Z24,"")</f>
        <v>LEVEL 46 - ROOF CROWN - SHIPMENT 1-GIA CONG UON ONG GIAO NHA MAY MIEN TRUNG</v>
      </c>
      <c r="Q29" s="26"/>
      <c r="R29" s="26" t="str">
        <f t="shared" si="3"/>
        <v>x</v>
      </c>
      <c r="S29" s="26" t="str">
        <f t="shared" si="4"/>
        <v/>
      </c>
      <c r="T29" s="26"/>
      <c r="U29" s="26" t="s">
        <v>152</v>
      </c>
      <c r="V29" s="26"/>
      <c r="W29" s="27">
        <f>IF('List chi tiet'!Q24&lt;&gt;"",'List chi tiet'!Q24,"")</f>
        <v>1</v>
      </c>
      <c r="X29" s="50">
        <f>IF('List chi tiet'!R24&lt;&gt;"",'List chi tiet'!R24,"")</f>
        <v>46269</v>
      </c>
      <c r="AB29" t="str">
        <f>IF('List chi tiet'!V24&lt;&gt;"",'List chi tiet'!V24,"")</f>
        <v>10726-040</v>
      </c>
      <c r="AC29" s="7" t="str">
        <f>IF('List chi tiet'!L24&lt;&gt;"",'List chi tiet'!L24,"")</f>
        <v>LSX-VT-BPI-TH-001</v>
      </c>
      <c r="AD29" s="2">
        <f>IF('List chi tiet'!K24&lt;&gt;"",'List chi tiet'!K24,"")</f>
        <v>12000</v>
      </c>
      <c r="AE29" s="89" t="str">
        <f>IF(LEN('List chi tiet'!$B$2)=0,"",'List chi tiet'!$B$2)</f>
        <v>10726-040 DG XK BPI HO REDEV SUPPLY MATERIAL</v>
      </c>
    </row>
    <row r="30" spans="1:31" ht="25.5" x14ac:dyDescent="0.25">
      <c r="A30" s="2">
        <f>IF('List chi tiet'!A25&lt;&gt;"",'List chi tiet'!A25,"")</f>
        <v>20</v>
      </c>
      <c r="B30" s="2" t="str">
        <f>IF('List chi tiet'!B25&lt;&gt;"",'List chi tiet'!B25,"")</f>
        <v>SS2408</v>
      </c>
      <c r="C30" s="55">
        <f>IF('List chi tiet'!E25&lt;&gt;"",'List chi tiet'!E25,"")</f>
        <v>20</v>
      </c>
      <c r="D30" s="55">
        <f>IF('List chi tiet'!F25&lt;&gt;"",'List chi tiet'!F25,"")</f>
        <v>400</v>
      </c>
      <c r="E30">
        <f>IF('List chi tiet'!G25&lt;&gt;"",'List chi tiet'!G25,"")</f>
        <v>1078</v>
      </c>
      <c r="F30" t="str">
        <f>IF('List chi tiet'!C25&lt;&gt;"",'List chi tiet'!C25,"")</f>
        <v>A500-GR.C</v>
      </c>
      <c r="G30" s="2" t="str">
        <f t="shared" si="0"/>
        <v>Pcs</v>
      </c>
      <c r="H30">
        <f>IF('List chi tiet'!H25&lt;&gt;"",'List chi tiet'!H25,"")</f>
        <v>1</v>
      </c>
      <c r="I30" s="56">
        <f>IF('List chi tiet'!J25&lt;&gt;"",'List chi tiet'!J25,"")</f>
        <v>161.5</v>
      </c>
      <c r="J30" s="2" t="str">
        <f t="shared" si="1"/>
        <v>SC-VT1</v>
      </c>
      <c r="K30" s="2" t="str">
        <f t="shared" si="2"/>
        <v>SC-VT1</v>
      </c>
      <c r="L30" t="s">
        <v>154</v>
      </c>
      <c r="M30" t="s">
        <v>115</v>
      </c>
      <c r="N30" t="str">
        <f>IF('List chi tiet'!D25&lt;&gt;"",'List chi tiet'!D25,"")</f>
        <v>PIPE400X20</v>
      </c>
      <c r="O30" s="25"/>
      <c r="P30" s="36" t="str">
        <f>IF('List chi tiet'!Z25&lt;&gt;"",'List chi tiet'!Z25,"")</f>
        <v>LEVEL 46 - ROOF CROWN - SHIPMENT 1-GIA CONG UON ONG GIAO NHA MAY MIEN TRUNG</v>
      </c>
      <c r="Q30" s="26"/>
      <c r="R30" s="26" t="str">
        <f t="shared" si="3"/>
        <v>x</v>
      </c>
      <c r="S30" s="26" t="str">
        <f t="shared" si="4"/>
        <v/>
      </c>
      <c r="T30" s="26"/>
      <c r="U30" s="26" t="s">
        <v>152</v>
      </c>
      <c r="V30" s="26"/>
      <c r="W30" s="27">
        <f>IF('List chi tiet'!Q25&lt;&gt;"",'List chi tiet'!Q25,"")</f>
        <v>1</v>
      </c>
      <c r="X30" s="50">
        <f>IF('List chi tiet'!R25&lt;&gt;"",'List chi tiet'!R25,"")</f>
        <v>46269</v>
      </c>
      <c r="AB30" t="str">
        <f>IF('List chi tiet'!V25&lt;&gt;"",'List chi tiet'!V25,"")</f>
        <v>10726-040</v>
      </c>
      <c r="AC30" s="7" t="str">
        <f>IF('List chi tiet'!L25&lt;&gt;"",'List chi tiet'!L25,"")</f>
        <v>LSX-VT-BPI-TH-001</v>
      </c>
      <c r="AD30" s="2">
        <f>IF('List chi tiet'!K25&lt;&gt;"",'List chi tiet'!K25,"")</f>
        <v>12000</v>
      </c>
      <c r="AE30" s="89" t="str">
        <f>IF(LEN('List chi tiet'!$B$2)=0,"",'List chi tiet'!$B$2)</f>
        <v>10726-040 DG XK BPI HO REDEV SUPPLY MATERIAL</v>
      </c>
    </row>
    <row r="31" spans="1:31" ht="25.5" x14ac:dyDescent="0.25">
      <c r="A31" s="2">
        <f>IF('List chi tiet'!A26&lt;&gt;"",'List chi tiet'!A26,"")</f>
        <v>21</v>
      </c>
      <c r="B31" s="2" t="str">
        <f>IF('List chi tiet'!B26&lt;&gt;"",'List chi tiet'!B26,"")</f>
        <v>SS2053</v>
      </c>
      <c r="C31" s="55">
        <f>IF('List chi tiet'!E26&lt;&gt;"",'List chi tiet'!E26,"")</f>
        <v>20</v>
      </c>
      <c r="D31" s="55">
        <f>IF('List chi tiet'!F26&lt;&gt;"",'List chi tiet'!F26,"")</f>
        <v>400</v>
      </c>
      <c r="E31">
        <f>IF('List chi tiet'!G26&lt;&gt;"",'List chi tiet'!G26,"")</f>
        <v>8638</v>
      </c>
      <c r="F31" t="str">
        <f>IF('List chi tiet'!C26&lt;&gt;"",'List chi tiet'!C26,"")</f>
        <v>A500-GR.C</v>
      </c>
      <c r="G31" s="2" t="str">
        <f t="shared" si="0"/>
        <v>Pcs</v>
      </c>
      <c r="H31">
        <f>IF('List chi tiet'!H26&lt;&gt;"",'List chi tiet'!H26,"")</f>
        <v>2</v>
      </c>
      <c r="I31" s="56">
        <f>IF('List chi tiet'!J26&lt;&gt;"",'List chi tiet'!J26,"")</f>
        <v>3188.92</v>
      </c>
      <c r="J31" s="2" t="str">
        <f t="shared" si="1"/>
        <v>SC-VT1</v>
      </c>
      <c r="K31" s="2" t="str">
        <f t="shared" si="2"/>
        <v>SC-VT1</v>
      </c>
      <c r="L31" t="s">
        <v>154</v>
      </c>
      <c r="M31" t="s">
        <v>115</v>
      </c>
      <c r="N31" t="str">
        <f>IF('List chi tiet'!D26&lt;&gt;"",'List chi tiet'!D26,"")</f>
        <v>PIPE400X20</v>
      </c>
      <c r="O31" s="25"/>
      <c r="P31" s="36" t="str">
        <f>IF('List chi tiet'!Z26&lt;&gt;"",'List chi tiet'!Z26,"")</f>
        <v>LEVEL 46 - ROOF CROWN - SHIPMENT 1-GIA CONG UON ONG GIAO NHA MAY MIEN TRUNG</v>
      </c>
      <c r="Q31" s="26"/>
      <c r="R31" s="26" t="str">
        <f t="shared" si="3"/>
        <v>x</v>
      </c>
      <c r="S31" s="26" t="str">
        <f t="shared" si="4"/>
        <v/>
      </c>
      <c r="T31" s="26"/>
      <c r="U31" s="26" t="s">
        <v>152</v>
      </c>
      <c r="V31" s="26"/>
      <c r="W31" s="27">
        <f>IF('List chi tiet'!Q26&lt;&gt;"",'List chi tiet'!Q26,"")</f>
        <v>1</v>
      </c>
      <c r="X31" s="50">
        <f>IF('List chi tiet'!R26&lt;&gt;"",'List chi tiet'!R26,"")</f>
        <v>46269</v>
      </c>
      <c r="AB31" t="str">
        <f>IF('List chi tiet'!V26&lt;&gt;"",'List chi tiet'!V26,"")</f>
        <v>10726-040</v>
      </c>
      <c r="AC31" s="7" t="str">
        <f>IF('List chi tiet'!L26&lt;&gt;"",'List chi tiet'!L26,"")</f>
        <v>LSX-VT-BPI-TH-001</v>
      </c>
      <c r="AD31" s="2">
        <f>IF('List chi tiet'!K26&lt;&gt;"",'List chi tiet'!K26,"")</f>
        <v>12000</v>
      </c>
      <c r="AE31" s="89" t="str">
        <f>IF(LEN('List chi tiet'!$B$2)=0,"",'List chi tiet'!$B$2)</f>
        <v>10726-040 DG XK BPI HO REDEV SUPPLY MATERIAL</v>
      </c>
    </row>
    <row r="32" spans="1:31" ht="25.5" x14ac:dyDescent="0.25">
      <c r="A32" s="2">
        <f>IF('List chi tiet'!A27&lt;&gt;"",'List chi tiet'!A27,"")</f>
        <v>22</v>
      </c>
      <c r="B32" s="2" t="str">
        <f>IF('List chi tiet'!B27&lt;&gt;"",'List chi tiet'!B27,"")</f>
        <v>SS2052</v>
      </c>
      <c r="C32" s="55">
        <f>IF('List chi tiet'!E27&lt;&gt;"",'List chi tiet'!E27,"")</f>
        <v>20</v>
      </c>
      <c r="D32" s="55">
        <f>IF('List chi tiet'!F27&lt;&gt;"",'List chi tiet'!F27,"")</f>
        <v>400</v>
      </c>
      <c r="E32">
        <f>IF('List chi tiet'!G27&lt;&gt;"",'List chi tiet'!G27,"")</f>
        <v>9619</v>
      </c>
      <c r="F32" t="str">
        <f>IF('List chi tiet'!C27&lt;&gt;"",'List chi tiet'!C27,"")</f>
        <v>A500-GR.C</v>
      </c>
      <c r="G32" s="2" t="str">
        <f t="shared" si="0"/>
        <v>Pcs</v>
      </c>
      <c r="H32">
        <f>IF('List chi tiet'!H27&lt;&gt;"",'List chi tiet'!H27,"")</f>
        <v>2</v>
      </c>
      <c r="I32" s="56">
        <f>IF('List chi tiet'!J27&lt;&gt;"",'List chi tiet'!J27,"")</f>
        <v>3551.34</v>
      </c>
      <c r="J32" s="2" t="str">
        <f t="shared" si="1"/>
        <v>SC-VT1</v>
      </c>
      <c r="K32" s="2" t="str">
        <f t="shared" si="2"/>
        <v>SC-VT1</v>
      </c>
      <c r="L32" t="s">
        <v>154</v>
      </c>
      <c r="M32" t="s">
        <v>115</v>
      </c>
      <c r="N32" t="str">
        <f>IF('List chi tiet'!D27&lt;&gt;"",'List chi tiet'!D27,"")</f>
        <v>PIPE400X20</v>
      </c>
      <c r="O32" s="25"/>
      <c r="P32" s="36" t="str">
        <f>IF('List chi tiet'!Z27&lt;&gt;"",'List chi tiet'!Z27,"")</f>
        <v>LEVEL 46 - ROOF CROWN - SHIPMENT 1-GIA CONG UON ONG GIAO NHA MAY MIEN TRUNG</v>
      </c>
      <c r="Q32" s="26"/>
      <c r="R32" s="26" t="str">
        <f t="shared" si="3"/>
        <v>x</v>
      </c>
      <c r="S32" s="26" t="str">
        <f t="shared" si="4"/>
        <v/>
      </c>
      <c r="T32" s="26"/>
      <c r="U32" s="26" t="s">
        <v>152</v>
      </c>
      <c r="V32" s="26"/>
      <c r="W32" s="27">
        <f>IF('List chi tiet'!Q27&lt;&gt;"",'List chi tiet'!Q27,"")</f>
        <v>1</v>
      </c>
      <c r="X32" s="50">
        <f>IF('List chi tiet'!R27&lt;&gt;"",'List chi tiet'!R27,"")</f>
        <v>46269</v>
      </c>
      <c r="AB32" t="str">
        <f>IF('List chi tiet'!V27&lt;&gt;"",'List chi tiet'!V27,"")</f>
        <v>10726-040</v>
      </c>
      <c r="AC32" s="7" t="str">
        <f>IF('List chi tiet'!L27&lt;&gt;"",'List chi tiet'!L27,"")</f>
        <v>LSX-VT-BPI-TH-001</v>
      </c>
      <c r="AD32" s="2">
        <f>IF('List chi tiet'!K27&lt;&gt;"",'List chi tiet'!K27,"")</f>
        <v>12000</v>
      </c>
      <c r="AE32" s="89" t="str">
        <f>IF(LEN('List chi tiet'!$B$2)=0,"",'List chi tiet'!$B$2)</f>
        <v>10726-040 DG XK BPI HO REDEV SUPPLY MATERIAL</v>
      </c>
    </row>
    <row r="33" spans="1:31" ht="25.5" x14ac:dyDescent="0.25">
      <c r="A33" s="2">
        <f>IF('List chi tiet'!A28&lt;&gt;"",'List chi tiet'!A28,"")</f>
        <v>23</v>
      </c>
      <c r="B33" s="2" t="str">
        <f>IF('List chi tiet'!B28&lt;&gt;"",'List chi tiet'!B28,"")</f>
        <v>SS2051</v>
      </c>
      <c r="C33" s="55">
        <f>IF('List chi tiet'!E28&lt;&gt;"",'List chi tiet'!E28,"")</f>
        <v>20</v>
      </c>
      <c r="D33" s="55">
        <f>IF('List chi tiet'!F28&lt;&gt;"",'List chi tiet'!F28,"")</f>
        <v>400</v>
      </c>
      <c r="E33">
        <f>IF('List chi tiet'!G28&lt;&gt;"",'List chi tiet'!G28,"")</f>
        <v>8829</v>
      </c>
      <c r="F33" t="str">
        <f>IF('List chi tiet'!C28&lt;&gt;"",'List chi tiet'!C28,"")</f>
        <v>A500-GR.C</v>
      </c>
      <c r="G33" s="2" t="str">
        <f t="shared" si="0"/>
        <v>Pcs</v>
      </c>
      <c r="H33">
        <f>IF('List chi tiet'!H28&lt;&gt;"",'List chi tiet'!H28,"")</f>
        <v>2</v>
      </c>
      <c r="I33" s="56">
        <f>IF('List chi tiet'!J28&lt;&gt;"",'List chi tiet'!J28,"")</f>
        <v>3259.44</v>
      </c>
      <c r="J33" s="2" t="str">
        <f t="shared" si="1"/>
        <v>SC-VT1</v>
      </c>
      <c r="K33" s="2" t="str">
        <f t="shared" si="2"/>
        <v>SC-VT1</v>
      </c>
      <c r="L33" t="s">
        <v>154</v>
      </c>
      <c r="M33" t="s">
        <v>115</v>
      </c>
      <c r="N33" t="str">
        <f>IF('List chi tiet'!D28&lt;&gt;"",'List chi tiet'!D28,"")</f>
        <v>PIPE400X20</v>
      </c>
      <c r="O33" s="25"/>
      <c r="P33" s="36" t="str">
        <f>IF('List chi tiet'!Z28&lt;&gt;"",'List chi tiet'!Z28,"")</f>
        <v>LEVEL 46 - ROOF CROWN - SHIPMENT 1-GIA CONG UON ONG GIAO NHA MAY MIEN TRUNG</v>
      </c>
      <c r="Q33" s="26"/>
      <c r="R33" s="26" t="str">
        <f t="shared" si="3"/>
        <v>x</v>
      </c>
      <c r="S33" s="26" t="str">
        <f t="shared" si="4"/>
        <v/>
      </c>
      <c r="T33" s="26"/>
      <c r="U33" s="26" t="s">
        <v>152</v>
      </c>
      <c r="V33" s="26"/>
      <c r="W33" s="27">
        <f>IF('List chi tiet'!Q28&lt;&gt;"",'List chi tiet'!Q28,"")</f>
        <v>1</v>
      </c>
      <c r="X33" s="50">
        <f>IF('List chi tiet'!R28&lt;&gt;"",'List chi tiet'!R28,"")</f>
        <v>46269</v>
      </c>
      <c r="AB33" t="str">
        <f>IF('List chi tiet'!V28&lt;&gt;"",'List chi tiet'!V28,"")</f>
        <v>10726-040</v>
      </c>
      <c r="AC33" s="7" t="str">
        <f>IF('List chi tiet'!L28&lt;&gt;"",'List chi tiet'!L28,"")</f>
        <v>LSX-VT-BPI-TH-001</v>
      </c>
      <c r="AD33" s="2">
        <f>IF('List chi tiet'!K28&lt;&gt;"",'List chi tiet'!K28,"")</f>
        <v>12000</v>
      </c>
      <c r="AE33" s="89" t="str">
        <f>IF(LEN('List chi tiet'!$B$2)=0,"",'List chi tiet'!$B$2)</f>
        <v>10726-040 DG XK BPI HO REDEV SUPPLY MATERIAL</v>
      </c>
    </row>
    <row r="34" spans="1:31" ht="25.5" x14ac:dyDescent="0.25">
      <c r="A34" s="2">
        <f>IF('List chi tiet'!A29&lt;&gt;"",'List chi tiet'!A29,"")</f>
        <v>24</v>
      </c>
      <c r="B34" s="2" t="str">
        <f>IF('List chi tiet'!B29&lt;&gt;"",'List chi tiet'!B29,"")</f>
        <v>SS2391</v>
      </c>
      <c r="C34" s="55">
        <f>IF('List chi tiet'!E29&lt;&gt;"",'List chi tiet'!E29,"")</f>
        <v>20</v>
      </c>
      <c r="D34" s="55">
        <f>IF('List chi tiet'!F29&lt;&gt;"",'List chi tiet'!F29,"")</f>
        <v>400</v>
      </c>
      <c r="E34">
        <f>IF('List chi tiet'!G29&lt;&gt;"",'List chi tiet'!G29,"")</f>
        <v>1080</v>
      </c>
      <c r="F34" t="str">
        <f>IF('List chi tiet'!C29&lt;&gt;"",'List chi tiet'!C29,"")</f>
        <v>A500-GR.C</v>
      </c>
      <c r="G34" s="2" t="str">
        <f t="shared" si="0"/>
        <v>Pcs</v>
      </c>
      <c r="H34">
        <f>IF('List chi tiet'!H29&lt;&gt;"",'List chi tiet'!H29,"")</f>
        <v>2</v>
      </c>
      <c r="I34" s="56">
        <f>IF('List chi tiet'!J29&lt;&gt;"",'List chi tiet'!J29,"")</f>
        <v>374.98</v>
      </c>
      <c r="J34" s="2" t="str">
        <f t="shared" si="1"/>
        <v>SC-VT1</v>
      </c>
      <c r="K34" s="2" t="str">
        <f t="shared" si="2"/>
        <v>SC-VT1</v>
      </c>
      <c r="L34" t="s">
        <v>154</v>
      </c>
      <c r="M34" t="s">
        <v>115</v>
      </c>
      <c r="N34" t="str">
        <f>IF('List chi tiet'!D29&lt;&gt;"",'List chi tiet'!D29,"")</f>
        <v>PIPE400X20</v>
      </c>
      <c r="O34" s="25"/>
      <c r="P34" s="36" t="str">
        <f>IF('List chi tiet'!Z29&lt;&gt;"",'List chi tiet'!Z29,"")</f>
        <v>LEVEL 46 - ROOF CROWN - SHIPMENT 1-GIA CONG UON ONG GIAO NHA MAY MIEN TRUNG</v>
      </c>
      <c r="Q34" s="26"/>
      <c r="R34" s="26" t="str">
        <f t="shared" si="3"/>
        <v>x</v>
      </c>
      <c r="S34" s="26" t="str">
        <f t="shared" si="4"/>
        <v/>
      </c>
      <c r="T34" s="26"/>
      <c r="U34" s="26" t="s">
        <v>152</v>
      </c>
      <c r="V34" s="26"/>
      <c r="W34" s="27">
        <f>IF('List chi tiet'!Q29&lt;&gt;"",'List chi tiet'!Q29,"")</f>
        <v>1</v>
      </c>
      <c r="X34" s="50">
        <f>IF('List chi tiet'!R29&lt;&gt;"",'List chi tiet'!R29,"")</f>
        <v>46269</v>
      </c>
      <c r="AB34" t="str">
        <f>IF('List chi tiet'!V29&lt;&gt;"",'List chi tiet'!V29,"")</f>
        <v>10726-040</v>
      </c>
      <c r="AC34" s="7" t="str">
        <f>IF('List chi tiet'!L29&lt;&gt;"",'List chi tiet'!L29,"")</f>
        <v>LSX-VT-BPI-TH-001</v>
      </c>
      <c r="AD34" s="2">
        <f>IF('List chi tiet'!K29&lt;&gt;"",'List chi tiet'!K29,"")</f>
        <v>12000</v>
      </c>
      <c r="AE34" s="89" t="str">
        <f>IF(LEN('List chi tiet'!$B$2)=0,"",'List chi tiet'!$B$2)</f>
        <v>10726-040 DG XK BPI HO REDEV SUPPLY MATERIAL</v>
      </c>
    </row>
    <row r="35" spans="1:31" ht="25.5" x14ac:dyDescent="0.25">
      <c r="A35" s="2">
        <f>IF('List chi tiet'!A30&lt;&gt;"",'List chi tiet'!A30,"")</f>
        <v>25</v>
      </c>
      <c r="B35" s="2" t="str">
        <f>IF('List chi tiet'!B30&lt;&gt;"",'List chi tiet'!B30,"")</f>
        <v>SS2434</v>
      </c>
      <c r="C35" s="55">
        <f>IF('List chi tiet'!E30&lt;&gt;"",'List chi tiet'!E30,"")</f>
        <v>20</v>
      </c>
      <c r="D35" s="55">
        <f>IF('List chi tiet'!F30&lt;&gt;"",'List chi tiet'!F30,"")</f>
        <v>400</v>
      </c>
      <c r="E35">
        <f>IF('List chi tiet'!G30&lt;&gt;"",'List chi tiet'!G30,"")</f>
        <v>2526</v>
      </c>
      <c r="F35" t="str">
        <f>IF('List chi tiet'!C30&lt;&gt;"",'List chi tiet'!C30,"")</f>
        <v>A500-GR.C</v>
      </c>
      <c r="G35" s="2" t="str">
        <f t="shared" si="0"/>
        <v>Pcs</v>
      </c>
      <c r="H35">
        <f>IF('List chi tiet'!H30&lt;&gt;"",'List chi tiet'!H30,"")</f>
        <v>1</v>
      </c>
      <c r="I35" s="56">
        <f>IF('List chi tiet'!J30&lt;&gt;"",'List chi tiet'!J30,"")</f>
        <v>465.22</v>
      </c>
      <c r="J35" s="2" t="str">
        <f t="shared" si="1"/>
        <v>SC-VT1</v>
      </c>
      <c r="K35" s="2" t="str">
        <f t="shared" si="2"/>
        <v>SC-VT1</v>
      </c>
      <c r="L35" t="s">
        <v>154</v>
      </c>
      <c r="M35" t="s">
        <v>115</v>
      </c>
      <c r="N35" t="str">
        <f>IF('List chi tiet'!D30&lt;&gt;"",'List chi tiet'!D30,"")</f>
        <v>PIPE400X20</v>
      </c>
      <c r="O35" s="25"/>
      <c r="P35" s="36" t="str">
        <f>IF('List chi tiet'!Z30&lt;&gt;"",'List chi tiet'!Z30,"")</f>
        <v>LEVEL 46 - ROOF CROWN - SHIPMENT 1-GIA CONG UON ONG GIAO NHA MAY MIEN TRUNG</v>
      </c>
      <c r="Q35" s="26"/>
      <c r="R35" s="26" t="str">
        <f t="shared" si="3"/>
        <v>x</v>
      </c>
      <c r="S35" s="26" t="str">
        <f t="shared" si="4"/>
        <v/>
      </c>
      <c r="T35" s="26"/>
      <c r="U35" s="26" t="s">
        <v>152</v>
      </c>
      <c r="V35" s="26"/>
      <c r="W35" s="27">
        <f>IF('List chi tiet'!Q30&lt;&gt;"",'List chi tiet'!Q30,"")</f>
        <v>1</v>
      </c>
      <c r="X35" s="50">
        <f>IF('List chi tiet'!R30&lt;&gt;"",'List chi tiet'!R30,"")</f>
        <v>46269</v>
      </c>
      <c r="AB35" t="str">
        <f>IF('List chi tiet'!V30&lt;&gt;"",'List chi tiet'!V30,"")</f>
        <v>10726-040</v>
      </c>
      <c r="AC35" s="7" t="str">
        <f>IF('List chi tiet'!L30&lt;&gt;"",'List chi tiet'!L30,"")</f>
        <v>LSX-VT-BPI-TH-001</v>
      </c>
      <c r="AD35" s="2">
        <f>IF('List chi tiet'!K30&lt;&gt;"",'List chi tiet'!K30,"")</f>
        <v>12000</v>
      </c>
      <c r="AE35" s="89" t="str">
        <f>IF(LEN('List chi tiet'!$B$2)=0,"",'List chi tiet'!$B$2)</f>
        <v>10726-040 DG XK BPI HO REDEV SUPPLY MATERIAL</v>
      </c>
    </row>
    <row r="36" spans="1:31" ht="25.5" x14ac:dyDescent="0.25">
      <c r="A36" s="2">
        <f>IF('List chi tiet'!A31&lt;&gt;"",'List chi tiet'!A31,"")</f>
        <v>26</v>
      </c>
      <c r="B36" s="2" t="str">
        <f>IF('List chi tiet'!B31&lt;&gt;"",'List chi tiet'!B31,"")</f>
        <v>SS2381</v>
      </c>
      <c r="C36" s="55">
        <f>IF('List chi tiet'!E31&lt;&gt;"",'List chi tiet'!E31,"")</f>
        <v>20</v>
      </c>
      <c r="D36" s="55">
        <f>IF('List chi tiet'!F31&lt;&gt;"",'List chi tiet'!F31,"")</f>
        <v>400</v>
      </c>
      <c r="E36">
        <f>IF('List chi tiet'!G31&lt;&gt;"",'List chi tiet'!G31,"")</f>
        <v>1261</v>
      </c>
      <c r="F36" t="str">
        <f>IF('List chi tiet'!C31&lt;&gt;"",'List chi tiet'!C31,"")</f>
        <v>A500-GR.C</v>
      </c>
      <c r="G36" s="2" t="str">
        <f t="shared" si="0"/>
        <v>Pcs</v>
      </c>
      <c r="H36">
        <f>IF('List chi tiet'!H31&lt;&gt;"",'List chi tiet'!H31,"")</f>
        <v>2</v>
      </c>
      <c r="I36" s="56">
        <f>IF('List chi tiet'!J31&lt;&gt;"",'List chi tiet'!J31,"")</f>
        <v>448.86</v>
      </c>
      <c r="J36" s="2" t="str">
        <f t="shared" si="1"/>
        <v>SC-VT1</v>
      </c>
      <c r="K36" s="2" t="str">
        <f t="shared" si="2"/>
        <v>SC-VT1</v>
      </c>
      <c r="L36" t="s">
        <v>154</v>
      </c>
      <c r="M36" t="s">
        <v>115</v>
      </c>
      <c r="N36" t="str">
        <f>IF('List chi tiet'!D31&lt;&gt;"",'List chi tiet'!D31,"")</f>
        <v>PIPE400X20</v>
      </c>
      <c r="O36" s="25"/>
      <c r="P36" s="36" t="str">
        <f>IF('List chi tiet'!Z31&lt;&gt;"",'List chi tiet'!Z31,"")</f>
        <v>LEVEL 46 - ROOF CROWN - SHIPMENT 1-GIA CONG UON ONG GIAO NHA MAY MIEN TRUNG</v>
      </c>
      <c r="Q36" s="26"/>
      <c r="R36" s="26" t="str">
        <f t="shared" si="3"/>
        <v>x</v>
      </c>
      <c r="S36" s="26" t="str">
        <f t="shared" si="4"/>
        <v/>
      </c>
      <c r="T36" s="26"/>
      <c r="U36" s="26" t="s">
        <v>152</v>
      </c>
      <c r="V36" s="26"/>
      <c r="W36" s="27">
        <f>IF('List chi tiet'!Q31&lt;&gt;"",'List chi tiet'!Q31,"")</f>
        <v>1</v>
      </c>
      <c r="X36" s="50">
        <f>IF('List chi tiet'!R31&lt;&gt;"",'List chi tiet'!R31,"")</f>
        <v>46269</v>
      </c>
      <c r="AB36" t="str">
        <f>IF('List chi tiet'!V31&lt;&gt;"",'List chi tiet'!V31,"")</f>
        <v>10726-040</v>
      </c>
      <c r="AC36" s="7" t="str">
        <f>IF('List chi tiet'!L31&lt;&gt;"",'List chi tiet'!L31,"")</f>
        <v>LSX-VT-BPI-TH-001</v>
      </c>
      <c r="AD36" s="2">
        <f>IF('List chi tiet'!K31&lt;&gt;"",'List chi tiet'!K31,"")</f>
        <v>12000</v>
      </c>
      <c r="AE36" s="89" t="str">
        <f>IF(LEN('List chi tiet'!$B$2)=0,"",'List chi tiet'!$B$2)</f>
        <v>10726-040 DG XK BPI HO REDEV SUPPLY MATERIAL</v>
      </c>
    </row>
    <row r="37" spans="1:31" ht="25.5" x14ac:dyDescent="0.25">
      <c r="A37" s="2">
        <f>IF('List chi tiet'!A32&lt;&gt;"",'List chi tiet'!A32,"")</f>
        <v>27</v>
      </c>
      <c r="B37" s="2" t="str">
        <f>IF('List chi tiet'!B32&lt;&gt;"",'List chi tiet'!B32,"")</f>
        <v>SS2055</v>
      </c>
      <c r="C37" s="55">
        <f>IF('List chi tiet'!E32&lt;&gt;"",'List chi tiet'!E32,"")</f>
        <v>20</v>
      </c>
      <c r="D37" s="55">
        <f>IF('List chi tiet'!F32&lt;&gt;"",'List chi tiet'!F32,"")</f>
        <v>400</v>
      </c>
      <c r="E37">
        <f>IF('List chi tiet'!G32&lt;&gt;"",'List chi tiet'!G32,"")</f>
        <v>10682</v>
      </c>
      <c r="F37" t="str">
        <f>IF('List chi tiet'!C32&lt;&gt;"",'List chi tiet'!C32,"")</f>
        <v>A500-GR.C</v>
      </c>
      <c r="G37" s="2" t="str">
        <f t="shared" si="0"/>
        <v>Pcs</v>
      </c>
      <c r="H37">
        <f>IF('List chi tiet'!H32&lt;&gt;"",'List chi tiet'!H32,"")</f>
        <v>2</v>
      </c>
      <c r="I37" s="56">
        <f>IF('List chi tiet'!J32&lt;&gt;"",'List chi tiet'!J32,"")</f>
        <v>3955.38</v>
      </c>
      <c r="J37" s="2" t="str">
        <f t="shared" si="1"/>
        <v>SC-VT1</v>
      </c>
      <c r="K37" s="2" t="str">
        <f t="shared" si="2"/>
        <v>SC-VT1</v>
      </c>
      <c r="L37" t="s">
        <v>154</v>
      </c>
      <c r="M37" t="s">
        <v>115</v>
      </c>
      <c r="N37" t="str">
        <f>IF('List chi tiet'!D32&lt;&gt;"",'List chi tiet'!D32,"")</f>
        <v>PIPE400X20</v>
      </c>
      <c r="O37" s="25"/>
      <c r="P37" s="36" t="str">
        <f>IF('List chi tiet'!Z32&lt;&gt;"",'List chi tiet'!Z32,"")</f>
        <v>LEVEL 46 - ROOF CROWN - SHIPMENT 1-GIA CONG UON ONG GIAO NHA MAY MIEN TRUNG</v>
      </c>
      <c r="Q37" s="26"/>
      <c r="R37" s="26" t="str">
        <f t="shared" si="3"/>
        <v>x</v>
      </c>
      <c r="S37" s="26" t="str">
        <f t="shared" si="4"/>
        <v/>
      </c>
      <c r="T37" s="26"/>
      <c r="U37" s="26" t="s">
        <v>152</v>
      </c>
      <c r="V37" s="26"/>
      <c r="W37" s="27">
        <f>IF('List chi tiet'!Q32&lt;&gt;"",'List chi tiet'!Q32,"")</f>
        <v>1</v>
      </c>
      <c r="X37" s="50">
        <f>IF('List chi tiet'!R32&lt;&gt;"",'List chi tiet'!R32,"")</f>
        <v>46269</v>
      </c>
      <c r="AB37" t="str">
        <f>IF('List chi tiet'!V32&lt;&gt;"",'List chi tiet'!V32,"")</f>
        <v>10726-040</v>
      </c>
      <c r="AC37" s="7" t="str">
        <f>IF('List chi tiet'!L32&lt;&gt;"",'List chi tiet'!L32,"")</f>
        <v>LSX-VT-BPI-TH-001</v>
      </c>
      <c r="AD37" s="2">
        <f>IF('List chi tiet'!K32&lt;&gt;"",'List chi tiet'!K32,"")</f>
        <v>12000</v>
      </c>
      <c r="AE37" s="89" t="str">
        <f>IF(LEN('List chi tiet'!$B$2)=0,"",'List chi tiet'!$B$2)</f>
        <v>10726-040 DG XK BPI HO REDEV SUPPLY MATERIAL</v>
      </c>
    </row>
    <row r="38" spans="1:31" ht="25.5" x14ac:dyDescent="0.25">
      <c r="A38" s="2">
        <f>IF('List chi tiet'!A33&lt;&gt;"",'List chi tiet'!A33,"")</f>
        <v>28</v>
      </c>
      <c r="B38" s="2" t="str">
        <f>IF('List chi tiet'!B33&lt;&gt;"",'List chi tiet'!B33,"")</f>
        <v>SS2431</v>
      </c>
      <c r="C38" s="55">
        <f>IF('List chi tiet'!E33&lt;&gt;"",'List chi tiet'!E33,"")</f>
        <v>20</v>
      </c>
      <c r="D38" s="55">
        <f>IF('List chi tiet'!F33&lt;&gt;"",'List chi tiet'!F33,"")</f>
        <v>400</v>
      </c>
      <c r="E38">
        <f>IF('List chi tiet'!G33&lt;&gt;"",'List chi tiet'!G33,"")</f>
        <v>1256</v>
      </c>
      <c r="F38" t="str">
        <f>IF('List chi tiet'!C33&lt;&gt;"",'List chi tiet'!C33,"")</f>
        <v>A500-GR.C</v>
      </c>
      <c r="G38" s="2" t="str">
        <f t="shared" si="0"/>
        <v>Pcs</v>
      </c>
      <c r="H38">
        <f>IF('List chi tiet'!H33&lt;&gt;"",'List chi tiet'!H33,"")</f>
        <v>2</v>
      </c>
      <c r="I38" s="56">
        <f>IF('List chi tiet'!J33&lt;&gt;"",'List chi tiet'!J33,"")</f>
        <v>447.88</v>
      </c>
      <c r="J38" s="2" t="str">
        <f t="shared" si="1"/>
        <v>SC-VT1</v>
      </c>
      <c r="K38" s="2" t="str">
        <f t="shared" si="2"/>
        <v>SC-VT1</v>
      </c>
      <c r="L38" t="s">
        <v>154</v>
      </c>
      <c r="M38" t="s">
        <v>115</v>
      </c>
      <c r="N38" t="str">
        <f>IF('List chi tiet'!D33&lt;&gt;"",'List chi tiet'!D33,"")</f>
        <v>PIPE400X20</v>
      </c>
      <c r="O38" s="25"/>
      <c r="P38" s="36" t="str">
        <f>IF('List chi tiet'!Z33&lt;&gt;"",'List chi tiet'!Z33,"")</f>
        <v>LEVEL 46 - ROOF CROWN - SHIPMENT 1-GIA CONG UON ONG GIAO NHA MAY MIEN TRUNG</v>
      </c>
      <c r="Q38" s="26"/>
      <c r="R38" s="26" t="str">
        <f t="shared" si="3"/>
        <v>x</v>
      </c>
      <c r="S38" s="26" t="str">
        <f t="shared" si="4"/>
        <v/>
      </c>
      <c r="T38" s="26"/>
      <c r="U38" s="26" t="s">
        <v>152</v>
      </c>
      <c r="V38" s="26"/>
      <c r="W38" s="27">
        <f>IF('List chi tiet'!Q33&lt;&gt;"",'List chi tiet'!Q33,"")</f>
        <v>1</v>
      </c>
      <c r="X38" s="50">
        <f>IF('List chi tiet'!R33&lt;&gt;"",'List chi tiet'!R33,"")</f>
        <v>46269</v>
      </c>
      <c r="AB38" t="str">
        <f>IF('List chi tiet'!V33&lt;&gt;"",'List chi tiet'!V33,"")</f>
        <v>10726-040</v>
      </c>
      <c r="AC38" s="7" t="str">
        <f>IF('List chi tiet'!L33&lt;&gt;"",'List chi tiet'!L33,"")</f>
        <v>LSX-VT-BPI-TH-001</v>
      </c>
      <c r="AD38" s="2">
        <f>IF('List chi tiet'!K33&lt;&gt;"",'List chi tiet'!K33,"")</f>
        <v>12000</v>
      </c>
      <c r="AE38" s="89" t="str">
        <f>IF(LEN('List chi tiet'!$B$2)=0,"",'List chi tiet'!$B$2)</f>
        <v>10726-040 DG XK BPI HO REDEV SUPPLY MATERIAL</v>
      </c>
    </row>
    <row r="39" spans="1:31" ht="25.5" x14ac:dyDescent="0.25">
      <c r="A39" s="2">
        <f>IF('List chi tiet'!A34&lt;&gt;"",'List chi tiet'!A34,"")</f>
        <v>29</v>
      </c>
      <c r="B39" s="2" t="str">
        <f>IF('List chi tiet'!B34&lt;&gt;"",'List chi tiet'!B34,"")</f>
        <v>SS2594</v>
      </c>
      <c r="C39" s="55">
        <f>IF('List chi tiet'!E34&lt;&gt;"",'List chi tiet'!E34,"")</f>
        <v>20</v>
      </c>
      <c r="D39" s="55">
        <f>IF('List chi tiet'!F34&lt;&gt;"",'List chi tiet'!F34,"")</f>
        <v>400</v>
      </c>
      <c r="E39">
        <f>IF('List chi tiet'!G34&lt;&gt;"",'List chi tiet'!G34,"")</f>
        <v>2021</v>
      </c>
      <c r="F39" t="str">
        <f>IF('List chi tiet'!C34&lt;&gt;"",'List chi tiet'!C34,"")</f>
        <v>A500-GR.C</v>
      </c>
      <c r="G39" s="2" t="str">
        <f t="shared" si="0"/>
        <v>Pcs</v>
      </c>
      <c r="H39">
        <f>IF('List chi tiet'!H34&lt;&gt;"",'List chi tiet'!H34,"")</f>
        <v>1</v>
      </c>
      <c r="I39" s="56">
        <f>IF('List chi tiet'!J34&lt;&gt;"",'List chi tiet'!J34,"")</f>
        <v>354.1</v>
      </c>
      <c r="J39" s="2" t="str">
        <f t="shared" si="1"/>
        <v>SC-VT1</v>
      </c>
      <c r="K39" s="2" t="str">
        <f t="shared" si="2"/>
        <v>SC-VT1</v>
      </c>
      <c r="L39" t="s">
        <v>154</v>
      </c>
      <c r="M39" t="s">
        <v>115</v>
      </c>
      <c r="N39" t="str">
        <f>IF('List chi tiet'!D34&lt;&gt;"",'List chi tiet'!D34,"")</f>
        <v>PIPE400X20</v>
      </c>
      <c r="O39" s="25"/>
      <c r="P39" s="36" t="str">
        <f>IF('List chi tiet'!Z34&lt;&gt;"",'List chi tiet'!Z34,"")</f>
        <v>LEVEL 46 - ROOF CROWN - SHIPMENT 1-GIA CONG UON ONG GIAO NHA MAY MIEN TRUNG</v>
      </c>
      <c r="Q39" s="26"/>
      <c r="R39" s="26" t="str">
        <f t="shared" si="3"/>
        <v>x</v>
      </c>
      <c r="S39" s="26" t="str">
        <f t="shared" si="4"/>
        <v/>
      </c>
      <c r="T39" s="26"/>
      <c r="U39" s="26" t="s">
        <v>152</v>
      </c>
      <c r="V39" s="26"/>
      <c r="W39" s="27">
        <f>IF('List chi tiet'!Q34&lt;&gt;"",'List chi tiet'!Q34,"")</f>
        <v>1</v>
      </c>
      <c r="X39" s="50">
        <f>IF('List chi tiet'!R34&lt;&gt;"",'List chi tiet'!R34,"")</f>
        <v>46269</v>
      </c>
      <c r="AB39" t="str">
        <f>IF('List chi tiet'!V34&lt;&gt;"",'List chi tiet'!V34,"")</f>
        <v>10726-040</v>
      </c>
      <c r="AC39" s="7" t="str">
        <f>IF('List chi tiet'!L34&lt;&gt;"",'List chi tiet'!L34,"")</f>
        <v>LSX-VT-BPI-TH-001</v>
      </c>
      <c r="AD39" s="2">
        <f>IF('List chi tiet'!K34&lt;&gt;"",'List chi tiet'!K34,"")</f>
        <v>12000</v>
      </c>
      <c r="AE39" s="89" t="str">
        <f>IF(LEN('List chi tiet'!$B$2)=0,"",'List chi tiet'!$B$2)</f>
        <v>10726-040 DG XK BPI HO REDEV SUPPLY MATERIAL</v>
      </c>
    </row>
    <row r="40" spans="1:31" ht="25.5" x14ac:dyDescent="0.25">
      <c r="A40" s="2">
        <f>IF('List chi tiet'!A35&lt;&gt;"",'List chi tiet'!A35,"")</f>
        <v>30</v>
      </c>
      <c r="B40" s="2" t="str">
        <f>IF('List chi tiet'!B35&lt;&gt;"",'List chi tiet'!B35,"")</f>
        <v>SS2060</v>
      </c>
      <c r="C40" s="55">
        <f>IF('List chi tiet'!E35&lt;&gt;"",'List chi tiet'!E35,"")</f>
        <v>20</v>
      </c>
      <c r="D40" s="55">
        <f>IF('List chi tiet'!F35&lt;&gt;"",'List chi tiet'!F35,"")</f>
        <v>400</v>
      </c>
      <c r="E40">
        <f>IF('List chi tiet'!G35&lt;&gt;"",'List chi tiet'!G35,"")</f>
        <v>10721</v>
      </c>
      <c r="F40" t="str">
        <f>IF('List chi tiet'!C35&lt;&gt;"",'List chi tiet'!C35,"")</f>
        <v>A500-GR.C</v>
      </c>
      <c r="G40" s="2" t="str">
        <f t="shared" si="0"/>
        <v>Pcs</v>
      </c>
      <c r="H40">
        <f>IF('List chi tiet'!H35&lt;&gt;"",'List chi tiet'!H35,"")</f>
        <v>2</v>
      </c>
      <c r="I40" s="56">
        <f>IF('List chi tiet'!J35&lt;&gt;"",'List chi tiet'!J35,"")</f>
        <v>3972.1</v>
      </c>
      <c r="J40" s="2" t="str">
        <f t="shared" si="1"/>
        <v>SC-VT1</v>
      </c>
      <c r="K40" s="2" t="str">
        <f t="shared" si="2"/>
        <v>SC-VT1</v>
      </c>
      <c r="L40" t="s">
        <v>154</v>
      </c>
      <c r="M40" t="s">
        <v>115</v>
      </c>
      <c r="N40" t="str">
        <f>IF('List chi tiet'!D35&lt;&gt;"",'List chi tiet'!D35,"")</f>
        <v>PIPE400X20</v>
      </c>
      <c r="O40" s="25"/>
      <c r="P40" s="36" t="str">
        <f>IF('List chi tiet'!Z35&lt;&gt;"",'List chi tiet'!Z35,"")</f>
        <v>LEVEL 46 - ROOF CROWN - SHIPMENT 1-GIA CONG UON ONG GIAO NHA MAY MIEN TRUNG</v>
      </c>
      <c r="Q40" s="26"/>
      <c r="R40" s="26" t="str">
        <f t="shared" si="3"/>
        <v>x</v>
      </c>
      <c r="S40" s="26" t="str">
        <f t="shared" si="4"/>
        <v/>
      </c>
      <c r="T40" s="26"/>
      <c r="U40" s="26" t="s">
        <v>152</v>
      </c>
      <c r="V40" s="26"/>
      <c r="W40" s="27">
        <f>IF('List chi tiet'!Q35&lt;&gt;"",'List chi tiet'!Q35,"")</f>
        <v>1</v>
      </c>
      <c r="X40" s="50">
        <f>IF('List chi tiet'!R35&lt;&gt;"",'List chi tiet'!R35,"")</f>
        <v>46269</v>
      </c>
      <c r="AB40" t="str">
        <f>IF('List chi tiet'!V35&lt;&gt;"",'List chi tiet'!V35,"")</f>
        <v>10726-040</v>
      </c>
      <c r="AC40" s="7" t="str">
        <f>IF('List chi tiet'!L35&lt;&gt;"",'List chi tiet'!L35,"")</f>
        <v>LSX-VT-BPI-TH-001</v>
      </c>
      <c r="AD40" s="2">
        <f>IF('List chi tiet'!K35&lt;&gt;"",'List chi tiet'!K35,"")</f>
        <v>12000</v>
      </c>
      <c r="AE40" s="89" t="str">
        <f>IF(LEN('List chi tiet'!$B$2)=0,"",'List chi tiet'!$B$2)</f>
        <v>10726-040 DG XK BPI HO REDEV SUPPLY MATERIAL</v>
      </c>
    </row>
    <row r="41" spans="1:31" ht="25.5" x14ac:dyDescent="0.25">
      <c r="A41" s="2">
        <f>IF('List chi tiet'!A36&lt;&gt;"",'List chi tiet'!A36,"")</f>
        <v>31</v>
      </c>
      <c r="B41" s="2" t="str">
        <f>IF('List chi tiet'!B36&lt;&gt;"",'List chi tiet'!B36,"")</f>
        <v>SS2059</v>
      </c>
      <c r="C41" s="55">
        <f>IF('List chi tiet'!E36&lt;&gt;"",'List chi tiet'!E36,"")</f>
        <v>20</v>
      </c>
      <c r="D41" s="55">
        <f>IF('List chi tiet'!F36&lt;&gt;"",'List chi tiet'!F36,"")</f>
        <v>400</v>
      </c>
      <c r="E41">
        <f>IF('List chi tiet'!G36&lt;&gt;"",'List chi tiet'!G36,"")</f>
        <v>8480</v>
      </c>
      <c r="F41" t="str">
        <f>IF('List chi tiet'!C36&lt;&gt;"",'List chi tiet'!C36,"")</f>
        <v>A500-GR.C</v>
      </c>
      <c r="G41" s="2" t="str">
        <f t="shared" si="0"/>
        <v>Pcs</v>
      </c>
      <c r="H41">
        <f>IF('List chi tiet'!H36&lt;&gt;"",'List chi tiet'!H36,"")</f>
        <v>2</v>
      </c>
      <c r="I41" s="56">
        <f>IF('List chi tiet'!J36&lt;&gt;"",'List chi tiet'!J36,"")</f>
        <v>3141.3</v>
      </c>
      <c r="J41" s="2" t="str">
        <f t="shared" si="1"/>
        <v>SC-VT1</v>
      </c>
      <c r="K41" s="2" t="str">
        <f t="shared" si="2"/>
        <v>SC-VT1</v>
      </c>
      <c r="L41" t="s">
        <v>154</v>
      </c>
      <c r="M41" t="s">
        <v>115</v>
      </c>
      <c r="N41" t="str">
        <f>IF('List chi tiet'!D36&lt;&gt;"",'List chi tiet'!D36,"")</f>
        <v>PIPE400X20</v>
      </c>
      <c r="O41" s="25"/>
      <c r="P41" s="36" t="str">
        <f>IF('List chi tiet'!Z36&lt;&gt;"",'List chi tiet'!Z36,"")</f>
        <v>LEVEL 46 - ROOF CROWN - SHIPMENT 1-GIA CONG UON ONG GIAO NHA MAY MIEN TRUNG</v>
      </c>
      <c r="Q41" s="26"/>
      <c r="R41" s="26" t="str">
        <f t="shared" si="3"/>
        <v>x</v>
      </c>
      <c r="S41" s="26" t="str">
        <f t="shared" si="4"/>
        <v/>
      </c>
      <c r="T41" s="26"/>
      <c r="U41" s="26" t="s">
        <v>152</v>
      </c>
      <c r="V41" s="26"/>
      <c r="W41" s="27">
        <f>IF('List chi tiet'!Q36&lt;&gt;"",'List chi tiet'!Q36,"")</f>
        <v>1</v>
      </c>
      <c r="X41" s="50">
        <f>IF('List chi tiet'!R36&lt;&gt;"",'List chi tiet'!R36,"")</f>
        <v>46269</v>
      </c>
      <c r="AB41" t="str">
        <f>IF('List chi tiet'!V36&lt;&gt;"",'List chi tiet'!V36,"")</f>
        <v>10726-040</v>
      </c>
      <c r="AC41" s="7" t="str">
        <f>IF('List chi tiet'!L36&lt;&gt;"",'List chi tiet'!L36,"")</f>
        <v>LSX-VT-BPI-TH-001</v>
      </c>
      <c r="AD41" s="2">
        <f>IF('List chi tiet'!K36&lt;&gt;"",'List chi tiet'!K36,"")</f>
        <v>12000</v>
      </c>
      <c r="AE41" s="89" t="str">
        <f>IF(LEN('List chi tiet'!$B$2)=0,"",'List chi tiet'!$B$2)</f>
        <v>10726-040 DG XK BPI HO REDEV SUPPLY MATERIAL</v>
      </c>
    </row>
    <row r="42" spans="1:31" ht="25.5" x14ac:dyDescent="0.25">
      <c r="A42" s="2">
        <f>IF('List chi tiet'!A37&lt;&gt;"",'List chi tiet'!A37,"")</f>
        <v>32</v>
      </c>
      <c r="B42" s="2" t="str">
        <f>IF('List chi tiet'!B37&lt;&gt;"",'List chi tiet'!B37,"")</f>
        <v>SS2061</v>
      </c>
      <c r="C42" s="55">
        <f>IF('List chi tiet'!E37&lt;&gt;"",'List chi tiet'!E37,"")</f>
        <v>20</v>
      </c>
      <c r="D42" s="55">
        <f>IF('List chi tiet'!F37&lt;&gt;"",'List chi tiet'!F37,"")</f>
        <v>400</v>
      </c>
      <c r="E42">
        <f>IF('List chi tiet'!G37&lt;&gt;"",'List chi tiet'!G37,"")</f>
        <v>10204</v>
      </c>
      <c r="F42" t="str">
        <f>IF('List chi tiet'!C37&lt;&gt;"",'List chi tiet'!C37,"")</f>
        <v>A500-GR.C</v>
      </c>
      <c r="G42" s="2" t="str">
        <f t="shared" si="0"/>
        <v>Pcs</v>
      </c>
      <c r="H42">
        <f>IF('List chi tiet'!H37&lt;&gt;"",'List chi tiet'!H37,"")</f>
        <v>2</v>
      </c>
      <c r="I42" s="56">
        <f>IF('List chi tiet'!J37&lt;&gt;"",'List chi tiet'!J37,"")</f>
        <v>3780.4</v>
      </c>
      <c r="J42" s="2" t="str">
        <f t="shared" si="1"/>
        <v>SC-VT1</v>
      </c>
      <c r="K42" s="2" t="str">
        <f t="shared" si="2"/>
        <v>SC-VT1</v>
      </c>
      <c r="L42" t="s">
        <v>154</v>
      </c>
      <c r="M42" t="s">
        <v>115</v>
      </c>
      <c r="N42" t="str">
        <f>IF('List chi tiet'!D37&lt;&gt;"",'List chi tiet'!D37,"")</f>
        <v>PIPE400X20</v>
      </c>
      <c r="O42" s="25"/>
      <c r="P42" s="36" t="str">
        <f>IF('List chi tiet'!Z37&lt;&gt;"",'List chi tiet'!Z37,"")</f>
        <v>LEVEL 46 - ROOF CROWN - SHIPMENT 1-GIA CONG UON ONG GIAO NHA MAY MIEN TRUNG</v>
      </c>
      <c r="Q42" s="26"/>
      <c r="R42" s="26" t="str">
        <f t="shared" si="3"/>
        <v>x</v>
      </c>
      <c r="S42" s="26" t="str">
        <f t="shared" si="4"/>
        <v/>
      </c>
      <c r="T42" s="26"/>
      <c r="U42" s="26" t="s">
        <v>152</v>
      </c>
      <c r="V42" s="26"/>
      <c r="W42" s="27">
        <f>IF('List chi tiet'!Q37&lt;&gt;"",'List chi tiet'!Q37,"")</f>
        <v>1</v>
      </c>
      <c r="X42" s="50">
        <f>IF('List chi tiet'!R37&lt;&gt;"",'List chi tiet'!R37,"")</f>
        <v>46269</v>
      </c>
      <c r="AB42" t="str">
        <f>IF('List chi tiet'!V37&lt;&gt;"",'List chi tiet'!V37,"")</f>
        <v>10726-040</v>
      </c>
      <c r="AC42" s="7" t="str">
        <f>IF('List chi tiet'!L37&lt;&gt;"",'List chi tiet'!L37,"")</f>
        <v>LSX-VT-BPI-TH-001</v>
      </c>
      <c r="AD42" s="2">
        <f>IF('List chi tiet'!K37&lt;&gt;"",'List chi tiet'!K37,"")</f>
        <v>12000</v>
      </c>
      <c r="AE42" s="89" t="str">
        <f>IF(LEN('List chi tiet'!$B$2)=0,"",'List chi tiet'!$B$2)</f>
        <v>10726-040 DG XK BPI HO REDEV SUPPLY MATERIAL</v>
      </c>
    </row>
    <row r="43" spans="1:31" ht="25.5" x14ac:dyDescent="0.25">
      <c r="A43" s="2">
        <f>IF('List chi tiet'!A38&lt;&gt;"",'List chi tiet'!A38,"")</f>
        <v>33</v>
      </c>
      <c r="B43" s="2" t="str">
        <f>IF('List chi tiet'!B38&lt;&gt;"",'List chi tiet'!B38,"")</f>
        <v>SS2054</v>
      </c>
      <c r="C43" s="55">
        <f>IF('List chi tiet'!E38&lt;&gt;"",'List chi tiet'!E38,"")</f>
        <v>20</v>
      </c>
      <c r="D43" s="55">
        <f>IF('List chi tiet'!F38&lt;&gt;"",'List chi tiet'!F38,"")</f>
        <v>400</v>
      </c>
      <c r="E43">
        <f>IF('List chi tiet'!G38&lt;&gt;"",'List chi tiet'!G38,"")</f>
        <v>7984</v>
      </c>
      <c r="F43" t="str">
        <f>IF('List chi tiet'!C38&lt;&gt;"",'List chi tiet'!C38,"")</f>
        <v>A500-GR.C</v>
      </c>
      <c r="G43" s="2" t="str">
        <f t="shared" si="0"/>
        <v>Pcs</v>
      </c>
      <c r="H43">
        <f>IF('List chi tiet'!H38&lt;&gt;"",'List chi tiet'!H38,"")</f>
        <v>2</v>
      </c>
      <c r="I43" s="56">
        <f>IF('List chi tiet'!J38&lt;&gt;"",'List chi tiet'!J38,"")</f>
        <v>2955.22</v>
      </c>
      <c r="J43" s="2" t="str">
        <f t="shared" si="1"/>
        <v>SC-VT1</v>
      </c>
      <c r="K43" s="2" t="str">
        <f t="shared" si="2"/>
        <v>SC-VT1</v>
      </c>
      <c r="L43" t="s">
        <v>154</v>
      </c>
      <c r="M43" t="s">
        <v>115</v>
      </c>
      <c r="N43" t="str">
        <f>IF('List chi tiet'!D38&lt;&gt;"",'List chi tiet'!D38,"")</f>
        <v>PIPE400X20</v>
      </c>
      <c r="O43" s="25"/>
      <c r="P43" s="36" t="str">
        <f>IF('List chi tiet'!Z38&lt;&gt;"",'List chi tiet'!Z38,"")</f>
        <v>LEVEL 46 - ROOF CROWN - SHIPMENT 1-GIA CONG UON ONG GIAO NHA MAY MIEN TRUNG</v>
      </c>
      <c r="Q43" s="26"/>
      <c r="R43" s="26" t="str">
        <f t="shared" si="3"/>
        <v>x</v>
      </c>
      <c r="S43" s="26" t="str">
        <f t="shared" si="4"/>
        <v/>
      </c>
      <c r="T43" s="26"/>
      <c r="U43" s="26" t="s">
        <v>152</v>
      </c>
      <c r="V43" s="26"/>
      <c r="W43" s="27">
        <f>IF('List chi tiet'!Q38&lt;&gt;"",'List chi tiet'!Q38,"")</f>
        <v>1</v>
      </c>
      <c r="X43" s="50">
        <f>IF('List chi tiet'!R38&lt;&gt;"",'List chi tiet'!R38,"")</f>
        <v>46269</v>
      </c>
      <c r="AB43" t="str">
        <f>IF('List chi tiet'!V38&lt;&gt;"",'List chi tiet'!V38,"")</f>
        <v>10726-040</v>
      </c>
      <c r="AC43" s="7" t="str">
        <f>IF('List chi tiet'!L38&lt;&gt;"",'List chi tiet'!L38,"")</f>
        <v>LSX-VT-BPI-TH-001</v>
      </c>
      <c r="AD43" s="2">
        <f>IF('List chi tiet'!K38&lt;&gt;"",'List chi tiet'!K38,"")</f>
        <v>12000</v>
      </c>
      <c r="AE43" s="89" t="str">
        <f>IF(LEN('List chi tiet'!$B$2)=0,"",'List chi tiet'!$B$2)</f>
        <v>10726-040 DG XK BPI HO REDEV SUPPLY MATERIAL</v>
      </c>
    </row>
    <row r="44" spans="1:31" ht="25.5" x14ac:dyDescent="0.25">
      <c r="A44" s="2">
        <f>IF('List chi tiet'!A39&lt;&gt;"",'List chi tiet'!A39,"")</f>
        <v>34</v>
      </c>
      <c r="B44" s="2" t="str">
        <f>IF('List chi tiet'!B39&lt;&gt;"",'List chi tiet'!B39,"")</f>
        <v>SS2056</v>
      </c>
      <c r="C44" s="55">
        <f>IF('List chi tiet'!E39&lt;&gt;"",'List chi tiet'!E39,"")</f>
        <v>20</v>
      </c>
      <c r="D44" s="55">
        <f>IF('List chi tiet'!F39&lt;&gt;"",'List chi tiet'!F39,"")</f>
        <v>400</v>
      </c>
      <c r="E44">
        <f>IF('List chi tiet'!G39&lt;&gt;"",'List chi tiet'!G39,"")</f>
        <v>7944</v>
      </c>
      <c r="F44" t="str">
        <f>IF('List chi tiet'!C39&lt;&gt;"",'List chi tiet'!C39,"")</f>
        <v>A500-GR.C</v>
      </c>
      <c r="G44" s="2" t="str">
        <f t="shared" si="0"/>
        <v>Pcs</v>
      </c>
      <c r="H44">
        <f>IF('List chi tiet'!H39&lt;&gt;"",'List chi tiet'!H39,"")</f>
        <v>2</v>
      </c>
      <c r="I44" s="56">
        <f>IF('List chi tiet'!J39&lt;&gt;"",'List chi tiet'!J39,"")</f>
        <v>2940.42</v>
      </c>
      <c r="J44" s="2" t="str">
        <f t="shared" si="1"/>
        <v>SC-VT1</v>
      </c>
      <c r="K44" s="2" t="str">
        <f t="shared" si="2"/>
        <v>SC-VT1</v>
      </c>
      <c r="L44" t="s">
        <v>154</v>
      </c>
      <c r="M44" t="s">
        <v>115</v>
      </c>
      <c r="N44" t="str">
        <f>IF('List chi tiet'!D39&lt;&gt;"",'List chi tiet'!D39,"")</f>
        <v>PIPE400X20</v>
      </c>
      <c r="O44" s="25"/>
      <c r="P44" s="36" t="str">
        <f>IF('List chi tiet'!Z39&lt;&gt;"",'List chi tiet'!Z39,"")</f>
        <v>LEVEL 46 - ROOF CROWN - SHIPMENT 1-GIA CONG UON ONG GIAO NHA MAY MIEN TRUNG</v>
      </c>
      <c r="Q44" s="26"/>
      <c r="R44" s="26" t="str">
        <f t="shared" si="3"/>
        <v>x</v>
      </c>
      <c r="S44" s="26" t="str">
        <f t="shared" si="4"/>
        <v/>
      </c>
      <c r="T44" s="26"/>
      <c r="U44" s="26" t="s">
        <v>152</v>
      </c>
      <c r="V44" s="26"/>
      <c r="W44" s="27">
        <f>IF('List chi tiet'!Q39&lt;&gt;"",'List chi tiet'!Q39,"")</f>
        <v>1</v>
      </c>
      <c r="X44" s="50">
        <f>IF('List chi tiet'!R39&lt;&gt;"",'List chi tiet'!R39,"")</f>
        <v>46269</v>
      </c>
      <c r="AB44" t="str">
        <f>IF('List chi tiet'!V39&lt;&gt;"",'List chi tiet'!V39,"")</f>
        <v>10726-040</v>
      </c>
      <c r="AC44" s="7" t="str">
        <f>IF('List chi tiet'!L39&lt;&gt;"",'List chi tiet'!L39,"")</f>
        <v>LSX-VT-BPI-TH-001</v>
      </c>
      <c r="AD44" s="2">
        <f>IF('List chi tiet'!K39&lt;&gt;"",'List chi tiet'!K39,"")</f>
        <v>12000</v>
      </c>
      <c r="AE44" s="89" t="str">
        <f>IF(LEN('List chi tiet'!$B$2)=0,"",'List chi tiet'!$B$2)</f>
        <v>10726-040 DG XK BPI HO REDEV SUPPLY MATERIAL</v>
      </c>
    </row>
    <row r="45" spans="1:31" x14ac:dyDescent="0.25">
      <c r="B45" s="2"/>
      <c r="C45" s="55"/>
      <c r="D45" s="55"/>
      <c r="I45" s="56"/>
      <c r="O45" s="25"/>
      <c r="Q45" s="26"/>
      <c r="R45" s="26"/>
      <c r="S45" s="26"/>
      <c r="T45" s="26"/>
      <c r="U45" s="26"/>
      <c r="V45" s="26"/>
      <c r="W45" s="27"/>
      <c r="X45" s="50"/>
    </row>
    <row r="46" spans="1:31" x14ac:dyDescent="0.25">
      <c r="B46" s="2"/>
      <c r="C46" s="55"/>
      <c r="D46" s="55"/>
      <c r="I46" s="56"/>
      <c r="O46" s="25"/>
      <c r="Q46" s="26"/>
      <c r="R46" s="26"/>
      <c r="S46" s="26"/>
      <c r="T46" s="26"/>
      <c r="U46" s="26"/>
      <c r="V46" s="26"/>
      <c r="W46" s="27"/>
      <c r="X46" s="50"/>
    </row>
    <row r="47" spans="1:31" x14ac:dyDescent="0.25">
      <c r="B47" s="2"/>
      <c r="C47" s="55"/>
      <c r="D47" s="55"/>
      <c r="I47" s="56"/>
      <c r="O47" s="25"/>
      <c r="Q47" s="26"/>
      <c r="R47" s="26"/>
      <c r="S47" s="26"/>
      <c r="T47" s="26"/>
      <c r="U47" s="26"/>
      <c r="V47" s="26"/>
      <c r="W47" s="27"/>
      <c r="X47" s="50"/>
    </row>
    <row r="48" spans="1:31" x14ac:dyDescent="0.25">
      <c r="B48" s="2"/>
      <c r="C48" s="55"/>
      <c r="D48" s="55"/>
      <c r="I48" s="56"/>
      <c r="O48" s="25"/>
      <c r="Q48" s="26"/>
      <c r="R48" s="26"/>
      <c r="S48" s="26"/>
      <c r="T48" s="26"/>
      <c r="U48" s="26"/>
      <c r="V48" s="26"/>
      <c r="W48" s="27"/>
      <c r="X48" s="50"/>
    </row>
    <row r="49" spans="2:24" x14ac:dyDescent="0.25">
      <c r="B49" s="2"/>
      <c r="C49" s="55"/>
      <c r="D49" s="55"/>
      <c r="I49" s="56"/>
      <c r="O49" s="25"/>
      <c r="Q49" s="26"/>
      <c r="R49" s="26"/>
      <c r="S49" s="26"/>
      <c r="T49" s="26"/>
      <c r="U49" s="26"/>
      <c r="V49" s="26"/>
      <c r="W49" s="27"/>
      <c r="X49" s="50"/>
    </row>
    <row r="50" spans="2:24" x14ac:dyDescent="0.25">
      <c r="B50" s="2"/>
      <c r="C50" s="55"/>
      <c r="D50" s="55"/>
      <c r="I50" s="56"/>
      <c r="O50" s="25"/>
      <c r="Q50" s="26"/>
      <c r="R50" s="26"/>
      <c r="S50" s="26"/>
      <c r="T50" s="26"/>
      <c r="U50" s="26"/>
      <c r="V50" s="26"/>
      <c r="W50" s="27"/>
      <c r="X50" s="50"/>
    </row>
    <row r="51" spans="2:24" x14ac:dyDescent="0.25">
      <c r="B51" s="2"/>
      <c r="C51" s="55"/>
      <c r="D51" s="55"/>
      <c r="I51" s="56"/>
      <c r="O51" s="25"/>
      <c r="Q51" s="26"/>
      <c r="R51" s="26"/>
      <c r="S51" s="26"/>
      <c r="T51" s="26"/>
      <c r="U51" s="26"/>
      <c r="V51" s="26"/>
      <c r="W51" s="27"/>
      <c r="X51" s="50"/>
    </row>
    <row r="52" spans="2:24" x14ac:dyDescent="0.25">
      <c r="B52" s="2"/>
      <c r="C52" s="55"/>
      <c r="D52" s="55"/>
      <c r="I52" s="56"/>
      <c r="O52" s="25"/>
      <c r="Q52" s="26"/>
      <c r="R52" s="26"/>
      <c r="S52" s="26"/>
      <c r="T52" s="26"/>
      <c r="U52" s="26"/>
      <c r="V52" s="26"/>
      <c r="W52" s="27"/>
      <c r="X52" s="50"/>
    </row>
    <row r="53" spans="2:24" x14ac:dyDescent="0.25">
      <c r="B53" s="2"/>
      <c r="C53" s="55"/>
      <c r="D53" s="55"/>
      <c r="I53" s="56"/>
      <c r="O53" s="25"/>
      <c r="Q53" s="26"/>
      <c r="R53" s="26"/>
      <c r="S53" s="26"/>
      <c r="T53" s="26"/>
      <c r="U53" s="26"/>
      <c r="V53" s="26"/>
      <c r="W53" s="27"/>
      <c r="X53" s="50"/>
    </row>
    <row r="54" spans="2:24" x14ac:dyDescent="0.25">
      <c r="B54" s="2"/>
      <c r="C54" s="55"/>
      <c r="D54" s="55"/>
      <c r="I54" s="56"/>
      <c r="O54" s="25"/>
      <c r="Q54" s="26"/>
      <c r="R54" s="26"/>
      <c r="S54" s="26"/>
      <c r="T54" s="26"/>
      <c r="U54" s="26"/>
      <c r="V54" s="26"/>
      <c r="W54" s="27"/>
      <c r="X54" s="50"/>
    </row>
    <row r="55" spans="2:24" x14ac:dyDescent="0.25">
      <c r="B55" s="2"/>
      <c r="C55" s="55"/>
      <c r="D55" s="55"/>
      <c r="I55" s="56"/>
      <c r="O55" s="25"/>
      <c r="Q55" s="26"/>
      <c r="R55" s="26"/>
      <c r="S55" s="26"/>
      <c r="T55" s="26"/>
      <c r="U55" s="26"/>
      <c r="V55" s="26"/>
      <c r="W55" s="27"/>
      <c r="X55" s="50"/>
    </row>
    <row r="56" spans="2:24" x14ac:dyDescent="0.25">
      <c r="B56" s="2"/>
      <c r="C56" s="55"/>
      <c r="D56" s="55"/>
      <c r="I56" s="56"/>
      <c r="O56" s="25"/>
      <c r="Q56" s="26"/>
      <c r="R56" s="26"/>
      <c r="S56" s="26"/>
      <c r="T56" s="26"/>
      <c r="U56" s="26"/>
      <c r="V56" s="26"/>
      <c r="W56" s="27"/>
      <c r="X56" s="50"/>
    </row>
    <row r="57" spans="2:24" x14ac:dyDescent="0.25">
      <c r="B57" s="2"/>
      <c r="C57" s="55"/>
      <c r="D57" s="55"/>
      <c r="I57" s="56"/>
      <c r="O57" s="25"/>
      <c r="Q57" s="26"/>
      <c r="R57" s="26"/>
      <c r="S57" s="26"/>
      <c r="T57" s="26"/>
      <c r="U57" s="26"/>
      <c r="V57" s="26"/>
      <c r="W57" s="27"/>
      <c r="X57" s="50"/>
    </row>
    <row r="58" spans="2:24" x14ac:dyDescent="0.25">
      <c r="B58" s="2"/>
      <c r="C58" s="55"/>
      <c r="D58" s="55"/>
      <c r="I58" s="56"/>
      <c r="O58" s="25"/>
      <c r="Q58" s="26"/>
      <c r="R58" s="26"/>
      <c r="S58" s="26"/>
      <c r="T58" s="26"/>
      <c r="U58" s="26"/>
      <c r="V58" s="26"/>
      <c r="W58" s="27"/>
      <c r="X58" s="50"/>
    </row>
    <row r="59" spans="2:24" x14ac:dyDescent="0.25">
      <c r="B59" s="2"/>
      <c r="C59" s="55"/>
      <c r="D59" s="55"/>
      <c r="I59" s="56"/>
      <c r="O59" s="25"/>
      <c r="Q59" s="26"/>
      <c r="R59" s="26"/>
      <c r="S59" s="26"/>
      <c r="T59" s="26"/>
      <c r="U59" s="26"/>
      <c r="V59" s="26"/>
      <c r="W59" s="27"/>
      <c r="X59" s="50"/>
    </row>
    <row r="60" spans="2:24" x14ac:dyDescent="0.25">
      <c r="B60" s="2"/>
      <c r="C60" s="55"/>
      <c r="D60" s="55"/>
      <c r="I60" s="56"/>
      <c r="O60" s="25"/>
      <c r="Q60" s="26"/>
      <c r="R60" s="26"/>
      <c r="S60" s="26"/>
      <c r="T60" s="26"/>
      <c r="U60" s="26"/>
      <c r="V60" s="26"/>
      <c r="W60" s="27"/>
      <c r="X60" s="50"/>
    </row>
    <row r="61" spans="2:24" x14ac:dyDescent="0.25">
      <c r="B61" s="2"/>
      <c r="C61" s="55"/>
      <c r="D61" s="55"/>
      <c r="I61" s="56"/>
      <c r="O61" s="25"/>
      <c r="Q61" s="26"/>
      <c r="R61" s="26"/>
      <c r="S61" s="26"/>
      <c r="T61" s="26"/>
      <c r="U61" s="26"/>
      <c r="V61" s="26"/>
      <c r="W61" s="27"/>
      <c r="X61" s="50"/>
    </row>
    <row r="62" spans="2:24" x14ac:dyDescent="0.25">
      <c r="B62" s="2"/>
      <c r="C62" s="55"/>
      <c r="D62" s="55"/>
      <c r="I62" s="56"/>
      <c r="O62" s="25"/>
      <c r="Q62" s="26"/>
      <c r="R62" s="26"/>
      <c r="S62" s="26"/>
      <c r="T62" s="26"/>
      <c r="U62" s="26"/>
      <c r="V62" s="26"/>
      <c r="W62" s="27"/>
      <c r="X62" s="50"/>
    </row>
    <row r="63" spans="2:24" x14ac:dyDescent="0.25">
      <c r="B63" s="2"/>
      <c r="C63" s="55"/>
      <c r="D63" s="55"/>
      <c r="I63" s="56"/>
      <c r="O63" s="25"/>
      <c r="Q63" s="26"/>
      <c r="R63" s="26"/>
      <c r="S63" s="26"/>
      <c r="T63" s="26"/>
      <c r="U63" s="26"/>
      <c r="V63" s="26"/>
      <c r="W63" s="27"/>
      <c r="X63" s="50"/>
    </row>
    <row r="64" spans="2:24" x14ac:dyDescent="0.25">
      <c r="B64" s="2"/>
      <c r="C64" s="55"/>
      <c r="D64" s="55"/>
      <c r="I64" s="56"/>
      <c r="O64" s="25"/>
      <c r="Q64" s="26"/>
      <c r="R64" s="26"/>
      <c r="S64" s="26"/>
      <c r="T64" s="26"/>
      <c r="U64" s="26"/>
      <c r="V64" s="26"/>
      <c r="W64" s="27"/>
      <c r="X64" s="50"/>
    </row>
    <row r="65" spans="2:24" x14ac:dyDescent="0.25">
      <c r="B65" s="2"/>
      <c r="C65" s="55"/>
      <c r="D65" s="55"/>
      <c r="I65" s="56"/>
      <c r="O65" s="25"/>
      <c r="Q65" s="26"/>
      <c r="R65" s="26"/>
      <c r="S65" s="26"/>
      <c r="T65" s="26"/>
      <c r="U65" s="26"/>
      <c r="V65" s="26"/>
      <c r="W65" s="27"/>
      <c r="X65" s="50"/>
    </row>
    <row r="66" spans="2:24" x14ac:dyDescent="0.25">
      <c r="B66" s="2"/>
      <c r="C66" s="55"/>
      <c r="D66" s="55"/>
      <c r="I66" s="56"/>
      <c r="O66" s="25"/>
      <c r="Q66" s="26"/>
      <c r="R66" s="26"/>
      <c r="S66" s="26"/>
      <c r="T66" s="26"/>
      <c r="U66" s="26"/>
      <c r="V66" s="26"/>
      <c r="W66" s="27"/>
      <c r="X66" s="50"/>
    </row>
    <row r="67" spans="2:24" x14ac:dyDescent="0.25">
      <c r="B67" s="2"/>
      <c r="C67" s="55"/>
      <c r="D67" s="55"/>
      <c r="I67" s="56"/>
      <c r="O67" s="25"/>
      <c r="Q67" s="26"/>
      <c r="R67" s="26"/>
      <c r="S67" s="26"/>
      <c r="T67" s="26"/>
      <c r="U67" s="26"/>
      <c r="V67" s="26"/>
      <c r="W67" s="27"/>
      <c r="X67" s="50"/>
    </row>
    <row r="68" spans="2:24" x14ac:dyDescent="0.25">
      <c r="B68" s="2"/>
      <c r="C68" s="55"/>
      <c r="D68" s="55"/>
      <c r="I68" s="56"/>
      <c r="O68" s="25"/>
      <c r="Q68" s="26"/>
      <c r="R68" s="26"/>
      <c r="S68" s="26"/>
      <c r="T68" s="26"/>
      <c r="U68" s="26"/>
      <c r="V68" s="26"/>
      <c r="W68" s="27"/>
      <c r="X68" s="50"/>
    </row>
    <row r="69" spans="2:24" x14ac:dyDescent="0.25">
      <c r="B69" s="2"/>
      <c r="C69" s="55"/>
      <c r="D69" s="55"/>
      <c r="I69" s="56"/>
      <c r="O69" s="25"/>
      <c r="Q69" s="26"/>
      <c r="R69" s="26"/>
      <c r="S69" s="26"/>
      <c r="T69" s="26"/>
      <c r="U69" s="26"/>
      <c r="V69" s="26"/>
      <c r="W69" s="27"/>
      <c r="X69" s="50"/>
    </row>
    <row r="70" spans="2:24" x14ac:dyDescent="0.25">
      <c r="B70" s="2"/>
      <c r="C70" s="55"/>
      <c r="D70" s="55"/>
      <c r="I70" s="56"/>
      <c r="O70" s="25"/>
      <c r="Q70" s="26"/>
      <c r="R70" s="26"/>
      <c r="S70" s="26"/>
      <c r="T70" s="26"/>
      <c r="U70" s="26"/>
      <c r="V70" s="26"/>
      <c r="W70" s="27"/>
      <c r="X70" s="50"/>
    </row>
    <row r="71" spans="2:24" x14ac:dyDescent="0.25">
      <c r="B71" s="2"/>
      <c r="C71" s="55"/>
      <c r="D71" s="55"/>
      <c r="I71" s="56"/>
      <c r="O71" s="25"/>
      <c r="Q71" s="26"/>
      <c r="R71" s="26"/>
      <c r="S71" s="26"/>
      <c r="T71" s="26"/>
      <c r="U71" s="26"/>
      <c r="V71" s="26"/>
      <c r="W71" s="27"/>
      <c r="X71" s="50"/>
    </row>
    <row r="72" spans="2:24" x14ac:dyDescent="0.25">
      <c r="B72" s="2"/>
      <c r="C72" s="55"/>
      <c r="D72" s="55"/>
      <c r="I72" s="56"/>
      <c r="O72" s="25"/>
      <c r="Q72" s="26"/>
      <c r="R72" s="26"/>
      <c r="S72" s="26"/>
      <c r="T72" s="26"/>
      <c r="U72" s="26"/>
      <c r="V72" s="26"/>
      <c r="W72" s="27"/>
      <c r="X72" s="50"/>
    </row>
    <row r="73" spans="2:24" x14ac:dyDescent="0.25">
      <c r="B73" s="2"/>
      <c r="C73" s="55"/>
      <c r="D73" s="55"/>
      <c r="I73" s="56"/>
      <c r="O73" s="25"/>
      <c r="Q73" s="26"/>
      <c r="R73" s="26"/>
      <c r="S73" s="26"/>
      <c r="T73" s="26"/>
      <c r="U73" s="26"/>
      <c r="V73" s="26"/>
      <c r="W73" s="27"/>
      <c r="X73" s="50"/>
    </row>
    <row r="74" spans="2:24" x14ac:dyDescent="0.25">
      <c r="B74" s="2"/>
      <c r="C74" s="55"/>
      <c r="D74" s="55"/>
      <c r="I74" s="56"/>
      <c r="O74" s="25"/>
      <c r="Q74" s="26"/>
      <c r="R74" s="26"/>
      <c r="S74" s="26"/>
      <c r="T74" s="26"/>
      <c r="U74" s="26"/>
      <c r="V74" s="26"/>
      <c r="W74" s="27"/>
      <c r="X74" s="50"/>
    </row>
    <row r="75" spans="2:24" x14ac:dyDescent="0.25">
      <c r="B75" s="2"/>
      <c r="C75" s="55"/>
      <c r="D75" s="55"/>
      <c r="I75" s="56"/>
      <c r="O75" s="25"/>
      <c r="Q75" s="26"/>
      <c r="R75" s="26"/>
      <c r="S75" s="26"/>
      <c r="T75" s="26"/>
      <c r="U75" s="26"/>
      <c r="V75" s="26"/>
      <c r="W75" s="27"/>
      <c r="X75" s="50"/>
    </row>
    <row r="76" spans="2:24" x14ac:dyDescent="0.25">
      <c r="B76" s="2"/>
      <c r="C76" s="55"/>
      <c r="D76" s="55"/>
      <c r="I76" s="56"/>
      <c r="O76" s="25"/>
      <c r="Q76" s="26"/>
      <c r="R76" s="26"/>
      <c r="S76" s="26"/>
      <c r="T76" s="26"/>
      <c r="U76" s="26"/>
      <c r="V76" s="26"/>
      <c r="W76" s="27"/>
      <c r="X76" s="50"/>
    </row>
    <row r="77" spans="2:24" x14ac:dyDescent="0.25">
      <c r="B77" s="2"/>
      <c r="C77" s="55"/>
      <c r="D77" s="55"/>
      <c r="I77" s="56"/>
      <c r="O77" s="25"/>
      <c r="Q77" s="26"/>
      <c r="R77" s="26"/>
      <c r="S77" s="26"/>
      <c r="T77" s="26"/>
      <c r="U77" s="26"/>
      <c r="V77" s="26"/>
      <c r="W77" s="27"/>
      <c r="X77" s="50"/>
    </row>
    <row r="78" spans="2:24" x14ac:dyDescent="0.25">
      <c r="B78" s="2"/>
      <c r="C78" s="55"/>
      <c r="D78" s="55"/>
      <c r="I78" s="56"/>
      <c r="O78" s="25"/>
      <c r="Q78" s="26"/>
      <c r="R78" s="26"/>
      <c r="S78" s="26"/>
      <c r="T78" s="26"/>
      <c r="U78" s="26"/>
      <c r="V78" s="26"/>
      <c r="W78" s="27"/>
      <c r="X78" s="50"/>
    </row>
    <row r="79" spans="2:24" x14ac:dyDescent="0.25">
      <c r="B79" s="2"/>
      <c r="C79" s="55"/>
      <c r="D79" s="55"/>
      <c r="I79" s="56"/>
      <c r="O79" s="25"/>
      <c r="Q79" s="26"/>
      <c r="R79" s="26"/>
      <c r="S79" s="26"/>
      <c r="T79" s="26"/>
      <c r="U79" s="26"/>
      <c r="V79" s="26"/>
      <c r="W79" s="27"/>
      <c r="X79" s="50"/>
    </row>
    <row r="80" spans="2:24" x14ac:dyDescent="0.25">
      <c r="B80" s="2"/>
      <c r="C80" s="55"/>
      <c r="D80" s="55"/>
      <c r="I80" s="56"/>
      <c r="O80" s="25"/>
      <c r="Q80" s="26"/>
      <c r="R80" s="26"/>
      <c r="S80" s="26"/>
      <c r="T80" s="26"/>
      <c r="U80" s="26"/>
      <c r="V80" s="26"/>
      <c r="W80" s="27"/>
      <c r="X80" s="50"/>
    </row>
    <row r="81" spans="2:24" x14ac:dyDescent="0.25">
      <c r="B81" s="2"/>
      <c r="C81" s="55"/>
      <c r="D81" s="55"/>
      <c r="I81" s="56"/>
      <c r="O81" s="25"/>
      <c r="Q81" s="26"/>
      <c r="R81" s="26"/>
      <c r="S81" s="26"/>
      <c r="T81" s="26"/>
      <c r="U81" s="26"/>
      <c r="V81" s="26"/>
      <c r="W81" s="27"/>
      <c r="X81" s="50"/>
    </row>
    <row r="82" spans="2:24" x14ac:dyDescent="0.25">
      <c r="B82" s="2"/>
      <c r="C82" s="55"/>
      <c r="D82" s="55"/>
      <c r="I82" s="56"/>
      <c r="O82" s="25"/>
      <c r="Q82" s="26"/>
      <c r="R82" s="26"/>
      <c r="S82" s="26"/>
      <c r="T82" s="26"/>
      <c r="U82" s="26"/>
      <c r="V82" s="26"/>
      <c r="W82" s="27"/>
      <c r="X82" s="50"/>
    </row>
    <row r="83" spans="2:24" x14ac:dyDescent="0.25">
      <c r="B83" s="2"/>
      <c r="C83" s="55"/>
      <c r="D83" s="55"/>
      <c r="I83" s="56"/>
      <c r="O83" s="25"/>
      <c r="Q83" s="26"/>
      <c r="R83" s="26"/>
      <c r="S83" s="26"/>
      <c r="T83" s="26"/>
      <c r="U83" s="26"/>
      <c r="V83" s="26"/>
      <c r="W83" s="27"/>
      <c r="X83" s="50"/>
    </row>
    <row r="84" spans="2:24" x14ac:dyDescent="0.25">
      <c r="B84" s="2"/>
      <c r="C84" s="55"/>
      <c r="D84" s="55"/>
      <c r="I84" s="56"/>
      <c r="O84" s="25"/>
      <c r="Q84" s="26"/>
      <c r="R84" s="26"/>
      <c r="S84" s="26"/>
      <c r="T84" s="26"/>
      <c r="U84" s="26"/>
      <c r="V84" s="26"/>
      <c r="W84" s="27"/>
      <c r="X84" s="50"/>
    </row>
    <row r="85" spans="2:24" x14ac:dyDescent="0.25">
      <c r="B85" s="2"/>
      <c r="C85" s="55"/>
      <c r="D85" s="55"/>
      <c r="I85" s="56"/>
      <c r="O85" s="25"/>
      <c r="Q85" s="26"/>
      <c r="R85" s="26"/>
      <c r="S85" s="26"/>
      <c r="T85" s="26"/>
      <c r="U85" s="26"/>
      <c r="V85" s="26"/>
      <c r="W85" s="27"/>
      <c r="X85" s="50"/>
    </row>
    <row r="86" spans="2:24" x14ac:dyDescent="0.25">
      <c r="B86" s="2"/>
      <c r="C86" s="55"/>
      <c r="D86" s="55"/>
      <c r="I86" s="56"/>
      <c r="O86" s="25"/>
      <c r="Q86" s="26"/>
      <c r="R86" s="26"/>
      <c r="S86" s="26"/>
      <c r="T86" s="26"/>
      <c r="U86" s="26"/>
      <c r="V86" s="26"/>
      <c r="W86" s="27"/>
      <c r="X86" s="50"/>
    </row>
    <row r="87" spans="2:24" x14ac:dyDescent="0.25">
      <c r="B87" s="2"/>
      <c r="C87" s="55"/>
      <c r="D87" s="55"/>
      <c r="I87" s="56"/>
      <c r="O87" s="25"/>
      <c r="Q87" s="26"/>
      <c r="R87" s="26"/>
      <c r="S87" s="26"/>
      <c r="T87" s="26"/>
      <c r="U87" s="26"/>
      <c r="V87" s="26"/>
      <c r="W87" s="27"/>
      <c r="X87" s="50"/>
    </row>
    <row r="88" spans="2:24" x14ac:dyDescent="0.25">
      <c r="B88" s="2"/>
      <c r="C88" s="55"/>
      <c r="D88" s="55"/>
      <c r="I88" s="56"/>
      <c r="O88" s="25"/>
      <c r="Q88" s="26"/>
      <c r="R88" s="26"/>
      <c r="S88" s="26"/>
      <c r="T88" s="26"/>
      <c r="U88" s="26"/>
      <c r="V88" s="26"/>
      <c r="W88" s="27"/>
      <c r="X88" s="50"/>
    </row>
    <row r="89" spans="2:24" x14ac:dyDescent="0.25">
      <c r="B89" s="2"/>
      <c r="C89" s="55"/>
      <c r="D89" s="55"/>
      <c r="I89" s="56"/>
      <c r="O89" s="25"/>
      <c r="Q89" s="26"/>
      <c r="R89" s="26"/>
      <c r="S89" s="26"/>
      <c r="T89" s="26"/>
      <c r="U89" s="26"/>
      <c r="V89" s="26"/>
      <c r="W89" s="27"/>
      <c r="X89" s="50"/>
    </row>
    <row r="90" spans="2:24" x14ac:dyDescent="0.25">
      <c r="B90" s="2"/>
      <c r="C90" s="55"/>
      <c r="D90" s="55"/>
      <c r="I90" s="56"/>
      <c r="O90" s="25"/>
      <c r="Q90" s="26"/>
      <c r="R90" s="26"/>
      <c r="S90" s="26"/>
      <c r="T90" s="26"/>
      <c r="U90" s="26"/>
      <c r="V90" s="26"/>
      <c r="W90" s="27"/>
      <c r="X90" s="50"/>
    </row>
    <row r="91" spans="2:24" x14ac:dyDescent="0.25">
      <c r="B91" s="2"/>
      <c r="C91" s="55"/>
      <c r="D91" s="55"/>
      <c r="I91" s="56"/>
      <c r="O91" s="25"/>
      <c r="Q91" s="26"/>
      <c r="R91" s="26"/>
      <c r="S91" s="26"/>
      <c r="T91" s="26"/>
      <c r="U91" s="26"/>
      <c r="V91" s="26"/>
      <c r="W91" s="27"/>
      <c r="X91" s="50"/>
    </row>
    <row r="92" spans="2:24" x14ac:dyDescent="0.25">
      <c r="B92" s="2"/>
      <c r="C92" s="55"/>
      <c r="D92" s="55"/>
      <c r="I92" s="56"/>
      <c r="O92" s="25"/>
      <c r="Q92" s="26"/>
      <c r="R92" s="26"/>
      <c r="S92" s="26"/>
      <c r="T92" s="26"/>
      <c r="U92" s="26"/>
      <c r="V92" s="26"/>
      <c r="W92" s="27"/>
      <c r="X92" s="50"/>
    </row>
    <row r="93" spans="2:24" x14ac:dyDescent="0.25">
      <c r="B93" s="2"/>
      <c r="C93" s="55"/>
      <c r="D93" s="55"/>
      <c r="I93" s="56"/>
      <c r="O93" s="25"/>
      <c r="Q93" s="26"/>
      <c r="R93" s="26"/>
      <c r="S93" s="26"/>
      <c r="T93" s="26"/>
      <c r="U93" s="26"/>
      <c r="V93" s="26"/>
      <c r="W93" s="27"/>
      <c r="X93" s="50"/>
    </row>
    <row r="94" spans="2:24" x14ac:dyDescent="0.25">
      <c r="B94" s="2"/>
      <c r="C94" s="55"/>
      <c r="D94" s="55"/>
      <c r="I94" s="56"/>
      <c r="O94" s="25"/>
      <c r="Q94" s="26"/>
      <c r="R94" s="26"/>
      <c r="S94" s="26"/>
      <c r="T94" s="26"/>
      <c r="U94" s="26"/>
      <c r="V94" s="26"/>
      <c r="W94" s="27"/>
      <c r="X94" s="50"/>
    </row>
    <row r="95" spans="2:24" x14ac:dyDescent="0.25">
      <c r="B95" s="2"/>
      <c r="C95" s="55"/>
      <c r="D95" s="55"/>
      <c r="I95" s="56"/>
      <c r="O95" s="25"/>
      <c r="Q95" s="26"/>
      <c r="R95" s="26"/>
      <c r="S95" s="26"/>
      <c r="T95" s="26"/>
      <c r="U95" s="26"/>
      <c r="V95" s="26"/>
      <c r="W95" s="27"/>
      <c r="X95" s="50"/>
    </row>
    <row r="96" spans="2:24" x14ac:dyDescent="0.25">
      <c r="B96" s="2"/>
      <c r="C96" s="55"/>
      <c r="D96" s="55"/>
      <c r="I96" s="56"/>
      <c r="O96" s="25"/>
      <c r="Q96" s="26"/>
      <c r="R96" s="26"/>
      <c r="S96" s="26"/>
      <c r="T96" s="26"/>
      <c r="U96" s="26"/>
      <c r="V96" s="26"/>
      <c r="W96" s="27"/>
      <c r="X96" s="50"/>
    </row>
    <row r="97" spans="2:24" x14ac:dyDescent="0.25">
      <c r="B97" s="2"/>
      <c r="C97" s="55"/>
      <c r="D97" s="55"/>
      <c r="I97" s="56"/>
      <c r="O97" s="25"/>
      <c r="Q97" s="26"/>
      <c r="R97" s="26"/>
      <c r="S97" s="26"/>
      <c r="T97" s="26"/>
      <c r="U97" s="26"/>
      <c r="V97" s="26"/>
      <c r="W97" s="27"/>
      <c r="X97" s="50"/>
    </row>
    <row r="98" spans="2:24" x14ac:dyDescent="0.25">
      <c r="B98" s="2"/>
      <c r="C98" s="55"/>
      <c r="D98" s="55"/>
      <c r="I98" s="56"/>
      <c r="O98" s="25"/>
      <c r="Q98" s="26"/>
      <c r="R98" s="26"/>
      <c r="S98" s="26"/>
      <c r="T98" s="26"/>
      <c r="U98" s="26"/>
      <c r="V98" s="26"/>
      <c r="W98" s="27"/>
      <c r="X98" s="50"/>
    </row>
    <row r="99" spans="2:24" x14ac:dyDescent="0.25">
      <c r="B99" s="2"/>
      <c r="C99" s="55"/>
      <c r="D99" s="55"/>
      <c r="I99" s="56"/>
      <c r="O99" s="25"/>
      <c r="Q99" s="26"/>
      <c r="R99" s="26"/>
      <c r="S99" s="26"/>
      <c r="T99" s="26"/>
      <c r="U99" s="26"/>
      <c r="V99" s="26"/>
      <c r="W99" s="27"/>
      <c r="X99" s="50"/>
    </row>
    <row r="100" spans="2:24" x14ac:dyDescent="0.25">
      <c r="B100" s="2"/>
      <c r="C100" s="55"/>
      <c r="D100" s="55"/>
      <c r="I100" s="56"/>
      <c r="O100" s="25"/>
      <c r="Q100" s="26"/>
      <c r="R100" s="26"/>
      <c r="S100" s="26"/>
      <c r="T100" s="26"/>
      <c r="U100" s="26"/>
      <c r="V100" s="26"/>
      <c r="W100" s="27"/>
      <c r="X100" s="50"/>
    </row>
    <row r="101" spans="2:24" x14ac:dyDescent="0.25">
      <c r="B101" s="2"/>
      <c r="C101" s="55"/>
      <c r="D101" s="55"/>
      <c r="I101" s="56"/>
      <c r="O101" s="25"/>
      <c r="Q101" s="26"/>
      <c r="R101" s="26"/>
      <c r="S101" s="26"/>
      <c r="T101" s="26"/>
      <c r="U101" s="26"/>
      <c r="V101" s="26"/>
      <c r="W101" s="27"/>
      <c r="X101" s="50"/>
    </row>
    <row r="102" spans="2:24" x14ac:dyDescent="0.25">
      <c r="B102" s="2"/>
      <c r="C102" s="55"/>
      <c r="D102" s="55"/>
      <c r="I102" s="56"/>
      <c r="O102" s="25"/>
      <c r="Q102" s="26"/>
      <c r="R102" s="26"/>
      <c r="S102" s="26"/>
      <c r="T102" s="26"/>
      <c r="U102" s="26"/>
      <c r="V102" s="26"/>
      <c r="W102" s="27"/>
      <c r="X102" s="50"/>
    </row>
    <row r="103" spans="2:24" x14ac:dyDescent="0.25">
      <c r="B103" s="2"/>
      <c r="C103" s="55"/>
      <c r="D103" s="55"/>
      <c r="I103" s="56"/>
      <c r="O103" s="25"/>
      <c r="Q103" s="26"/>
      <c r="R103" s="26"/>
      <c r="S103" s="26"/>
      <c r="T103" s="26"/>
      <c r="U103" s="26"/>
      <c r="V103" s="26"/>
      <c r="W103" s="27"/>
      <c r="X103" s="50"/>
    </row>
    <row r="104" spans="2:24" x14ac:dyDescent="0.25">
      <c r="B104" s="2"/>
      <c r="C104" s="55"/>
      <c r="D104" s="55"/>
      <c r="I104" s="56"/>
      <c r="O104" s="25"/>
      <c r="Q104" s="26"/>
      <c r="R104" s="26"/>
      <c r="S104" s="26"/>
      <c r="T104" s="26"/>
      <c r="U104" s="26"/>
      <c r="V104" s="26"/>
      <c r="W104" s="27"/>
      <c r="X104" s="50"/>
    </row>
    <row r="105" spans="2:24" x14ac:dyDescent="0.25">
      <c r="B105" s="2"/>
      <c r="C105" s="55"/>
      <c r="D105" s="55"/>
      <c r="I105" s="56"/>
      <c r="O105" s="25"/>
      <c r="Q105" s="26"/>
      <c r="R105" s="26"/>
      <c r="S105" s="26"/>
      <c r="T105" s="26"/>
      <c r="U105" s="26"/>
      <c r="V105" s="26"/>
      <c r="W105" s="27"/>
      <c r="X105" s="50"/>
    </row>
    <row r="106" spans="2:24" x14ac:dyDescent="0.25">
      <c r="B106" s="2"/>
      <c r="C106" s="55"/>
      <c r="D106" s="55"/>
      <c r="I106" s="56"/>
      <c r="O106" s="25"/>
      <c r="Q106" s="26"/>
      <c r="R106" s="26"/>
      <c r="S106" s="26"/>
      <c r="T106" s="26"/>
      <c r="U106" s="26"/>
      <c r="V106" s="26"/>
      <c r="W106" s="27"/>
      <c r="X106" s="50"/>
    </row>
    <row r="107" spans="2:24" x14ac:dyDescent="0.25">
      <c r="B107" s="2"/>
      <c r="C107" s="55"/>
      <c r="D107" s="55"/>
      <c r="I107" s="56"/>
      <c r="O107" s="25"/>
      <c r="Q107" s="26"/>
      <c r="R107" s="26"/>
      <c r="S107" s="26"/>
      <c r="T107" s="26"/>
      <c r="U107" s="26"/>
      <c r="V107" s="26"/>
      <c r="W107" s="27"/>
      <c r="X107" s="50"/>
    </row>
    <row r="108" spans="2:24" x14ac:dyDescent="0.25">
      <c r="B108" s="2"/>
      <c r="C108" s="55"/>
      <c r="D108" s="55"/>
      <c r="I108" s="56"/>
      <c r="O108" s="25"/>
      <c r="Q108" s="26"/>
      <c r="R108" s="26"/>
      <c r="S108" s="26"/>
      <c r="T108" s="26"/>
      <c r="U108" s="26"/>
      <c r="V108" s="26"/>
      <c r="W108" s="27"/>
      <c r="X108" s="50"/>
    </row>
    <row r="109" spans="2:24" x14ac:dyDescent="0.25">
      <c r="B109" s="2"/>
      <c r="C109" s="55"/>
      <c r="D109" s="55"/>
      <c r="I109" s="56"/>
      <c r="O109" s="25"/>
      <c r="Q109" s="26"/>
      <c r="R109" s="26"/>
      <c r="S109" s="26"/>
      <c r="T109" s="26"/>
      <c r="U109" s="26"/>
      <c r="V109" s="26"/>
      <c r="W109" s="27"/>
      <c r="X109" s="50"/>
    </row>
    <row r="110" spans="2:24" x14ac:dyDescent="0.25">
      <c r="B110" s="2"/>
      <c r="C110" s="55"/>
      <c r="D110" s="55"/>
      <c r="I110" s="56"/>
      <c r="O110" s="25"/>
      <c r="Q110" s="26"/>
      <c r="R110" s="26"/>
      <c r="S110" s="26"/>
      <c r="T110" s="26"/>
      <c r="U110" s="26"/>
      <c r="V110" s="26"/>
      <c r="W110" s="27"/>
      <c r="X110" s="50"/>
    </row>
    <row r="111" spans="2:24" x14ac:dyDescent="0.25">
      <c r="B111" s="2"/>
      <c r="C111" s="55"/>
      <c r="D111" s="55"/>
      <c r="I111" s="56"/>
      <c r="O111" s="25"/>
      <c r="Q111" s="26"/>
      <c r="R111" s="26"/>
      <c r="S111" s="26"/>
      <c r="T111" s="26"/>
      <c r="U111" s="26"/>
      <c r="V111" s="26"/>
      <c r="W111" s="27"/>
      <c r="X111" s="50"/>
    </row>
    <row r="112" spans="2:24" x14ac:dyDescent="0.25">
      <c r="B112" s="2"/>
      <c r="C112" s="55"/>
      <c r="D112" s="55"/>
      <c r="I112" s="56"/>
      <c r="O112" s="25"/>
      <c r="Q112" s="26"/>
      <c r="R112" s="26"/>
      <c r="S112" s="26"/>
      <c r="T112" s="26"/>
      <c r="U112" s="26"/>
      <c r="V112" s="26"/>
      <c r="W112" s="27"/>
      <c r="X112" s="50"/>
    </row>
    <row r="113" spans="2:24" x14ac:dyDescent="0.25">
      <c r="B113" s="2"/>
      <c r="C113" s="55"/>
      <c r="D113" s="55"/>
      <c r="I113" s="56"/>
      <c r="O113" s="25"/>
      <c r="Q113" s="26"/>
      <c r="R113" s="26"/>
      <c r="S113" s="26"/>
      <c r="T113" s="26"/>
      <c r="U113" s="26"/>
      <c r="V113" s="26"/>
      <c r="W113" s="27"/>
      <c r="X113" s="50"/>
    </row>
    <row r="114" spans="2:24" x14ac:dyDescent="0.25">
      <c r="B114" s="2"/>
      <c r="C114" s="55"/>
      <c r="D114" s="55"/>
      <c r="I114" s="56"/>
      <c r="O114" s="25"/>
      <c r="Q114" s="26"/>
      <c r="R114" s="26"/>
      <c r="S114" s="26"/>
      <c r="T114" s="26"/>
      <c r="U114" s="26"/>
      <c r="V114" s="26"/>
      <c r="W114" s="27"/>
      <c r="X114" s="50"/>
    </row>
    <row r="115" spans="2:24" x14ac:dyDescent="0.25">
      <c r="B115" s="2"/>
      <c r="C115" s="55"/>
      <c r="D115" s="55"/>
      <c r="I115" s="56"/>
      <c r="O115" s="25"/>
      <c r="Q115" s="26"/>
      <c r="R115" s="26"/>
      <c r="S115" s="26"/>
      <c r="T115" s="26"/>
      <c r="U115" s="26"/>
      <c r="V115" s="26"/>
      <c r="W115" s="27"/>
      <c r="X115" s="50"/>
    </row>
    <row r="116" spans="2:24" x14ac:dyDescent="0.25">
      <c r="B116" s="2"/>
      <c r="C116" s="55"/>
      <c r="D116" s="55"/>
      <c r="I116" s="56"/>
      <c r="O116" s="25"/>
      <c r="Q116" s="26"/>
      <c r="R116" s="26"/>
      <c r="S116" s="26"/>
      <c r="T116" s="26"/>
      <c r="U116" s="26"/>
      <c r="V116" s="26"/>
      <c r="W116" s="27"/>
      <c r="X116" s="50"/>
    </row>
    <row r="117" spans="2:24" x14ac:dyDescent="0.25">
      <c r="B117" s="2"/>
      <c r="C117" s="55"/>
      <c r="D117" s="55"/>
      <c r="I117" s="56"/>
      <c r="O117" s="25"/>
      <c r="Q117" s="26"/>
      <c r="R117" s="26"/>
      <c r="S117" s="26"/>
      <c r="T117" s="26"/>
      <c r="U117" s="26"/>
      <c r="V117" s="26"/>
      <c r="W117" s="27"/>
      <c r="X117" s="50"/>
    </row>
    <row r="118" spans="2:24" x14ac:dyDescent="0.25">
      <c r="B118" s="2"/>
      <c r="C118" s="55"/>
      <c r="D118" s="55"/>
      <c r="I118" s="56"/>
      <c r="O118" s="25"/>
      <c r="Q118" s="26"/>
      <c r="R118" s="26"/>
      <c r="S118" s="26"/>
      <c r="T118" s="26"/>
      <c r="U118" s="26"/>
      <c r="V118" s="26"/>
      <c r="W118" s="27"/>
      <c r="X118" s="50"/>
    </row>
    <row r="119" spans="2:24" x14ac:dyDescent="0.25">
      <c r="B119" s="2"/>
      <c r="C119" s="55"/>
      <c r="D119" s="55"/>
      <c r="I119" s="56"/>
      <c r="O119" s="25"/>
      <c r="Q119" s="26"/>
      <c r="R119" s="26"/>
      <c r="S119" s="26"/>
      <c r="T119" s="26"/>
      <c r="U119" s="26"/>
      <c r="V119" s="26"/>
      <c r="W119" s="27"/>
      <c r="X119" s="50"/>
    </row>
    <row r="120" spans="2:24" x14ac:dyDescent="0.25">
      <c r="B120" s="2"/>
      <c r="C120" s="55"/>
      <c r="D120" s="55"/>
      <c r="I120" s="56"/>
      <c r="O120" s="25"/>
      <c r="Q120" s="26"/>
      <c r="R120" s="26"/>
      <c r="S120" s="26"/>
      <c r="T120" s="26"/>
      <c r="U120" s="26"/>
      <c r="V120" s="26"/>
      <c r="W120" s="27"/>
      <c r="X120" s="50"/>
    </row>
    <row r="121" spans="2:24" x14ac:dyDescent="0.25">
      <c r="B121" s="2"/>
      <c r="C121" s="55"/>
      <c r="D121" s="55"/>
      <c r="I121" s="56"/>
      <c r="O121" s="25"/>
      <c r="Q121" s="26"/>
      <c r="R121" s="26"/>
      <c r="S121" s="26"/>
      <c r="T121" s="26"/>
      <c r="U121" s="26"/>
      <c r="V121" s="26"/>
      <c r="W121" s="27"/>
      <c r="X121" s="50"/>
    </row>
    <row r="122" spans="2:24" x14ac:dyDescent="0.25">
      <c r="B122" s="2"/>
      <c r="C122" s="55"/>
      <c r="D122" s="55"/>
      <c r="I122" s="56"/>
      <c r="O122" s="25"/>
      <c r="Q122" s="26"/>
      <c r="R122" s="26"/>
      <c r="S122" s="26"/>
      <c r="T122" s="26"/>
      <c r="U122" s="26"/>
      <c r="V122" s="26"/>
      <c r="W122" s="27"/>
      <c r="X122" s="50"/>
    </row>
    <row r="123" spans="2:24" x14ac:dyDescent="0.25">
      <c r="B123" s="2"/>
      <c r="C123" s="55"/>
      <c r="D123" s="55"/>
      <c r="I123" s="56"/>
      <c r="O123" s="25"/>
      <c r="Q123" s="26"/>
      <c r="R123" s="26"/>
      <c r="S123" s="26"/>
      <c r="T123" s="26"/>
      <c r="U123" s="26"/>
      <c r="V123" s="26"/>
      <c r="W123" s="27"/>
      <c r="X123" s="50"/>
    </row>
    <row r="124" spans="2:24" x14ac:dyDescent="0.25">
      <c r="B124" s="2"/>
      <c r="C124" s="55"/>
      <c r="D124" s="55"/>
      <c r="I124" s="56"/>
      <c r="O124" s="25"/>
      <c r="Q124" s="26"/>
      <c r="R124" s="26"/>
      <c r="S124" s="26"/>
      <c r="T124" s="26"/>
      <c r="U124" s="26"/>
      <c r="V124" s="26"/>
      <c r="W124" s="27"/>
      <c r="X124" s="50"/>
    </row>
    <row r="125" spans="2:24" x14ac:dyDescent="0.25">
      <c r="B125" s="2"/>
      <c r="C125" s="55"/>
      <c r="D125" s="55"/>
      <c r="I125" s="56"/>
      <c r="O125" s="25"/>
      <c r="Q125" s="26"/>
      <c r="R125" s="26"/>
      <c r="S125" s="26"/>
      <c r="T125" s="26"/>
      <c r="U125" s="26"/>
      <c r="V125" s="26"/>
      <c r="W125" s="27"/>
      <c r="X125" s="50"/>
    </row>
    <row r="126" spans="2:24" x14ac:dyDescent="0.25">
      <c r="B126" s="2"/>
      <c r="C126" s="55"/>
      <c r="D126" s="55"/>
      <c r="I126" s="56"/>
      <c r="O126" s="25"/>
      <c r="Q126" s="26"/>
      <c r="R126" s="26"/>
      <c r="S126" s="26"/>
      <c r="T126" s="26"/>
      <c r="U126" s="26"/>
      <c r="V126" s="26"/>
      <c r="W126" s="27"/>
      <c r="X126" s="50"/>
    </row>
    <row r="127" spans="2:24" x14ac:dyDescent="0.25">
      <c r="B127" s="2"/>
      <c r="C127" s="55"/>
      <c r="D127" s="55"/>
      <c r="I127" s="56"/>
      <c r="O127" s="25"/>
      <c r="Q127" s="26"/>
      <c r="R127" s="26"/>
      <c r="S127" s="26"/>
      <c r="T127" s="26"/>
      <c r="U127" s="26"/>
      <c r="V127" s="26"/>
      <c r="W127" s="27"/>
      <c r="X127" s="50"/>
    </row>
    <row r="128" spans="2:24" x14ac:dyDescent="0.25">
      <c r="B128" s="2"/>
      <c r="C128" s="55"/>
      <c r="D128" s="55"/>
      <c r="I128" s="56"/>
      <c r="O128" s="25"/>
      <c r="Q128" s="26"/>
      <c r="R128" s="26"/>
      <c r="S128" s="26"/>
      <c r="T128" s="26"/>
      <c r="U128" s="26"/>
      <c r="V128" s="26"/>
      <c r="W128" s="27"/>
      <c r="X128" s="50"/>
    </row>
    <row r="129" spans="2:24" x14ac:dyDescent="0.25">
      <c r="B129" s="2"/>
      <c r="C129" s="55"/>
      <c r="D129" s="55"/>
      <c r="I129" s="56"/>
      <c r="O129" s="25"/>
      <c r="Q129" s="26"/>
      <c r="R129" s="26"/>
      <c r="S129" s="26"/>
      <c r="T129" s="26"/>
      <c r="U129" s="26"/>
      <c r="V129" s="26"/>
      <c r="W129" s="27"/>
      <c r="X129" s="50"/>
    </row>
    <row r="130" spans="2:24" x14ac:dyDescent="0.25">
      <c r="B130" s="2"/>
      <c r="C130" s="55"/>
      <c r="D130" s="55"/>
      <c r="I130" s="56"/>
      <c r="O130" s="25"/>
      <c r="Q130" s="26"/>
      <c r="R130" s="26"/>
      <c r="S130" s="26"/>
      <c r="T130" s="26"/>
      <c r="U130" s="26"/>
      <c r="V130" s="26"/>
      <c r="W130" s="27"/>
      <c r="X130" s="50"/>
    </row>
    <row r="131" spans="2:24" x14ac:dyDescent="0.25">
      <c r="B131" s="2"/>
      <c r="C131" s="55"/>
      <c r="D131" s="55"/>
      <c r="I131" s="56"/>
      <c r="O131" s="25"/>
      <c r="Q131" s="26"/>
      <c r="R131" s="26"/>
      <c r="S131" s="26"/>
      <c r="T131" s="26"/>
      <c r="U131" s="26"/>
      <c r="V131" s="26"/>
      <c r="W131" s="27"/>
      <c r="X131" s="50"/>
    </row>
    <row r="132" spans="2:24" x14ac:dyDescent="0.25">
      <c r="B132" s="2"/>
      <c r="C132" s="55"/>
      <c r="D132" s="55"/>
      <c r="I132" s="56"/>
      <c r="O132" s="25"/>
      <c r="Q132" s="26"/>
      <c r="R132" s="26"/>
      <c r="S132" s="26"/>
      <c r="T132" s="26"/>
      <c r="U132" s="26"/>
      <c r="V132" s="26"/>
      <c r="W132" s="27"/>
      <c r="X132" s="50"/>
    </row>
    <row r="133" spans="2:24" x14ac:dyDescent="0.25">
      <c r="B133" s="2"/>
      <c r="C133" s="55"/>
      <c r="D133" s="55"/>
      <c r="I133" s="56"/>
      <c r="O133" s="25"/>
      <c r="Q133" s="26"/>
      <c r="R133" s="26"/>
      <c r="S133" s="26"/>
      <c r="T133" s="26"/>
      <c r="U133" s="26"/>
      <c r="V133" s="26"/>
      <c r="W133" s="27"/>
      <c r="X133" s="50"/>
    </row>
    <row r="134" spans="2:24" x14ac:dyDescent="0.25">
      <c r="B134" s="2"/>
      <c r="C134" s="55"/>
      <c r="D134" s="55"/>
      <c r="I134" s="56"/>
      <c r="O134" s="25"/>
      <c r="Q134" s="26"/>
      <c r="R134" s="26"/>
      <c r="S134" s="26"/>
      <c r="T134" s="26"/>
      <c r="U134" s="26"/>
      <c r="V134" s="26"/>
      <c r="W134" s="27"/>
      <c r="X134" s="50"/>
    </row>
    <row r="135" spans="2:24" x14ac:dyDescent="0.25">
      <c r="B135" s="2"/>
      <c r="C135" s="55"/>
      <c r="D135" s="55"/>
      <c r="I135" s="56"/>
      <c r="O135" s="25"/>
      <c r="Q135" s="26"/>
      <c r="R135" s="26"/>
      <c r="S135" s="26"/>
      <c r="T135" s="26"/>
      <c r="U135" s="26"/>
      <c r="V135" s="26"/>
      <c r="W135" s="27"/>
      <c r="X135" s="50"/>
    </row>
    <row r="136" spans="2:24" x14ac:dyDescent="0.25">
      <c r="B136" s="2"/>
      <c r="C136" s="55"/>
      <c r="D136" s="55"/>
      <c r="I136" s="56"/>
      <c r="O136" s="25"/>
      <c r="Q136" s="26"/>
      <c r="R136" s="26"/>
      <c r="S136" s="26"/>
      <c r="T136" s="26"/>
      <c r="U136" s="26"/>
      <c r="V136" s="26"/>
      <c r="W136" s="27"/>
      <c r="X136" s="50"/>
    </row>
    <row r="137" spans="2:24" x14ac:dyDescent="0.25">
      <c r="B137" s="2"/>
      <c r="C137" s="55"/>
      <c r="D137" s="55"/>
      <c r="I137" s="56"/>
      <c r="O137" s="25"/>
      <c r="Q137" s="26"/>
      <c r="R137" s="26"/>
      <c r="S137" s="26"/>
      <c r="T137" s="26"/>
      <c r="U137" s="26"/>
      <c r="V137" s="26"/>
      <c r="W137" s="27"/>
      <c r="X137" s="50"/>
    </row>
    <row r="138" spans="2:24" x14ac:dyDescent="0.25">
      <c r="B138" s="2"/>
      <c r="C138" s="55"/>
      <c r="D138" s="55"/>
      <c r="I138" s="56"/>
      <c r="O138" s="25"/>
      <c r="Q138" s="26"/>
      <c r="R138" s="26"/>
      <c r="S138" s="26"/>
      <c r="T138" s="26"/>
      <c r="U138" s="26"/>
      <c r="V138" s="26"/>
      <c r="W138" s="27"/>
      <c r="X138" s="50"/>
    </row>
    <row r="139" spans="2:24" x14ac:dyDescent="0.25">
      <c r="B139" s="2"/>
      <c r="C139" s="55"/>
      <c r="D139" s="55"/>
      <c r="I139" s="56"/>
      <c r="O139" s="25"/>
      <c r="Q139" s="26"/>
      <c r="R139" s="26"/>
      <c r="S139" s="26"/>
      <c r="T139" s="26"/>
      <c r="U139" s="26"/>
      <c r="V139" s="26"/>
      <c r="W139" s="27"/>
      <c r="X139" s="50"/>
    </row>
    <row r="140" spans="2:24" x14ac:dyDescent="0.25">
      <c r="B140" s="2"/>
      <c r="C140" s="55"/>
      <c r="D140" s="55"/>
      <c r="I140" s="56"/>
      <c r="O140" s="25"/>
      <c r="Q140" s="26"/>
      <c r="R140" s="26"/>
      <c r="S140" s="26"/>
      <c r="T140" s="26"/>
      <c r="U140" s="26"/>
      <c r="V140" s="26"/>
      <c r="W140" s="27"/>
      <c r="X140" s="50"/>
    </row>
    <row r="141" spans="2:24" x14ac:dyDescent="0.25">
      <c r="B141" s="2"/>
      <c r="C141" s="55"/>
      <c r="D141" s="55"/>
      <c r="I141" s="56"/>
      <c r="O141" s="25"/>
      <c r="Q141" s="26"/>
      <c r="R141" s="26"/>
      <c r="S141" s="26"/>
      <c r="T141" s="26"/>
      <c r="U141" s="26"/>
      <c r="V141" s="26"/>
      <c r="W141" s="27"/>
      <c r="X141" s="50"/>
    </row>
    <row r="142" spans="2:24" x14ac:dyDescent="0.25">
      <c r="B142" s="2"/>
      <c r="C142" s="55"/>
      <c r="D142" s="55"/>
      <c r="I142" s="56"/>
      <c r="O142" s="25"/>
      <c r="Q142" s="26"/>
      <c r="R142" s="26"/>
      <c r="S142" s="26"/>
      <c r="T142" s="26"/>
      <c r="U142" s="26"/>
      <c r="V142" s="26"/>
      <c r="W142" s="27"/>
      <c r="X142" s="50"/>
    </row>
    <row r="143" spans="2:24" x14ac:dyDescent="0.25">
      <c r="B143" s="2"/>
      <c r="C143" s="55"/>
      <c r="D143" s="55"/>
      <c r="I143" s="56"/>
      <c r="O143" s="25"/>
      <c r="Q143" s="26"/>
      <c r="R143" s="26"/>
      <c r="S143" s="26"/>
      <c r="T143" s="26"/>
      <c r="U143" s="26"/>
      <c r="V143" s="26"/>
      <c r="W143" s="27"/>
      <c r="X143" s="50"/>
    </row>
    <row r="144" spans="2:24" x14ac:dyDescent="0.25">
      <c r="B144" s="2"/>
      <c r="C144" s="55"/>
      <c r="D144" s="55"/>
      <c r="I144" s="56"/>
      <c r="O144" s="25"/>
      <c r="Q144" s="26"/>
      <c r="R144" s="26"/>
      <c r="S144" s="26"/>
      <c r="T144" s="26"/>
      <c r="U144" s="26"/>
      <c r="V144" s="26"/>
      <c r="W144" s="27"/>
      <c r="X144" s="50"/>
    </row>
    <row r="145" spans="2:24" x14ac:dyDescent="0.25">
      <c r="B145" s="2"/>
      <c r="C145" s="55"/>
      <c r="D145" s="55"/>
      <c r="I145" s="56"/>
      <c r="O145" s="25"/>
      <c r="Q145" s="26"/>
      <c r="R145" s="26"/>
      <c r="S145" s="26"/>
      <c r="T145" s="26"/>
      <c r="U145" s="26"/>
      <c r="V145" s="26"/>
      <c r="W145" s="27"/>
      <c r="X145" s="50"/>
    </row>
    <row r="146" spans="2:24" x14ac:dyDescent="0.25">
      <c r="B146" s="2"/>
      <c r="C146" s="55"/>
      <c r="D146" s="55"/>
      <c r="I146" s="56"/>
      <c r="O146" s="25"/>
      <c r="Q146" s="26"/>
      <c r="R146" s="26"/>
      <c r="S146" s="26"/>
      <c r="T146" s="26"/>
      <c r="U146" s="26"/>
      <c r="V146" s="26"/>
      <c r="W146" s="27"/>
      <c r="X146" s="50"/>
    </row>
    <row r="147" spans="2:24" x14ac:dyDescent="0.25">
      <c r="B147" s="2"/>
      <c r="C147" s="55"/>
      <c r="D147" s="55"/>
      <c r="I147" s="56"/>
      <c r="O147" s="25"/>
      <c r="Q147" s="26"/>
      <c r="R147" s="26"/>
      <c r="S147" s="26"/>
      <c r="T147" s="26"/>
      <c r="U147" s="26"/>
      <c r="V147" s="26"/>
      <c r="W147" s="27"/>
      <c r="X147" s="50"/>
    </row>
    <row r="148" spans="2:24" x14ac:dyDescent="0.25">
      <c r="B148" s="2"/>
      <c r="C148" s="55"/>
      <c r="D148" s="55"/>
      <c r="I148" s="56"/>
      <c r="O148" s="25"/>
      <c r="Q148" s="26"/>
      <c r="R148" s="26"/>
      <c r="S148" s="26"/>
      <c r="T148" s="26"/>
      <c r="U148" s="26"/>
      <c r="V148" s="26"/>
      <c r="W148" s="27"/>
      <c r="X148" s="50"/>
    </row>
    <row r="149" spans="2:24" x14ac:dyDescent="0.25">
      <c r="B149" s="2"/>
      <c r="C149" s="55"/>
      <c r="D149" s="55"/>
      <c r="I149" s="56"/>
      <c r="O149" s="25"/>
      <c r="Q149" s="26"/>
      <c r="R149" s="26"/>
      <c r="S149" s="26"/>
      <c r="T149" s="26"/>
      <c r="U149" s="26"/>
      <c r="V149" s="26"/>
      <c r="W149" s="27"/>
      <c r="X149" s="50"/>
    </row>
    <row r="150" spans="2:24" x14ac:dyDescent="0.25">
      <c r="B150" s="2"/>
      <c r="C150" s="55"/>
      <c r="D150" s="55"/>
      <c r="I150" s="56"/>
      <c r="O150" s="25"/>
      <c r="Q150" s="26"/>
      <c r="R150" s="26"/>
      <c r="S150" s="26"/>
      <c r="T150" s="26"/>
      <c r="U150" s="26"/>
      <c r="V150" s="26"/>
      <c r="W150" s="27"/>
      <c r="X150" s="50"/>
    </row>
    <row r="151" spans="2:24" x14ac:dyDescent="0.25">
      <c r="B151" s="2"/>
      <c r="C151" s="55"/>
      <c r="D151" s="55"/>
      <c r="I151" s="56"/>
      <c r="O151" s="25"/>
      <c r="Q151" s="26"/>
      <c r="R151" s="26"/>
      <c r="S151" s="26"/>
      <c r="T151" s="26"/>
      <c r="U151" s="26"/>
      <c r="V151" s="26"/>
      <c r="W151" s="27"/>
      <c r="X151" s="50"/>
    </row>
    <row r="152" spans="2:24" x14ac:dyDescent="0.25">
      <c r="B152" s="2"/>
      <c r="C152" s="55"/>
      <c r="D152" s="55"/>
      <c r="I152" s="56"/>
      <c r="O152" s="25"/>
      <c r="Q152" s="26"/>
      <c r="R152" s="26"/>
      <c r="S152" s="26"/>
      <c r="T152" s="26"/>
      <c r="U152" s="26"/>
      <c r="V152" s="26"/>
      <c r="W152" s="27"/>
      <c r="X152" s="50"/>
    </row>
    <row r="153" spans="2:24" x14ac:dyDescent="0.25">
      <c r="B153" s="2"/>
      <c r="C153" s="55"/>
      <c r="D153" s="55"/>
      <c r="I153" s="56"/>
      <c r="O153" s="25"/>
      <c r="Q153" s="26"/>
      <c r="R153" s="26"/>
      <c r="S153" s="26"/>
      <c r="T153" s="26"/>
      <c r="U153" s="26"/>
      <c r="V153" s="26"/>
      <c r="W153" s="27"/>
      <c r="X153" s="50"/>
    </row>
    <row r="154" spans="2:24" x14ac:dyDescent="0.25">
      <c r="B154" s="2"/>
      <c r="C154" s="55"/>
      <c r="D154" s="55"/>
      <c r="I154" s="56"/>
      <c r="O154" s="25"/>
      <c r="Q154" s="26"/>
      <c r="R154" s="26"/>
      <c r="S154" s="26"/>
      <c r="T154" s="26"/>
      <c r="U154" s="26"/>
      <c r="V154" s="26"/>
      <c r="W154" s="27"/>
      <c r="X154" s="50"/>
    </row>
    <row r="155" spans="2:24" x14ac:dyDescent="0.25">
      <c r="B155" s="2"/>
      <c r="C155" s="55"/>
      <c r="D155" s="55"/>
      <c r="I155" s="56"/>
      <c r="O155" s="25"/>
      <c r="Q155" s="26"/>
      <c r="R155" s="26"/>
      <c r="S155" s="26"/>
      <c r="T155" s="26"/>
      <c r="U155" s="26"/>
      <c r="V155" s="26"/>
      <c r="W155" s="27"/>
      <c r="X155" s="50"/>
    </row>
    <row r="156" spans="2:24" x14ac:dyDescent="0.25">
      <c r="B156" s="2"/>
      <c r="C156" s="55"/>
      <c r="D156" s="55"/>
      <c r="I156" s="56"/>
      <c r="O156" s="25"/>
      <c r="Q156" s="26"/>
      <c r="R156" s="26"/>
      <c r="S156" s="26"/>
      <c r="T156" s="26"/>
      <c r="U156" s="26"/>
      <c r="V156" s="26"/>
      <c r="W156" s="27"/>
      <c r="X156" s="50"/>
    </row>
    <row r="157" spans="2:24" x14ac:dyDescent="0.25">
      <c r="B157" s="2"/>
      <c r="C157" s="55"/>
      <c r="D157" s="55"/>
      <c r="I157" s="56"/>
      <c r="O157" s="25"/>
      <c r="Q157" s="26"/>
      <c r="R157" s="26"/>
      <c r="S157" s="26"/>
      <c r="T157" s="26"/>
      <c r="U157" s="26"/>
      <c r="V157" s="26"/>
      <c r="W157" s="27"/>
      <c r="X157" s="50"/>
    </row>
    <row r="158" spans="2:24" x14ac:dyDescent="0.25">
      <c r="B158" s="2"/>
      <c r="C158" s="55"/>
      <c r="D158" s="55"/>
      <c r="I158" s="56"/>
      <c r="O158" s="25"/>
      <c r="Q158" s="26"/>
      <c r="R158" s="26"/>
      <c r="S158" s="26"/>
      <c r="T158" s="26"/>
      <c r="U158" s="26"/>
      <c r="V158" s="26"/>
      <c r="W158" s="27"/>
      <c r="X158" s="50"/>
    </row>
    <row r="159" spans="2:24" x14ac:dyDescent="0.25">
      <c r="B159" s="2"/>
      <c r="C159" s="55"/>
      <c r="D159" s="55"/>
      <c r="I159" s="56"/>
      <c r="O159" s="25"/>
      <c r="Q159" s="26"/>
      <c r="R159" s="26"/>
      <c r="S159" s="26"/>
      <c r="T159" s="26"/>
      <c r="U159" s="26"/>
      <c r="V159" s="26"/>
      <c r="W159" s="27"/>
      <c r="X159" s="50"/>
    </row>
    <row r="160" spans="2:24" x14ac:dyDescent="0.25">
      <c r="B160" s="2"/>
      <c r="C160" s="55"/>
      <c r="D160" s="55"/>
      <c r="I160" s="56"/>
      <c r="O160" s="25"/>
      <c r="Q160" s="26"/>
      <c r="R160" s="26"/>
      <c r="S160" s="26"/>
      <c r="T160" s="26"/>
      <c r="U160" s="26"/>
      <c r="V160" s="26"/>
      <c r="W160" s="27"/>
      <c r="X160" s="50"/>
    </row>
    <row r="161" spans="2:24" x14ac:dyDescent="0.25">
      <c r="B161" s="2"/>
      <c r="C161" s="55"/>
      <c r="D161" s="55"/>
      <c r="I161" s="56"/>
      <c r="O161" s="25"/>
      <c r="Q161" s="26"/>
      <c r="R161" s="26"/>
      <c r="S161" s="26"/>
      <c r="T161" s="26"/>
      <c r="U161" s="26"/>
      <c r="V161" s="26"/>
      <c r="W161" s="27"/>
      <c r="X161" s="50"/>
    </row>
    <row r="162" spans="2:24" x14ac:dyDescent="0.25">
      <c r="B162" s="2"/>
      <c r="C162" s="55"/>
      <c r="D162" s="55"/>
      <c r="I162" s="56"/>
      <c r="O162" s="25"/>
      <c r="Q162" s="26"/>
      <c r="R162" s="26"/>
      <c r="S162" s="26"/>
      <c r="T162" s="26"/>
      <c r="U162" s="26"/>
      <c r="V162" s="26"/>
      <c r="W162" s="27"/>
      <c r="X162" s="50"/>
    </row>
    <row r="163" spans="2:24" x14ac:dyDescent="0.25">
      <c r="B163" s="2"/>
      <c r="C163" s="55"/>
      <c r="D163" s="55"/>
      <c r="I163" s="56"/>
      <c r="O163" s="25"/>
      <c r="Q163" s="26"/>
      <c r="R163" s="26"/>
      <c r="S163" s="26"/>
      <c r="T163" s="26"/>
      <c r="U163" s="26"/>
      <c r="V163" s="26"/>
      <c r="W163" s="27"/>
      <c r="X163" s="50"/>
    </row>
    <row r="164" spans="2:24" x14ac:dyDescent="0.25">
      <c r="B164" s="2"/>
      <c r="C164" s="55"/>
      <c r="D164" s="55"/>
      <c r="I164" s="56"/>
      <c r="O164" s="25"/>
      <c r="Q164" s="26"/>
      <c r="R164" s="26"/>
      <c r="S164" s="26"/>
      <c r="T164" s="26"/>
      <c r="U164" s="26"/>
      <c r="V164" s="26"/>
      <c r="W164" s="27"/>
      <c r="X164" s="50"/>
    </row>
    <row r="165" spans="2:24" x14ac:dyDescent="0.25">
      <c r="B165" s="2"/>
      <c r="C165" s="55"/>
      <c r="D165" s="55"/>
      <c r="I165" s="56"/>
      <c r="O165" s="25"/>
      <c r="Q165" s="26"/>
      <c r="R165" s="26"/>
      <c r="S165" s="26"/>
      <c r="T165" s="26"/>
      <c r="U165" s="26"/>
      <c r="V165" s="26"/>
      <c r="W165" s="27"/>
      <c r="X165" s="50"/>
    </row>
    <row r="166" spans="2:24" x14ac:dyDescent="0.25">
      <c r="B166" s="2"/>
      <c r="C166" s="55"/>
      <c r="D166" s="55"/>
      <c r="I166" s="56"/>
      <c r="O166" s="25"/>
      <c r="Q166" s="26"/>
      <c r="R166" s="26"/>
      <c r="S166" s="26"/>
      <c r="T166" s="26"/>
      <c r="U166" s="26"/>
      <c r="V166" s="26"/>
      <c r="W166" s="27"/>
      <c r="X166" s="50"/>
    </row>
    <row r="167" spans="2:24" x14ac:dyDescent="0.25">
      <c r="B167" s="2"/>
      <c r="C167" s="55"/>
      <c r="D167" s="55"/>
      <c r="I167" s="56"/>
      <c r="O167" s="25"/>
      <c r="Q167" s="26"/>
      <c r="R167" s="26"/>
      <c r="S167" s="26"/>
      <c r="T167" s="26"/>
      <c r="U167" s="26"/>
      <c r="V167" s="26"/>
      <c r="W167" s="27"/>
      <c r="X167" s="50"/>
    </row>
    <row r="168" spans="2:24" x14ac:dyDescent="0.25">
      <c r="B168" s="2"/>
      <c r="C168" s="55"/>
      <c r="D168" s="55"/>
      <c r="I168" s="56"/>
      <c r="O168" s="25"/>
      <c r="Q168" s="26"/>
      <c r="R168" s="26"/>
      <c r="S168" s="26"/>
      <c r="T168" s="26"/>
      <c r="U168" s="26"/>
      <c r="V168" s="26"/>
      <c r="W168" s="27"/>
      <c r="X168" s="50"/>
    </row>
    <row r="169" spans="2:24" x14ac:dyDescent="0.25">
      <c r="B169" s="2"/>
      <c r="C169" s="55"/>
      <c r="D169" s="55"/>
      <c r="I169" s="56"/>
      <c r="O169" s="25"/>
      <c r="Q169" s="26"/>
      <c r="R169" s="26"/>
      <c r="S169" s="26"/>
      <c r="T169" s="26"/>
      <c r="U169" s="26"/>
      <c r="V169" s="26"/>
      <c r="W169" s="27"/>
      <c r="X169" s="50"/>
    </row>
    <row r="170" spans="2:24" x14ac:dyDescent="0.25">
      <c r="B170" s="2"/>
      <c r="C170" s="55"/>
      <c r="D170" s="55"/>
      <c r="I170" s="56"/>
      <c r="O170" s="25"/>
      <c r="Q170" s="26"/>
      <c r="R170" s="26"/>
      <c r="S170" s="26"/>
      <c r="T170" s="26"/>
      <c r="U170" s="26"/>
      <c r="V170" s="26"/>
      <c r="W170" s="27"/>
      <c r="X170" s="50"/>
    </row>
    <row r="171" spans="2:24" x14ac:dyDescent="0.25">
      <c r="B171" s="2"/>
      <c r="C171" s="55"/>
      <c r="D171" s="55"/>
      <c r="I171" s="56"/>
      <c r="O171" s="25"/>
      <c r="Q171" s="26"/>
      <c r="R171" s="26"/>
      <c r="S171" s="26"/>
      <c r="T171" s="26"/>
      <c r="U171" s="26"/>
      <c r="V171" s="26"/>
      <c r="W171" s="27"/>
      <c r="X171" s="50"/>
    </row>
    <row r="172" spans="2:24" x14ac:dyDescent="0.25">
      <c r="B172" s="2"/>
      <c r="C172" s="55"/>
      <c r="D172" s="55"/>
      <c r="I172" s="56"/>
      <c r="O172" s="25"/>
      <c r="Q172" s="26"/>
      <c r="R172" s="26"/>
      <c r="S172" s="26"/>
      <c r="T172" s="26"/>
      <c r="U172" s="26"/>
      <c r="V172" s="26"/>
      <c r="W172" s="27"/>
      <c r="X172" s="50"/>
    </row>
    <row r="173" spans="2:24" x14ac:dyDescent="0.25">
      <c r="B173" s="2"/>
      <c r="C173" s="55"/>
      <c r="D173" s="55"/>
      <c r="I173" s="56"/>
      <c r="O173" s="25"/>
      <c r="Q173" s="26"/>
      <c r="R173" s="26"/>
      <c r="S173" s="26"/>
      <c r="T173" s="26"/>
      <c r="U173" s="26"/>
      <c r="V173" s="26"/>
      <c r="W173" s="27"/>
      <c r="X173" s="50"/>
    </row>
    <row r="174" spans="2:24" x14ac:dyDescent="0.25">
      <c r="B174" s="2"/>
      <c r="C174" s="55"/>
      <c r="D174" s="55"/>
      <c r="I174" s="56"/>
      <c r="O174" s="25"/>
      <c r="Q174" s="26"/>
      <c r="R174" s="26"/>
      <c r="S174" s="26"/>
      <c r="T174" s="26"/>
      <c r="U174" s="26"/>
      <c r="V174" s="26"/>
      <c r="W174" s="27"/>
      <c r="X174" s="50"/>
    </row>
    <row r="175" spans="2:24" x14ac:dyDescent="0.25">
      <c r="B175" s="2"/>
      <c r="C175" s="55"/>
      <c r="D175" s="55"/>
      <c r="I175" s="56"/>
      <c r="O175" s="25"/>
      <c r="Q175" s="26"/>
      <c r="R175" s="26"/>
      <c r="S175" s="26"/>
      <c r="T175" s="26"/>
      <c r="U175" s="26"/>
      <c r="V175" s="26"/>
      <c r="W175" s="27"/>
      <c r="X175" s="50"/>
    </row>
    <row r="176" spans="2:24" x14ac:dyDescent="0.25">
      <c r="B176" s="2"/>
      <c r="C176" s="55"/>
      <c r="D176" s="55"/>
      <c r="I176" s="56"/>
      <c r="O176" s="25"/>
      <c r="Q176" s="26"/>
      <c r="R176" s="26"/>
      <c r="S176" s="26"/>
      <c r="T176" s="26"/>
      <c r="U176" s="26"/>
      <c r="V176" s="26"/>
      <c r="W176" s="27"/>
      <c r="X176" s="50"/>
    </row>
    <row r="177" spans="2:24" x14ac:dyDescent="0.25">
      <c r="B177" s="2"/>
      <c r="C177" s="55"/>
      <c r="D177" s="55"/>
      <c r="I177" s="56"/>
      <c r="O177" s="25"/>
      <c r="Q177" s="26"/>
      <c r="R177" s="26"/>
      <c r="S177" s="26"/>
      <c r="T177" s="26"/>
      <c r="U177" s="26"/>
      <c r="V177" s="26"/>
      <c r="W177" s="27"/>
      <c r="X177" s="50"/>
    </row>
    <row r="178" spans="2:24" x14ac:dyDescent="0.25">
      <c r="B178" s="2"/>
      <c r="C178" s="55"/>
      <c r="D178" s="55"/>
      <c r="I178" s="56"/>
      <c r="O178" s="25"/>
      <c r="Q178" s="26"/>
      <c r="R178" s="26"/>
      <c r="S178" s="26"/>
      <c r="T178" s="26"/>
      <c r="U178" s="26"/>
      <c r="V178" s="26"/>
      <c r="W178" s="27"/>
      <c r="X178" s="50"/>
    </row>
    <row r="179" spans="2:24" x14ac:dyDescent="0.25">
      <c r="B179" s="2"/>
      <c r="C179" s="55"/>
      <c r="D179" s="55"/>
      <c r="I179" s="56"/>
      <c r="O179" s="25"/>
      <c r="Q179" s="26"/>
      <c r="R179" s="26"/>
      <c r="S179" s="26"/>
      <c r="T179" s="26"/>
      <c r="U179" s="26"/>
      <c r="V179" s="26"/>
      <c r="W179" s="27"/>
      <c r="X179" s="50"/>
    </row>
    <row r="180" spans="2:24" x14ac:dyDescent="0.25">
      <c r="B180" s="2"/>
      <c r="C180" s="55"/>
      <c r="D180" s="55"/>
      <c r="I180" s="56"/>
      <c r="O180" s="25"/>
      <c r="Q180" s="26"/>
      <c r="R180" s="26"/>
      <c r="S180" s="26"/>
      <c r="T180" s="26"/>
      <c r="U180" s="26"/>
      <c r="V180" s="26"/>
      <c r="W180" s="27"/>
      <c r="X180" s="50"/>
    </row>
    <row r="181" spans="2:24" x14ac:dyDescent="0.25">
      <c r="B181" s="2"/>
      <c r="C181" s="55"/>
      <c r="D181" s="55"/>
      <c r="I181" s="56"/>
      <c r="O181" s="25"/>
      <c r="Q181" s="26"/>
      <c r="R181" s="26"/>
      <c r="S181" s="26"/>
      <c r="T181" s="26"/>
      <c r="U181" s="26"/>
      <c r="V181" s="26"/>
      <c r="W181" s="27"/>
      <c r="X181" s="50"/>
    </row>
    <row r="182" spans="2:24" x14ac:dyDescent="0.25">
      <c r="B182" s="2"/>
      <c r="C182" s="55"/>
      <c r="D182" s="55"/>
      <c r="I182" s="56"/>
      <c r="O182" s="25"/>
      <c r="Q182" s="26"/>
      <c r="R182" s="26"/>
      <c r="S182" s="26"/>
      <c r="T182" s="26"/>
      <c r="U182" s="26"/>
      <c r="V182" s="26"/>
      <c r="W182" s="27"/>
      <c r="X182" s="50"/>
    </row>
    <row r="183" spans="2:24" x14ac:dyDescent="0.25">
      <c r="B183" s="2"/>
      <c r="C183" s="55"/>
      <c r="D183" s="55"/>
      <c r="I183" s="56"/>
      <c r="O183" s="25"/>
      <c r="Q183" s="26"/>
      <c r="R183" s="26"/>
      <c r="S183" s="26"/>
      <c r="T183" s="26"/>
      <c r="U183" s="26"/>
      <c r="V183" s="26"/>
      <c r="W183" s="27"/>
      <c r="X183" s="50"/>
    </row>
    <row r="184" spans="2:24" x14ac:dyDescent="0.25">
      <c r="B184" s="2"/>
      <c r="C184" s="55"/>
      <c r="D184" s="55"/>
      <c r="I184" s="56"/>
      <c r="O184" s="25"/>
      <c r="Q184" s="26"/>
      <c r="R184" s="26"/>
      <c r="S184" s="26"/>
      <c r="T184" s="26"/>
      <c r="U184" s="26"/>
      <c r="V184" s="26"/>
      <c r="W184" s="27"/>
      <c r="X184" s="50"/>
    </row>
    <row r="185" spans="2:24" x14ac:dyDescent="0.25">
      <c r="B185" s="2"/>
      <c r="C185" s="55"/>
      <c r="D185" s="55"/>
      <c r="I185" s="56"/>
      <c r="O185" s="25"/>
      <c r="Q185" s="26"/>
      <c r="R185" s="26"/>
      <c r="S185" s="26"/>
      <c r="T185" s="26"/>
      <c r="U185" s="26"/>
      <c r="V185" s="26"/>
      <c r="W185" s="27"/>
      <c r="X185" s="50"/>
    </row>
    <row r="186" spans="2:24" x14ac:dyDescent="0.25">
      <c r="B186" s="2"/>
      <c r="C186" s="55"/>
      <c r="D186" s="55"/>
      <c r="I186" s="56"/>
      <c r="O186" s="25"/>
      <c r="Q186" s="26"/>
      <c r="R186" s="26"/>
      <c r="S186" s="26"/>
      <c r="T186" s="26"/>
      <c r="U186" s="26"/>
      <c r="V186" s="26"/>
      <c r="W186" s="27"/>
      <c r="X186" s="50"/>
    </row>
    <row r="187" spans="2:24" x14ac:dyDescent="0.25">
      <c r="B187" s="2"/>
      <c r="C187" s="55"/>
      <c r="D187" s="55"/>
      <c r="I187" s="56"/>
      <c r="O187" s="25"/>
      <c r="Q187" s="26"/>
      <c r="R187" s="26"/>
      <c r="S187" s="26"/>
      <c r="T187" s="26"/>
      <c r="U187" s="26"/>
      <c r="V187" s="26"/>
      <c r="W187" s="27"/>
      <c r="X187" s="50"/>
    </row>
    <row r="188" spans="2:24" x14ac:dyDescent="0.25">
      <c r="B188" s="2"/>
      <c r="C188" s="55"/>
      <c r="D188" s="55"/>
      <c r="I188" s="56"/>
      <c r="O188" s="25"/>
      <c r="Q188" s="26"/>
      <c r="R188" s="26"/>
      <c r="S188" s="26"/>
      <c r="T188" s="26"/>
      <c r="U188" s="26"/>
      <c r="V188" s="26"/>
      <c r="W188" s="27"/>
      <c r="X188" s="50"/>
    </row>
    <row r="189" spans="2:24" x14ac:dyDescent="0.25">
      <c r="B189" s="2"/>
      <c r="C189" s="55"/>
      <c r="D189" s="55"/>
      <c r="I189" s="56"/>
      <c r="O189" s="25"/>
      <c r="Q189" s="26"/>
      <c r="R189" s="26"/>
      <c r="S189" s="26"/>
      <c r="T189" s="26"/>
      <c r="U189" s="26"/>
      <c r="V189" s="26"/>
      <c r="W189" s="27"/>
      <c r="X189" s="50"/>
    </row>
    <row r="190" spans="2:24" x14ac:dyDescent="0.25">
      <c r="B190" s="2"/>
      <c r="C190" s="55"/>
      <c r="D190" s="55"/>
      <c r="I190" s="56"/>
      <c r="O190" s="25"/>
      <c r="Q190" s="26"/>
      <c r="R190" s="26"/>
      <c r="S190" s="26"/>
      <c r="T190" s="26"/>
      <c r="U190" s="26"/>
      <c r="V190" s="26"/>
      <c r="W190" s="27"/>
      <c r="X190" s="50"/>
    </row>
    <row r="191" spans="2:24" x14ac:dyDescent="0.25">
      <c r="B191" s="2"/>
      <c r="C191" s="55"/>
      <c r="D191" s="55"/>
      <c r="I191" s="56"/>
      <c r="O191" s="25"/>
      <c r="Q191" s="26"/>
      <c r="R191" s="26"/>
      <c r="S191" s="26"/>
      <c r="T191" s="26"/>
      <c r="U191" s="26"/>
      <c r="V191" s="26"/>
      <c r="W191" s="27"/>
      <c r="X191" s="50"/>
    </row>
    <row r="192" spans="2:24" x14ac:dyDescent="0.25">
      <c r="B192" s="2"/>
      <c r="C192" s="55"/>
      <c r="D192" s="55"/>
      <c r="I192" s="56"/>
      <c r="O192" s="25"/>
      <c r="Q192" s="26"/>
      <c r="R192" s="26"/>
      <c r="S192" s="26"/>
      <c r="T192" s="26"/>
      <c r="U192" s="26"/>
      <c r="V192" s="26"/>
      <c r="W192" s="27"/>
      <c r="X192" s="50"/>
    </row>
    <row r="193" spans="2:24" x14ac:dyDescent="0.25">
      <c r="B193" s="2"/>
      <c r="C193" s="55"/>
      <c r="D193" s="55"/>
      <c r="I193" s="56"/>
      <c r="O193" s="25"/>
      <c r="Q193" s="26"/>
      <c r="R193" s="26"/>
      <c r="S193" s="26"/>
      <c r="T193" s="26"/>
      <c r="U193" s="26"/>
      <c r="V193" s="26"/>
      <c r="W193" s="27"/>
      <c r="X193" s="50"/>
    </row>
    <row r="194" spans="2:24" x14ac:dyDescent="0.25">
      <c r="B194" s="2"/>
      <c r="C194" s="55"/>
      <c r="D194" s="55"/>
      <c r="I194" s="56"/>
      <c r="O194" s="25"/>
      <c r="Q194" s="26"/>
      <c r="R194" s="26"/>
      <c r="S194" s="26"/>
      <c r="T194" s="26"/>
      <c r="U194" s="26"/>
      <c r="V194" s="26"/>
      <c r="W194" s="27"/>
      <c r="X194" s="50"/>
    </row>
    <row r="195" spans="2:24" x14ac:dyDescent="0.25">
      <c r="B195" s="2"/>
      <c r="C195" s="55"/>
      <c r="D195" s="55"/>
      <c r="I195" s="56"/>
      <c r="O195" s="25"/>
      <c r="Q195" s="26"/>
      <c r="R195" s="26"/>
      <c r="S195" s="26"/>
      <c r="T195" s="26"/>
      <c r="U195" s="26"/>
      <c r="V195" s="26"/>
      <c r="W195" s="27"/>
      <c r="X195" s="50"/>
    </row>
    <row r="196" spans="2:24" x14ac:dyDescent="0.25">
      <c r="B196" s="2"/>
      <c r="C196" s="55"/>
      <c r="D196" s="55"/>
      <c r="I196" s="56"/>
      <c r="O196" s="25"/>
      <c r="Q196" s="26"/>
      <c r="R196" s="26"/>
      <c r="S196" s="26"/>
      <c r="T196" s="26"/>
      <c r="U196" s="26"/>
      <c r="V196" s="26"/>
      <c r="W196" s="27"/>
      <c r="X196" s="50"/>
    </row>
    <row r="197" spans="2:24" x14ac:dyDescent="0.25">
      <c r="B197" s="2"/>
      <c r="C197" s="55"/>
      <c r="D197" s="55"/>
      <c r="I197" s="56"/>
      <c r="O197" s="25"/>
      <c r="Q197" s="26"/>
      <c r="R197" s="26"/>
      <c r="S197" s="26"/>
      <c r="T197" s="26"/>
      <c r="U197" s="26"/>
      <c r="V197" s="26"/>
      <c r="W197" s="27"/>
      <c r="X197" s="50"/>
    </row>
    <row r="198" spans="2:24" x14ac:dyDescent="0.25">
      <c r="B198" s="2"/>
      <c r="C198" s="55"/>
      <c r="D198" s="55"/>
      <c r="I198" s="56"/>
      <c r="O198" s="25"/>
      <c r="Q198" s="26"/>
      <c r="R198" s="26"/>
      <c r="S198" s="26"/>
      <c r="T198" s="26"/>
      <c r="U198" s="26"/>
      <c r="V198" s="26"/>
      <c r="W198" s="27"/>
      <c r="X198" s="50"/>
    </row>
    <row r="199" spans="2:24" x14ac:dyDescent="0.25">
      <c r="B199" s="2"/>
      <c r="C199" s="55"/>
      <c r="D199" s="55"/>
      <c r="I199" s="56"/>
      <c r="O199" s="25"/>
      <c r="Q199" s="26"/>
      <c r="R199" s="26"/>
      <c r="S199" s="26"/>
      <c r="T199" s="26"/>
      <c r="U199" s="26"/>
      <c r="V199" s="26"/>
      <c r="W199" s="27"/>
      <c r="X199" s="50"/>
    </row>
    <row r="200" spans="2:24" x14ac:dyDescent="0.25">
      <c r="B200" s="2"/>
      <c r="C200" s="55"/>
      <c r="D200" s="55"/>
      <c r="I200" s="56"/>
      <c r="O200" s="25"/>
      <c r="Q200" s="26"/>
      <c r="R200" s="26"/>
      <c r="S200" s="26"/>
      <c r="T200" s="26"/>
      <c r="U200" s="26"/>
      <c r="V200" s="26"/>
      <c r="W200" s="27"/>
      <c r="X200" s="50"/>
    </row>
    <row r="201" spans="2:24" x14ac:dyDescent="0.25">
      <c r="B201" s="2"/>
      <c r="C201" s="55"/>
      <c r="D201" s="55"/>
      <c r="I201" s="56"/>
      <c r="O201" s="25"/>
      <c r="Q201" s="26"/>
      <c r="R201" s="26"/>
      <c r="S201" s="26"/>
      <c r="T201" s="26"/>
      <c r="U201" s="26"/>
      <c r="V201" s="26"/>
      <c r="W201" s="27"/>
      <c r="X201" s="50"/>
    </row>
    <row r="202" spans="2:24" x14ac:dyDescent="0.25">
      <c r="B202" s="2"/>
      <c r="C202" s="55"/>
      <c r="D202" s="55"/>
      <c r="I202" s="56"/>
      <c r="O202" s="25"/>
      <c r="Q202" s="26"/>
      <c r="R202" s="26"/>
      <c r="S202" s="26"/>
      <c r="T202" s="26"/>
      <c r="U202" s="26"/>
      <c r="V202" s="26"/>
      <c r="W202" s="27"/>
      <c r="X202" s="50"/>
    </row>
    <row r="203" spans="2:24" x14ac:dyDescent="0.25">
      <c r="B203" s="2"/>
      <c r="C203" s="55"/>
      <c r="D203" s="55"/>
      <c r="I203" s="56"/>
      <c r="O203" s="25"/>
      <c r="Q203" s="26"/>
      <c r="R203" s="26"/>
      <c r="S203" s="26"/>
      <c r="T203" s="26"/>
      <c r="U203" s="26"/>
      <c r="V203" s="26"/>
      <c r="W203" s="27"/>
      <c r="X203" s="50"/>
    </row>
    <row r="204" spans="2:24" x14ac:dyDescent="0.25">
      <c r="B204" s="2"/>
      <c r="C204" s="55"/>
      <c r="D204" s="55"/>
      <c r="I204" s="56"/>
      <c r="O204" s="25"/>
      <c r="Q204" s="26"/>
      <c r="R204" s="26"/>
      <c r="S204" s="26"/>
      <c r="T204" s="26"/>
      <c r="U204" s="26"/>
      <c r="V204" s="26"/>
      <c r="W204" s="27"/>
      <c r="X204" s="50"/>
    </row>
    <row r="205" spans="2:24" x14ac:dyDescent="0.25">
      <c r="B205" s="2"/>
      <c r="C205" s="55"/>
      <c r="D205" s="55"/>
      <c r="I205" s="56"/>
      <c r="O205" s="25"/>
      <c r="Q205" s="26"/>
      <c r="R205" s="26"/>
      <c r="S205" s="26"/>
      <c r="T205" s="26"/>
      <c r="U205" s="26"/>
      <c r="V205" s="26"/>
      <c r="W205" s="27"/>
      <c r="X205" s="50"/>
    </row>
    <row r="206" spans="2:24" x14ac:dyDescent="0.25">
      <c r="B206" s="2"/>
      <c r="C206" s="55"/>
      <c r="D206" s="55"/>
      <c r="I206" s="56"/>
      <c r="O206" s="25"/>
      <c r="Q206" s="26"/>
      <c r="R206" s="26"/>
      <c r="S206" s="26"/>
      <c r="T206" s="26"/>
      <c r="U206" s="26"/>
      <c r="V206" s="26"/>
      <c r="W206" s="27"/>
      <c r="X206" s="50"/>
    </row>
    <row r="207" spans="2:24" x14ac:dyDescent="0.25">
      <c r="B207" s="2"/>
      <c r="C207" s="55"/>
      <c r="D207" s="55"/>
      <c r="I207" s="56"/>
      <c r="O207" s="25"/>
      <c r="Q207" s="26"/>
      <c r="R207" s="26"/>
      <c r="S207" s="26"/>
      <c r="T207" s="26"/>
      <c r="U207" s="26"/>
      <c r="V207" s="26"/>
      <c r="W207" s="27"/>
      <c r="X207" s="50"/>
    </row>
    <row r="208" spans="2:24" x14ac:dyDescent="0.25">
      <c r="B208" s="2"/>
      <c r="C208" s="55"/>
      <c r="D208" s="55"/>
      <c r="I208" s="56"/>
      <c r="O208" s="25"/>
      <c r="Q208" s="26"/>
      <c r="R208" s="26"/>
      <c r="S208" s="26"/>
      <c r="T208" s="26"/>
      <c r="U208" s="26"/>
      <c r="V208" s="26"/>
      <c r="W208" s="27"/>
      <c r="X208" s="50"/>
    </row>
    <row r="209" spans="2:24" x14ac:dyDescent="0.25">
      <c r="B209" s="2"/>
      <c r="C209" s="55"/>
      <c r="D209" s="55"/>
      <c r="I209" s="56"/>
      <c r="O209" s="25"/>
      <c r="Q209" s="26"/>
      <c r="R209" s="26"/>
      <c r="S209" s="26"/>
      <c r="T209" s="26"/>
      <c r="U209" s="26"/>
      <c r="V209" s="26"/>
      <c r="W209" s="27"/>
      <c r="X209" s="50"/>
    </row>
    <row r="210" spans="2:24" x14ac:dyDescent="0.25">
      <c r="B210" s="2"/>
      <c r="C210" s="55"/>
      <c r="D210" s="55"/>
      <c r="I210" s="56"/>
      <c r="O210" s="25"/>
      <c r="Q210" s="26"/>
      <c r="R210" s="26"/>
      <c r="S210" s="26"/>
      <c r="T210" s="26"/>
      <c r="U210" s="26"/>
      <c r="V210" s="26"/>
      <c r="W210" s="27"/>
      <c r="X210" s="50"/>
    </row>
    <row r="211" spans="2:24" x14ac:dyDescent="0.25">
      <c r="B211" s="2"/>
      <c r="C211" s="55"/>
      <c r="D211" s="55"/>
      <c r="I211" s="56"/>
      <c r="O211" s="25"/>
      <c r="Q211" s="26"/>
      <c r="R211" s="26"/>
      <c r="S211" s="26"/>
      <c r="T211" s="26"/>
      <c r="U211" s="26"/>
      <c r="V211" s="26"/>
      <c r="W211" s="27"/>
      <c r="X211" s="50"/>
    </row>
    <row r="212" spans="2:24" x14ac:dyDescent="0.25">
      <c r="B212" s="2"/>
      <c r="C212" s="55"/>
      <c r="D212" s="55"/>
      <c r="I212" s="56"/>
      <c r="O212" s="25"/>
      <c r="Q212" s="26"/>
      <c r="R212" s="26"/>
      <c r="S212" s="26"/>
      <c r="T212" s="26"/>
      <c r="U212" s="26"/>
      <c r="V212" s="26"/>
      <c r="W212" s="27"/>
      <c r="X212" s="50"/>
    </row>
    <row r="213" spans="2:24" x14ac:dyDescent="0.25">
      <c r="B213" s="2"/>
      <c r="C213" s="55"/>
      <c r="D213" s="55"/>
      <c r="I213" s="56"/>
      <c r="O213" s="25"/>
      <c r="Q213" s="26"/>
      <c r="R213" s="26"/>
      <c r="S213" s="26"/>
      <c r="T213" s="26"/>
      <c r="U213" s="26"/>
      <c r="V213" s="26"/>
      <c r="W213" s="27"/>
      <c r="X213" s="50"/>
    </row>
    <row r="214" spans="2:24" x14ac:dyDescent="0.25">
      <c r="B214" s="2"/>
      <c r="C214" s="55"/>
      <c r="D214" s="55"/>
      <c r="I214" s="56"/>
      <c r="O214" s="25"/>
      <c r="Q214" s="26"/>
      <c r="R214" s="26"/>
      <c r="S214" s="26"/>
      <c r="T214" s="26"/>
      <c r="U214" s="26"/>
      <c r="V214" s="26"/>
      <c r="W214" s="27"/>
      <c r="X214" s="50"/>
    </row>
    <row r="215" spans="2:24" x14ac:dyDescent="0.25">
      <c r="B215" s="2"/>
      <c r="C215" s="55"/>
      <c r="D215" s="55"/>
      <c r="I215" s="56"/>
      <c r="O215" s="25"/>
      <c r="Q215" s="26"/>
      <c r="R215" s="26"/>
      <c r="S215" s="26"/>
      <c r="T215" s="26"/>
      <c r="U215" s="26"/>
      <c r="V215" s="26"/>
      <c r="W215" s="27"/>
      <c r="X215" s="50"/>
    </row>
    <row r="216" spans="2:24" x14ac:dyDescent="0.25">
      <c r="B216" s="2"/>
      <c r="C216" s="55"/>
      <c r="D216" s="55"/>
      <c r="I216" s="56"/>
      <c r="O216" s="25"/>
      <c r="Q216" s="26"/>
      <c r="R216" s="26"/>
      <c r="S216" s="26"/>
      <c r="T216" s="26"/>
      <c r="U216" s="26"/>
      <c r="V216" s="26"/>
      <c r="W216" s="27"/>
      <c r="X216" s="50"/>
    </row>
    <row r="217" spans="2:24" x14ac:dyDescent="0.25">
      <c r="B217" s="2"/>
      <c r="C217" s="55"/>
      <c r="D217" s="55"/>
      <c r="I217" s="56"/>
      <c r="O217" s="25"/>
      <c r="Q217" s="26"/>
      <c r="R217" s="26"/>
      <c r="S217" s="26"/>
      <c r="T217" s="26"/>
      <c r="U217" s="26"/>
      <c r="V217" s="26"/>
      <c r="W217" s="27"/>
      <c r="X217" s="50"/>
    </row>
    <row r="218" spans="2:24" x14ac:dyDescent="0.25">
      <c r="B218" s="2"/>
      <c r="C218" s="55"/>
      <c r="D218" s="55"/>
      <c r="I218" s="56"/>
      <c r="O218" s="25"/>
      <c r="Q218" s="26"/>
      <c r="R218" s="26"/>
      <c r="S218" s="26"/>
      <c r="T218" s="26"/>
      <c r="U218" s="26"/>
      <c r="V218" s="26"/>
      <c r="W218" s="27"/>
      <c r="X218" s="50"/>
    </row>
    <row r="219" spans="2:24" x14ac:dyDescent="0.25">
      <c r="B219" s="2"/>
      <c r="C219" s="55"/>
      <c r="D219" s="55"/>
      <c r="I219" s="56"/>
      <c r="O219" s="25"/>
      <c r="Q219" s="26"/>
      <c r="R219" s="26"/>
      <c r="S219" s="26"/>
      <c r="T219" s="26"/>
      <c r="U219" s="26"/>
      <c r="V219" s="26"/>
      <c r="W219" s="27"/>
      <c r="X219" s="50"/>
    </row>
    <row r="220" spans="2:24" x14ac:dyDescent="0.25">
      <c r="B220" s="2"/>
      <c r="C220" s="55"/>
      <c r="D220" s="55"/>
      <c r="I220" s="56"/>
      <c r="O220" s="25"/>
      <c r="Q220" s="26"/>
      <c r="R220" s="26"/>
      <c r="S220" s="26"/>
      <c r="T220" s="26"/>
      <c r="U220" s="26"/>
      <c r="V220" s="26"/>
      <c r="W220" s="27"/>
      <c r="X220" s="50"/>
    </row>
    <row r="221" spans="2:24" x14ac:dyDescent="0.25">
      <c r="B221" s="2"/>
      <c r="C221" s="55"/>
      <c r="D221" s="55"/>
      <c r="I221" s="56"/>
      <c r="O221" s="25"/>
      <c r="Q221" s="26"/>
      <c r="R221" s="26"/>
      <c r="S221" s="26"/>
      <c r="T221" s="26"/>
      <c r="U221" s="26"/>
      <c r="V221" s="26"/>
      <c r="W221" s="27"/>
      <c r="X221" s="50"/>
    </row>
    <row r="222" spans="2:24" x14ac:dyDescent="0.25">
      <c r="B222" s="2"/>
      <c r="C222" s="55"/>
      <c r="D222" s="55"/>
      <c r="I222" s="56"/>
      <c r="O222" s="25"/>
      <c r="Q222" s="26"/>
      <c r="R222" s="26"/>
      <c r="S222" s="26"/>
      <c r="T222" s="26"/>
      <c r="U222" s="26"/>
      <c r="V222" s="26"/>
      <c r="W222" s="27"/>
      <c r="X222" s="50"/>
    </row>
    <row r="223" spans="2:24" x14ac:dyDescent="0.25">
      <c r="B223" s="2"/>
      <c r="C223" s="55"/>
      <c r="D223" s="55"/>
      <c r="I223" s="56"/>
      <c r="O223" s="25"/>
      <c r="Q223" s="26"/>
      <c r="R223" s="26"/>
      <c r="S223" s="26"/>
      <c r="T223" s="26"/>
      <c r="U223" s="26"/>
      <c r="V223" s="26"/>
      <c r="W223" s="27"/>
      <c r="X223" s="50"/>
    </row>
    <row r="224" spans="2:24" x14ac:dyDescent="0.25">
      <c r="B224" s="2"/>
      <c r="C224" s="55"/>
      <c r="D224" s="55"/>
      <c r="I224" s="56"/>
      <c r="O224" s="25"/>
      <c r="Q224" s="26"/>
      <c r="R224" s="26"/>
      <c r="S224" s="26"/>
      <c r="T224" s="26"/>
      <c r="U224" s="26"/>
      <c r="V224" s="26"/>
      <c r="W224" s="27"/>
      <c r="X224" s="50"/>
    </row>
    <row r="225" spans="2:24" x14ac:dyDescent="0.25">
      <c r="B225" s="2"/>
      <c r="C225" s="55"/>
      <c r="D225" s="55"/>
      <c r="I225" s="56"/>
      <c r="O225" s="25"/>
      <c r="Q225" s="26"/>
      <c r="R225" s="26"/>
      <c r="S225" s="26"/>
      <c r="T225" s="26"/>
      <c r="U225" s="26"/>
      <c r="V225" s="26"/>
      <c r="W225" s="27"/>
      <c r="X225" s="50"/>
    </row>
    <row r="226" spans="2:24" x14ac:dyDescent="0.25">
      <c r="B226" s="2"/>
      <c r="C226" s="55"/>
      <c r="D226" s="55"/>
      <c r="I226" s="56"/>
      <c r="O226" s="25"/>
      <c r="Q226" s="26"/>
      <c r="R226" s="26"/>
      <c r="S226" s="26"/>
      <c r="T226" s="26"/>
      <c r="U226" s="26"/>
      <c r="V226" s="26"/>
      <c r="W226" s="27"/>
      <c r="X226" s="50"/>
    </row>
    <row r="227" spans="2:24" x14ac:dyDescent="0.25">
      <c r="B227" s="2"/>
      <c r="C227" s="55"/>
      <c r="D227" s="55"/>
      <c r="I227" s="56"/>
      <c r="O227" s="25"/>
      <c r="Q227" s="26"/>
      <c r="R227" s="26"/>
      <c r="S227" s="26"/>
      <c r="T227" s="26"/>
      <c r="U227" s="26"/>
      <c r="V227" s="26"/>
      <c r="W227" s="27"/>
      <c r="X227" s="50"/>
    </row>
    <row r="228" spans="2:24" x14ac:dyDescent="0.25">
      <c r="B228" s="2"/>
      <c r="C228" s="55"/>
      <c r="D228" s="55"/>
      <c r="I228" s="56"/>
      <c r="O228" s="25"/>
      <c r="Q228" s="26"/>
      <c r="R228" s="26"/>
      <c r="S228" s="26"/>
      <c r="T228" s="26"/>
      <c r="U228" s="26"/>
      <c r="V228" s="26"/>
      <c r="W228" s="27"/>
      <c r="X228" s="50"/>
    </row>
    <row r="229" spans="2:24" x14ac:dyDescent="0.25">
      <c r="B229" s="2"/>
      <c r="C229" s="55"/>
      <c r="D229" s="55"/>
      <c r="I229" s="56"/>
      <c r="O229" s="25"/>
      <c r="Q229" s="26"/>
      <c r="R229" s="26"/>
      <c r="S229" s="26"/>
      <c r="T229" s="26"/>
      <c r="U229" s="26"/>
      <c r="V229" s="26"/>
      <c r="W229" s="27"/>
      <c r="X229" s="50"/>
    </row>
    <row r="230" spans="2:24" x14ac:dyDescent="0.25">
      <c r="B230" s="2"/>
      <c r="C230" s="55"/>
      <c r="D230" s="55"/>
      <c r="I230" s="56"/>
      <c r="O230" s="25"/>
      <c r="Q230" s="26"/>
      <c r="R230" s="26"/>
      <c r="S230" s="26"/>
      <c r="T230" s="26"/>
      <c r="U230" s="26"/>
      <c r="V230" s="26"/>
      <c r="W230" s="27"/>
      <c r="X230" s="50"/>
    </row>
    <row r="231" spans="2:24" x14ac:dyDescent="0.25">
      <c r="B231" s="2"/>
      <c r="C231" s="55"/>
      <c r="D231" s="55"/>
      <c r="I231" s="56"/>
      <c r="O231" s="25"/>
      <c r="Q231" s="26"/>
      <c r="R231" s="26"/>
      <c r="S231" s="26"/>
      <c r="T231" s="26"/>
      <c r="U231" s="26"/>
      <c r="V231" s="26"/>
      <c r="W231" s="27"/>
      <c r="X231" s="50"/>
    </row>
    <row r="232" spans="2:24" x14ac:dyDescent="0.25">
      <c r="B232" s="2"/>
      <c r="C232" s="55"/>
      <c r="D232" s="55"/>
      <c r="I232" s="56"/>
      <c r="O232" s="25"/>
      <c r="Q232" s="26"/>
      <c r="R232" s="26"/>
      <c r="S232" s="26"/>
      <c r="T232" s="26"/>
      <c r="U232" s="26"/>
      <c r="V232" s="26"/>
      <c r="W232" s="27"/>
      <c r="X232" s="50"/>
    </row>
    <row r="233" spans="2:24" x14ac:dyDescent="0.25">
      <c r="B233" s="2"/>
      <c r="C233" s="55"/>
      <c r="D233" s="55"/>
      <c r="I233" s="56"/>
      <c r="O233" s="25"/>
      <c r="Q233" s="26"/>
      <c r="R233" s="26"/>
      <c r="S233" s="26"/>
      <c r="T233" s="26"/>
      <c r="U233" s="26"/>
      <c r="V233" s="26"/>
      <c r="W233" s="27"/>
      <c r="X233" s="50"/>
    </row>
    <row r="234" spans="2:24" x14ac:dyDescent="0.25">
      <c r="B234" s="2"/>
      <c r="C234" s="55"/>
      <c r="D234" s="55"/>
      <c r="I234" s="56"/>
      <c r="O234" s="25"/>
      <c r="Q234" s="26"/>
      <c r="R234" s="26"/>
      <c r="S234" s="26"/>
      <c r="T234" s="26"/>
      <c r="U234" s="26"/>
      <c r="V234" s="26"/>
      <c r="W234" s="27"/>
      <c r="X234" s="50"/>
    </row>
    <row r="235" spans="2:24" x14ac:dyDescent="0.25">
      <c r="B235" s="2"/>
      <c r="C235" s="55"/>
      <c r="D235" s="55"/>
      <c r="I235" s="56"/>
      <c r="O235" s="25"/>
      <c r="Q235" s="26"/>
      <c r="R235" s="26"/>
      <c r="S235" s="26"/>
      <c r="T235" s="26"/>
      <c r="U235" s="26"/>
      <c r="V235" s="26"/>
      <c r="W235" s="27"/>
      <c r="X235" s="50"/>
    </row>
    <row r="236" spans="2:24" x14ac:dyDescent="0.25">
      <c r="B236" s="2"/>
      <c r="C236" s="55"/>
      <c r="D236" s="55"/>
      <c r="I236" s="56"/>
      <c r="O236" s="25"/>
      <c r="Q236" s="26"/>
      <c r="R236" s="26"/>
      <c r="S236" s="26"/>
      <c r="T236" s="26"/>
      <c r="U236" s="26"/>
      <c r="V236" s="26"/>
      <c r="W236" s="27"/>
      <c r="X236" s="50"/>
    </row>
    <row r="237" spans="2:24" x14ac:dyDescent="0.25">
      <c r="B237" s="2"/>
      <c r="C237" s="55"/>
      <c r="D237" s="55"/>
      <c r="I237" s="56"/>
      <c r="O237" s="25"/>
      <c r="Q237" s="26"/>
      <c r="R237" s="26"/>
      <c r="S237" s="26"/>
      <c r="T237" s="26"/>
      <c r="U237" s="26"/>
      <c r="V237" s="26"/>
      <c r="W237" s="27"/>
      <c r="X237" s="50"/>
    </row>
    <row r="238" spans="2:24" x14ac:dyDescent="0.25">
      <c r="B238" s="2"/>
      <c r="C238" s="55"/>
      <c r="D238" s="55"/>
      <c r="I238" s="56"/>
      <c r="O238" s="25"/>
      <c r="Q238" s="26"/>
      <c r="R238" s="26"/>
      <c r="S238" s="26"/>
      <c r="T238" s="26"/>
      <c r="U238" s="26"/>
      <c r="V238" s="26"/>
      <c r="W238" s="27"/>
      <c r="X238" s="50"/>
    </row>
    <row r="239" spans="2:24" x14ac:dyDescent="0.25">
      <c r="B239" s="2"/>
      <c r="C239" s="55"/>
      <c r="D239" s="55"/>
      <c r="I239" s="56"/>
      <c r="O239" s="25"/>
      <c r="Q239" s="26"/>
      <c r="R239" s="26"/>
      <c r="S239" s="26"/>
      <c r="T239" s="26"/>
      <c r="U239" s="26"/>
      <c r="V239" s="26"/>
      <c r="W239" s="27"/>
      <c r="X239" s="50"/>
    </row>
    <row r="240" spans="2:24" x14ac:dyDescent="0.25">
      <c r="B240" s="2"/>
      <c r="C240" s="55"/>
      <c r="D240" s="55"/>
      <c r="I240" s="56"/>
      <c r="O240" s="25"/>
      <c r="Q240" s="26"/>
      <c r="R240" s="26"/>
      <c r="S240" s="26"/>
      <c r="T240" s="26"/>
      <c r="U240" s="26"/>
      <c r="V240" s="26"/>
      <c r="W240" s="27"/>
      <c r="X240" s="50"/>
    </row>
    <row r="241" spans="2:24" x14ac:dyDescent="0.25">
      <c r="B241" s="2"/>
      <c r="C241" s="55"/>
      <c r="D241" s="55"/>
      <c r="I241" s="56"/>
      <c r="O241" s="25"/>
      <c r="Q241" s="26"/>
      <c r="R241" s="26"/>
      <c r="S241" s="26"/>
      <c r="T241" s="26"/>
      <c r="U241" s="26"/>
      <c r="V241" s="26"/>
      <c r="W241" s="27"/>
      <c r="X241" s="50"/>
    </row>
    <row r="242" spans="2:24" x14ac:dyDescent="0.25">
      <c r="B242" s="2"/>
      <c r="C242" s="55"/>
      <c r="D242" s="55"/>
      <c r="I242" s="56"/>
      <c r="O242" s="25"/>
      <c r="Q242" s="26"/>
      <c r="R242" s="26"/>
      <c r="S242" s="26"/>
      <c r="T242" s="26"/>
      <c r="U242" s="26"/>
      <c r="V242" s="26"/>
      <c r="W242" s="27"/>
      <c r="X242" s="50"/>
    </row>
    <row r="243" spans="2:24" x14ac:dyDescent="0.25">
      <c r="B243" s="2"/>
      <c r="C243" s="55"/>
      <c r="D243" s="55"/>
      <c r="I243" s="56"/>
      <c r="O243" s="25"/>
      <c r="Q243" s="26"/>
      <c r="R243" s="26"/>
      <c r="S243" s="26"/>
      <c r="T243" s="26"/>
      <c r="U243" s="26"/>
      <c r="V243" s="26"/>
      <c r="W243" s="27"/>
      <c r="X243" s="50"/>
    </row>
    <row r="244" spans="2:24" x14ac:dyDescent="0.25">
      <c r="B244" s="2"/>
      <c r="C244" s="55"/>
      <c r="D244" s="55"/>
      <c r="I244" s="56"/>
      <c r="O244" s="25"/>
      <c r="Q244" s="26"/>
      <c r="R244" s="26"/>
      <c r="S244" s="26"/>
      <c r="T244" s="26"/>
      <c r="U244" s="26"/>
      <c r="V244" s="26"/>
      <c r="W244" s="27"/>
      <c r="X244" s="50"/>
    </row>
    <row r="245" spans="2:24" x14ac:dyDescent="0.25">
      <c r="B245" s="2"/>
      <c r="C245" s="55"/>
      <c r="D245" s="55"/>
      <c r="I245" s="56"/>
      <c r="O245" s="25"/>
      <c r="Q245" s="26"/>
      <c r="R245" s="26"/>
      <c r="S245" s="26"/>
      <c r="T245" s="26"/>
      <c r="U245" s="26"/>
      <c r="V245" s="26"/>
      <c r="W245" s="27"/>
      <c r="X245" s="50"/>
    </row>
    <row r="246" spans="2:24" x14ac:dyDescent="0.25">
      <c r="B246" s="2"/>
      <c r="C246" s="55"/>
      <c r="D246" s="55"/>
      <c r="I246" s="56"/>
      <c r="O246" s="25"/>
      <c r="Q246" s="26"/>
      <c r="R246" s="26"/>
      <c r="S246" s="26"/>
      <c r="T246" s="26"/>
      <c r="U246" s="26"/>
      <c r="V246" s="26"/>
      <c r="W246" s="27"/>
      <c r="X246" s="50"/>
    </row>
    <row r="247" spans="2:24" x14ac:dyDescent="0.25">
      <c r="B247" s="2"/>
      <c r="C247" s="55"/>
      <c r="D247" s="55"/>
      <c r="I247" s="56"/>
      <c r="O247" s="25"/>
      <c r="Q247" s="26"/>
      <c r="R247" s="26"/>
      <c r="S247" s="26"/>
      <c r="T247" s="26"/>
      <c r="U247" s="26"/>
      <c r="V247" s="26"/>
      <c r="W247" s="27"/>
      <c r="X247" s="50"/>
    </row>
    <row r="248" spans="2:24" x14ac:dyDescent="0.25">
      <c r="B248" s="2"/>
      <c r="C248" s="55"/>
      <c r="D248" s="55"/>
      <c r="I248" s="56"/>
      <c r="O248" s="25"/>
      <c r="Q248" s="26"/>
      <c r="R248" s="26"/>
      <c r="S248" s="26"/>
      <c r="T248" s="26"/>
      <c r="U248" s="26"/>
      <c r="V248" s="26"/>
      <c r="W248" s="27"/>
      <c r="X248" s="50"/>
    </row>
    <row r="249" spans="2:24" x14ac:dyDescent="0.25">
      <c r="B249" s="2"/>
      <c r="C249" s="55"/>
      <c r="D249" s="55"/>
      <c r="I249" s="56"/>
      <c r="O249" s="25"/>
      <c r="Q249" s="26"/>
      <c r="R249" s="26"/>
      <c r="S249" s="26"/>
      <c r="T249" s="26"/>
      <c r="U249" s="26"/>
      <c r="V249" s="26"/>
      <c r="W249" s="27"/>
      <c r="X249" s="50"/>
    </row>
    <row r="250" spans="2:24" x14ac:dyDescent="0.25">
      <c r="B250" s="2"/>
      <c r="C250" s="55"/>
      <c r="D250" s="55"/>
      <c r="I250" s="56"/>
      <c r="O250" s="25"/>
      <c r="Q250" s="26"/>
      <c r="R250" s="26"/>
      <c r="S250" s="26"/>
      <c r="T250" s="26"/>
      <c r="U250" s="26"/>
      <c r="V250" s="26"/>
      <c r="W250" s="27"/>
      <c r="X250" s="50"/>
    </row>
    <row r="251" spans="2:24" x14ac:dyDescent="0.25">
      <c r="B251" s="2"/>
      <c r="C251" s="55"/>
      <c r="D251" s="55"/>
      <c r="I251" s="56"/>
      <c r="O251" s="25"/>
      <c r="Q251" s="26"/>
      <c r="R251" s="26"/>
      <c r="S251" s="26"/>
      <c r="T251" s="26"/>
      <c r="U251" s="26"/>
      <c r="V251" s="26"/>
      <c r="W251" s="27"/>
      <c r="X251" s="50"/>
    </row>
    <row r="252" spans="2:24" x14ac:dyDescent="0.25">
      <c r="B252" s="2"/>
      <c r="C252" s="55"/>
      <c r="D252" s="55"/>
      <c r="I252" s="56"/>
      <c r="O252" s="25"/>
      <c r="Q252" s="26"/>
      <c r="R252" s="26"/>
      <c r="S252" s="26"/>
      <c r="T252" s="26"/>
      <c r="U252" s="26"/>
      <c r="V252" s="26"/>
      <c r="W252" s="27"/>
      <c r="X252" s="50"/>
    </row>
    <row r="253" spans="2:24" x14ac:dyDescent="0.25">
      <c r="B253" s="2"/>
      <c r="C253" s="55"/>
      <c r="D253" s="55"/>
      <c r="I253" s="56"/>
      <c r="O253" s="25"/>
      <c r="Q253" s="26"/>
      <c r="R253" s="26"/>
      <c r="S253" s="26"/>
      <c r="T253" s="26"/>
      <c r="U253" s="26"/>
      <c r="V253" s="26"/>
      <c r="W253" s="27"/>
      <c r="X253" s="50"/>
    </row>
    <row r="254" spans="2:24" x14ac:dyDescent="0.25">
      <c r="B254" s="2"/>
      <c r="C254" s="55"/>
      <c r="D254" s="55"/>
      <c r="I254" s="56"/>
      <c r="O254" s="25"/>
      <c r="Q254" s="26"/>
      <c r="R254" s="26"/>
      <c r="S254" s="26"/>
      <c r="T254" s="26"/>
      <c r="U254" s="26"/>
      <c r="V254" s="26"/>
      <c r="W254" s="27"/>
      <c r="X254" s="50"/>
    </row>
    <row r="255" spans="2:24" x14ac:dyDescent="0.25">
      <c r="B255" s="2"/>
      <c r="C255" s="55"/>
      <c r="D255" s="55"/>
      <c r="I255" s="56"/>
      <c r="O255" s="25"/>
      <c r="Q255" s="26"/>
      <c r="R255" s="26"/>
      <c r="S255" s="26"/>
      <c r="T255" s="26"/>
      <c r="U255" s="26"/>
      <c r="V255" s="26"/>
      <c r="W255" s="27"/>
      <c r="X255" s="50"/>
    </row>
    <row r="256" spans="2:24" x14ac:dyDescent="0.25">
      <c r="B256" s="2"/>
      <c r="C256" s="55"/>
      <c r="D256" s="55"/>
      <c r="I256" s="56"/>
      <c r="O256" s="25"/>
      <c r="Q256" s="26"/>
      <c r="R256" s="26"/>
      <c r="S256" s="26"/>
      <c r="T256" s="26"/>
      <c r="U256" s="26"/>
      <c r="V256" s="26"/>
      <c r="W256" s="27"/>
      <c r="X256" s="50"/>
    </row>
    <row r="257" spans="2:24" x14ac:dyDescent="0.25">
      <c r="B257" s="2"/>
      <c r="C257" s="55"/>
      <c r="D257" s="55"/>
      <c r="I257" s="56"/>
      <c r="O257" s="25"/>
      <c r="Q257" s="26"/>
      <c r="R257" s="26"/>
      <c r="S257" s="26"/>
      <c r="T257" s="26"/>
      <c r="U257" s="26"/>
      <c r="V257" s="26"/>
      <c r="W257" s="27"/>
      <c r="X257" s="50"/>
    </row>
    <row r="258" spans="2:24" x14ac:dyDescent="0.25">
      <c r="B258" s="2"/>
      <c r="C258" s="55"/>
      <c r="D258" s="55"/>
      <c r="I258" s="56"/>
      <c r="O258" s="25"/>
      <c r="Q258" s="26"/>
      <c r="R258" s="26"/>
      <c r="S258" s="26"/>
      <c r="T258" s="26"/>
      <c r="U258" s="26"/>
      <c r="V258" s="26"/>
      <c r="W258" s="27"/>
      <c r="X258" s="50"/>
    </row>
    <row r="259" spans="2:24" x14ac:dyDescent="0.25">
      <c r="B259" s="2"/>
      <c r="C259" s="55"/>
      <c r="D259" s="55"/>
      <c r="I259" s="56"/>
      <c r="O259" s="25"/>
      <c r="Q259" s="26"/>
      <c r="R259" s="26"/>
      <c r="S259" s="26"/>
      <c r="T259" s="26"/>
      <c r="U259" s="26"/>
      <c r="V259" s="26"/>
      <c r="W259" s="27"/>
      <c r="X259" s="50"/>
    </row>
    <row r="260" spans="2:24" x14ac:dyDescent="0.25">
      <c r="B260" s="2"/>
      <c r="C260" s="55"/>
      <c r="D260" s="55"/>
      <c r="I260" s="56"/>
      <c r="O260" s="25"/>
      <c r="Q260" s="26"/>
      <c r="R260" s="26"/>
      <c r="S260" s="26"/>
      <c r="T260" s="26"/>
      <c r="U260" s="26"/>
      <c r="V260" s="26"/>
      <c r="W260" s="27"/>
      <c r="X260" s="50"/>
    </row>
    <row r="261" spans="2:24" x14ac:dyDescent="0.25">
      <c r="B261" s="2"/>
      <c r="C261" s="55"/>
      <c r="D261" s="55"/>
      <c r="I261" s="56"/>
      <c r="O261" s="25"/>
      <c r="Q261" s="26"/>
      <c r="R261" s="26"/>
      <c r="S261" s="26"/>
      <c r="T261" s="26"/>
      <c r="U261" s="26"/>
      <c r="V261" s="26"/>
      <c r="W261" s="27"/>
      <c r="X261" s="50"/>
    </row>
    <row r="262" spans="2:24" x14ac:dyDescent="0.25">
      <c r="B262" s="2"/>
      <c r="C262" s="55"/>
      <c r="D262" s="55"/>
      <c r="I262" s="56"/>
      <c r="O262" s="25"/>
      <c r="Q262" s="26"/>
      <c r="R262" s="26"/>
      <c r="S262" s="26"/>
      <c r="T262" s="26"/>
      <c r="U262" s="26"/>
      <c r="V262" s="26"/>
      <c r="W262" s="27"/>
      <c r="X262" s="50"/>
    </row>
    <row r="263" spans="2:24" x14ac:dyDescent="0.25">
      <c r="B263" s="2"/>
      <c r="C263" s="55"/>
      <c r="D263" s="55"/>
      <c r="I263" s="56"/>
      <c r="O263" s="25"/>
      <c r="Q263" s="26"/>
      <c r="R263" s="26"/>
      <c r="S263" s="26"/>
      <c r="T263" s="26"/>
      <c r="U263" s="26"/>
      <c r="V263" s="26"/>
      <c r="W263" s="27"/>
      <c r="X263" s="50"/>
    </row>
    <row r="264" spans="2:24" x14ac:dyDescent="0.25">
      <c r="B264" s="2"/>
      <c r="C264" s="55"/>
      <c r="D264" s="55"/>
      <c r="I264" s="56"/>
      <c r="O264" s="25"/>
      <c r="Q264" s="26"/>
      <c r="R264" s="26"/>
      <c r="S264" s="26"/>
      <c r="T264" s="26"/>
      <c r="U264" s="26"/>
      <c r="V264" s="26"/>
      <c r="W264" s="27"/>
      <c r="X264" s="50"/>
    </row>
    <row r="265" spans="2:24" x14ac:dyDescent="0.25">
      <c r="B265" s="2"/>
      <c r="C265" s="55"/>
      <c r="D265" s="55"/>
      <c r="I265" s="56"/>
      <c r="O265" s="25"/>
      <c r="Q265" s="26"/>
      <c r="R265" s="26"/>
      <c r="S265" s="26"/>
      <c r="T265" s="26"/>
      <c r="U265" s="26"/>
      <c r="V265" s="26"/>
      <c r="W265" s="27"/>
      <c r="X265" s="50"/>
    </row>
    <row r="266" spans="2:24" x14ac:dyDescent="0.25">
      <c r="B266" s="2"/>
      <c r="C266" s="55"/>
      <c r="D266" s="55"/>
      <c r="I266" s="56"/>
      <c r="O266" s="25"/>
      <c r="Q266" s="26"/>
      <c r="R266" s="26"/>
      <c r="S266" s="26"/>
      <c r="T266" s="26"/>
      <c r="U266" s="26"/>
      <c r="V266" s="26"/>
      <c r="W266" s="27"/>
      <c r="X266" s="50"/>
    </row>
    <row r="267" spans="2:24" x14ac:dyDescent="0.25">
      <c r="B267" s="2"/>
      <c r="C267" s="55"/>
      <c r="D267" s="55"/>
      <c r="I267" s="56"/>
      <c r="O267" s="25"/>
      <c r="Q267" s="26"/>
      <c r="R267" s="26"/>
      <c r="S267" s="26"/>
      <c r="T267" s="26"/>
      <c r="U267" s="26"/>
      <c r="V267" s="26"/>
      <c r="W267" s="27"/>
      <c r="X267" s="50"/>
    </row>
    <row r="268" spans="2:24" x14ac:dyDescent="0.25">
      <c r="B268" s="2"/>
      <c r="C268" s="55"/>
      <c r="D268" s="55"/>
      <c r="I268" s="56"/>
      <c r="O268" s="25"/>
      <c r="Q268" s="26"/>
      <c r="R268" s="26"/>
      <c r="S268" s="26"/>
      <c r="T268" s="26"/>
      <c r="U268" s="26"/>
      <c r="V268" s="26"/>
      <c r="W268" s="27"/>
      <c r="X268" s="50"/>
    </row>
    <row r="269" spans="2:24" x14ac:dyDescent="0.25">
      <c r="B269" s="2"/>
      <c r="C269" s="55"/>
      <c r="D269" s="55"/>
      <c r="I269" s="56"/>
      <c r="O269" s="25"/>
      <c r="Q269" s="26"/>
      <c r="R269" s="26"/>
      <c r="S269" s="26"/>
      <c r="T269" s="26"/>
      <c r="U269" s="26"/>
      <c r="V269" s="26"/>
      <c r="W269" s="27"/>
      <c r="X269" s="50"/>
    </row>
    <row r="270" spans="2:24" x14ac:dyDescent="0.25">
      <c r="B270" s="2"/>
      <c r="C270" s="55"/>
      <c r="D270" s="55"/>
      <c r="I270" s="56"/>
      <c r="O270" s="25"/>
      <c r="Q270" s="26"/>
      <c r="R270" s="26"/>
      <c r="S270" s="26"/>
      <c r="T270" s="26"/>
      <c r="U270" s="26"/>
      <c r="V270" s="26"/>
      <c r="W270" s="27"/>
      <c r="X270" s="50"/>
    </row>
    <row r="271" spans="2:24" x14ac:dyDescent="0.25">
      <c r="B271" s="2"/>
      <c r="C271" s="55"/>
      <c r="D271" s="55"/>
      <c r="I271" s="56"/>
      <c r="O271" s="25"/>
      <c r="Q271" s="26"/>
      <c r="R271" s="26"/>
      <c r="S271" s="26"/>
      <c r="T271" s="26"/>
      <c r="U271" s="26"/>
      <c r="V271" s="26"/>
      <c r="W271" s="27"/>
      <c r="X271" s="50"/>
    </row>
    <row r="272" spans="2:24" x14ac:dyDescent="0.25">
      <c r="B272" s="2"/>
      <c r="C272" s="55"/>
      <c r="D272" s="55"/>
      <c r="I272" s="56"/>
      <c r="O272" s="25"/>
      <c r="Q272" s="26"/>
      <c r="R272" s="26"/>
      <c r="S272" s="26"/>
      <c r="T272" s="26"/>
      <c r="U272" s="26"/>
      <c r="V272" s="26"/>
      <c r="W272" s="27"/>
      <c r="X272" s="50"/>
    </row>
    <row r="273" spans="2:24" x14ac:dyDescent="0.25">
      <c r="B273" s="2"/>
      <c r="C273" s="55"/>
      <c r="D273" s="55"/>
      <c r="I273" s="56"/>
      <c r="O273" s="25"/>
      <c r="Q273" s="26"/>
      <c r="R273" s="26"/>
      <c r="S273" s="26"/>
      <c r="T273" s="26"/>
      <c r="U273" s="26"/>
      <c r="V273" s="26"/>
      <c r="W273" s="27"/>
      <c r="X273" s="50"/>
    </row>
    <row r="274" spans="2:24" x14ac:dyDescent="0.25">
      <c r="B274" s="2"/>
      <c r="C274" s="55"/>
      <c r="D274" s="55"/>
      <c r="I274" s="56"/>
      <c r="O274" s="25"/>
      <c r="Q274" s="26"/>
      <c r="R274" s="26"/>
      <c r="S274" s="26"/>
      <c r="T274" s="26"/>
      <c r="U274" s="26"/>
      <c r="V274" s="26"/>
      <c r="W274" s="27"/>
      <c r="X274" s="50"/>
    </row>
    <row r="275" spans="2:24" x14ac:dyDescent="0.25">
      <c r="B275" s="2"/>
      <c r="C275" s="55"/>
      <c r="D275" s="55"/>
      <c r="I275" s="56"/>
      <c r="O275" s="25"/>
      <c r="Q275" s="26"/>
      <c r="R275" s="26"/>
      <c r="S275" s="26"/>
      <c r="T275" s="26"/>
      <c r="U275" s="26"/>
      <c r="V275" s="26"/>
      <c r="W275" s="27"/>
      <c r="X275" s="50"/>
    </row>
    <row r="276" spans="2:24" x14ac:dyDescent="0.25">
      <c r="B276" s="2"/>
      <c r="C276" s="55"/>
      <c r="D276" s="55"/>
      <c r="I276" s="56"/>
      <c r="O276" s="25"/>
      <c r="Q276" s="26"/>
      <c r="R276" s="26"/>
      <c r="S276" s="26"/>
      <c r="T276" s="26"/>
      <c r="U276" s="26"/>
      <c r="V276" s="26"/>
      <c r="W276" s="27"/>
      <c r="X276" s="50"/>
    </row>
    <row r="277" spans="2:24" x14ac:dyDescent="0.25">
      <c r="B277" s="2"/>
      <c r="C277" s="55"/>
      <c r="D277" s="55"/>
      <c r="I277" s="56"/>
      <c r="O277" s="25"/>
      <c r="Q277" s="26"/>
      <c r="R277" s="26"/>
      <c r="S277" s="26"/>
      <c r="T277" s="26"/>
      <c r="U277" s="26"/>
      <c r="V277" s="26"/>
      <c r="W277" s="27"/>
      <c r="X277" s="50"/>
    </row>
    <row r="278" spans="2:24" x14ac:dyDescent="0.25">
      <c r="B278" s="2"/>
      <c r="C278" s="55"/>
      <c r="D278" s="55"/>
      <c r="I278" s="56"/>
      <c r="O278" s="25"/>
      <c r="Q278" s="26"/>
      <c r="R278" s="26"/>
      <c r="S278" s="26"/>
      <c r="T278" s="26"/>
      <c r="U278" s="26"/>
      <c r="V278" s="26"/>
      <c r="W278" s="27"/>
      <c r="X278" s="50"/>
    </row>
    <row r="279" spans="2:24" x14ac:dyDescent="0.25">
      <c r="B279" s="2"/>
      <c r="C279" s="55"/>
      <c r="D279" s="55"/>
      <c r="I279" s="56"/>
      <c r="O279" s="25"/>
      <c r="Q279" s="26"/>
      <c r="R279" s="26"/>
      <c r="S279" s="26"/>
      <c r="T279" s="26"/>
      <c r="U279" s="26"/>
      <c r="V279" s="26"/>
      <c r="W279" s="27"/>
      <c r="X279" s="50"/>
    </row>
    <row r="280" spans="2:24" x14ac:dyDescent="0.25">
      <c r="B280" s="2"/>
      <c r="C280" s="55"/>
      <c r="D280" s="55"/>
      <c r="I280" s="56"/>
      <c r="O280" s="25"/>
      <c r="Q280" s="26"/>
      <c r="R280" s="26"/>
      <c r="S280" s="26"/>
      <c r="T280" s="26"/>
      <c r="U280" s="26"/>
      <c r="V280" s="26"/>
      <c r="W280" s="27"/>
      <c r="X280" s="50"/>
    </row>
    <row r="281" spans="2:24" x14ac:dyDescent="0.25">
      <c r="B281" s="2"/>
      <c r="C281" s="55"/>
      <c r="D281" s="55"/>
      <c r="I281" s="56"/>
      <c r="O281" s="25"/>
      <c r="Q281" s="26"/>
      <c r="R281" s="26"/>
      <c r="S281" s="26"/>
      <c r="T281" s="26"/>
      <c r="U281" s="26"/>
      <c r="V281" s="26"/>
      <c r="W281" s="27"/>
      <c r="X281" s="50"/>
    </row>
    <row r="282" spans="2:24" x14ac:dyDescent="0.25">
      <c r="B282" s="2"/>
      <c r="C282" s="55"/>
      <c r="D282" s="55"/>
      <c r="I282" s="56"/>
      <c r="O282" s="25"/>
      <c r="Q282" s="26"/>
      <c r="R282" s="26"/>
      <c r="S282" s="26"/>
      <c r="T282" s="26"/>
      <c r="U282" s="26"/>
      <c r="V282" s="26"/>
      <c r="W282" s="27"/>
      <c r="X282" s="50"/>
    </row>
    <row r="283" spans="2:24" x14ac:dyDescent="0.25">
      <c r="B283" s="2"/>
      <c r="C283" s="55"/>
      <c r="D283" s="55"/>
      <c r="I283" s="56"/>
      <c r="O283" s="25"/>
      <c r="Q283" s="26"/>
      <c r="R283" s="26"/>
      <c r="S283" s="26"/>
      <c r="T283" s="26"/>
      <c r="U283" s="26"/>
      <c r="V283" s="26"/>
      <c r="W283" s="27"/>
      <c r="X283" s="50"/>
    </row>
    <row r="284" spans="2:24" x14ac:dyDescent="0.25">
      <c r="B284" s="2"/>
      <c r="C284" s="55"/>
      <c r="D284" s="55"/>
      <c r="I284" s="56"/>
      <c r="O284" s="25"/>
      <c r="Q284" s="26"/>
      <c r="R284" s="26"/>
      <c r="S284" s="26"/>
      <c r="T284" s="26"/>
      <c r="U284" s="26"/>
      <c r="V284" s="26"/>
      <c r="W284" s="27"/>
      <c r="X284" s="50"/>
    </row>
    <row r="285" spans="2:24" x14ac:dyDescent="0.25">
      <c r="B285" s="2"/>
      <c r="C285" s="55"/>
      <c r="D285" s="55"/>
      <c r="I285" s="56"/>
      <c r="O285" s="25"/>
      <c r="Q285" s="26"/>
      <c r="R285" s="26"/>
      <c r="S285" s="26"/>
      <c r="T285" s="26"/>
      <c r="U285" s="26"/>
      <c r="V285" s="26"/>
      <c r="W285" s="27"/>
      <c r="X285" s="50"/>
    </row>
    <row r="286" spans="2:24" x14ac:dyDescent="0.25">
      <c r="B286" s="2"/>
      <c r="C286" s="55"/>
      <c r="D286" s="55"/>
      <c r="I286" s="56"/>
      <c r="O286" s="25"/>
      <c r="Q286" s="26"/>
      <c r="R286" s="26"/>
      <c r="S286" s="26"/>
      <c r="T286" s="26"/>
      <c r="U286" s="26"/>
      <c r="V286" s="26"/>
      <c r="W286" s="27"/>
      <c r="X286" s="50"/>
    </row>
    <row r="287" spans="2:24" x14ac:dyDescent="0.25">
      <c r="B287" s="2"/>
      <c r="C287" s="55"/>
      <c r="D287" s="55"/>
      <c r="I287" s="56"/>
      <c r="O287" s="25"/>
      <c r="Q287" s="26"/>
      <c r="R287" s="26"/>
      <c r="S287" s="26"/>
      <c r="T287" s="26"/>
      <c r="U287" s="26"/>
      <c r="V287" s="26"/>
      <c r="W287" s="27"/>
      <c r="X287" s="50"/>
    </row>
    <row r="288" spans="2:24" x14ac:dyDescent="0.25">
      <c r="B288" s="2"/>
      <c r="C288" s="55"/>
      <c r="D288" s="55"/>
      <c r="I288" s="56"/>
      <c r="O288" s="25"/>
      <c r="Q288" s="26"/>
      <c r="R288" s="26"/>
      <c r="S288" s="26"/>
      <c r="T288" s="26"/>
      <c r="U288" s="26"/>
      <c r="V288" s="26"/>
      <c r="W288" s="27"/>
      <c r="X288" s="50"/>
    </row>
    <row r="289" spans="2:24" x14ac:dyDescent="0.25">
      <c r="B289" s="2"/>
      <c r="C289" s="55"/>
      <c r="D289" s="55"/>
      <c r="I289" s="56"/>
      <c r="O289" s="25"/>
      <c r="Q289" s="26"/>
      <c r="R289" s="26"/>
      <c r="S289" s="26"/>
      <c r="T289" s="26"/>
      <c r="U289" s="26"/>
      <c r="V289" s="26"/>
      <c r="W289" s="27"/>
      <c r="X289" s="50"/>
    </row>
    <row r="290" spans="2:24" x14ac:dyDescent="0.25">
      <c r="B290" s="2"/>
      <c r="C290" s="55"/>
      <c r="D290" s="55"/>
      <c r="I290" s="56"/>
      <c r="O290" s="25"/>
      <c r="Q290" s="26"/>
      <c r="R290" s="26"/>
      <c r="S290" s="26"/>
      <c r="T290" s="26"/>
      <c r="U290" s="26"/>
      <c r="V290" s="26"/>
      <c r="W290" s="27"/>
      <c r="X290" s="50"/>
    </row>
    <row r="291" spans="2:24" x14ac:dyDescent="0.25">
      <c r="B291" s="2"/>
      <c r="C291" s="55"/>
      <c r="D291" s="55"/>
      <c r="I291" s="56"/>
      <c r="O291" s="25"/>
      <c r="Q291" s="26"/>
      <c r="R291" s="26"/>
      <c r="S291" s="26"/>
      <c r="T291" s="26"/>
      <c r="U291" s="26"/>
      <c r="V291" s="26"/>
      <c r="W291" s="27"/>
      <c r="X291" s="50"/>
    </row>
    <row r="292" spans="2:24" x14ac:dyDescent="0.25">
      <c r="B292" s="2"/>
      <c r="C292" s="55"/>
      <c r="D292" s="55"/>
      <c r="I292" s="56"/>
      <c r="O292" s="25"/>
      <c r="Q292" s="26"/>
      <c r="R292" s="26"/>
      <c r="S292" s="26"/>
      <c r="T292" s="26"/>
      <c r="U292" s="26"/>
      <c r="V292" s="26"/>
      <c r="W292" s="27"/>
      <c r="X292" s="50"/>
    </row>
    <row r="293" spans="2:24" x14ac:dyDescent="0.25">
      <c r="B293" s="2"/>
      <c r="C293" s="55"/>
      <c r="D293" s="55"/>
      <c r="I293" s="56"/>
      <c r="O293" s="25"/>
      <c r="Q293" s="26"/>
      <c r="R293" s="26"/>
      <c r="S293" s="26"/>
      <c r="T293" s="26"/>
      <c r="U293" s="26"/>
      <c r="V293" s="26"/>
      <c r="W293" s="27"/>
      <c r="X293" s="50"/>
    </row>
    <row r="294" spans="2:24" x14ac:dyDescent="0.25">
      <c r="B294" s="2"/>
      <c r="C294" s="55"/>
      <c r="D294" s="55"/>
      <c r="I294" s="56"/>
      <c r="O294" s="25"/>
      <c r="Q294" s="26"/>
      <c r="R294" s="26"/>
      <c r="S294" s="26"/>
      <c r="T294" s="26"/>
      <c r="U294" s="26"/>
      <c r="V294" s="26"/>
      <c r="W294" s="27"/>
      <c r="X294" s="50"/>
    </row>
    <row r="295" spans="2:24" x14ac:dyDescent="0.25">
      <c r="B295" s="2"/>
      <c r="C295" s="55"/>
      <c r="D295" s="55"/>
      <c r="I295" s="56"/>
      <c r="O295" s="25"/>
      <c r="Q295" s="26"/>
      <c r="R295" s="26"/>
      <c r="S295" s="26"/>
      <c r="T295" s="26"/>
      <c r="U295" s="26"/>
      <c r="V295" s="26"/>
      <c r="W295" s="27"/>
      <c r="X295" s="50"/>
    </row>
    <row r="296" spans="2:24" x14ac:dyDescent="0.25">
      <c r="B296" s="2"/>
      <c r="C296" s="55"/>
      <c r="D296" s="55"/>
      <c r="I296" s="56"/>
      <c r="O296" s="25"/>
      <c r="Q296" s="26"/>
      <c r="R296" s="26"/>
      <c r="S296" s="26"/>
      <c r="T296" s="26"/>
      <c r="U296" s="26"/>
      <c r="V296" s="26"/>
      <c r="W296" s="27"/>
      <c r="X296" s="50"/>
    </row>
    <row r="297" spans="2:24" x14ac:dyDescent="0.25">
      <c r="B297" s="2"/>
      <c r="C297" s="55"/>
      <c r="D297" s="55"/>
      <c r="I297" s="56"/>
      <c r="O297" s="25"/>
      <c r="Q297" s="26"/>
      <c r="R297" s="26"/>
      <c r="S297" s="26"/>
      <c r="T297" s="26"/>
      <c r="U297" s="26"/>
      <c r="V297" s="26"/>
      <c r="W297" s="27"/>
      <c r="X297" s="50"/>
    </row>
    <row r="298" spans="2:24" x14ac:dyDescent="0.25">
      <c r="B298" s="2"/>
      <c r="C298" s="55"/>
      <c r="D298" s="55"/>
      <c r="I298" s="56"/>
      <c r="O298" s="25"/>
      <c r="Q298" s="26"/>
      <c r="R298" s="26"/>
      <c r="S298" s="26"/>
      <c r="T298" s="26"/>
      <c r="U298" s="26"/>
      <c r="V298" s="26"/>
      <c r="W298" s="27"/>
      <c r="X298" s="50"/>
    </row>
    <row r="299" spans="2:24" x14ac:dyDescent="0.25">
      <c r="B299" s="2"/>
      <c r="C299" s="55"/>
      <c r="D299" s="55"/>
      <c r="I299" s="56"/>
      <c r="O299" s="25"/>
      <c r="Q299" s="26"/>
      <c r="R299" s="26"/>
      <c r="S299" s="26"/>
      <c r="T299" s="26"/>
      <c r="U299" s="26"/>
      <c r="V299" s="26"/>
      <c r="W299" s="27"/>
      <c r="X299" s="50"/>
    </row>
    <row r="300" spans="2:24" x14ac:dyDescent="0.25">
      <c r="B300" s="2"/>
      <c r="C300" s="55"/>
      <c r="D300" s="55"/>
      <c r="I300" s="56"/>
      <c r="O300" s="25"/>
      <c r="Q300" s="26"/>
      <c r="R300" s="26"/>
      <c r="S300" s="26"/>
      <c r="T300" s="26"/>
      <c r="U300" s="26"/>
      <c r="V300" s="26"/>
      <c r="W300" s="27"/>
      <c r="X300" s="50"/>
    </row>
    <row r="301" spans="2:24" x14ac:dyDescent="0.25">
      <c r="B301" s="2"/>
      <c r="C301" s="55"/>
      <c r="D301" s="55"/>
      <c r="I301" s="56"/>
      <c r="O301" s="25"/>
      <c r="Q301" s="26"/>
      <c r="R301" s="26"/>
      <c r="S301" s="26"/>
      <c r="T301" s="26"/>
      <c r="U301" s="26"/>
      <c r="V301" s="26"/>
      <c r="W301" s="27"/>
      <c r="X301" s="50"/>
    </row>
    <row r="302" spans="2:24" x14ac:dyDescent="0.25">
      <c r="B302" s="2"/>
      <c r="C302" s="55"/>
      <c r="D302" s="55"/>
      <c r="I302" s="56"/>
      <c r="O302" s="25"/>
      <c r="Q302" s="26"/>
      <c r="R302" s="26"/>
      <c r="S302" s="26"/>
      <c r="T302" s="26"/>
      <c r="U302" s="26"/>
      <c r="V302" s="26"/>
      <c r="W302" s="27"/>
      <c r="X302" s="50"/>
    </row>
    <row r="303" spans="2:24" x14ac:dyDescent="0.25">
      <c r="B303" s="2"/>
      <c r="C303" s="55"/>
      <c r="D303" s="55"/>
      <c r="I303" s="56"/>
      <c r="O303" s="25"/>
      <c r="Q303" s="26"/>
      <c r="R303" s="26"/>
      <c r="S303" s="26"/>
      <c r="T303" s="26"/>
      <c r="U303" s="26"/>
      <c r="V303" s="26"/>
      <c r="W303" s="27"/>
      <c r="X303" s="50"/>
    </row>
    <row r="304" spans="2:24" x14ac:dyDescent="0.25">
      <c r="B304" s="2"/>
      <c r="C304" s="55"/>
      <c r="D304" s="55"/>
      <c r="I304" s="56"/>
      <c r="O304" s="25"/>
      <c r="Q304" s="26"/>
      <c r="R304" s="26"/>
      <c r="S304" s="26"/>
      <c r="T304" s="26"/>
      <c r="U304" s="26"/>
      <c r="V304" s="26"/>
      <c r="W304" s="27"/>
      <c r="X304" s="50"/>
    </row>
    <row r="305" spans="2:24" x14ac:dyDescent="0.25">
      <c r="B305" s="2"/>
      <c r="C305" s="55"/>
      <c r="D305" s="55"/>
      <c r="I305" s="56"/>
      <c r="O305" s="25"/>
      <c r="Q305" s="26"/>
      <c r="R305" s="26"/>
      <c r="S305" s="26"/>
      <c r="T305" s="26"/>
      <c r="U305" s="26"/>
      <c r="V305" s="26"/>
      <c r="W305" s="27"/>
      <c r="X305" s="50"/>
    </row>
    <row r="306" spans="2:24" x14ac:dyDescent="0.25">
      <c r="B306" s="2"/>
      <c r="C306" s="55"/>
      <c r="D306" s="55"/>
      <c r="I306" s="56"/>
      <c r="O306" s="25"/>
      <c r="Q306" s="26"/>
      <c r="R306" s="26"/>
      <c r="S306" s="26"/>
      <c r="T306" s="26"/>
      <c r="U306" s="26"/>
      <c r="V306" s="26"/>
      <c r="W306" s="27"/>
      <c r="X306" s="50"/>
    </row>
    <row r="307" spans="2:24" x14ac:dyDescent="0.25">
      <c r="B307" s="2"/>
      <c r="C307" s="55"/>
      <c r="D307" s="55"/>
      <c r="I307" s="56"/>
      <c r="O307" s="25"/>
      <c r="Q307" s="26"/>
      <c r="R307" s="26"/>
      <c r="S307" s="26"/>
      <c r="T307" s="26"/>
      <c r="U307" s="26"/>
      <c r="V307" s="26"/>
      <c r="W307" s="27"/>
      <c r="X307" s="50"/>
    </row>
    <row r="308" spans="2:24" x14ac:dyDescent="0.25">
      <c r="B308" s="2"/>
      <c r="C308" s="55"/>
      <c r="D308" s="55"/>
      <c r="I308" s="56"/>
      <c r="O308" s="25"/>
      <c r="Q308" s="26"/>
      <c r="R308" s="26"/>
      <c r="S308" s="26"/>
      <c r="T308" s="26"/>
      <c r="U308" s="26"/>
      <c r="V308" s="26"/>
      <c r="W308" s="27"/>
      <c r="X308" s="50"/>
    </row>
    <row r="309" spans="2:24" x14ac:dyDescent="0.25">
      <c r="B309" s="2"/>
      <c r="C309" s="55"/>
      <c r="D309" s="55"/>
      <c r="I309" s="56"/>
      <c r="O309" s="25"/>
      <c r="Q309" s="26"/>
      <c r="R309" s="26"/>
      <c r="S309" s="26"/>
      <c r="T309" s="26"/>
      <c r="U309" s="26"/>
      <c r="V309" s="26"/>
      <c r="W309" s="27"/>
      <c r="X309" s="50"/>
    </row>
    <row r="310" spans="2:24" x14ac:dyDescent="0.25">
      <c r="B310" s="2"/>
      <c r="C310" s="55"/>
      <c r="D310" s="55"/>
      <c r="I310" s="56"/>
      <c r="O310" s="25"/>
      <c r="Q310" s="26"/>
      <c r="R310" s="26"/>
      <c r="S310" s="26"/>
      <c r="T310" s="26"/>
      <c r="U310" s="26"/>
      <c r="V310" s="26"/>
      <c r="W310" s="27"/>
      <c r="X310" s="50"/>
    </row>
    <row r="311" spans="2:24" x14ac:dyDescent="0.25">
      <c r="B311" s="2"/>
      <c r="C311" s="55"/>
      <c r="D311" s="55"/>
      <c r="I311" s="56"/>
      <c r="O311" s="25"/>
      <c r="Q311" s="26"/>
      <c r="R311" s="26"/>
      <c r="S311" s="26"/>
      <c r="T311" s="26"/>
      <c r="U311" s="26"/>
      <c r="V311" s="26"/>
      <c r="W311" s="27"/>
      <c r="X311" s="50"/>
    </row>
    <row r="312" spans="2:24" x14ac:dyDescent="0.25">
      <c r="B312" s="2"/>
      <c r="C312" s="55"/>
      <c r="D312" s="55"/>
      <c r="I312" s="56"/>
      <c r="O312" s="25"/>
      <c r="Q312" s="26"/>
      <c r="R312" s="26"/>
      <c r="S312" s="26"/>
      <c r="T312" s="26"/>
      <c r="U312" s="26"/>
      <c r="V312" s="26"/>
      <c r="W312" s="27"/>
      <c r="X312" s="50"/>
    </row>
    <row r="313" spans="2:24" x14ac:dyDescent="0.25">
      <c r="B313" s="2"/>
      <c r="C313" s="55"/>
      <c r="D313" s="55"/>
      <c r="I313" s="56"/>
      <c r="O313" s="25"/>
      <c r="Q313" s="26"/>
      <c r="R313" s="26"/>
      <c r="S313" s="26"/>
      <c r="T313" s="26"/>
      <c r="U313" s="26"/>
      <c r="V313" s="26"/>
      <c r="W313" s="27"/>
      <c r="X313" s="50"/>
    </row>
    <row r="314" spans="2:24" x14ac:dyDescent="0.25">
      <c r="B314" s="2"/>
      <c r="C314" s="55"/>
      <c r="D314" s="55"/>
      <c r="I314" s="56"/>
      <c r="O314" s="25"/>
      <c r="Q314" s="26"/>
      <c r="R314" s="26"/>
      <c r="S314" s="26"/>
      <c r="T314" s="26"/>
      <c r="U314" s="26"/>
      <c r="V314" s="26"/>
      <c r="W314" s="27"/>
      <c r="X314" s="50"/>
    </row>
    <row r="315" spans="2:24" x14ac:dyDescent="0.25">
      <c r="B315" s="2"/>
      <c r="C315" s="55"/>
      <c r="D315" s="55"/>
      <c r="I315" s="56"/>
      <c r="O315" s="25"/>
      <c r="Q315" s="26"/>
      <c r="R315" s="26"/>
      <c r="S315" s="26"/>
      <c r="T315" s="26"/>
      <c r="U315" s="26"/>
      <c r="V315" s="26"/>
      <c r="W315" s="27"/>
      <c r="X315" s="50"/>
    </row>
    <row r="316" spans="2:24" x14ac:dyDescent="0.25">
      <c r="B316" s="2"/>
      <c r="C316" s="55"/>
      <c r="D316" s="55"/>
      <c r="I316" s="56"/>
      <c r="O316" s="25"/>
      <c r="Q316" s="26"/>
      <c r="R316" s="26"/>
      <c r="S316" s="26"/>
      <c r="T316" s="26"/>
      <c r="U316" s="26"/>
      <c r="V316" s="26"/>
      <c r="W316" s="27"/>
      <c r="X316" s="50"/>
    </row>
    <row r="317" spans="2:24" x14ac:dyDescent="0.25">
      <c r="B317" s="2"/>
      <c r="C317" s="55"/>
      <c r="D317" s="55"/>
      <c r="I317" s="56"/>
      <c r="O317" s="25"/>
      <c r="Q317" s="26"/>
      <c r="R317" s="26"/>
      <c r="S317" s="26"/>
      <c r="T317" s="26"/>
      <c r="U317" s="26"/>
      <c r="V317" s="26"/>
      <c r="W317" s="27"/>
      <c r="X317" s="50"/>
    </row>
    <row r="318" spans="2:24" x14ac:dyDescent="0.25">
      <c r="B318" s="2"/>
      <c r="C318" s="55"/>
      <c r="D318" s="55"/>
      <c r="I318" s="56"/>
      <c r="O318" s="25"/>
      <c r="Q318" s="26"/>
      <c r="R318" s="26"/>
      <c r="S318" s="26"/>
      <c r="T318" s="26"/>
      <c r="U318" s="26"/>
      <c r="V318" s="26"/>
      <c r="W318" s="27"/>
      <c r="X318" s="50"/>
    </row>
    <row r="319" spans="2:24" x14ac:dyDescent="0.25">
      <c r="B319" s="2"/>
      <c r="C319" s="55"/>
      <c r="D319" s="55"/>
      <c r="I319" s="56"/>
      <c r="O319" s="25"/>
      <c r="Q319" s="26"/>
      <c r="R319" s="26"/>
      <c r="S319" s="26"/>
      <c r="T319" s="26"/>
      <c r="U319" s="26"/>
      <c r="V319" s="26"/>
      <c r="W319" s="27"/>
      <c r="X319" s="50"/>
    </row>
    <row r="320" spans="2:24" x14ac:dyDescent="0.25">
      <c r="B320" s="2"/>
      <c r="C320" s="55"/>
      <c r="D320" s="55"/>
      <c r="I320" s="56"/>
      <c r="O320" s="25"/>
      <c r="Q320" s="26"/>
      <c r="R320" s="26"/>
      <c r="S320" s="26"/>
      <c r="T320" s="26"/>
      <c r="U320" s="26"/>
      <c r="V320" s="26"/>
      <c r="W320" s="27"/>
      <c r="X320" s="50"/>
    </row>
    <row r="321" spans="2:24" x14ac:dyDescent="0.25">
      <c r="B321" s="2"/>
      <c r="C321" s="55"/>
      <c r="D321" s="55"/>
      <c r="I321" s="56"/>
      <c r="O321" s="25"/>
      <c r="Q321" s="26"/>
      <c r="R321" s="26"/>
      <c r="S321" s="26"/>
      <c r="T321" s="26"/>
      <c r="U321" s="26"/>
      <c r="V321" s="26"/>
      <c r="W321" s="27"/>
      <c r="X321" s="50"/>
    </row>
    <row r="322" spans="2:24" x14ac:dyDescent="0.25">
      <c r="B322" s="2"/>
      <c r="C322" s="55"/>
      <c r="D322" s="55"/>
      <c r="I322" s="56"/>
      <c r="O322" s="25"/>
      <c r="Q322" s="26"/>
      <c r="R322" s="26"/>
      <c r="S322" s="26"/>
      <c r="T322" s="26"/>
      <c r="U322" s="26"/>
      <c r="V322" s="26"/>
      <c r="W322" s="27"/>
      <c r="X322" s="50"/>
    </row>
    <row r="323" spans="2:24" x14ac:dyDescent="0.25">
      <c r="B323" s="2"/>
      <c r="C323" s="55"/>
      <c r="D323" s="55"/>
      <c r="I323" s="56"/>
      <c r="O323" s="25"/>
      <c r="Q323" s="26"/>
      <c r="R323" s="26"/>
      <c r="S323" s="26"/>
      <c r="T323" s="26"/>
      <c r="U323" s="26"/>
      <c r="V323" s="26"/>
      <c r="W323" s="27"/>
      <c r="X323" s="50"/>
    </row>
    <row r="324" spans="2:24" x14ac:dyDescent="0.25">
      <c r="B324" s="2"/>
      <c r="C324" s="55"/>
      <c r="D324" s="55"/>
      <c r="I324" s="56"/>
      <c r="O324" s="25"/>
      <c r="Q324" s="26"/>
      <c r="R324" s="26"/>
      <c r="S324" s="26"/>
      <c r="T324" s="26"/>
      <c r="U324" s="26"/>
      <c r="V324" s="26"/>
      <c r="W324" s="27"/>
      <c r="X324" s="50"/>
    </row>
    <row r="325" spans="2:24" x14ac:dyDescent="0.25">
      <c r="B325" s="2"/>
      <c r="C325" s="55"/>
      <c r="D325" s="55"/>
      <c r="I325" s="56"/>
      <c r="O325" s="25"/>
      <c r="Q325" s="26"/>
      <c r="R325" s="26"/>
      <c r="S325" s="26"/>
      <c r="T325" s="26"/>
      <c r="U325" s="26"/>
      <c r="V325" s="26"/>
      <c r="W325" s="27"/>
      <c r="X325" s="50"/>
    </row>
    <row r="326" spans="2:24" x14ac:dyDescent="0.25">
      <c r="B326" s="2"/>
      <c r="C326" s="55"/>
      <c r="D326" s="55"/>
      <c r="I326" s="56"/>
      <c r="O326" s="25"/>
      <c r="Q326" s="26"/>
      <c r="R326" s="26"/>
      <c r="S326" s="26"/>
      <c r="T326" s="26"/>
      <c r="U326" s="26"/>
      <c r="V326" s="26"/>
      <c r="W326" s="27"/>
      <c r="X326" s="50"/>
    </row>
    <row r="327" spans="2:24" x14ac:dyDescent="0.25">
      <c r="B327" s="2"/>
      <c r="C327" s="55"/>
      <c r="D327" s="55"/>
      <c r="I327" s="56"/>
      <c r="O327" s="25"/>
      <c r="Q327" s="26"/>
      <c r="R327" s="26"/>
      <c r="S327" s="26"/>
      <c r="T327" s="26"/>
      <c r="U327" s="26"/>
      <c r="V327" s="26"/>
      <c r="W327" s="27"/>
      <c r="X327" s="50"/>
    </row>
    <row r="328" spans="2:24" x14ac:dyDescent="0.25">
      <c r="B328" s="2"/>
      <c r="C328" s="55"/>
      <c r="D328" s="55"/>
      <c r="I328" s="56"/>
      <c r="O328" s="25"/>
      <c r="Q328" s="26"/>
      <c r="R328" s="26"/>
      <c r="S328" s="26"/>
      <c r="T328" s="26"/>
      <c r="U328" s="26"/>
      <c r="V328" s="26"/>
      <c r="W328" s="27"/>
      <c r="X328" s="50"/>
    </row>
    <row r="329" spans="2:24" x14ac:dyDescent="0.25">
      <c r="B329" s="2"/>
      <c r="C329" s="55"/>
      <c r="D329" s="55"/>
      <c r="I329" s="56"/>
      <c r="O329" s="25"/>
      <c r="Q329" s="26"/>
      <c r="R329" s="26"/>
      <c r="S329" s="26"/>
      <c r="T329" s="26"/>
      <c r="U329" s="26"/>
      <c r="V329" s="26"/>
      <c r="W329" s="27"/>
      <c r="X329" s="50"/>
    </row>
    <row r="330" spans="2:24" x14ac:dyDescent="0.25">
      <c r="B330" s="2"/>
      <c r="C330" s="55"/>
      <c r="D330" s="55"/>
      <c r="I330" s="56"/>
      <c r="O330" s="25"/>
      <c r="Q330" s="26"/>
      <c r="R330" s="26"/>
      <c r="S330" s="26"/>
      <c r="T330" s="26"/>
      <c r="U330" s="26"/>
      <c r="V330" s="26"/>
      <c r="W330" s="27"/>
      <c r="X330" s="50"/>
    </row>
    <row r="331" spans="2:24" x14ac:dyDescent="0.25">
      <c r="B331" s="2"/>
      <c r="C331" s="55"/>
      <c r="D331" s="55"/>
      <c r="I331" s="56"/>
      <c r="O331" s="25"/>
      <c r="Q331" s="26"/>
      <c r="R331" s="26"/>
      <c r="S331" s="26"/>
      <c r="T331" s="26"/>
      <c r="U331" s="26"/>
      <c r="V331" s="26"/>
      <c r="W331" s="27"/>
      <c r="X331" s="50"/>
    </row>
    <row r="332" spans="2:24" x14ac:dyDescent="0.25">
      <c r="B332" s="2"/>
      <c r="C332" s="55"/>
      <c r="D332" s="55"/>
      <c r="I332" s="56"/>
      <c r="O332" s="25"/>
      <c r="Q332" s="26"/>
      <c r="R332" s="26"/>
      <c r="S332" s="26"/>
      <c r="T332" s="26"/>
      <c r="U332" s="26"/>
      <c r="V332" s="26"/>
      <c r="W332" s="27"/>
      <c r="X332" s="50"/>
    </row>
    <row r="333" spans="2:24" x14ac:dyDescent="0.25">
      <c r="B333" s="2"/>
      <c r="C333" s="55"/>
      <c r="D333" s="55"/>
      <c r="I333" s="56"/>
      <c r="O333" s="25"/>
      <c r="Q333" s="26"/>
      <c r="R333" s="26"/>
      <c r="S333" s="26"/>
      <c r="T333" s="26"/>
      <c r="U333" s="26"/>
      <c r="V333" s="26"/>
      <c r="W333" s="27"/>
      <c r="X333" s="50"/>
    </row>
    <row r="334" spans="2:24" x14ac:dyDescent="0.25">
      <c r="B334" s="2"/>
      <c r="C334" s="55"/>
      <c r="D334" s="55"/>
      <c r="I334" s="56"/>
      <c r="O334" s="25"/>
      <c r="Q334" s="26"/>
      <c r="R334" s="26"/>
      <c r="S334" s="26"/>
      <c r="T334" s="26"/>
      <c r="U334" s="26"/>
      <c r="V334" s="26"/>
      <c r="W334" s="27"/>
      <c r="X334" s="50"/>
    </row>
    <row r="335" spans="2:24" x14ac:dyDescent="0.25">
      <c r="B335" s="2"/>
      <c r="C335" s="55"/>
      <c r="D335" s="55"/>
      <c r="I335" s="56"/>
      <c r="O335" s="25"/>
      <c r="Q335" s="26"/>
      <c r="R335" s="26"/>
      <c r="S335" s="26"/>
      <c r="T335" s="26"/>
      <c r="U335" s="26"/>
      <c r="V335" s="26"/>
      <c r="W335" s="27"/>
      <c r="X335" s="50"/>
    </row>
    <row r="336" spans="2:24" x14ac:dyDescent="0.25">
      <c r="B336" s="2"/>
      <c r="C336" s="55"/>
      <c r="D336" s="55"/>
      <c r="I336" s="56"/>
      <c r="O336" s="25"/>
      <c r="Q336" s="26"/>
      <c r="R336" s="26"/>
      <c r="S336" s="26"/>
      <c r="T336" s="26"/>
      <c r="U336" s="26"/>
      <c r="V336" s="26"/>
      <c r="W336" s="27"/>
      <c r="X336" s="50"/>
    </row>
    <row r="337" spans="2:24" x14ac:dyDescent="0.25">
      <c r="B337" s="2"/>
      <c r="C337" s="55"/>
      <c r="D337" s="55"/>
      <c r="I337" s="56"/>
      <c r="O337" s="25"/>
      <c r="Q337" s="26"/>
      <c r="R337" s="26"/>
      <c r="S337" s="26"/>
      <c r="T337" s="26"/>
      <c r="U337" s="26"/>
      <c r="V337" s="26"/>
      <c r="W337" s="27"/>
      <c r="X337" s="50"/>
    </row>
    <row r="338" spans="2:24" x14ac:dyDescent="0.25">
      <c r="B338" s="2"/>
      <c r="C338" s="55"/>
      <c r="D338" s="55"/>
      <c r="I338" s="56"/>
      <c r="O338" s="25"/>
      <c r="Q338" s="26"/>
      <c r="R338" s="26"/>
      <c r="S338" s="26"/>
      <c r="T338" s="26"/>
      <c r="U338" s="26"/>
      <c r="V338" s="26"/>
      <c r="W338" s="27"/>
      <c r="X338" s="50"/>
    </row>
    <row r="339" spans="2:24" x14ac:dyDescent="0.25">
      <c r="B339" s="2"/>
      <c r="C339" s="55"/>
      <c r="D339" s="55"/>
      <c r="I339" s="56"/>
      <c r="O339" s="25"/>
      <c r="Q339" s="26"/>
      <c r="R339" s="26"/>
      <c r="S339" s="26"/>
      <c r="T339" s="26"/>
      <c r="U339" s="26"/>
      <c r="V339" s="26"/>
      <c r="W339" s="27"/>
      <c r="X339" s="50"/>
    </row>
    <row r="340" spans="2:24" x14ac:dyDescent="0.25">
      <c r="B340" s="2"/>
      <c r="C340" s="55"/>
      <c r="D340" s="55"/>
      <c r="I340" s="56"/>
      <c r="O340" s="25"/>
      <c r="Q340" s="26"/>
      <c r="R340" s="26"/>
      <c r="S340" s="26"/>
      <c r="T340" s="26"/>
      <c r="U340" s="26"/>
      <c r="V340" s="26"/>
      <c r="W340" s="27"/>
      <c r="X340" s="50"/>
    </row>
    <row r="341" spans="2:24" x14ac:dyDescent="0.25">
      <c r="B341" s="2"/>
      <c r="C341" s="55"/>
      <c r="D341" s="55"/>
      <c r="I341" s="56"/>
      <c r="O341" s="25"/>
      <c r="Q341" s="26"/>
      <c r="R341" s="26"/>
      <c r="S341" s="26"/>
      <c r="T341" s="26"/>
      <c r="U341" s="26"/>
      <c r="V341" s="26"/>
      <c r="W341" s="27"/>
      <c r="X341" s="50"/>
    </row>
    <row r="342" spans="2:24" x14ac:dyDescent="0.25">
      <c r="B342" s="2"/>
      <c r="C342" s="55"/>
      <c r="D342" s="55"/>
      <c r="I342" s="56"/>
      <c r="O342" s="25"/>
      <c r="Q342" s="26"/>
      <c r="R342" s="26"/>
      <c r="S342" s="26"/>
      <c r="T342" s="26"/>
      <c r="U342" s="26"/>
      <c r="V342" s="26"/>
      <c r="W342" s="27"/>
      <c r="X342" s="50"/>
    </row>
    <row r="343" spans="2:24" x14ac:dyDescent="0.25">
      <c r="B343" s="2"/>
      <c r="C343" s="55"/>
      <c r="D343" s="55"/>
      <c r="I343" s="56"/>
      <c r="O343" s="25"/>
      <c r="Q343" s="26"/>
      <c r="R343" s="26"/>
      <c r="S343" s="26"/>
      <c r="T343" s="26"/>
      <c r="U343" s="26"/>
      <c r="V343" s="26"/>
      <c r="W343" s="27"/>
      <c r="X343" s="50"/>
    </row>
    <row r="344" spans="2:24" x14ac:dyDescent="0.25">
      <c r="B344" s="2"/>
      <c r="C344" s="55"/>
      <c r="D344" s="55"/>
      <c r="I344" s="56"/>
      <c r="O344" s="25"/>
      <c r="Q344" s="26"/>
      <c r="R344" s="26"/>
      <c r="S344" s="26"/>
      <c r="T344" s="26"/>
      <c r="U344" s="26"/>
      <c r="V344" s="26"/>
      <c r="W344" s="27"/>
      <c r="X344" s="50"/>
    </row>
    <row r="345" spans="2:24" x14ac:dyDescent="0.25">
      <c r="B345" s="2"/>
      <c r="C345" s="55"/>
      <c r="D345" s="55"/>
      <c r="I345" s="56"/>
      <c r="O345" s="25"/>
      <c r="Q345" s="26"/>
      <c r="R345" s="26"/>
      <c r="S345" s="26"/>
      <c r="T345" s="26"/>
      <c r="U345" s="26"/>
      <c r="V345" s="26"/>
      <c r="W345" s="27"/>
      <c r="X345" s="50"/>
    </row>
    <row r="346" spans="2:24" x14ac:dyDescent="0.25">
      <c r="B346" s="2"/>
      <c r="C346" s="55"/>
      <c r="D346" s="55"/>
      <c r="I346" s="56"/>
      <c r="O346" s="25"/>
      <c r="Q346" s="26"/>
      <c r="R346" s="26"/>
      <c r="S346" s="26"/>
      <c r="T346" s="26"/>
      <c r="U346" s="26"/>
      <c r="V346" s="26"/>
      <c r="W346" s="27"/>
      <c r="X346" s="50"/>
    </row>
    <row r="347" spans="2:24" x14ac:dyDescent="0.25">
      <c r="B347" s="2"/>
      <c r="C347" s="55"/>
      <c r="D347" s="55"/>
      <c r="I347" s="56"/>
      <c r="O347" s="25"/>
      <c r="Q347" s="26"/>
      <c r="R347" s="26"/>
      <c r="S347" s="26"/>
      <c r="T347" s="26"/>
      <c r="U347" s="26"/>
      <c r="V347" s="26"/>
      <c r="W347" s="27"/>
      <c r="X347" s="50"/>
    </row>
    <row r="348" spans="2:24" x14ac:dyDescent="0.25">
      <c r="B348" s="2"/>
      <c r="C348" s="55"/>
      <c r="D348" s="55"/>
      <c r="I348" s="56"/>
      <c r="O348" s="25"/>
      <c r="Q348" s="26"/>
      <c r="R348" s="26"/>
      <c r="S348" s="26"/>
      <c r="T348" s="26"/>
      <c r="U348" s="26"/>
      <c r="V348" s="26"/>
      <c r="W348" s="27"/>
      <c r="X348" s="50"/>
    </row>
    <row r="349" spans="2:24" x14ac:dyDescent="0.25">
      <c r="B349" s="2"/>
      <c r="C349" s="55"/>
      <c r="D349" s="55"/>
      <c r="I349" s="56"/>
      <c r="O349" s="25"/>
      <c r="Q349" s="26"/>
      <c r="R349" s="26"/>
      <c r="S349" s="26"/>
      <c r="T349" s="26"/>
      <c r="U349" s="26"/>
      <c r="V349" s="26"/>
      <c r="W349" s="27"/>
      <c r="X349" s="50"/>
    </row>
    <row r="350" spans="2:24" x14ac:dyDescent="0.25">
      <c r="B350" s="2"/>
      <c r="C350" s="55"/>
      <c r="D350" s="55"/>
      <c r="I350" s="56"/>
      <c r="O350" s="25"/>
      <c r="Q350" s="26"/>
      <c r="R350" s="26"/>
      <c r="S350" s="26"/>
      <c r="T350" s="26"/>
      <c r="U350" s="26"/>
      <c r="V350" s="26"/>
      <c r="W350" s="27"/>
      <c r="X350" s="50"/>
    </row>
    <row r="351" spans="2:24" x14ac:dyDescent="0.25">
      <c r="B351" s="2"/>
      <c r="C351" s="55"/>
      <c r="D351" s="55"/>
      <c r="I351" s="56"/>
      <c r="O351" s="25"/>
      <c r="Q351" s="26"/>
      <c r="R351" s="26"/>
      <c r="S351" s="26"/>
      <c r="T351" s="26"/>
      <c r="U351" s="26"/>
      <c r="V351" s="26"/>
      <c r="W351" s="27"/>
      <c r="X351" s="50"/>
    </row>
    <row r="352" spans="2:24" x14ac:dyDescent="0.25">
      <c r="B352" s="2"/>
      <c r="C352" s="55"/>
      <c r="D352" s="55"/>
      <c r="I352" s="56"/>
      <c r="O352" s="25"/>
      <c r="Q352" s="26"/>
      <c r="R352" s="26"/>
      <c r="S352" s="26"/>
      <c r="T352" s="26"/>
      <c r="U352" s="26"/>
      <c r="V352" s="26"/>
      <c r="W352" s="27"/>
      <c r="X352" s="50"/>
    </row>
    <row r="353" spans="2:24" x14ac:dyDescent="0.25">
      <c r="B353" s="2"/>
      <c r="C353" s="55"/>
      <c r="D353" s="55"/>
      <c r="I353" s="56"/>
      <c r="O353" s="25"/>
      <c r="Q353" s="26"/>
      <c r="R353" s="26"/>
      <c r="S353" s="26"/>
      <c r="T353" s="26"/>
      <c r="U353" s="26"/>
      <c r="V353" s="26"/>
      <c r="W353" s="27"/>
      <c r="X353" s="50"/>
    </row>
    <row r="354" spans="2:24" x14ac:dyDescent="0.25">
      <c r="B354" s="2"/>
      <c r="C354" s="55"/>
      <c r="D354" s="55"/>
      <c r="I354" s="56"/>
      <c r="O354" s="25"/>
      <c r="Q354" s="26"/>
      <c r="R354" s="26"/>
      <c r="S354" s="26"/>
      <c r="T354" s="26"/>
      <c r="U354" s="26"/>
      <c r="V354" s="26"/>
      <c r="W354" s="27"/>
      <c r="X354" s="50"/>
    </row>
    <row r="355" spans="2:24" x14ac:dyDescent="0.25">
      <c r="B355" s="2"/>
      <c r="C355" s="55"/>
      <c r="D355" s="55"/>
      <c r="I355" s="56"/>
      <c r="O355" s="25"/>
      <c r="Q355" s="26"/>
      <c r="R355" s="26"/>
      <c r="S355" s="26"/>
      <c r="T355" s="26"/>
      <c r="U355" s="26"/>
      <c r="V355" s="26"/>
      <c r="W355" s="27"/>
      <c r="X355" s="50"/>
    </row>
    <row r="356" spans="2:24" x14ac:dyDescent="0.25">
      <c r="B356" s="2"/>
      <c r="C356" s="55"/>
      <c r="D356" s="55"/>
      <c r="I356" s="56"/>
      <c r="O356" s="25"/>
      <c r="Q356" s="26"/>
      <c r="R356" s="26"/>
      <c r="S356" s="26"/>
      <c r="T356" s="26"/>
      <c r="U356" s="26"/>
      <c r="V356" s="26"/>
      <c r="W356" s="27"/>
      <c r="X356" s="50"/>
    </row>
    <row r="357" spans="2:24" x14ac:dyDescent="0.25">
      <c r="B357" s="2"/>
      <c r="C357" s="55"/>
      <c r="D357" s="55"/>
      <c r="I357" s="56"/>
      <c r="O357" s="25"/>
      <c r="Q357" s="26"/>
      <c r="R357" s="26"/>
      <c r="S357" s="26"/>
      <c r="T357" s="26"/>
      <c r="U357" s="26"/>
      <c r="V357" s="26"/>
      <c r="W357" s="27"/>
      <c r="X357" s="50"/>
    </row>
    <row r="358" spans="2:24" x14ac:dyDescent="0.25">
      <c r="B358" s="2"/>
      <c r="C358" s="55"/>
      <c r="D358" s="55"/>
      <c r="I358" s="56"/>
      <c r="O358" s="25"/>
      <c r="Q358" s="26"/>
      <c r="R358" s="26"/>
      <c r="S358" s="26"/>
      <c r="T358" s="26"/>
      <c r="U358" s="26"/>
      <c r="V358" s="26"/>
      <c r="W358" s="27"/>
      <c r="X358" s="50"/>
    </row>
    <row r="359" spans="2:24" x14ac:dyDescent="0.25">
      <c r="B359" s="2"/>
      <c r="C359" s="55"/>
      <c r="D359" s="55"/>
      <c r="I359" s="56"/>
      <c r="O359" s="25"/>
      <c r="Q359" s="26"/>
      <c r="R359" s="26"/>
      <c r="S359" s="26"/>
      <c r="T359" s="26"/>
      <c r="U359" s="26"/>
      <c r="V359" s="26"/>
      <c r="W359" s="27"/>
      <c r="X359" s="50"/>
    </row>
    <row r="360" spans="2:24" x14ac:dyDescent="0.25">
      <c r="B360" s="2"/>
      <c r="C360" s="55"/>
      <c r="D360" s="55"/>
      <c r="I360" s="56"/>
      <c r="O360" s="25"/>
      <c r="Q360" s="26"/>
      <c r="R360" s="26"/>
      <c r="S360" s="26"/>
      <c r="T360" s="26"/>
      <c r="U360" s="26"/>
      <c r="V360" s="26"/>
      <c r="W360" s="27"/>
      <c r="X360" s="50"/>
    </row>
    <row r="361" spans="2:24" x14ac:dyDescent="0.25">
      <c r="B361" s="2"/>
      <c r="C361" s="55"/>
      <c r="D361" s="55"/>
      <c r="I361" s="56"/>
      <c r="O361" s="25"/>
      <c r="Q361" s="26"/>
      <c r="R361" s="26"/>
      <c r="S361" s="26"/>
      <c r="T361" s="26"/>
      <c r="U361" s="26"/>
      <c r="V361" s="26"/>
      <c r="W361" s="27"/>
      <c r="X361" s="50"/>
    </row>
    <row r="362" spans="2:24" x14ac:dyDescent="0.25">
      <c r="B362" s="2"/>
      <c r="C362" s="55"/>
      <c r="D362" s="55"/>
      <c r="I362" s="56"/>
      <c r="O362" s="25"/>
      <c r="Q362" s="26"/>
      <c r="R362" s="26"/>
      <c r="S362" s="26"/>
      <c r="T362" s="26"/>
      <c r="U362" s="26"/>
      <c r="V362" s="26"/>
      <c r="W362" s="27"/>
      <c r="X362" s="50"/>
    </row>
    <row r="363" spans="2:24" x14ac:dyDescent="0.25">
      <c r="B363" s="2"/>
      <c r="C363" s="55"/>
      <c r="D363" s="55"/>
      <c r="I363" s="56"/>
      <c r="O363" s="25"/>
      <c r="Q363" s="26"/>
      <c r="R363" s="26"/>
      <c r="S363" s="26"/>
      <c r="T363" s="26"/>
      <c r="U363" s="26"/>
      <c r="V363" s="26"/>
      <c r="W363" s="27"/>
      <c r="X363" s="50"/>
    </row>
    <row r="364" spans="2:24" x14ac:dyDescent="0.25">
      <c r="B364" s="2"/>
      <c r="C364" s="55"/>
      <c r="D364" s="55"/>
      <c r="I364" s="56"/>
      <c r="O364" s="25"/>
      <c r="Q364" s="26"/>
      <c r="R364" s="26"/>
      <c r="S364" s="26"/>
      <c r="T364" s="26"/>
      <c r="U364" s="26"/>
      <c r="V364" s="26"/>
      <c r="W364" s="27"/>
      <c r="X364" s="50"/>
    </row>
    <row r="365" spans="2:24" x14ac:dyDescent="0.25">
      <c r="B365" s="2"/>
      <c r="C365" s="55"/>
      <c r="D365" s="55"/>
      <c r="I365" s="56"/>
      <c r="O365" s="25"/>
      <c r="Q365" s="26"/>
      <c r="R365" s="26"/>
      <c r="S365" s="26"/>
      <c r="T365" s="26"/>
      <c r="U365" s="26"/>
      <c r="V365" s="26"/>
      <c r="W365" s="27"/>
      <c r="X365" s="50"/>
    </row>
    <row r="366" spans="2:24" x14ac:dyDescent="0.25">
      <c r="B366" s="2"/>
      <c r="C366" s="55"/>
      <c r="D366" s="55"/>
      <c r="I366" s="56"/>
      <c r="O366" s="25"/>
      <c r="Q366" s="26"/>
      <c r="R366" s="26"/>
      <c r="S366" s="26"/>
      <c r="T366" s="26"/>
      <c r="U366" s="26"/>
      <c r="V366" s="26"/>
      <c r="W366" s="27"/>
      <c r="X366" s="50"/>
    </row>
    <row r="367" spans="2:24" x14ac:dyDescent="0.25">
      <c r="B367" s="2"/>
      <c r="C367" s="55"/>
      <c r="D367" s="55"/>
      <c r="I367" s="56"/>
      <c r="O367" s="25"/>
      <c r="Q367" s="26"/>
      <c r="R367" s="26"/>
      <c r="S367" s="26"/>
      <c r="T367" s="26"/>
      <c r="U367" s="26"/>
      <c r="V367" s="26"/>
      <c r="W367" s="27"/>
      <c r="X367" s="50"/>
    </row>
    <row r="368" spans="2:24" x14ac:dyDescent="0.25">
      <c r="B368" s="2"/>
      <c r="C368" s="55"/>
      <c r="D368" s="55"/>
      <c r="I368" s="56"/>
      <c r="O368" s="25"/>
      <c r="Q368" s="26"/>
      <c r="R368" s="26"/>
      <c r="S368" s="26"/>
      <c r="T368" s="26"/>
      <c r="U368" s="26"/>
      <c r="V368" s="26"/>
      <c r="W368" s="27"/>
      <c r="X368" s="50"/>
    </row>
    <row r="369" spans="2:24" x14ac:dyDescent="0.25">
      <c r="B369" s="2"/>
      <c r="C369" s="55"/>
      <c r="D369" s="55"/>
      <c r="I369" s="56"/>
      <c r="O369" s="25"/>
      <c r="Q369" s="26"/>
      <c r="R369" s="26"/>
      <c r="S369" s="26"/>
      <c r="T369" s="26"/>
      <c r="U369" s="26"/>
      <c r="V369" s="26"/>
      <c r="W369" s="27"/>
      <c r="X369" s="50"/>
    </row>
    <row r="370" spans="2:24" x14ac:dyDescent="0.25">
      <c r="B370" s="2"/>
      <c r="C370" s="55"/>
      <c r="D370" s="55"/>
      <c r="I370" s="56"/>
      <c r="O370" s="25"/>
      <c r="Q370" s="26"/>
      <c r="R370" s="26"/>
      <c r="S370" s="26"/>
      <c r="T370" s="26"/>
      <c r="U370" s="26"/>
      <c r="V370" s="26"/>
      <c r="W370" s="27"/>
      <c r="X370" s="50"/>
    </row>
    <row r="371" spans="2:24" x14ac:dyDescent="0.25">
      <c r="B371" s="2"/>
      <c r="C371" s="55"/>
      <c r="D371" s="55"/>
      <c r="I371" s="56"/>
      <c r="O371" s="25"/>
      <c r="Q371" s="26"/>
      <c r="R371" s="26"/>
      <c r="S371" s="26"/>
      <c r="T371" s="26"/>
      <c r="U371" s="26"/>
      <c r="V371" s="26"/>
      <c r="W371" s="27"/>
      <c r="X371" s="50"/>
    </row>
    <row r="372" spans="2:24" x14ac:dyDescent="0.25">
      <c r="B372" s="2"/>
      <c r="C372" s="55"/>
      <c r="D372" s="55"/>
      <c r="I372" s="56"/>
      <c r="O372" s="25"/>
      <c r="Q372" s="26"/>
      <c r="R372" s="26"/>
      <c r="S372" s="26"/>
      <c r="T372" s="26"/>
      <c r="U372" s="26"/>
      <c r="V372" s="26"/>
      <c r="W372" s="27"/>
      <c r="X372" s="50"/>
    </row>
    <row r="373" spans="2:24" x14ac:dyDescent="0.25">
      <c r="B373" s="2"/>
      <c r="C373" s="55"/>
      <c r="D373" s="55"/>
      <c r="I373" s="56"/>
      <c r="O373" s="25"/>
      <c r="Q373" s="26"/>
      <c r="R373" s="26"/>
      <c r="S373" s="26"/>
      <c r="T373" s="26"/>
      <c r="U373" s="26"/>
      <c r="V373" s="26"/>
      <c r="W373" s="27"/>
      <c r="X373" s="50"/>
    </row>
    <row r="374" spans="2:24" x14ac:dyDescent="0.25">
      <c r="B374" s="2"/>
      <c r="C374" s="55"/>
      <c r="D374" s="55"/>
      <c r="I374" s="56"/>
      <c r="O374" s="25"/>
      <c r="Q374" s="26"/>
      <c r="R374" s="26"/>
      <c r="S374" s="26"/>
      <c r="T374" s="26"/>
      <c r="U374" s="26"/>
      <c r="V374" s="26"/>
      <c r="W374" s="27"/>
      <c r="X374" s="50"/>
    </row>
    <row r="375" spans="2:24" x14ac:dyDescent="0.25">
      <c r="B375" s="2"/>
      <c r="C375" s="55"/>
      <c r="D375" s="55"/>
      <c r="I375" s="56"/>
      <c r="O375" s="25"/>
      <c r="Q375" s="26"/>
      <c r="R375" s="26"/>
      <c r="S375" s="26"/>
      <c r="T375" s="26"/>
      <c r="U375" s="26"/>
      <c r="V375" s="26"/>
      <c r="W375" s="27"/>
      <c r="X375" s="50"/>
    </row>
    <row r="376" spans="2:24" x14ac:dyDescent="0.25">
      <c r="B376" s="2"/>
      <c r="C376" s="55"/>
      <c r="D376" s="55"/>
      <c r="I376" s="56"/>
      <c r="O376" s="25"/>
      <c r="Q376" s="26"/>
      <c r="R376" s="26"/>
      <c r="S376" s="26"/>
      <c r="T376" s="26"/>
      <c r="U376" s="26"/>
      <c r="V376" s="26"/>
      <c r="W376" s="27"/>
      <c r="X376" s="50"/>
    </row>
    <row r="377" spans="2:24" x14ac:dyDescent="0.25">
      <c r="B377" s="2"/>
      <c r="C377" s="55"/>
      <c r="D377" s="55"/>
      <c r="I377" s="56"/>
      <c r="O377" s="25"/>
      <c r="Q377" s="26"/>
      <c r="R377" s="26"/>
      <c r="S377" s="26"/>
      <c r="T377" s="26"/>
      <c r="U377" s="26"/>
      <c r="V377" s="26"/>
      <c r="W377" s="27"/>
      <c r="X377" s="50"/>
    </row>
    <row r="378" spans="2:24" x14ac:dyDescent="0.25">
      <c r="B378" s="2"/>
      <c r="C378" s="55"/>
      <c r="D378" s="55"/>
      <c r="I378" s="56"/>
      <c r="O378" s="25"/>
      <c r="Q378" s="26"/>
      <c r="R378" s="26"/>
      <c r="S378" s="26"/>
      <c r="T378" s="26"/>
      <c r="U378" s="26"/>
      <c r="V378" s="26"/>
      <c r="W378" s="27"/>
      <c r="X378" s="50"/>
    </row>
    <row r="379" spans="2:24" x14ac:dyDescent="0.25">
      <c r="B379" s="2"/>
      <c r="C379" s="55"/>
      <c r="D379" s="55"/>
      <c r="I379" s="56"/>
      <c r="O379" s="25"/>
      <c r="Q379" s="26"/>
      <c r="R379" s="26"/>
      <c r="S379" s="26"/>
      <c r="T379" s="26"/>
      <c r="U379" s="26"/>
      <c r="V379" s="26"/>
      <c r="W379" s="27"/>
      <c r="X379" s="50"/>
    </row>
    <row r="380" spans="2:24" x14ac:dyDescent="0.25">
      <c r="B380" s="2"/>
      <c r="C380" s="55"/>
      <c r="D380" s="55"/>
      <c r="I380" s="56"/>
      <c r="O380" s="25"/>
      <c r="Q380" s="26"/>
      <c r="R380" s="26"/>
      <c r="S380" s="26"/>
      <c r="T380" s="26"/>
      <c r="U380" s="26"/>
      <c r="V380" s="26"/>
      <c r="W380" s="27"/>
      <c r="X380" s="50"/>
    </row>
    <row r="381" spans="2:24" x14ac:dyDescent="0.25">
      <c r="B381" s="2"/>
      <c r="C381" s="55"/>
      <c r="D381" s="55"/>
      <c r="I381" s="56"/>
      <c r="O381" s="25"/>
      <c r="Q381" s="26"/>
      <c r="R381" s="26"/>
      <c r="S381" s="26"/>
      <c r="T381" s="26"/>
      <c r="U381" s="26"/>
      <c r="V381" s="26"/>
      <c r="W381" s="27"/>
      <c r="X381" s="50"/>
    </row>
    <row r="382" spans="2:24" x14ac:dyDescent="0.25">
      <c r="B382" s="2"/>
      <c r="C382" s="55"/>
      <c r="D382" s="55"/>
      <c r="I382" s="56"/>
      <c r="O382" s="25"/>
      <c r="Q382" s="26"/>
      <c r="R382" s="26"/>
      <c r="S382" s="26"/>
      <c r="T382" s="26"/>
      <c r="U382" s="26"/>
      <c r="V382" s="26"/>
      <c r="W382" s="27"/>
      <c r="X382" s="50"/>
    </row>
    <row r="383" spans="2:24" x14ac:dyDescent="0.25">
      <c r="B383" s="2"/>
      <c r="C383" s="55"/>
      <c r="D383" s="55"/>
      <c r="I383" s="56"/>
      <c r="O383" s="25"/>
      <c r="Q383" s="26"/>
      <c r="R383" s="26"/>
      <c r="S383" s="26"/>
      <c r="T383" s="26"/>
      <c r="U383" s="26"/>
      <c r="V383" s="26"/>
      <c r="W383" s="27"/>
      <c r="X383" s="50"/>
    </row>
    <row r="384" spans="2:24" x14ac:dyDescent="0.25">
      <c r="B384" s="2"/>
      <c r="C384" s="55"/>
      <c r="D384" s="55"/>
      <c r="I384" s="56"/>
      <c r="O384" s="25"/>
      <c r="Q384" s="26"/>
      <c r="R384" s="26"/>
      <c r="S384" s="26"/>
      <c r="T384" s="26"/>
      <c r="U384" s="26"/>
      <c r="V384" s="26"/>
      <c r="W384" s="27"/>
      <c r="X384" s="50"/>
    </row>
    <row r="385" spans="2:24" x14ac:dyDescent="0.25">
      <c r="B385" s="2"/>
      <c r="C385" s="55"/>
      <c r="D385" s="55"/>
      <c r="I385" s="56"/>
      <c r="O385" s="25"/>
      <c r="Q385" s="26"/>
      <c r="R385" s="26"/>
      <c r="S385" s="26"/>
      <c r="T385" s="26"/>
      <c r="U385" s="26"/>
      <c r="V385" s="26"/>
      <c r="W385" s="27"/>
      <c r="X385" s="50"/>
    </row>
    <row r="386" spans="2:24" x14ac:dyDescent="0.25">
      <c r="B386" s="2"/>
      <c r="C386" s="55"/>
      <c r="D386" s="55"/>
      <c r="I386" s="56"/>
      <c r="O386" s="25"/>
      <c r="Q386" s="26"/>
      <c r="R386" s="26"/>
      <c r="S386" s="26"/>
      <c r="T386" s="26"/>
      <c r="U386" s="26"/>
      <c r="V386" s="26"/>
      <c r="W386" s="27"/>
      <c r="X386" s="50"/>
    </row>
    <row r="387" spans="2:24" x14ac:dyDescent="0.25">
      <c r="B387" s="2"/>
      <c r="C387" s="55"/>
      <c r="D387" s="55"/>
      <c r="I387" s="56"/>
      <c r="O387" s="25"/>
      <c r="Q387" s="26"/>
      <c r="R387" s="26"/>
      <c r="S387" s="26"/>
      <c r="T387" s="26"/>
      <c r="U387" s="26"/>
      <c r="V387" s="26"/>
      <c r="W387" s="27"/>
      <c r="X387" s="50"/>
    </row>
    <row r="388" spans="2:24" x14ac:dyDescent="0.25">
      <c r="B388" s="2"/>
      <c r="C388" s="55"/>
      <c r="D388" s="55"/>
      <c r="I388" s="56"/>
      <c r="O388" s="25"/>
      <c r="Q388" s="26"/>
      <c r="R388" s="26"/>
      <c r="S388" s="26"/>
      <c r="T388" s="26"/>
      <c r="U388" s="26"/>
      <c r="V388" s="26"/>
      <c r="W388" s="27"/>
      <c r="X388" s="50"/>
    </row>
    <row r="389" spans="2:24" x14ac:dyDescent="0.25">
      <c r="B389" s="2"/>
      <c r="C389" s="55"/>
      <c r="D389" s="55"/>
      <c r="I389" s="56"/>
      <c r="O389" s="25"/>
      <c r="Q389" s="26"/>
      <c r="R389" s="26"/>
      <c r="S389" s="26"/>
      <c r="T389" s="26"/>
      <c r="U389" s="26"/>
      <c r="V389" s="26"/>
      <c r="W389" s="27"/>
      <c r="X389" s="50"/>
    </row>
    <row r="390" spans="2:24" x14ac:dyDescent="0.25">
      <c r="B390" s="2"/>
      <c r="C390" s="55"/>
      <c r="D390" s="55"/>
      <c r="I390" s="56"/>
      <c r="O390" s="25"/>
      <c r="Q390" s="26"/>
      <c r="R390" s="26"/>
      <c r="S390" s="26"/>
      <c r="T390" s="26"/>
      <c r="U390" s="26"/>
      <c r="V390" s="26"/>
      <c r="W390" s="27"/>
      <c r="X390" s="50"/>
    </row>
    <row r="391" spans="2:24" x14ac:dyDescent="0.25">
      <c r="B391" s="2"/>
      <c r="C391" s="55"/>
      <c r="D391" s="55"/>
      <c r="I391" s="56"/>
      <c r="O391" s="25"/>
      <c r="Q391" s="26"/>
      <c r="R391" s="26"/>
      <c r="S391" s="26"/>
      <c r="T391" s="26"/>
      <c r="U391" s="26"/>
      <c r="V391" s="26"/>
      <c r="W391" s="27"/>
      <c r="X391" s="50"/>
    </row>
    <row r="392" spans="2:24" x14ac:dyDescent="0.25">
      <c r="B392" s="2"/>
      <c r="C392" s="55"/>
      <c r="D392" s="55"/>
      <c r="I392" s="56"/>
      <c r="O392" s="25"/>
      <c r="Q392" s="26"/>
      <c r="R392" s="26"/>
      <c r="S392" s="26"/>
      <c r="T392" s="26"/>
      <c r="U392" s="26"/>
      <c r="V392" s="26"/>
      <c r="W392" s="27"/>
      <c r="X392" s="50"/>
    </row>
    <row r="393" spans="2:24" x14ac:dyDescent="0.25">
      <c r="B393" s="2"/>
      <c r="C393" s="55"/>
      <c r="D393" s="55"/>
      <c r="I393" s="56"/>
      <c r="O393" s="25"/>
      <c r="Q393" s="26"/>
      <c r="R393" s="26"/>
      <c r="S393" s="26"/>
      <c r="T393" s="26"/>
      <c r="U393" s="26"/>
      <c r="V393" s="26"/>
      <c r="W393" s="27"/>
      <c r="X393" s="50"/>
    </row>
    <row r="394" spans="2:24" x14ac:dyDescent="0.25">
      <c r="B394" s="2"/>
      <c r="C394" s="55"/>
      <c r="D394" s="55"/>
      <c r="I394" s="56"/>
      <c r="O394" s="25"/>
      <c r="Q394" s="26"/>
      <c r="R394" s="26"/>
      <c r="S394" s="26"/>
      <c r="T394" s="26"/>
      <c r="U394" s="26"/>
      <c r="V394" s="26"/>
      <c r="W394" s="27"/>
      <c r="X394" s="50"/>
    </row>
    <row r="395" spans="2:24" x14ac:dyDescent="0.25">
      <c r="B395" s="2"/>
      <c r="C395" s="55"/>
      <c r="D395" s="55"/>
      <c r="I395" s="56"/>
      <c r="O395" s="25"/>
      <c r="Q395" s="26"/>
      <c r="R395" s="26"/>
      <c r="S395" s="26"/>
      <c r="T395" s="26"/>
      <c r="U395" s="26"/>
      <c r="V395" s="26"/>
      <c r="W395" s="27"/>
      <c r="X395" s="50"/>
    </row>
    <row r="396" spans="2:24" x14ac:dyDescent="0.25">
      <c r="B396" s="2"/>
      <c r="C396" s="55"/>
      <c r="D396" s="55"/>
      <c r="I396" s="56"/>
      <c r="O396" s="25"/>
      <c r="Q396" s="26"/>
      <c r="R396" s="26"/>
      <c r="S396" s="26"/>
      <c r="T396" s="26"/>
      <c r="U396" s="26"/>
      <c r="V396" s="26"/>
      <c r="W396" s="27"/>
      <c r="X396" s="50"/>
    </row>
    <row r="397" spans="2:24" x14ac:dyDescent="0.25">
      <c r="B397" s="2"/>
      <c r="C397" s="55"/>
      <c r="D397" s="55"/>
      <c r="I397" s="56"/>
      <c r="O397" s="25"/>
      <c r="Q397" s="26"/>
      <c r="R397" s="26"/>
      <c r="S397" s="26"/>
      <c r="T397" s="26"/>
      <c r="U397" s="26"/>
      <c r="V397" s="26"/>
      <c r="W397" s="27"/>
      <c r="X397" s="50"/>
    </row>
    <row r="398" spans="2:24" x14ac:dyDescent="0.25">
      <c r="B398" s="2"/>
      <c r="C398" s="55"/>
      <c r="D398" s="55"/>
      <c r="I398" s="56"/>
      <c r="O398" s="25"/>
      <c r="Q398" s="26"/>
      <c r="R398" s="26"/>
      <c r="S398" s="26"/>
      <c r="T398" s="26"/>
      <c r="U398" s="26"/>
      <c r="V398" s="26"/>
      <c r="W398" s="27"/>
      <c r="X398" s="50"/>
    </row>
    <row r="399" spans="2:24" x14ac:dyDescent="0.25">
      <c r="B399" s="2"/>
      <c r="C399" s="55"/>
      <c r="D399" s="55"/>
      <c r="I399" s="56"/>
      <c r="O399" s="25"/>
      <c r="Q399" s="26"/>
      <c r="R399" s="26"/>
      <c r="S399" s="26"/>
      <c r="T399" s="26"/>
      <c r="U399" s="26"/>
      <c r="V399" s="26"/>
      <c r="W399" s="27"/>
      <c r="X399" s="50"/>
    </row>
    <row r="400" spans="2:24" x14ac:dyDescent="0.25">
      <c r="B400" s="2"/>
      <c r="C400" s="55"/>
      <c r="D400" s="55"/>
      <c r="I400" s="56"/>
      <c r="O400" s="25"/>
      <c r="Q400" s="26"/>
      <c r="R400" s="26"/>
      <c r="S400" s="26"/>
      <c r="T400" s="26"/>
      <c r="U400" s="26"/>
      <c r="V400" s="26"/>
      <c r="W400" s="27"/>
      <c r="X400" s="50"/>
    </row>
    <row r="401" spans="2:24" x14ac:dyDescent="0.25">
      <c r="B401" s="2"/>
      <c r="C401" s="55"/>
      <c r="D401" s="55"/>
      <c r="I401" s="56"/>
      <c r="O401" s="25"/>
      <c r="Q401" s="26"/>
      <c r="R401" s="26"/>
      <c r="S401" s="26"/>
      <c r="T401" s="26"/>
      <c r="U401" s="26"/>
      <c r="V401" s="26"/>
      <c r="W401" s="27"/>
      <c r="X401" s="50"/>
    </row>
    <row r="402" spans="2:24" x14ac:dyDescent="0.25">
      <c r="B402" s="2"/>
      <c r="C402" s="55"/>
      <c r="D402" s="55"/>
      <c r="I402" s="56"/>
      <c r="O402" s="25"/>
      <c r="Q402" s="26"/>
      <c r="R402" s="26"/>
      <c r="S402" s="26"/>
      <c r="T402" s="26"/>
      <c r="U402" s="26"/>
      <c r="V402" s="26"/>
      <c r="W402" s="27"/>
      <c r="X402" s="50"/>
    </row>
    <row r="403" spans="2:24" x14ac:dyDescent="0.25">
      <c r="B403" s="2"/>
      <c r="C403" s="55"/>
      <c r="D403" s="55"/>
      <c r="I403" s="56"/>
      <c r="O403" s="25"/>
      <c r="Q403" s="26"/>
      <c r="R403" s="26"/>
      <c r="S403" s="26"/>
      <c r="T403" s="26"/>
      <c r="U403" s="26"/>
      <c r="V403" s="26"/>
      <c r="W403" s="27"/>
      <c r="X403" s="50"/>
    </row>
    <row r="404" spans="2:24" x14ac:dyDescent="0.25">
      <c r="B404" s="2"/>
      <c r="C404" s="55"/>
      <c r="D404" s="55"/>
      <c r="I404" s="56"/>
      <c r="O404" s="25"/>
      <c r="Q404" s="26"/>
      <c r="R404" s="26"/>
      <c r="S404" s="26"/>
      <c r="T404" s="26"/>
      <c r="U404" s="26"/>
      <c r="V404" s="26"/>
      <c r="W404" s="27"/>
      <c r="X404" s="50"/>
    </row>
    <row r="405" spans="2:24" x14ac:dyDescent="0.25">
      <c r="B405" s="2"/>
      <c r="C405" s="55"/>
      <c r="D405" s="55"/>
      <c r="I405" s="56"/>
      <c r="O405" s="25"/>
      <c r="Q405" s="26"/>
      <c r="R405" s="26"/>
      <c r="S405" s="26"/>
      <c r="T405" s="26"/>
      <c r="U405" s="26"/>
      <c r="V405" s="26"/>
      <c r="W405" s="27"/>
      <c r="X405" s="50"/>
    </row>
    <row r="406" spans="2:24" x14ac:dyDescent="0.25">
      <c r="B406" s="2"/>
      <c r="C406" s="55"/>
      <c r="D406" s="55"/>
      <c r="I406" s="56"/>
      <c r="O406" s="25"/>
      <c r="Q406" s="26"/>
      <c r="R406" s="26"/>
      <c r="S406" s="26"/>
      <c r="T406" s="26"/>
      <c r="U406" s="26"/>
      <c r="V406" s="26"/>
      <c r="W406" s="27"/>
      <c r="X406" s="50"/>
    </row>
    <row r="407" spans="2:24" x14ac:dyDescent="0.25">
      <c r="B407" s="2"/>
      <c r="C407" s="55"/>
      <c r="D407" s="55"/>
      <c r="I407" s="56"/>
      <c r="O407" s="25"/>
      <c r="Q407" s="26"/>
      <c r="R407" s="26"/>
      <c r="S407" s="26"/>
      <c r="T407" s="26"/>
      <c r="U407" s="26"/>
      <c r="V407" s="26"/>
      <c r="W407" s="27"/>
      <c r="X407" s="50"/>
    </row>
    <row r="408" spans="2:24" x14ac:dyDescent="0.25">
      <c r="B408" s="2"/>
      <c r="C408" s="55"/>
      <c r="D408" s="55"/>
      <c r="I408" s="56"/>
      <c r="O408" s="25"/>
      <c r="Q408" s="26"/>
      <c r="R408" s="26"/>
      <c r="S408" s="26"/>
      <c r="T408" s="26"/>
      <c r="U408" s="26"/>
      <c r="V408" s="26"/>
      <c r="W408" s="27"/>
      <c r="X408" s="50"/>
    </row>
    <row r="409" spans="2:24" x14ac:dyDescent="0.25">
      <c r="B409" s="2"/>
      <c r="C409" s="55"/>
      <c r="D409" s="55"/>
      <c r="I409" s="56"/>
      <c r="O409" s="25"/>
      <c r="Q409" s="26"/>
      <c r="R409" s="26"/>
      <c r="S409" s="26"/>
      <c r="T409" s="26"/>
      <c r="U409" s="26"/>
      <c r="V409" s="26"/>
      <c r="W409" s="27"/>
      <c r="X409" s="50"/>
    </row>
    <row r="410" spans="2:24" x14ac:dyDescent="0.25">
      <c r="B410" s="2"/>
      <c r="C410" s="55"/>
      <c r="D410" s="55"/>
      <c r="I410" s="56"/>
      <c r="O410" s="25"/>
      <c r="Q410" s="26"/>
      <c r="R410" s="26"/>
      <c r="S410" s="26"/>
      <c r="T410" s="26"/>
      <c r="U410" s="26"/>
      <c r="V410" s="26"/>
      <c r="W410" s="27"/>
      <c r="X410" s="50"/>
    </row>
    <row r="411" spans="2:24" x14ac:dyDescent="0.25">
      <c r="B411" s="2"/>
      <c r="C411" s="55"/>
      <c r="D411" s="55"/>
      <c r="I411" s="56"/>
      <c r="O411" s="25"/>
      <c r="Q411" s="26"/>
      <c r="R411" s="26"/>
      <c r="S411" s="26"/>
      <c r="T411" s="26"/>
      <c r="U411" s="26"/>
      <c r="V411" s="26"/>
      <c r="W411" s="27"/>
      <c r="X411" s="50"/>
    </row>
    <row r="412" spans="2:24" x14ac:dyDescent="0.25">
      <c r="B412" s="2"/>
      <c r="C412" s="55"/>
      <c r="D412" s="55"/>
      <c r="I412" s="56"/>
      <c r="O412" s="25"/>
      <c r="Q412" s="26"/>
      <c r="R412" s="26"/>
      <c r="S412" s="26"/>
      <c r="T412" s="26"/>
      <c r="U412" s="26"/>
      <c r="V412" s="26"/>
      <c r="W412" s="27"/>
      <c r="X412" s="50"/>
    </row>
    <row r="413" spans="2:24" x14ac:dyDescent="0.25">
      <c r="B413" s="2"/>
      <c r="C413" s="55"/>
      <c r="D413" s="55"/>
      <c r="I413" s="56"/>
      <c r="O413" s="25"/>
      <c r="Q413" s="26"/>
      <c r="R413" s="26"/>
      <c r="S413" s="26"/>
      <c r="T413" s="26"/>
      <c r="U413" s="26"/>
      <c r="V413" s="26"/>
      <c r="W413" s="27"/>
      <c r="X413" s="50"/>
    </row>
    <row r="414" spans="2:24" x14ac:dyDescent="0.25">
      <c r="B414" s="2"/>
      <c r="C414" s="55"/>
      <c r="D414" s="55"/>
      <c r="I414" s="56"/>
      <c r="O414" s="25"/>
      <c r="Q414" s="26"/>
      <c r="R414" s="26"/>
      <c r="S414" s="26"/>
      <c r="T414" s="26"/>
      <c r="U414" s="26"/>
      <c r="V414" s="26"/>
      <c r="W414" s="27"/>
      <c r="X414" s="50"/>
    </row>
    <row r="415" spans="2:24" x14ac:dyDescent="0.25">
      <c r="B415" s="2"/>
      <c r="C415" s="55"/>
      <c r="D415" s="55"/>
      <c r="I415" s="56"/>
      <c r="O415" s="25"/>
      <c r="Q415" s="26"/>
      <c r="R415" s="26"/>
      <c r="S415" s="26"/>
      <c r="T415" s="26"/>
      <c r="U415" s="26"/>
      <c r="V415" s="26"/>
      <c r="W415" s="27"/>
      <c r="X415" s="50"/>
    </row>
    <row r="416" spans="2:24" x14ac:dyDescent="0.25">
      <c r="B416" s="2"/>
      <c r="C416" s="55"/>
      <c r="D416" s="55"/>
      <c r="I416" s="56"/>
      <c r="O416" s="25"/>
      <c r="Q416" s="26"/>
      <c r="R416" s="26"/>
      <c r="S416" s="26"/>
      <c r="T416" s="26"/>
      <c r="U416" s="26"/>
      <c r="V416" s="26"/>
      <c r="W416" s="27"/>
      <c r="X416" s="50"/>
    </row>
    <row r="417" spans="2:24" x14ac:dyDescent="0.25">
      <c r="B417" s="2"/>
      <c r="C417" s="55"/>
      <c r="D417" s="55"/>
      <c r="I417" s="56"/>
      <c r="O417" s="25"/>
      <c r="Q417" s="26"/>
      <c r="R417" s="26"/>
      <c r="S417" s="26"/>
      <c r="T417" s="26"/>
      <c r="U417" s="26"/>
      <c r="V417" s="26"/>
      <c r="W417" s="27"/>
      <c r="X417" s="50"/>
    </row>
    <row r="418" spans="2:24" x14ac:dyDescent="0.25">
      <c r="B418" s="2"/>
      <c r="C418" s="55"/>
      <c r="D418" s="55"/>
      <c r="I418" s="56"/>
      <c r="O418" s="25"/>
      <c r="Q418" s="26"/>
      <c r="R418" s="26"/>
      <c r="S418" s="26"/>
      <c r="T418" s="26"/>
      <c r="U418" s="26"/>
      <c r="V418" s="26"/>
      <c r="W418" s="27"/>
      <c r="X418" s="50"/>
    </row>
    <row r="419" spans="2:24" x14ac:dyDescent="0.25">
      <c r="B419" s="2"/>
      <c r="C419" s="55"/>
      <c r="D419" s="55"/>
      <c r="I419" s="56"/>
      <c r="O419" s="25"/>
      <c r="Q419" s="26"/>
      <c r="R419" s="26"/>
      <c r="S419" s="26"/>
      <c r="T419" s="26"/>
      <c r="U419" s="26"/>
      <c r="V419" s="26"/>
      <c r="W419" s="27"/>
      <c r="X419" s="50"/>
    </row>
    <row r="420" spans="2:24" x14ac:dyDescent="0.25">
      <c r="B420" s="2"/>
      <c r="C420" s="55"/>
      <c r="D420" s="55"/>
      <c r="I420" s="56"/>
      <c r="O420" s="25"/>
      <c r="Q420" s="26"/>
      <c r="R420" s="26"/>
      <c r="S420" s="26"/>
      <c r="T420" s="26"/>
      <c r="U420" s="26"/>
      <c r="V420" s="26"/>
      <c r="W420" s="27"/>
      <c r="X420" s="50"/>
    </row>
    <row r="421" spans="2:24" x14ac:dyDescent="0.25">
      <c r="B421" s="2"/>
      <c r="C421" s="55"/>
      <c r="D421" s="55"/>
      <c r="I421" s="56"/>
      <c r="O421" s="25"/>
      <c r="Q421" s="26"/>
      <c r="R421" s="26"/>
      <c r="S421" s="26"/>
      <c r="T421" s="26"/>
      <c r="U421" s="26"/>
      <c r="V421" s="26"/>
      <c r="W421" s="27"/>
      <c r="X421" s="50"/>
    </row>
    <row r="422" spans="2:24" x14ac:dyDescent="0.25">
      <c r="B422" s="2"/>
      <c r="C422" s="55"/>
      <c r="D422" s="55"/>
      <c r="I422" s="56"/>
      <c r="O422" s="25"/>
      <c r="Q422" s="26"/>
      <c r="R422" s="26"/>
      <c r="S422" s="26"/>
      <c r="T422" s="26"/>
      <c r="U422" s="26"/>
      <c r="V422" s="26"/>
      <c r="W422" s="27"/>
      <c r="X422" s="50"/>
    </row>
    <row r="423" spans="2:24" x14ac:dyDescent="0.25">
      <c r="B423" s="2"/>
      <c r="C423" s="55"/>
      <c r="D423" s="55"/>
      <c r="I423" s="56"/>
      <c r="O423" s="25"/>
      <c r="Q423" s="26"/>
      <c r="R423" s="26"/>
      <c r="S423" s="26"/>
      <c r="T423" s="26"/>
      <c r="U423" s="26"/>
      <c r="V423" s="26"/>
      <c r="W423" s="27"/>
      <c r="X423" s="50"/>
    </row>
    <row r="424" spans="2:24" x14ac:dyDescent="0.25">
      <c r="B424" s="2"/>
      <c r="C424" s="55"/>
      <c r="D424" s="55"/>
      <c r="I424" s="56"/>
      <c r="O424" s="25"/>
      <c r="Q424" s="26"/>
      <c r="R424" s="26"/>
      <c r="S424" s="26"/>
      <c r="T424" s="26"/>
      <c r="U424" s="26"/>
      <c r="V424" s="26"/>
      <c r="W424" s="27"/>
      <c r="X424" s="50"/>
    </row>
    <row r="425" spans="2:24" x14ac:dyDescent="0.25">
      <c r="B425" s="2"/>
      <c r="C425" s="55"/>
      <c r="D425" s="55"/>
      <c r="I425" s="56"/>
      <c r="O425" s="25"/>
      <c r="Q425" s="26"/>
      <c r="R425" s="26"/>
      <c r="S425" s="26"/>
      <c r="T425" s="26"/>
      <c r="U425" s="26"/>
      <c r="V425" s="26"/>
      <c r="W425" s="27"/>
      <c r="X425" s="50"/>
    </row>
    <row r="426" spans="2:24" x14ac:dyDescent="0.25">
      <c r="B426" s="2"/>
      <c r="C426" s="55"/>
      <c r="D426" s="55"/>
      <c r="I426" s="56"/>
      <c r="O426" s="25"/>
      <c r="Q426" s="26"/>
      <c r="R426" s="26"/>
      <c r="S426" s="26"/>
      <c r="T426" s="26"/>
      <c r="U426" s="26"/>
      <c r="V426" s="26"/>
      <c r="W426" s="27"/>
      <c r="X426" s="50"/>
    </row>
    <row r="427" spans="2:24" x14ac:dyDescent="0.25">
      <c r="B427" s="2"/>
      <c r="C427" s="55"/>
      <c r="D427" s="55"/>
      <c r="I427" s="56"/>
      <c r="O427" s="25"/>
      <c r="Q427" s="26"/>
      <c r="R427" s="26"/>
      <c r="S427" s="26"/>
      <c r="T427" s="26"/>
      <c r="U427" s="26"/>
      <c r="V427" s="26"/>
      <c r="W427" s="27"/>
      <c r="X427" s="50"/>
    </row>
    <row r="428" spans="2:24" x14ac:dyDescent="0.25">
      <c r="B428" s="2"/>
      <c r="C428" s="55"/>
      <c r="D428" s="55"/>
      <c r="I428" s="56"/>
      <c r="O428" s="25"/>
      <c r="Q428" s="26"/>
      <c r="R428" s="26"/>
      <c r="S428" s="26"/>
      <c r="T428" s="26"/>
      <c r="U428" s="26"/>
      <c r="V428" s="26"/>
      <c r="W428" s="27"/>
      <c r="X428" s="50"/>
    </row>
    <row r="429" spans="2:24" x14ac:dyDescent="0.25">
      <c r="B429" s="2"/>
      <c r="C429" s="55"/>
      <c r="D429" s="55"/>
      <c r="I429" s="56"/>
      <c r="O429" s="25"/>
      <c r="Q429" s="26"/>
      <c r="R429" s="26"/>
      <c r="S429" s="26"/>
      <c r="T429" s="26"/>
      <c r="U429" s="26"/>
      <c r="V429" s="26"/>
      <c r="W429" s="27"/>
      <c r="X429" s="50"/>
    </row>
    <row r="430" spans="2:24" x14ac:dyDescent="0.25">
      <c r="B430" s="2"/>
      <c r="C430" s="55"/>
      <c r="D430" s="55"/>
      <c r="I430" s="56"/>
      <c r="O430" s="25"/>
      <c r="Q430" s="26"/>
      <c r="R430" s="26"/>
      <c r="S430" s="26"/>
      <c r="T430" s="26"/>
      <c r="U430" s="26"/>
      <c r="V430" s="26"/>
      <c r="W430" s="27"/>
      <c r="X430" s="50"/>
    </row>
    <row r="431" spans="2:24" x14ac:dyDescent="0.25">
      <c r="B431" s="2"/>
      <c r="C431" s="55"/>
      <c r="D431" s="55"/>
      <c r="I431" s="56"/>
      <c r="O431" s="25"/>
      <c r="Q431" s="26"/>
      <c r="R431" s="26"/>
      <c r="S431" s="26"/>
      <c r="T431" s="26"/>
      <c r="U431" s="26"/>
      <c r="V431" s="26"/>
      <c r="W431" s="27"/>
      <c r="X431" s="50"/>
    </row>
    <row r="432" spans="2:24" x14ac:dyDescent="0.25">
      <c r="B432" s="2"/>
      <c r="C432" s="55"/>
      <c r="D432" s="55"/>
      <c r="I432" s="56"/>
      <c r="O432" s="25"/>
      <c r="Q432" s="26"/>
      <c r="R432" s="26"/>
      <c r="S432" s="26"/>
      <c r="T432" s="26"/>
      <c r="U432" s="26"/>
      <c r="V432" s="26"/>
      <c r="W432" s="27"/>
      <c r="X432" s="50"/>
    </row>
    <row r="433" spans="2:24" x14ac:dyDescent="0.25">
      <c r="B433" s="2"/>
      <c r="C433" s="55"/>
      <c r="D433" s="55"/>
      <c r="I433" s="56"/>
      <c r="O433" s="25"/>
      <c r="Q433" s="26"/>
      <c r="R433" s="26"/>
      <c r="S433" s="26"/>
      <c r="T433" s="26"/>
      <c r="U433" s="26"/>
      <c r="V433" s="26"/>
      <c r="W433" s="27"/>
      <c r="X433" s="50"/>
    </row>
    <row r="434" spans="2:24" x14ac:dyDescent="0.25">
      <c r="B434" s="2"/>
      <c r="C434" s="55"/>
      <c r="D434" s="55"/>
      <c r="I434" s="56"/>
      <c r="O434" s="25"/>
      <c r="Q434" s="26"/>
      <c r="R434" s="26"/>
      <c r="S434" s="26"/>
      <c r="T434" s="26"/>
      <c r="U434" s="26"/>
      <c r="V434" s="26"/>
      <c r="W434" s="27"/>
      <c r="X434" s="50"/>
    </row>
    <row r="435" spans="2:24" x14ac:dyDescent="0.25">
      <c r="B435" s="2"/>
      <c r="C435" s="55"/>
      <c r="D435" s="55"/>
      <c r="I435" s="56"/>
      <c r="O435" s="25"/>
      <c r="Q435" s="26"/>
      <c r="R435" s="26"/>
      <c r="S435" s="26"/>
      <c r="T435" s="26"/>
      <c r="U435" s="26"/>
      <c r="V435" s="26"/>
      <c r="W435" s="27"/>
      <c r="X435" s="50"/>
    </row>
    <row r="436" spans="2:24" x14ac:dyDescent="0.25">
      <c r="B436" s="2"/>
      <c r="C436" s="55"/>
      <c r="D436" s="55"/>
      <c r="I436" s="56"/>
      <c r="O436" s="25"/>
      <c r="Q436" s="26"/>
      <c r="R436" s="26"/>
      <c r="S436" s="26"/>
      <c r="T436" s="26"/>
      <c r="U436" s="26"/>
      <c r="V436" s="26"/>
      <c r="W436" s="27"/>
      <c r="X436" s="50"/>
    </row>
    <row r="437" spans="2:24" x14ac:dyDescent="0.25">
      <c r="B437" s="2"/>
      <c r="C437" s="55"/>
      <c r="D437" s="55"/>
      <c r="I437" s="56"/>
      <c r="O437" s="25"/>
      <c r="Q437" s="26"/>
      <c r="R437" s="26"/>
      <c r="S437" s="26"/>
      <c r="T437" s="26"/>
      <c r="U437" s="26"/>
      <c r="V437" s="26"/>
      <c r="W437" s="27"/>
      <c r="X437" s="50"/>
    </row>
    <row r="438" spans="2:24" x14ac:dyDescent="0.25">
      <c r="B438" s="2"/>
      <c r="C438" s="55"/>
      <c r="D438" s="55"/>
      <c r="I438" s="56"/>
      <c r="O438" s="25"/>
      <c r="Q438" s="26"/>
      <c r="R438" s="26"/>
      <c r="S438" s="26"/>
      <c r="T438" s="26"/>
      <c r="U438" s="26"/>
      <c r="V438" s="26"/>
      <c r="W438" s="27"/>
      <c r="X438" s="50"/>
    </row>
    <row r="439" spans="2:24" x14ac:dyDescent="0.25">
      <c r="B439" s="2"/>
      <c r="C439" s="55"/>
      <c r="D439" s="55"/>
      <c r="I439" s="56"/>
      <c r="O439" s="25"/>
      <c r="Q439" s="26"/>
      <c r="R439" s="26"/>
      <c r="S439" s="26"/>
      <c r="T439" s="26"/>
      <c r="U439" s="26"/>
      <c r="V439" s="26"/>
      <c r="W439" s="27"/>
      <c r="X439" s="50"/>
    </row>
    <row r="440" spans="2:24" x14ac:dyDescent="0.25">
      <c r="B440" s="2"/>
      <c r="C440" s="55"/>
      <c r="D440" s="55"/>
      <c r="I440" s="56"/>
      <c r="O440" s="25"/>
      <c r="Q440" s="26"/>
      <c r="R440" s="26"/>
      <c r="S440" s="26"/>
      <c r="T440" s="26"/>
      <c r="U440" s="26"/>
      <c r="V440" s="26"/>
      <c r="W440" s="27"/>
      <c r="X440" s="50"/>
    </row>
    <row r="441" spans="2:24" x14ac:dyDescent="0.25">
      <c r="B441" s="2"/>
      <c r="C441" s="55"/>
      <c r="D441" s="55"/>
      <c r="I441" s="56"/>
      <c r="O441" s="25"/>
      <c r="Q441" s="26"/>
      <c r="R441" s="26"/>
      <c r="S441" s="26"/>
      <c r="T441" s="26"/>
      <c r="U441" s="26"/>
      <c r="V441" s="26"/>
      <c r="W441" s="27"/>
      <c r="X441" s="50"/>
    </row>
    <row r="442" spans="2:24" x14ac:dyDescent="0.25">
      <c r="B442" s="2"/>
      <c r="C442" s="55"/>
      <c r="D442" s="55"/>
      <c r="I442" s="56"/>
      <c r="O442" s="25"/>
      <c r="Q442" s="26"/>
      <c r="R442" s="26"/>
      <c r="S442" s="26"/>
      <c r="T442" s="26"/>
      <c r="U442" s="26"/>
      <c r="V442" s="26"/>
      <c r="W442" s="27"/>
      <c r="X442" s="50"/>
    </row>
    <row r="443" spans="2:24" x14ac:dyDescent="0.25">
      <c r="B443" s="2"/>
      <c r="C443" s="55"/>
      <c r="D443" s="55"/>
      <c r="I443" s="56"/>
      <c r="O443" s="25"/>
      <c r="Q443" s="26"/>
      <c r="R443" s="26"/>
      <c r="S443" s="26"/>
      <c r="T443" s="26"/>
      <c r="U443" s="26"/>
      <c r="V443" s="26"/>
      <c r="W443" s="27"/>
      <c r="X443" s="50"/>
    </row>
    <row r="444" spans="2:24" x14ac:dyDescent="0.25">
      <c r="B444" s="2"/>
      <c r="C444" s="55"/>
      <c r="D444" s="55"/>
      <c r="I444" s="56"/>
      <c r="O444" s="25"/>
      <c r="Q444" s="26"/>
      <c r="R444" s="26"/>
      <c r="S444" s="26"/>
      <c r="T444" s="26"/>
      <c r="U444" s="26"/>
      <c r="V444" s="26"/>
      <c r="W444" s="27"/>
      <c r="X444" s="50"/>
    </row>
    <row r="445" spans="2:24" x14ac:dyDescent="0.25">
      <c r="B445" s="2"/>
      <c r="C445" s="55"/>
      <c r="D445" s="55"/>
      <c r="I445" s="56"/>
      <c r="O445" s="25"/>
      <c r="Q445" s="26"/>
      <c r="R445" s="26"/>
      <c r="S445" s="26"/>
      <c r="T445" s="26"/>
      <c r="U445" s="26"/>
      <c r="V445" s="26"/>
      <c r="W445" s="27"/>
      <c r="X445" s="50"/>
    </row>
    <row r="446" spans="2:24" x14ac:dyDescent="0.25">
      <c r="B446" s="2"/>
      <c r="C446" s="55"/>
      <c r="D446" s="55"/>
      <c r="I446" s="56"/>
      <c r="O446" s="25"/>
      <c r="Q446" s="26"/>
      <c r="R446" s="26"/>
      <c r="S446" s="26"/>
      <c r="T446" s="26"/>
      <c r="U446" s="26"/>
      <c r="V446" s="26"/>
      <c r="W446" s="27"/>
      <c r="X446" s="50"/>
    </row>
    <row r="447" spans="2:24" x14ac:dyDescent="0.25">
      <c r="B447" s="2"/>
      <c r="C447" s="55"/>
      <c r="D447" s="55"/>
      <c r="I447" s="56"/>
      <c r="O447" s="25"/>
      <c r="Q447" s="26"/>
      <c r="R447" s="26"/>
      <c r="S447" s="26"/>
      <c r="T447" s="26"/>
      <c r="U447" s="26"/>
      <c r="V447" s="26"/>
      <c r="W447" s="27"/>
      <c r="X447" s="50"/>
    </row>
    <row r="448" spans="2:24" x14ac:dyDescent="0.25">
      <c r="B448" s="2"/>
      <c r="C448" s="55"/>
      <c r="D448" s="55"/>
      <c r="I448" s="56"/>
      <c r="O448" s="25"/>
      <c r="Q448" s="26"/>
      <c r="R448" s="26"/>
      <c r="S448" s="26"/>
      <c r="T448" s="26"/>
      <c r="U448" s="26"/>
      <c r="V448" s="26"/>
      <c r="W448" s="27"/>
      <c r="X448" s="50"/>
    </row>
    <row r="449" spans="2:24" x14ac:dyDescent="0.25">
      <c r="B449" s="2"/>
      <c r="C449" s="55"/>
      <c r="D449" s="55"/>
      <c r="I449" s="56"/>
      <c r="O449" s="25"/>
      <c r="Q449" s="26"/>
      <c r="R449" s="26"/>
      <c r="S449" s="26"/>
      <c r="T449" s="26"/>
      <c r="U449" s="26"/>
      <c r="V449" s="26"/>
      <c r="W449" s="27"/>
      <c r="X449" s="50"/>
    </row>
    <row r="450" spans="2:24" x14ac:dyDescent="0.25">
      <c r="B450" s="2"/>
      <c r="C450" s="55"/>
      <c r="D450" s="55"/>
      <c r="I450" s="56"/>
      <c r="O450" s="25"/>
      <c r="Q450" s="26"/>
      <c r="R450" s="26"/>
      <c r="S450" s="26"/>
      <c r="T450" s="26"/>
      <c r="U450" s="26"/>
      <c r="V450" s="26"/>
      <c r="W450" s="27"/>
      <c r="X450" s="50"/>
    </row>
    <row r="451" spans="2:24" x14ac:dyDescent="0.25">
      <c r="B451" s="2"/>
      <c r="C451" s="55"/>
      <c r="D451" s="55"/>
      <c r="I451" s="56"/>
      <c r="O451" s="25"/>
      <c r="Q451" s="26"/>
      <c r="R451" s="26"/>
      <c r="S451" s="26"/>
      <c r="T451" s="26"/>
      <c r="U451" s="26"/>
      <c r="V451" s="26"/>
      <c r="W451" s="27"/>
      <c r="X451" s="50"/>
    </row>
    <row r="452" spans="2:24" x14ac:dyDescent="0.25">
      <c r="B452" s="2"/>
      <c r="C452" s="55"/>
      <c r="D452" s="55"/>
      <c r="I452" s="56"/>
      <c r="O452" s="25"/>
      <c r="Q452" s="26"/>
      <c r="R452" s="26"/>
      <c r="S452" s="26"/>
      <c r="T452" s="26"/>
      <c r="U452" s="26"/>
      <c r="V452" s="26"/>
      <c r="W452" s="27"/>
      <c r="X452" s="50"/>
    </row>
    <row r="453" spans="2:24" x14ac:dyDescent="0.25">
      <c r="B453" s="2"/>
      <c r="C453" s="55"/>
      <c r="D453" s="55"/>
      <c r="I453" s="56"/>
      <c r="O453" s="25"/>
      <c r="Q453" s="26"/>
      <c r="R453" s="26"/>
      <c r="S453" s="26"/>
      <c r="T453" s="26"/>
      <c r="U453" s="26"/>
      <c r="V453" s="26"/>
      <c r="W453" s="27"/>
      <c r="X453" s="50"/>
    </row>
    <row r="454" spans="2:24" x14ac:dyDescent="0.25">
      <c r="B454" s="2"/>
      <c r="C454" s="55"/>
      <c r="D454" s="55"/>
      <c r="I454" s="56"/>
      <c r="O454" s="25"/>
      <c r="Q454" s="26"/>
      <c r="R454" s="26"/>
      <c r="S454" s="26"/>
      <c r="T454" s="26"/>
      <c r="U454" s="26"/>
      <c r="V454" s="26"/>
      <c r="W454" s="27"/>
      <c r="X454" s="50"/>
    </row>
    <row r="455" spans="2:24" x14ac:dyDescent="0.25">
      <c r="B455" s="2"/>
      <c r="C455" s="55"/>
      <c r="D455" s="55"/>
      <c r="I455" s="56"/>
      <c r="O455" s="25"/>
      <c r="Q455" s="26"/>
      <c r="R455" s="26"/>
      <c r="S455" s="26"/>
      <c r="T455" s="26"/>
      <c r="U455" s="26"/>
      <c r="V455" s="26"/>
      <c r="W455" s="27"/>
      <c r="X455" s="50"/>
    </row>
    <row r="456" spans="2:24" x14ac:dyDescent="0.25">
      <c r="B456" s="2"/>
      <c r="C456" s="55"/>
      <c r="D456" s="55"/>
      <c r="I456" s="56"/>
      <c r="O456" s="25"/>
      <c r="Q456" s="26"/>
      <c r="R456" s="26"/>
      <c r="S456" s="26"/>
      <c r="T456" s="26"/>
      <c r="U456" s="26"/>
      <c r="V456" s="26"/>
      <c r="W456" s="27"/>
      <c r="X456" s="50"/>
    </row>
    <row r="457" spans="2:24" x14ac:dyDescent="0.25">
      <c r="B457" s="2"/>
      <c r="C457" s="55"/>
      <c r="D457" s="55"/>
      <c r="I457" s="56"/>
      <c r="O457" s="25"/>
      <c r="Q457" s="26"/>
      <c r="R457" s="26"/>
      <c r="S457" s="26"/>
      <c r="T457" s="26"/>
      <c r="U457" s="26"/>
      <c r="V457" s="26"/>
      <c r="W457" s="27"/>
      <c r="X457" s="50"/>
    </row>
    <row r="458" spans="2:24" x14ac:dyDescent="0.25">
      <c r="B458" s="2"/>
      <c r="C458" s="55"/>
      <c r="D458" s="55"/>
      <c r="I458" s="56"/>
      <c r="O458" s="25"/>
      <c r="Q458" s="26"/>
      <c r="R458" s="26"/>
      <c r="S458" s="26"/>
      <c r="T458" s="26"/>
      <c r="U458" s="26"/>
      <c r="V458" s="26"/>
      <c r="W458" s="27"/>
      <c r="X458" s="50"/>
    </row>
    <row r="459" spans="2:24" x14ac:dyDescent="0.25">
      <c r="B459" s="2"/>
      <c r="C459" s="55"/>
      <c r="D459" s="55"/>
      <c r="I459" s="56"/>
      <c r="O459" s="25"/>
      <c r="Q459" s="26"/>
      <c r="R459" s="26"/>
      <c r="S459" s="26"/>
      <c r="T459" s="26"/>
      <c r="U459" s="26"/>
      <c r="V459" s="26"/>
      <c r="W459" s="27"/>
      <c r="X459" s="50"/>
    </row>
    <row r="460" spans="2:24" x14ac:dyDescent="0.25">
      <c r="B460" s="2"/>
      <c r="C460" s="55"/>
      <c r="D460" s="55"/>
      <c r="I460" s="56"/>
      <c r="O460" s="25"/>
      <c r="Q460" s="26"/>
      <c r="R460" s="26"/>
      <c r="S460" s="26"/>
      <c r="T460" s="26"/>
      <c r="U460" s="26"/>
      <c r="V460" s="26"/>
      <c r="W460" s="27"/>
      <c r="X460" s="50"/>
    </row>
    <row r="461" spans="2:24" x14ac:dyDescent="0.25">
      <c r="B461" s="2"/>
      <c r="C461" s="55"/>
      <c r="D461" s="55"/>
      <c r="I461" s="56"/>
      <c r="O461" s="25"/>
      <c r="Q461" s="26"/>
      <c r="R461" s="26"/>
      <c r="S461" s="26"/>
      <c r="T461" s="26"/>
      <c r="U461" s="26"/>
      <c r="V461" s="26"/>
      <c r="W461" s="27"/>
      <c r="X461" s="50"/>
    </row>
    <row r="462" spans="2:24" x14ac:dyDescent="0.25">
      <c r="B462" s="2"/>
      <c r="C462" s="55"/>
      <c r="D462" s="55"/>
      <c r="I462" s="56"/>
      <c r="O462" s="25"/>
      <c r="Q462" s="26"/>
      <c r="R462" s="26"/>
      <c r="S462" s="26"/>
      <c r="T462" s="26"/>
      <c r="U462" s="26"/>
      <c r="V462" s="26"/>
      <c r="W462" s="27"/>
      <c r="X462" s="50"/>
    </row>
    <row r="463" spans="2:24" x14ac:dyDescent="0.25">
      <c r="B463" s="2"/>
      <c r="C463" s="55"/>
      <c r="D463" s="55"/>
      <c r="I463" s="56"/>
      <c r="O463" s="25"/>
      <c r="Q463" s="26"/>
      <c r="R463" s="26"/>
      <c r="S463" s="26"/>
      <c r="T463" s="26"/>
      <c r="U463" s="26"/>
      <c r="V463" s="26"/>
      <c r="W463" s="27"/>
      <c r="X463" s="50"/>
    </row>
    <row r="464" spans="2:24" x14ac:dyDescent="0.25">
      <c r="B464" s="2"/>
      <c r="C464" s="55"/>
      <c r="D464" s="55"/>
      <c r="I464" s="56"/>
      <c r="O464" s="25"/>
      <c r="Q464" s="26"/>
      <c r="R464" s="26"/>
      <c r="S464" s="26"/>
      <c r="T464" s="26"/>
      <c r="U464" s="26"/>
      <c r="V464" s="26"/>
      <c r="W464" s="27"/>
      <c r="X464" s="50"/>
    </row>
    <row r="465" spans="2:24" x14ac:dyDescent="0.25">
      <c r="B465" s="2"/>
      <c r="C465" s="55"/>
      <c r="D465" s="55"/>
      <c r="I465" s="56"/>
      <c r="O465" s="25"/>
      <c r="Q465" s="26"/>
      <c r="R465" s="26"/>
      <c r="S465" s="26"/>
      <c r="T465" s="26"/>
      <c r="U465" s="26"/>
      <c r="V465" s="26"/>
      <c r="W465" s="27"/>
      <c r="X465" s="50"/>
    </row>
    <row r="466" spans="2:24" x14ac:dyDescent="0.25">
      <c r="B466" s="2"/>
      <c r="C466" s="55"/>
      <c r="D466" s="55"/>
      <c r="I466" s="56"/>
      <c r="O466" s="25"/>
      <c r="Q466" s="26"/>
      <c r="R466" s="26"/>
      <c r="S466" s="26"/>
      <c r="T466" s="26"/>
      <c r="U466" s="26"/>
      <c r="V466" s="26"/>
      <c r="W466" s="27"/>
      <c r="X466" s="50"/>
    </row>
    <row r="467" spans="2:24" x14ac:dyDescent="0.25">
      <c r="B467" s="2"/>
      <c r="C467" s="55"/>
      <c r="D467" s="55"/>
      <c r="I467" s="56"/>
      <c r="O467" s="25"/>
      <c r="Q467" s="26"/>
      <c r="R467" s="26"/>
      <c r="S467" s="26"/>
      <c r="T467" s="26"/>
      <c r="U467" s="26"/>
      <c r="V467" s="26"/>
      <c r="W467" s="27"/>
      <c r="X467" s="50"/>
    </row>
    <row r="468" spans="2:24" x14ac:dyDescent="0.25">
      <c r="B468" s="2"/>
      <c r="C468" s="55"/>
      <c r="D468" s="55"/>
      <c r="I468" s="56"/>
      <c r="O468" s="25"/>
      <c r="Q468" s="26"/>
      <c r="R468" s="26"/>
      <c r="S468" s="26"/>
      <c r="T468" s="26"/>
      <c r="U468" s="26"/>
      <c r="V468" s="26"/>
      <c r="W468" s="27"/>
      <c r="X468" s="50"/>
    </row>
    <row r="469" spans="2:24" x14ac:dyDescent="0.25">
      <c r="B469" s="2"/>
      <c r="C469" s="55"/>
      <c r="D469" s="55"/>
      <c r="I469" s="56"/>
      <c r="O469" s="25"/>
      <c r="Q469" s="26"/>
      <c r="R469" s="26"/>
      <c r="S469" s="26"/>
      <c r="T469" s="26"/>
      <c r="U469" s="26"/>
      <c r="V469" s="26"/>
      <c r="W469" s="27"/>
      <c r="X469" s="50"/>
    </row>
    <row r="470" spans="2:24" x14ac:dyDescent="0.25">
      <c r="B470" s="2"/>
      <c r="C470" s="55"/>
      <c r="D470" s="55"/>
      <c r="I470" s="56"/>
      <c r="O470" s="25"/>
      <c r="Q470" s="26"/>
      <c r="R470" s="26"/>
      <c r="S470" s="26"/>
      <c r="T470" s="26"/>
      <c r="U470" s="26"/>
      <c r="V470" s="26"/>
      <c r="W470" s="27"/>
      <c r="X470" s="50"/>
    </row>
    <row r="471" spans="2:24" x14ac:dyDescent="0.25">
      <c r="B471" s="2"/>
      <c r="C471" s="55"/>
      <c r="D471" s="55"/>
      <c r="I471" s="56"/>
      <c r="O471" s="25"/>
      <c r="Q471" s="26"/>
      <c r="R471" s="26"/>
      <c r="S471" s="26"/>
      <c r="T471" s="26"/>
      <c r="U471" s="26"/>
      <c r="V471" s="26"/>
      <c r="W471" s="27"/>
      <c r="X471" s="50"/>
    </row>
    <row r="472" spans="2:24" x14ac:dyDescent="0.25">
      <c r="B472" s="2"/>
      <c r="C472" s="55"/>
      <c r="D472" s="55"/>
      <c r="I472" s="56"/>
      <c r="O472" s="25"/>
      <c r="Q472" s="26"/>
      <c r="R472" s="26"/>
      <c r="S472" s="26"/>
      <c r="T472" s="26"/>
      <c r="U472" s="26"/>
      <c r="V472" s="26"/>
      <c r="W472" s="27"/>
      <c r="X472" s="50"/>
    </row>
    <row r="473" spans="2:24" x14ac:dyDescent="0.25">
      <c r="B473" s="2"/>
      <c r="C473" s="55"/>
      <c r="D473" s="55"/>
      <c r="I473" s="56"/>
      <c r="O473" s="25"/>
      <c r="Q473" s="26"/>
      <c r="R473" s="26"/>
      <c r="S473" s="26"/>
      <c r="T473" s="26"/>
      <c r="U473" s="26"/>
      <c r="V473" s="26"/>
      <c r="W473" s="27"/>
      <c r="X473" s="50"/>
    </row>
    <row r="474" spans="2:24" x14ac:dyDescent="0.25">
      <c r="B474" s="2"/>
      <c r="C474" s="55"/>
      <c r="D474" s="55"/>
      <c r="I474" s="56"/>
      <c r="O474" s="25"/>
      <c r="Q474" s="26"/>
      <c r="R474" s="26"/>
      <c r="S474" s="26"/>
      <c r="T474" s="26"/>
      <c r="U474" s="26"/>
      <c r="V474" s="26"/>
      <c r="W474" s="27"/>
      <c r="X474" s="50"/>
    </row>
    <row r="475" spans="2:24" x14ac:dyDescent="0.25">
      <c r="B475" s="2"/>
      <c r="C475" s="55"/>
      <c r="D475" s="55"/>
      <c r="I475" s="56"/>
      <c r="O475" s="25"/>
      <c r="Q475" s="26"/>
      <c r="R475" s="26"/>
      <c r="S475" s="26"/>
      <c r="T475" s="26"/>
      <c r="U475" s="26"/>
      <c r="V475" s="26"/>
      <c r="W475" s="27"/>
      <c r="X475" s="50"/>
    </row>
    <row r="476" spans="2:24" x14ac:dyDescent="0.25">
      <c r="B476" s="2"/>
      <c r="C476" s="55"/>
      <c r="D476" s="55"/>
      <c r="I476" s="56"/>
      <c r="O476" s="25"/>
      <c r="Q476" s="26"/>
      <c r="R476" s="26"/>
      <c r="S476" s="26"/>
      <c r="T476" s="26"/>
      <c r="U476" s="26"/>
      <c r="V476" s="26"/>
      <c r="W476" s="27"/>
      <c r="X476" s="50"/>
    </row>
    <row r="477" spans="2:24" x14ac:dyDescent="0.25">
      <c r="B477" s="2"/>
      <c r="C477" s="55"/>
      <c r="D477" s="55"/>
      <c r="I477" s="56"/>
      <c r="O477" s="25"/>
      <c r="Q477" s="26"/>
      <c r="R477" s="26"/>
      <c r="S477" s="26"/>
      <c r="T477" s="26"/>
      <c r="U477" s="26"/>
      <c r="V477" s="26"/>
      <c r="W477" s="27"/>
      <c r="X477" s="50"/>
    </row>
    <row r="478" spans="2:24" x14ac:dyDescent="0.25">
      <c r="B478" s="2"/>
      <c r="C478" s="55"/>
      <c r="D478" s="55"/>
      <c r="I478" s="56"/>
      <c r="O478" s="25"/>
      <c r="Q478" s="26"/>
      <c r="R478" s="26"/>
      <c r="S478" s="26"/>
      <c r="T478" s="26"/>
      <c r="U478" s="26"/>
      <c r="V478" s="26"/>
      <c r="W478" s="27"/>
      <c r="X478" s="50"/>
    </row>
    <row r="479" spans="2:24" x14ac:dyDescent="0.25">
      <c r="B479" s="2"/>
      <c r="C479" s="55"/>
      <c r="D479" s="55"/>
      <c r="I479" s="56"/>
      <c r="O479" s="25"/>
      <c r="Q479" s="26"/>
      <c r="R479" s="26"/>
      <c r="S479" s="26"/>
      <c r="T479" s="26"/>
      <c r="U479" s="26"/>
      <c r="V479" s="26"/>
      <c r="W479" s="27"/>
      <c r="X479" s="50"/>
    </row>
    <row r="480" spans="2:24" x14ac:dyDescent="0.25">
      <c r="B480" s="2"/>
      <c r="C480" s="55"/>
      <c r="D480" s="55"/>
      <c r="I480" s="56"/>
      <c r="O480" s="25"/>
      <c r="Q480" s="26"/>
      <c r="R480" s="26"/>
      <c r="S480" s="26"/>
      <c r="T480" s="26"/>
      <c r="U480" s="26"/>
      <c r="V480" s="26"/>
      <c r="W480" s="27"/>
      <c r="X480" s="50"/>
    </row>
    <row r="481" spans="2:24" x14ac:dyDescent="0.25">
      <c r="B481" s="2"/>
      <c r="C481" s="55"/>
      <c r="D481" s="55"/>
      <c r="I481" s="56"/>
      <c r="O481" s="25"/>
      <c r="Q481" s="26"/>
      <c r="R481" s="26"/>
      <c r="S481" s="26"/>
      <c r="T481" s="26"/>
      <c r="U481" s="26"/>
      <c r="V481" s="26"/>
      <c r="W481" s="27"/>
      <c r="X481" s="50"/>
    </row>
    <row r="482" spans="2:24" x14ac:dyDescent="0.25">
      <c r="B482" s="2"/>
      <c r="C482" s="55"/>
      <c r="D482" s="55"/>
      <c r="I482" s="56"/>
      <c r="O482" s="25"/>
      <c r="Q482" s="26"/>
      <c r="R482" s="26"/>
      <c r="S482" s="26"/>
      <c r="T482" s="26"/>
      <c r="U482" s="26"/>
      <c r="V482" s="26"/>
      <c r="W482" s="27"/>
      <c r="X482" s="50"/>
    </row>
    <row r="483" spans="2:24" x14ac:dyDescent="0.25">
      <c r="B483" s="2"/>
      <c r="C483" s="55"/>
      <c r="D483" s="55"/>
      <c r="I483" s="56"/>
      <c r="O483" s="25"/>
      <c r="Q483" s="26"/>
      <c r="R483" s="26"/>
      <c r="S483" s="26"/>
      <c r="T483" s="26"/>
      <c r="U483" s="26"/>
      <c r="V483" s="26"/>
      <c r="W483" s="27"/>
      <c r="X483" s="50"/>
    </row>
    <row r="484" spans="2:24" x14ac:dyDescent="0.25">
      <c r="B484" s="2"/>
      <c r="C484" s="55"/>
      <c r="D484" s="55"/>
      <c r="I484" s="56"/>
      <c r="O484" s="25"/>
      <c r="Q484" s="26"/>
      <c r="R484" s="26"/>
      <c r="S484" s="26"/>
      <c r="T484" s="26"/>
      <c r="U484" s="26"/>
      <c r="V484" s="26"/>
      <c r="W484" s="27"/>
      <c r="X484" s="50"/>
    </row>
    <row r="485" spans="2:24" x14ac:dyDescent="0.25">
      <c r="B485" s="2"/>
      <c r="C485" s="55"/>
      <c r="D485" s="55"/>
      <c r="I485" s="56"/>
      <c r="O485" s="25"/>
      <c r="Q485" s="26"/>
      <c r="R485" s="26"/>
      <c r="S485" s="26"/>
      <c r="T485" s="26"/>
      <c r="U485" s="26"/>
      <c r="V485" s="26"/>
      <c r="W485" s="27"/>
      <c r="X485" s="50"/>
    </row>
    <row r="486" spans="2:24" x14ac:dyDescent="0.25">
      <c r="B486" s="2"/>
      <c r="C486" s="55"/>
      <c r="D486" s="55"/>
      <c r="I486" s="56"/>
      <c r="O486" s="25"/>
      <c r="Q486" s="26"/>
      <c r="R486" s="26"/>
      <c r="S486" s="26"/>
      <c r="T486" s="26"/>
      <c r="U486" s="26"/>
      <c r="V486" s="26"/>
      <c r="W486" s="27"/>
      <c r="X486" s="50"/>
    </row>
    <row r="487" spans="2:24" x14ac:dyDescent="0.25">
      <c r="B487" s="2"/>
      <c r="C487" s="55"/>
      <c r="D487" s="55"/>
      <c r="I487" s="56"/>
      <c r="O487" s="25"/>
      <c r="Q487" s="26"/>
      <c r="R487" s="26"/>
      <c r="S487" s="26"/>
      <c r="T487" s="26"/>
      <c r="U487" s="26"/>
      <c r="V487" s="26"/>
      <c r="W487" s="27"/>
      <c r="X487" s="50"/>
    </row>
    <row r="488" spans="2:24" x14ac:dyDescent="0.25">
      <c r="B488" s="2"/>
      <c r="C488" s="55"/>
      <c r="D488" s="55"/>
      <c r="I488" s="56"/>
      <c r="O488" s="25"/>
      <c r="Q488" s="26"/>
      <c r="R488" s="26"/>
      <c r="S488" s="26"/>
      <c r="T488" s="26"/>
      <c r="U488" s="26"/>
      <c r="V488" s="26"/>
      <c r="W488" s="27"/>
      <c r="X488" s="50"/>
    </row>
    <row r="489" spans="2:24" x14ac:dyDescent="0.25">
      <c r="B489" s="2"/>
      <c r="C489" s="55"/>
      <c r="D489" s="55"/>
      <c r="I489" s="56"/>
      <c r="O489" s="25"/>
      <c r="Q489" s="26"/>
      <c r="R489" s="26"/>
      <c r="S489" s="26"/>
      <c r="T489" s="26"/>
      <c r="U489" s="26"/>
      <c r="V489" s="26"/>
      <c r="W489" s="27"/>
      <c r="X489" s="50"/>
    </row>
    <row r="490" spans="2:24" x14ac:dyDescent="0.25">
      <c r="B490" s="2"/>
      <c r="C490" s="55"/>
      <c r="D490" s="55"/>
      <c r="I490" s="56"/>
      <c r="O490" s="25"/>
      <c r="Q490" s="26"/>
      <c r="R490" s="26"/>
      <c r="S490" s="26"/>
      <c r="T490" s="26"/>
      <c r="U490" s="26"/>
      <c r="V490" s="26"/>
      <c r="W490" s="27"/>
      <c r="X490" s="50"/>
    </row>
    <row r="491" spans="2:24" x14ac:dyDescent="0.25">
      <c r="B491" s="2"/>
      <c r="C491" s="55"/>
      <c r="D491" s="55"/>
      <c r="I491" s="56"/>
      <c r="O491" s="25"/>
      <c r="Q491" s="26"/>
      <c r="R491" s="26"/>
      <c r="S491" s="26"/>
      <c r="T491" s="26"/>
      <c r="U491" s="26"/>
      <c r="V491" s="26"/>
      <c r="W491" s="27"/>
      <c r="X491" s="50"/>
    </row>
    <row r="492" spans="2:24" x14ac:dyDescent="0.25">
      <c r="B492" s="2"/>
      <c r="C492" s="55"/>
      <c r="D492" s="55"/>
      <c r="I492" s="56"/>
      <c r="O492" s="25"/>
      <c r="Q492" s="26"/>
      <c r="R492" s="26"/>
      <c r="S492" s="26"/>
      <c r="T492" s="26"/>
      <c r="U492" s="26"/>
      <c r="V492" s="26"/>
      <c r="W492" s="27"/>
      <c r="X492" s="50"/>
    </row>
    <row r="493" spans="2:24" x14ac:dyDescent="0.25">
      <c r="B493" s="2"/>
      <c r="C493" s="55"/>
      <c r="D493" s="55"/>
      <c r="I493" s="56"/>
      <c r="O493" s="25"/>
      <c r="Q493" s="26"/>
      <c r="R493" s="26"/>
      <c r="S493" s="26"/>
      <c r="T493" s="26"/>
      <c r="U493" s="26"/>
      <c r="V493" s="26"/>
      <c r="W493" s="27"/>
      <c r="X493" s="50"/>
    </row>
    <row r="494" spans="2:24" x14ac:dyDescent="0.25">
      <c r="B494" s="2"/>
      <c r="C494" s="55"/>
      <c r="D494" s="55"/>
      <c r="I494" s="56"/>
      <c r="O494" s="25"/>
      <c r="Q494" s="26"/>
      <c r="R494" s="26"/>
      <c r="S494" s="26"/>
      <c r="T494" s="26"/>
      <c r="U494" s="26"/>
      <c r="V494" s="26"/>
      <c r="W494" s="27"/>
      <c r="X494" s="50"/>
    </row>
    <row r="495" spans="2:24" x14ac:dyDescent="0.25">
      <c r="B495" s="2"/>
      <c r="C495" s="55"/>
      <c r="D495" s="55"/>
      <c r="I495" s="56"/>
      <c r="O495" s="25"/>
      <c r="Q495" s="26"/>
      <c r="R495" s="26"/>
      <c r="S495" s="26"/>
      <c r="T495" s="26"/>
      <c r="U495" s="26"/>
      <c r="V495" s="26"/>
      <c r="W495" s="27"/>
      <c r="X495" s="50"/>
    </row>
    <row r="496" spans="2:24" x14ac:dyDescent="0.25">
      <c r="B496" s="2"/>
      <c r="C496" s="55"/>
      <c r="D496" s="55"/>
      <c r="I496" s="56"/>
      <c r="O496" s="25"/>
      <c r="Q496" s="26"/>
      <c r="R496" s="26"/>
      <c r="S496" s="26"/>
      <c r="T496" s="26"/>
      <c r="U496" s="26"/>
      <c r="V496" s="26"/>
      <c r="W496" s="27"/>
      <c r="X496" s="50"/>
    </row>
    <row r="497" spans="2:24" x14ac:dyDescent="0.25">
      <c r="B497" s="2"/>
      <c r="C497" s="55"/>
      <c r="D497" s="55"/>
      <c r="I497" s="56"/>
      <c r="O497" s="25"/>
      <c r="Q497" s="26"/>
      <c r="R497" s="26"/>
      <c r="S497" s="26"/>
      <c r="T497" s="26"/>
      <c r="U497" s="26"/>
      <c r="V497" s="26"/>
      <c r="W497" s="27"/>
      <c r="X497" s="50"/>
    </row>
    <row r="498" spans="2:24" x14ac:dyDescent="0.25">
      <c r="B498" s="2"/>
      <c r="C498" s="55"/>
      <c r="D498" s="55"/>
      <c r="I498" s="56"/>
      <c r="O498" s="25"/>
      <c r="Q498" s="26"/>
      <c r="R498" s="26"/>
      <c r="S498" s="26"/>
      <c r="T498" s="26"/>
      <c r="U498" s="26"/>
      <c r="V498" s="26"/>
      <c r="W498" s="27"/>
      <c r="X498" s="50"/>
    </row>
    <row r="499" spans="2:24" x14ac:dyDescent="0.25">
      <c r="B499" s="2"/>
      <c r="C499" s="55"/>
      <c r="D499" s="55"/>
      <c r="I499" s="56"/>
      <c r="O499" s="25"/>
      <c r="Q499" s="26"/>
      <c r="R499" s="26"/>
      <c r="S499" s="26"/>
      <c r="T499" s="26"/>
      <c r="U499" s="26"/>
      <c r="V499" s="26"/>
      <c r="W499" s="27"/>
      <c r="X499" s="50"/>
    </row>
    <row r="500" spans="2:24" x14ac:dyDescent="0.25">
      <c r="B500" s="2"/>
      <c r="C500" s="55"/>
      <c r="D500" s="55"/>
      <c r="I500" s="56"/>
      <c r="O500" s="25"/>
      <c r="Q500" s="26"/>
      <c r="R500" s="26"/>
      <c r="S500" s="26"/>
      <c r="T500" s="26"/>
      <c r="U500" s="26"/>
      <c r="V500" s="26"/>
      <c r="W500" s="27"/>
      <c r="X500" s="50"/>
    </row>
    <row r="501" spans="2:24" x14ac:dyDescent="0.25">
      <c r="B501" s="2"/>
      <c r="C501" s="55"/>
      <c r="D501" s="55"/>
      <c r="I501" s="56"/>
      <c r="O501" s="25"/>
      <c r="Q501" s="26"/>
      <c r="R501" s="26"/>
      <c r="S501" s="26"/>
      <c r="T501" s="26"/>
      <c r="U501" s="26"/>
      <c r="V501" s="26"/>
      <c r="W501" s="27"/>
      <c r="X501" s="50"/>
    </row>
    <row r="502" spans="2:24" x14ac:dyDescent="0.25">
      <c r="B502" s="2"/>
      <c r="C502" s="55"/>
      <c r="D502" s="55"/>
      <c r="I502" s="56"/>
      <c r="O502" s="25"/>
      <c r="Q502" s="26"/>
      <c r="R502" s="26"/>
      <c r="S502" s="26"/>
      <c r="T502" s="26"/>
      <c r="U502" s="26"/>
      <c r="V502" s="26"/>
      <c r="W502" s="27"/>
      <c r="X502" s="50"/>
    </row>
    <row r="503" spans="2:24" x14ac:dyDescent="0.25">
      <c r="B503" s="2"/>
      <c r="C503" s="55"/>
      <c r="D503" s="55"/>
      <c r="I503" s="56"/>
      <c r="O503" s="25"/>
      <c r="Q503" s="26"/>
      <c r="R503" s="26"/>
      <c r="S503" s="26"/>
      <c r="T503" s="26"/>
      <c r="U503" s="26"/>
      <c r="V503" s="26"/>
      <c r="W503" s="27"/>
      <c r="X503" s="50"/>
    </row>
    <row r="504" spans="2:24" x14ac:dyDescent="0.25">
      <c r="B504" s="2"/>
      <c r="C504" s="55"/>
      <c r="D504" s="55"/>
      <c r="I504" s="56"/>
      <c r="O504" s="25"/>
      <c r="Q504" s="26"/>
      <c r="R504" s="26"/>
      <c r="S504" s="26"/>
      <c r="T504" s="26"/>
      <c r="U504" s="26"/>
      <c r="V504" s="26"/>
      <c r="W504" s="27"/>
      <c r="X504" s="50"/>
    </row>
    <row r="505" spans="2:24" x14ac:dyDescent="0.25">
      <c r="B505" s="2"/>
      <c r="C505" s="55"/>
      <c r="D505" s="55"/>
      <c r="I505" s="56"/>
      <c r="O505" s="25"/>
      <c r="Q505" s="26"/>
      <c r="R505" s="26"/>
      <c r="S505" s="26"/>
      <c r="T505" s="26"/>
      <c r="U505" s="26"/>
      <c r="V505" s="26"/>
      <c r="W505" s="27"/>
      <c r="X505" s="50"/>
    </row>
    <row r="506" spans="2:24" x14ac:dyDescent="0.25">
      <c r="B506" s="2"/>
      <c r="C506" s="55"/>
      <c r="D506" s="55"/>
      <c r="I506" s="56"/>
      <c r="O506" s="25"/>
      <c r="Q506" s="26"/>
      <c r="R506" s="26"/>
      <c r="S506" s="26"/>
      <c r="T506" s="26"/>
      <c r="U506" s="26"/>
      <c r="V506" s="26"/>
      <c r="W506" s="27"/>
      <c r="X506" s="50"/>
    </row>
    <row r="507" spans="2:24" x14ac:dyDescent="0.25">
      <c r="B507" s="2"/>
      <c r="C507" s="55"/>
      <c r="D507" s="55"/>
      <c r="I507" s="56"/>
      <c r="O507" s="25"/>
      <c r="Q507" s="26"/>
      <c r="R507" s="26"/>
      <c r="S507" s="26"/>
      <c r="T507" s="26"/>
      <c r="U507" s="26"/>
      <c r="V507" s="26"/>
      <c r="W507" s="27"/>
      <c r="X507" s="50"/>
    </row>
    <row r="508" spans="2:24" x14ac:dyDescent="0.25">
      <c r="B508" s="2"/>
      <c r="C508" s="55"/>
      <c r="D508" s="55"/>
      <c r="I508" s="56"/>
      <c r="O508" s="25"/>
      <c r="Q508" s="26"/>
      <c r="R508" s="26"/>
      <c r="S508" s="26"/>
      <c r="T508" s="26"/>
      <c r="U508" s="26"/>
      <c r="V508" s="26"/>
      <c r="W508" s="27"/>
      <c r="X508" s="50"/>
    </row>
    <row r="509" spans="2:24" x14ac:dyDescent="0.25">
      <c r="B509" s="2"/>
      <c r="C509" s="55"/>
      <c r="D509" s="55"/>
      <c r="I509" s="56"/>
      <c r="O509" s="25"/>
      <c r="Q509" s="26"/>
      <c r="R509" s="26"/>
      <c r="S509" s="26"/>
      <c r="T509" s="26"/>
      <c r="U509" s="26"/>
      <c r="V509" s="26"/>
      <c r="W509" s="27"/>
      <c r="X509" s="50"/>
    </row>
    <row r="510" spans="2:24" x14ac:dyDescent="0.25">
      <c r="B510" s="2"/>
      <c r="C510" s="55"/>
      <c r="D510" s="55"/>
      <c r="I510" s="56"/>
      <c r="O510" s="25"/>
      <c r="Q510" s="26"/>
      <c r="R510" s="26"/>
      <c r="S510" s="26"/>
      <c r="T510" s="26"/>
      <c r="U510" s="26"/>
      <c r="V510" s="26"/>
      <c r="W510" s="27"/>
      <c r="X510" s="50"/>
    </row>
    <row r="511" spans="2:24" x14ac:dyDescent="0.25">
      <c r="B511" s="2"/>
      <c r="C511" s="55"/>
      <c r="D511" s="55"/>
      <c r="I511" s="56"/>
      <c r="O511" s="25"/>
      <c r="Q511" s="26"/>
      <c r="R511" s="26"/>
      <c r="S511" s="26"/>
      <c r="T511" s="26"/>
      <c r="U511" s="26"/>
      <c r="V511" s="26"/>
      <c r="W511" s="27"/>
      <c r="X511" s="50"/>
    </row>
    <row r="512" spans="2:24" x14ac:dyDescent="0.25">
      <c r="B512" s="2"/>
      <c r="C512" s="55"/>
      <c r="D512" s="55"/>
      <c r="I512" s="56"/>
      <c r="O512" s="25"/>
      <c r="Q512" s="26"/>
      <c r="R512" s="26"/>
      <c r="S512" s="26"/>
      <c r="T512" s="26"/>
      <c r="U512" s="26"/>
      <c r="V512" s="26"/>
      <c r="W512" s="27"/>
      <c r="X512" s="50"/>
    </row>
    <row r="513" spans="2:24" x14ac:dyDescent="0.25">
      <c r="B513" s="2"/>
      <c r="C513" s="55"/>
      <c r="D513" s="55"/>
      <c r="I513" s="56"/>
      <c r="O513" s="25"/>
      <c r="Q513" s="26"/>
      <c r="R513" s="26"/>
      <c r="S513" s="26"/>
      <c r="T513" s="26"/>
      <c r="U513" s="26"/>
      <c r="V513" s="26"/>
      <c r="W513" s="27"/>
      <c r="X513" s="50"/>
    </row>
    <row r="514" spans="2:24" x14ac:dyDescent="0.25">
      <c r="B514" s="2"/>
      <c r="C514" s="55"/>
      <c r="D514" s="55"/>
      <c r="I514" s="56"/>
      <c r="O514" s="25"/>
      <c r="Q514" s="26"/>
      <c r="R514" s="26"/>
      <c r="S514" s="26"/>
      <c r="T514" s="26"/>
      <c r="U514" s="26"/>
      <c r="V514" s="26"/>
      <c r="W514" s="27"/>
      <c r="X514" s="50"/>
    </row>
    <row r="515" spans="2:24" x14ac:dyDescent="0.25">
      <c r="B515" s="2"/>
      <c r="C515" s="55"/>
      <c r="D515" s="55"/>
      <c r="I515" s="56"/>
      <c r="O515" s="25"/>
      <c r="Q515" s="26"/>
      <c r="R515" s="26"/>
      <c r="S515" s="26"/>
      <c r="T515" s="26"/>
      <c r="U515" s="26"/>
      <c r="V515" s="26"/>
      <c r="W515" s="27"/>
      <c r="X515" s="50"/>
    </row>
    <row r="516" spans="2:24" x14ac:dyDescent="0.25">
      <c r="B516" s="2"/>
      <c r="C516" s="55"/>
      <c r="D516" s="55"/>
      <c r="I516" s="56"/>
      <c r="O516" s="25"/>
      <c r="Q516" s="26"/>
      <c r="R516" s="26"/>
      <c r="S516" s="26"/>
      <c r="T516" s="26"/>
      <c r="U516" s="26"/>
      <c r="V516" s="26"/>
      <c r="W516" s="27"/>
      <c r="X516" s="50"/>
    </row>
    <row r="517" spans="2:24" x14ac:dyDescent="0.25">
      <c r="B517" s="2"/>
      <c r="C517" s="55"/>
      <c r="D517" s="55"/>
      <c r="I517" s="56"/>
      <c r="O517" s="25"/>
      <c r="Q517" s="26"/>
      <c r="R517" s="26"/>
      <c r="S517" s="26"/>
      <c r="T517" s="26"/>
      <c r="U517" s="26"/>
      <c r="V517" s="26"/>
      <c r="W517" s="27"/>
      <c r="X517" s="50"/>
    </row>
    <row r="518" spans="2:24" x14ac:dyDescent="0.25">
      <c r="B518" s="2"/>
      <c r="C518" s="55"/>
      <c r="D518" s="55"/>
      <c r="I518" s="56"/>
      <c r="O518" s="25"/>
      <c r="Q518" s="26"/>
      <c r="R518" s="26"/>
      <c r="S518" s="26"/>
      <c r="T518" s="26"/>
      <c r="U518" s="26"/>
      <c r="V518" s="26"/>
      <c r="W518" s="27"/>
      <c r="X518" s="50"/>
    </row>
    <row r="519" spans="2:24" x14ac:dyDescent="0.25">
      <c r="B519" s="2"/>
      <c r="C519" s="55"/>
      <c r="D519" s="55"/>
      <c r="I519" s="56"/>
      <c r="O519" s="25"/>
      <c r="Q519" s="26"/>
      <c r="R519" s="26"/>
      <c r="S519" s="26"/>
      <c r="T519" s="26"/>
      <c r="U519" s="26"/>
      <c r="V519" s="26"/>
      <c r="W519" s="27"/>
      <c r="X519" s="50"/>
    </row>
    <row r="520" spans="2:24" x14ac:dyDescent="0.25">
      <c r="B520" s="2"/>
      <c r="C520" s="55"/>
      <c r="D520" s="55"/>
      <c r="I520" s="56"/>
      <c r="O520" s="25"/>
      <c r="Q520" s="26"/>
      <c r="R520" s="26"/>
      <c r="S520" s="26"/>
      <c r="T520" s="26"/>
      <c r="U520" s="26"/>
      <c r="V520" s="26"/>
      <c r="W520" s="27"/>
      <c r="X520" s="50"/>
    </row>
    <row r="521" spans="2:24" x14ac:dyDescent="0.25">
      <c r="B521" s="2"/>
      <c r="C521" s="55"/>
      <c r="D521" s="55"/>
      <c r="I521" s="56"/>
      <c r="O521" s="25"/>
      <c r="Q521" s="26"/>
      <c r="R521" s="26"/>
      <c r="S521" s="26"/>
      <c r="T521" s="26"/>
      <c r="U521" s="26"/>
      <c r="V521" s="26"/>
      <c r="W521" s="27"/>
      <c r="X521" s="50"/>
    </row>
    <row r="522" spans="2:24" x14ac:dyDescent="0.25">
      <c r="B522" s="2"/>
      <c r="C522" s="55"/>
      <c r="D522" s="55"/>
      <c r="I522" s="56"/>
      <c r="O522" s="25"/>
      <c r="Q522" s="26"/>
      <c r="R522" s="26"/>
      <c r="S522" s="26"/>
      <c r="T522" s="26"/>
      <c r="U522" s="26"/>
      <c r="V522" s="26"/>
      <c r="W522" s="27"/>
      <c r="X522" s="50"/>
    </row>
    <row r="523" spans="2:24" x14ac:dyDescent="0.25">
      <c r="B523" s="2"/>
      <c r="C523" s="55"/>
      <c r="D523" s="55"/>
      <c r="I523" s="56"/>
      <c r="O523" s="25"/>
      <c r="Q523" s="26"/>
      <c r="R523" s="26"/>
      <c r="S523" s="26"/>
      <c r="T523" s="26"/>
      <c r="U523" s="26"/>
      <c r="V523" s="26"/>
      <c r="W523" s="27"/>
      <c r="X523" s="50"/>
    </row>
    <row r="524" spans="2:24" x14ac:dyDescent="0.25">
      <c r="B524" s="2"/>
      <c r="C524" s="55"/>
      <c r="D524" s="55"/>
      <c r="I524" s="56"/>
      <c r="O524" s="25"/>
      <c r="Q524" s="26"/>
      <c r="R524" s="26"/>
      <c r="S524" s="26"/>
      <c r="T524" s="26"/>
      <c r="U524" s="26"/>
      <c r="V524" s="26"/>
      <c r="W524" s="27"/>
      <c r="X524" s="50"/>
    </row>
    <row r="525" spans="2:24" x14ac:dyDescent="0.25">
      <c r="B525" s="2"/>
      <c r="C525" s="55"/>
      <c r="D525" s="55"/>
      <c r="I525" s="56"/>
      <c r="O525" s="25"/>
      <c r="Q525" s="26"/>
      <c r="R525" s="26"/>
      <c r="S525" s="26"/>
      <c r="T525" s="26"/>
      <c r="U525" s="26"/>
      <c r="V525" s="26"/>
      <c r="W525" s="27"/>
      <c r="X525" s="50"/>
    </row>
    <row r="526" spans="2:24" x14ac:dyDescent="0.25">
      <c r="B526" s="2"/>
      <c r="C526" s="55"/>
      <c r="D526" s="55"/>
      <c r="I526" s="56"/>
      <c r="O526" s="25"/>
      <c r="Q526" s="26"/>
      <c r="R526" s="26"/>
      <c r="S526" s="26"/>
      <c r="T526" s="26"/>
      <c r="U526" s="26"/>
      <c r="V526" s="26"/>
      <c r="W526" s="27"/>
      <c r="X526" s="50"/>
    </row>
    <row r="527" spans="2:24" x14ac:dyDescent="0.25">
      <c r="B527" s="2"/>
      <c r="C527" s="55"/>
      <c r="D527" s="55"/>
      <c r="I527" s="56"/>
      <c r="O527" s="25"/>
      <c r="Q527" s="26"/>
      <c r="R527" s="26"/>
      <c r="S527" s="26"/>
      <c r="T527" s="26"/>
      <c r="U527" s="26"/>
      <c r="V527" s="26"/>
      <c r="W527" s="27"/>
      <c r="X527" s="50"/>
    </row>
    <row r="528" spans="2:24" x14ac:dyDescent="0.25">
      <c r="B528" s="2"/>
      <c r="C528" s="55"/>
      <c r="D528" s="55"/>
      <c r="I528" s="56"/>
      <c r="O528" s="25"/>
      <c r="Q528" s="26"/>
      <c r="R528" s="26"/>
      <c r="S528" s="26"/>
      <c r="T528" s="26"/>
      <c r="U528" s="26"/>
      <c r="V528" s="26"/>
      <c r="W528" s="27"/>
      <c r="X528" s="50"/>
    </row>
    <row r="529" spans="2:24" x14ac:dyDescent="0.25">
      <c r="B529" s="2"/>
      <c r="C529" s="55"/>
      <c r="D529" s="55"/>
      <c r="I529" s="56"/>
      <c r="O529" s="25"/>
      <c r="Q529" s="26"/>
      <c r="R529" s="26"/>
      <c r="S529" s="26"/>
      <c r="T529" s="26"/>
      <c r="U529" s="26"/>
      <c r="V529" s="26"/>
      <c r="W529" s="27"/>
      <c r="X529" s="50"/>
    </row>
    <row r="530" spans="2:24" x14ac:dyDescent="0.25">
      <c r="B530" s="2"/>
      <c r="C530" s="55"/>
      <c r="D530" s="55"/>
      <c r="I530" s="56"/>
      <c r="O530" s="25"/>
      <c r="Q530" s="26"/>
      <c r="R530" s="26"/>
      <c r="S530" s="26"/>
      <c r="T530" s="26"/>
      <c r="U530" s="26"/>
      <c r="V530" s="26"/>
      <c r="W530" s="27"/>
      <c r="X530" s="50"/>
    </row>
    <row r="531" spans="2:24" x14ac:dyDescent="0.25">
      <c r="B531" s="2"/>
      <c r="C531" s="55"/>
      <c r="D531" s="55"/>
      <c r="I531" s="56"/>
      <c r="O531" s="25"/>
      <c r="Q531" s="26"/>
      <c r="R531" s="26"/>
      <c r="S531" s="26"/>
      <c r="T531" s="26"/>
      <c r="U531" s="26"/>
      <c r="V531" s="26"/>
      <c r="W531" s="27"/>
      <c r="X531" s="50"/>
    </row>
    <row r="532" spans="2:24" x14ac:dyDescent="0.25">
      <c r="B532" s="2"/>
      <c r="C532" s="55"/>
      <c r="D532" s="55"/>
      <c r="I532" s="56"/>
      <c r="O532" s="25"/>
      <c r="Q532" s="26"/>
      <c r="R532" s="26"/>
      <c r="S532" s="26"/>
      <c r="T532" s="26"/>
      <c r="U532" s="26"/>
      <c r="V532" s="26"/>
      <c r="W532" s="27"/>
      <c r="X532" s="50"/>
    </row>
    <row r="533" spans="2:24" x14ac:dyDescent="0.25">
      <c r="B533" s="2"/>
      <c r="C533" s="55"/>
      <c r="D533" s="55"/>
      <c r="I533" s="56"/>
      <c r="O533" s="25"/>
      <c r="Q533" s="26"/>
      <c r="R533" s="26"/>
      <c r="S533" s="26"/>
      <c r="T533" s="26"/>
      <c r="U533" s="26"/>
      <c r="V533" s="26"/>
      <c r="W533" s="27"/>
      <c r="X533" s="50"/>
    </row>
    <row r="534" spans="2:24" x14ac:dyDescent="0.25">
      <c r="B534" s="2"/>
      <c r="C534" s="55"/>
      <c r="D534" s="55"/>
      <c r="I534" s="56"/>
      <c r="O534" s="25"/>
      <c r="Q534" s="26"/>
      <c r="R534" s="26"/>
      <c r="S534" s="26"/>
      <c r="T534" s="26"/>
      <c r="U534" s="26"/>
      <c r="V534" s="26"/>
      <c r="W534" s="27"/>
      <c r="X534" s="50"/>
    </row>
    <row r="535" spans="2:24" x14ac:dyDescent="0.25">
      <c r="B535" s="2"/>
      <c r="C535" s="55"/>
      <c r="D535" s="55"/>
      <c r="I535" s="56"/>
      <c r="O535" s="25"/>
      <c r="Q535" s="26"/>
      <c r="R535" s="26"/>
      <c r="S535" s="26"/>
      <c r="T535" s="26"/>
      <c r="U535" s="26"/>
      <c r="V535" s="26"/>
      <c r="W535" s="27"/>
      <c r="X535" s="50"/>
    </row>
    <row r="536" spans="2:24" x14ac:dyDescent="0.25">
      <c r="B536" s="2"/>
      <c r="C536" s="55"/>
      <c r="D536" s="55"/>
      <c r="I536" s="56"/>
      <c r="O536" s="25"/>
      <c r="Q536" s="26"/>
      <c r="R536" s="26"/>
      <c r="S536" s="26"/>
      <c r="T536" s="26"/>
      <c r="U536" s="26"/>
      <c r="V536" s="26"/>
      <c r="W536" s="27"/>
      <c r="X536" s="50"/>
    </row>
    <row r="537" spans="2:24" x14ac:dyDescent="0.25">
      <c r="B537" s="2"/>
      <c r="C537" s="55"/>
      <c r="D537" s="55"/>
      <c r="I537" s="56"/>
      <c r="O537" s="25"/>
      <c r="Q537" s="26"/>
      <c r="R537" s="26"/>
      <c r="S537" s="26"/>
      <c r="T537" s="26"/>
      <c r="U537" s="26"/>
      <c r="V537" s="26"/>
      <c r="W537" s="27"/>
      <c r="X537" s="50"/>
    </row>
  </sheetData>
  <autoFilter ref="A10:AE44" xr:uid="{C397BE88-AA2D-467A-988A-B96C9D4BC7C8}">
    <filterColumn colId="22">
      <filters>
        <filter val="1"/>
      </filters>
    </filterColumn>
  </autoFilter>
  <phoneticPr fontId="18" type="noConversion"/>
  <conditionalFormatting sqref="A1:AD1 AE1:AE7 B2:AD2 A3:AD7">
    <cfRule type="expression" dxfId="5" priority="12">
      <formula>$I1&lt;&gt;""</formula>
    </cfRule>
  </conditionalFormatting>
  <conditionalFormatting sqref="A9:AE1048576">
    <cfRule type="expression" dxfId="4" priority="1">
      <formula>$I9&lt;&gt;""</formula>
    </cfRule>
  </conditionalFormatting>
  <conditionalFormatting sqref="P8">
    <cfRule type="expression" dxfId="3" priority="7">
      <formula>$D8&lt;&gt;""</formula>
    </cfRule>
  </conditionalFormatting>
  <pageMargins left="0.7" right="0.7" top="0.75" bottom="0.75" header="0.3" footer="0.3"/>
  <pageSetup paperSize="8" scale="51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CommandButton5">
          <controlPr defaultSize="0" autoFill="0" autoLine="0" r:id="rId5">
            <anchor moveWithCells="1">
              <from>
                <xdr:col>27</xdr:col>
                <xdr:colOff>142875</xdr:colOff>
                <xdr:row>6</xdr:row>
                <xdr:rowOff>161925</xdr:rowOff>
              </from>
              <to>
                <xdr:col>27</xdr:col>
                <xdr:colOff>590550</xdr:colOff>
                <xdr:row>8</xdr:row>
                <xdr:rowOff>57150</xdr:rowOff>
              </to>
            </anchor>
          </controlPr>
        </control>
      </mc:Choice>
      <mc:Fallback>
        <control shapeId="1030" r:id="rId4" name="CommandButton5"/>
      </mc:Fallback>
    </mc:AlternateContent>
    <mc:AlternateContent xmlns:mc="http://schemas.openxmlformats.org/markup-compatibility/2006">
      <mc:Choice Requires="x14">
        <control shapeId="1029" r:id="rId6" name="CommandButton1">
          <controlPr defaultSize="0" autoFill="0" autoLine="0" r:id="rId7">
            <anchor moveWithCells="1">
              <from>
                <xdr:col>25</xdr:col>
                <xdr:colOff>257175</xdr:colOff>
                <xdr:row>6</xdr:row>
                <xdr:rowOff>152400</xdr:rowOff>
              </from>
              <to>
                <xdr:col>26</xdr:col>
                <xdr:colOff>295275</xdr:colOff>
                <xdr:row>8</xdr:row>
                <xdr:rowOff>47625</xdr:rowOff>
              </to>
            </anchor>
          </controlPr>
        </control>
      </mc:Choice>
      <mc:Fallback>
        <control shapeId="1029" r:id="rId6" name="CommandButton1"/>
      </mc:Fallback>
    </mc:AlternateContent>
    <mc:AlternateContent xmlns:mc="http://schemas.openxmlformats.org/markup-compatibility/2006">
      <mc:Choice Requires="x14">
        <control shapeId="1028" r:id="rId8" name="CommandButton4">
          <controlPr defaultSize="0" autoFill="0" autoLine="0" r:id="rId9">
            <anchor moveWithCells="1">
              <from>
                <xdr:col>24</xdr:col>
                <xdr:colOff>171450</xdr:colOff>
                <xdr:row>6</xdr:row>
                <xdr:rowOff>152400</xdr:rowOff>
              </from>
              <to>
                <xdr:col>25</xdr:col>
                <xdr:colOff>85725</xdr:colOff>
                <xdr:row>8</xdr:row>
                <xdr:rowOff>47625</xdr:rowOff>
              </to>
            </anchor>
          </controlPr>
        </control>
      </mc:Choice>
      <mc:Fallback>
        <control shapeId="1028" r:id="rId8" name="CommandButton4"/>
      </mc:Fallback>
    </mc:AlternateContent>
    <mc:AlternateContent xmlns:mc="http://schemas.openxmlformats.org/markup-compatibility/2006">
      <mc:Choice Requires="x14">
        <control shapeId="1026" r:id="rId10" name="CommandButton2">
          <controlPr defaultSize="0" autoFill="0" autoLine="0" r:id="rId11">
            <anchor moveWithCells="1">
              <from>
                <xdr:col>27</xdr:col>
                <xdr:colOff>781050</xdr:colOff>
                <xdr:row>6</xdr:row>
                <xdr:rowOff>161925</xdr:rowOff>
              </from>
              <to>
                <xdr:col>28</xdr:col>
                <xdr:colOff>1114425</xdr:colOff>
                <xdr:row>8</xdr:row>
                <xdr:rowOff>57150</xdr:rowOff>
              </to>
            </anchor>
          </controlPr>
        </control>
      </mc:Choice>
      <mc:Fallback>
        <control shapeId="1026" r:id="rId10" name="CommandButton2"/>
      </mc:Fallback>
    </mc:AlternateContent>
    <mc:AlternateContent xmlns:mc="http://schemas.openxmlformats.org/markup-compatibility/2006">
      <mc:Choice Requires="x14">
        <control shapeId="1027" r:id="rId12" name="CommandButton3">
          <controlPr defaultSize="0" autoFill="0" autoLine="0" r:id="rId13">
            <anchor moveWithCells="1">
              <from>
                <xdr:col>28</xdr:col>
                <xdr:colOff>1323975</xdr:colOff>
                <xdr:row>7</xdr:row>
                <xdr:rowOff>0</xdr:rowOff>
              </from>
              <to>
                <xdr:col>28</xdr:col>
                <xdr:colOff>1771650</xdr:colOff>
                <xdr:row>8</xdr:row>
                <xdr:rowOff>85725</xdr:rowOff>
              </to>
            </anchor>
          </controlPr>
        </control>
      </mc:Choice>
      <mc:Fallback>
        <control shapeId="1027" r:id="rId12" name="CommandButton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3C11-063F-4459-8E3E-0769DD9E7F18}">
  <sheetPr codeName="Sheet5"/>
  <dimension ref="A1:AD53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A11" sqref="A11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20.85546875" bestFit="1" customWidth="1"/>
    <col min="15" max="15" width="5.7109375" bestFit="1" customWidth="1"/>
    <col min="16" max="16" width="32.5703125" style="19" bestFit="1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51" customWidth="1"/>
    <col min="25" max="25" width="5.42578125" bestFit="1" customWidth="1"/>
    <col min="26" max="27" width="6.42578125" bestFit="1" customWidth="1"/>
    <col min="28" max="28" width="12.28515625" customWidth="1"/>
    <col min="29" max="29" width="40.140625" customWidth="1"/>
    <col min="30" max="30" width="10" style="2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52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4" t="s">
        <v>68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53"/>
      <c r="Y2" s="15"/>
      <c r="Z2" s="15"/>
      <c r="AA2" s="15"/>
      <c r="AB2" s="15"/>
      <c r="AC2" s="15"/>
      <c r="AD2" s="12"/>
    </row>
    <row r="3" spans="1:30" x14ac:dyDescent="0.25">
      <c r="A3" s="18" t="s">
        <v>69</v>
      </c>
      <c r="C3" s="4" t="str">
        <f ca="1">'List chi tiet'!B3&amp;"-"&amp;'List chi tiet'!B2</f>
        <v>10726-040-10726-040 DG XK BPI HO REDEV SUPPLY MATERIAL</v>
      </c>
    </row>
    <row r="4" spans="1:30" x14ac:dyDescent="0.25">
      <c r="A4" s="18" t="s">
        <v>70</v>
      </c>
      <c r="C4" s="5" t="str">
        <f ca="1">INDEX(M11:M99692, MATCH(1, INDEX(SUBTOTAL(3, OFFSET(M11, ROW(M11:M99692)-ROW(M11), 0)), 0), 0))</f>
        <v>LSX-VT-BPI-TH</v>
      </c>
    </row>
    <row r="5" spans="1:30" x14ac:dyDescent="0.25">
      <c r="A5" s="18" t="s">
        <v>71</v>
      </c>
      <c r="C5" s="4" t="str">
        <f ca="1">INDEX(P11:P99692, MATCH(1, INDEX(SUBTOTAL(3, OFFSET(P11, ROW(P11:P99692)-ROW(P11), 0)), 0), 0))</f>
        <v>LEVEL 46 - ROOF CROWN - SHIPMENT 1-GIA CONG UON ONG GIAO NHA MAY MIEN TRUNG</v>
      </c>
    </row>
    <row r="6" spans="1:30" x14ac:dyDescent="0.25">
      <c r="A6" s="18" t="s">
        <v>72</v>
      </c>
      <c r="C6" s="4" t="s">
        <v>73</v>
      </c>
    </row>
    <row r="7" spans="1:30" x14ac:dyDescent="0.25">
      <c r="A7" s="18" t="s">
        <v>74</v>
      </c>
      <c r="C7" s="4"/>
    </row>
    <row r="8" spans="1:30" x14ac:dyDescent="0.25">
      <c r="A8" s="18" t="s">
        <v>75</v>
      </c>
      <c r="C8" s="4"/>
      <c r="H8" s="4">
        <f>SUBTOTAL(9, H11:H99692)</f>
        <v>1</v>
      </c>
      <c r="I8" s="21">
        <f>SUBTOTAL(9, I11:I99692)</f>
        <v>149.47</v>
      </c>
      <c r="P8" s="37">
        <f ca="1">SUMPRODUCT(SUBTOTAL(103,OFFSET(B11,ROW(B11:B99692)-MIN(ROW(B11:B99692)),,1)),--(B11:B99692&lt;&gt;""))</f>
        <v>1</v>
      </c>
    </row>
    <row r="9" spans="1:30" x14ac:dyDescent="0.25">
      <c r="A9" s="18" t="s">
        <v>76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77</v>
      </c>
      <c r="B10" s="22" t="s">
        <v>78</v>
      </c>
      <c r="C10" s="22" t="s">
        <v>79</v>
      </c>
      <c r="D10" s="22" t="s">
        <v>80</v>
      </c>
      <c r="E10" s="22" t="s">
        <v>81</v>
      </c>
      <c r="F10" s="22" t="s">
        <v>82</v>
      </c>
      <c r="G10" s="22" t="s">
        <v>83</v>
      </c>
      <c r="H10" s="22" t="s">
        <v>84</v>
      </c>
      <c r="I10" s="22" t="s">
        <v>85</v>
      </c>
      <c r="J10" s="22" t="s">
        <v>86</v>
      </c>
      <c r="K10" s="22" t="s">
        <v>87</v>
      </c>
      <c r="L10" s="22" t="s">
        <v>88</v>
      </c>
      <c r="M10" s="22" t="s">
        <v>58</v>
      </c>
      <c r="N10" s="22" t="s">
        <v>89</v>
      </c>
      <c r="O10" s="22" t="s">
        <v>90</v>
      </c>
      <c r="P10" s="23" t="s">
        <v>27</v>
      </c>
      <c r="Q10" s="23" t="s">
        <v>91</v>
      </c>
      <c r="R10" s="23" t="s">
        <v>92</v>
      </c>
      <c r="S10" s="23" t="s">
        <v>93</v>
      </c>
      <c r="T10" s="23" t="s">
        <v>94</v>
      </c>
      <c r="U10" s="23" t="s">
        <v>95</v>
      </c>
      <c r="V10" s="23" t="s">
        <v>96</v>
      </c>
      <c r="W10" s="24" t="s">
        <v>104</v>
      </c>
      <c r="X10" s="54" t="s">
        <v>97</v>
      </c>
      <c r="Y10" s="22" t="s">
        <v>20</v>
      </c>
      <c r="Z10" s="22" t="s">
        <v>21</v>
      </c>
      <c r="AA10" s="22" t="s">
        <v>22</v>
      </c>
      <c r="AB10" s="22" t="s">
        <v>23</v>
      </c>
      <c r="AC10" s="22" t="s">
        <v>98</v>
      </c>
      <c r="AD10" s="22" t="s">
        <v>28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SS2410</v>
      </c>
      <c r="C11" s="55">
        <f>IF('List chi tiet'!E6&lt;&gt;"",'List chi tiet'!E6,"")</f>
        <v>20</v>
      </c>
      <c r="D11" s="55">
        <f>IF('List chi tiet'!F6&lt;&gt;"",'List chi tiet'!F6,"")</f>
        <v>400</v>
      </c>
      <c r="E11">
        <f>IF('List chi tiet'!G6&lt;&gt;"",'List chi tiet'!G6,"")</f>
        <v>923</v>
      </c>
      <c r="F11" t="str">
        <f>IF('List chi tiet'!C6&lt;&gt;"",'List chi tiet'!C6,"")</f>
        <v>A500-GR.C</v>
      </c>
      <c r="G11" s="2" t="str">
        <f>IF(A11&lt;&gt;"","Pcs","")</f>
        <v>Pcs</v>
      </c>
      <c r="H11">
        <f>IF('List chi tiet'!H6&lt;&gt;"",'List chi tiet'!H6,"")</f>
        <v>1</v>
      </c>
      <c r="I11" s="56">
        <f>IF('List chi tiet'!J6&lt;&gt;"",'List chi tiet'!J6,"")</f>
        <v>149.47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LSX-VT-BPI-TH</v>
      </c>
      <c r="N11" t="str">
        <f>IF('List chi tiet'!D6&lt;&gt;"",'List chi tiet'!D6,"")</f>
        <v>PIPE400X20</v>
      </c>
      <c r="O11" s="25"/>
      <c r="P11" s="26" t="str">
        <f>IF('List chi tiet'!Z6&lt;&gt;"",'List chi tiet'!Z6,"")</f>
        <v>LEVEL 46 - ROOF CROWN - SHIPMENT 1-GIA CONG UON ONG GIAO NHA MAY MIEN TRUNG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50">
        <f>IF('List chi tiet'!R6&lt;&gt;"",'List chi tiet'!R6,"")</f>
        <v>46269</v>
      </c>
      <c r="AB11" t="str">
        <f>IF('List chi tiet'!V6&lt;&gt;"",'List chi tiet'!V6,"")</f>
        <v>10726-040</v>
      </c>
      <c r="AC11" t="str">
        <f>IF('List chi tiet'!L6&lt;&gt;"",'List chi tiet'!L6,"")</f>
        <v>LSX-VT-BPI-TH-001</v>
      </c>
      <c r="AD11" s="2">
        <f>IF('List chi tiet'!K6&lt;&gt;"",'List chi tiet'!K6,"")</f>
        <v>12000</v>
      </c>
    </row>
    <row r="12" spans="1:30" x14ac:dyDescent="0.25">
      <c r="B12" s="2"/>
      <c r="C12" s="55"/>
      <c r="D12" s="55"/>
      <c r="I12" s="56"/>
      <c r="O12" s="25"/>
      <c r="P12" s="26"/>
      <c r="Q12" s="26"/>
      <c r="R12" s="26"/>
      <c r="S12" s="26"/>
      <c r="T12" s="26"/>
      <c r="U12" s="26"/>
      <c r="V12" s="26"/>
      <c r="W12" s="27"/>
      <c r="X12" s="50"/>
    </row>
    <row r="13" spans="1:30" x14ac:dyDescent="0.25">
      <c r="B13" s="2"/>
      <c r="C13" s="55"/>
      <c r="D13" s="55"/>
      <c r="I13" s="56"/>
      <c r="O13" s="25"/>
      <c r="P13" s="26"/>
      <c r="Q13" s="26"/>
      <c r="R13" s="26"/>
      <c r="S13" s="26"/>
      <c r="T13" s="26"/>
      <c r="U13" s="26"/>
      <c r="V13" s="26"/>
      <c r="W13" s="27"/>
      <c r="X13" s="50"/>
    </row>
    <row r="14" spans="1:30" x14ac:dyDescent="0.25">
      <c r="B14" s="2"/>
      <c r="C14" s="55"/>
      <c r="D14" s="55"/>
      <c r="I14" s="56"/>
      <c r="O14" s="25"/>
      <c r="P14" s="26"/>
      <c r="Q14" s="26"/>
      <c r="R14" s="26"/>
      <c r="S14" s="26"/>
      <c r="T14" s="26"/>
      <c r="U14" s="26"/>
      <c r="V14" s="26"/>
      <c r="W14" s="27"/>
      <c r="X14" s="50"/>
    </row>
    <row r="15" spans="1:30" x14ac:dyDescent="0.25">
      <c r="B15" s="2"/>
      <c r="C15" s="55"/>
      <c r="D15" s="55"/>
      <c r="I15" s="56"/>
      <c r="O15" s="25"/>
      <c r="P15" s="26"/>
      <c r="Q15" s="26"/>
      <c r="R15" s="26"/>
      <c r="S15" s="26"/>
      <c r="T15" s="26"/>
      <c r="U15" s="26"/>
      <c r="V15" s="26"/>
      <c r="W15" s="27"/>
      <c r="X15" s="50"/>
    </row>
    <row r="16" spans="1:30" x14ac:dyDescent="0.25">
      <c r="B16" s="2"/>
      <c r="C16" s="55"/>
      <c r="D16" s="55"/>
      <c r="I16" s="56"/>
      <c r="O16" s="25"/>
      <c r="P16" s="26"/>
      <c r="Q16" s="26"/>
      <c r="R16" s="26"/>
      <c r="S16" s="26"/>
      <c r="T16" s="26"/>
      <c r="U16" s="26"/>
      <c r="V16" s="26"/>
      <c r="W16" s="27"/>
      <c r="X16" s="50"/>
    </row>
    <row r="17" spans="2:24" x14ac:dyDescent="0.25">
      <c r="B17" s="2"/>
      <c r="C17" s="55"/>
      <c r="D17" s="55"/>
      <c r="I17" s="56"/>
      <c r="O17" s="25"/>
      <c r="P17" s="26"/>
      <c r="Q17" s="26"/>
      <c r="R17" s="26"/>
      <c r="S17" s="26"/>
      <c r="T17" s="26"/>
      <c r="U17" s="26"/>
      <c r="V17" s="26"/>
      <c r="W17" s="27"/>
      <c r="X17" s="50"/>
    </row>
    <row r="18" spans="2:24" x14ac:dyDescent="0.25">
      <c r="B18" s="2"/>
      <c r="C18" s="55"/>
      <c r="D18" s="55"/>
      <c r="I18" s="56"/>
      <c r="O18" s="25"/>
      <c r="P18" s="26"/>
      <c r="Q18" s="26"/>
      <c r="R18" s="26"/>
      <c r="S18" s="26"/>
      <c r="T18" s="26"/>
      <c r="U18" s="26"/>
      <c r="V18" s="26"/>
      <c r="W18" s="27"/>
      <c r="X18" s="50"/>
    </row>
    <row r="19" spans="2:24" x14ac:dyDescent="0.25">
      <c r="B19" s="2"/>
      <c r="C19" s="55"/>
      <c r="D19" s="55"/>
      <c r="I19" s="56"/>
      <c r="O19" s="25"/>
      <c r="P19" s="26"/>
      <c r="Q19" s="26"/>
      <c r="R19" s="26"/>
      <c r="S19" s="26"/>
      <c r="T19" s="26"/>
      <c r="U19" s="26"/>
      <c r="V19" s="26"/>
      <c r="W19" s="27"/>
      <c r="X19" s="50"/>
    </row>
    <row r="20" spans="2:24" x14ac:dyDescent="0.25">
      <c r="B20" s="2"/>
      <c r="C20" s="55"/>
      <c r="D20" s="55"/>
      <c r="I20" s="56"/>
      <c r="O20" s="25"/>
      <c r="P20" s="26"/>
      <c r="Q20" s="26"/>
      <c r="R20" s="26"/>
      <c r="S20" s="26"/>
      <c r="T20" s="26"/>
      <c r="U20" s="26"/>
      <c r="V20" s="26"/>
      <c r="W20" s="27"/>
      <c r="X20" s="50"/>
    </row>
    <row r="21" spans="2:24" x14ac:dyDescent="0.25">
      <c r="B21" s="2"/>
      <c r="C21" s="55"/>
      <c r="D21" s="55"/>
      <c r="I21" s="56"/>
      <c r="O21" s="25"/>
      <c r="P21" s="26"/>
      <c r="Q21" s="26"/>
      <c r="R21" s="26"/>
      <c r="S21" s="26"/>
      <c r="T21" s="26"/>
      <c r="U21" s="26"/>
      <c r="V21" s="26"/>
      <c r="W21" s="27"/>
      <c r="X21" s="50"/>
    </row>
    <row r="22" spans="2:24" x14ac:dyDescent="0.25">
      <c r="B22" s="2"/>
      <c r="C22" s="55"/>
      <c r="D22" s="55"/>
      <c r="I22" s="56"/>
      <c r="O22" s="25"/>
      <c r="P22" s="26"/>
      <c r="Q22" s="26"/>
      <c r="R22" s="26"/>
      <c r="S22" s="26"/>
      <c r="T22" s="26"/>
      <c r="U22" s="26"/>
      <c r="V22" s="26"/>
      <c r="W22" s="27"/>
      <c r="X22" s="50"/>
    </row>
    <row r="23" spans="2:24" x14ac:dyDescent="0.25">
      <c r="B23" s="2"/>
      <c r="C23" s="55"/>
      <c r="D23" s="55"/>
      <c r="I23" s="56"/>
      <c r="O23" s="25"/>
      <c r="P23" s="26"/>
      <c r="Q23" s="26"/>
      <c r="R23" s="26"/>
      <c r="S23" s="26"/>
      <c r="T23" s="26"/>
      <c r="U23" s="26"/>
      <c r="V23" s="26"/>
      <c r="W23" s="27"/>
      <c r="X23" s="50"/>
    </row>
    <row r="24" spans="2:24" x14ac:dyDescent="0.25">
      <c r="B24" s="2"/>
      <c r="C24" s="55"/>
      <c r="D24" s="55"/>
      <c r="I24" s="56"/>
      <c r="O24" s="25"/>
      <c r="P24" s="26"/>
      <c r="Q24" s="26"/>
      <c r="R24" s="26"/>
      <c r="S24" s="26"/>
      <c r="T24" s="26"/>
      <c r="U24" s="26"/>
      <c r="V24" s="26"/>
      <c r="W24" s="27"/>
      <c r="X24" s="50"/>
    </row>
    <row r="25" spans="2:24" x14ac:dyDescent="0.25">
      <c r="B25" s="2"/>
      <c r="C25" s="55"/>
      <c r="D25" s="55"/>
      <c r="I25" s="56"/>
      <c r="O25" s="25"/>
      <c r="P25" s="26"/>
      <c r="Q25" s="26"/>
      <c r="R25" s="26"/>
      <c r="S25" s="26"/>
      <c r="T25" s="26"/>
      <c r="U25" s="26"/>
      <c r="V25" s="26"/>
      <c r="W25" s="27"/>
      <c r="X25" s="50"/>
    </row>
    <row r="26" spans="2:24" x14ac:dyDescent="0.25">
      <c r="B26" s="2"/>
      <c r="C26" s="55"/>
      <c r="D26" s="55"/>
      <c r="I26" s="56"/>
      <c r="O26" s="25"/>
      <c r="P26" s="26"/>
      <c r="Q26" s="26"/>
      <c r="R26" s="26"/>
      <c r="S26" s="26"/>
      <c r="T26" s="26"/>
      <c r="U26" s="26"/>
      <c r="V26" s="26"/>
      <c r="W26" s="27"/>
      <c r="X26" s="50"/>
    </row>
    <row r="27" spans="2:24" x14ac:dyDescent="0.25">
      <c r="B27" s="2"/>
      <c r="C27" s="55"/>
      <c r="D27" s="55"/>
      <c r="I27" s="56"/>
      <c r="O27" s="25"/>
      <c r="P27" s="26"/>
      <c r="Q27" s="26"/>
      <c r="R27" s="26"/>
      <c r="S27" s="26"/>
      <c r="T27" s="26"/>
      <c r="U27" s="26"/>
      <c r="V27" s="26"/>
      <c r="W27" s="27"/>
      <c r="X27" s="50"/>
    </row>
    <row r="28" spans="2:24" x14ac:dyDescent="0.25">
      <c r="B28" s="2"/>
      <c r="C28" s="55"/>
      <c r="D28" s="55"/>
      <c r="I28" s="56"/>
      <c r="O28" s="25"/>
      <c r="P28" s="26"/>
      <c r="Q28" s="26"/>
      <c r="R28" s="26"/>
      <c r="S28" s="26"/>
      <c r="T28" s="26"/>
      <c r="U28" s="26"/>
      <c r="V28" s="26"/>
      <c r="W28" s="27"/>
      <c r="X28" s="50"/>
    </row>
    <row r="29" spans="2:24" x14ac:dyDescent="0.25">
      <c r="B29" s="2"/>
      <c r="C29" s="55"/>
      <c r="D29" s="55"/>
      <c r="I29" s="56"/>
      <c r="O29" s="25"/>
      <c r="P29" s="26"/>
      <c r="Q29" s="26"/>
      <c r="R29" s="26"/>
      <c r="S29" s="26"/>
      <c r="T29" s="26"/>
      <c r="U29" s="26"/>
      <c r="V29" s="26"/>
      <c r="W29" s="27"/>
      <c r="X29" s="50"/>
    </row>
    <row r="30" spans="2:24" x14ac:dyDescent="0.25">
      <c r="B30" s="2"/>
      <c r="C30" s="55"/>
      <c r="D30" s="55"/>
      <c r="I30" s="56"/>
      <c r="O30" s="25"/>
      <c r="P30" s="26"/>
      <c r="Q30" s="26"/>
      <c r="R30" s="26"/>
      <c r="S30" s="26"/>
      <c r="T30" s="26"/>
      <c r="U30" s="26"/>
      <c r="V30" s="26"/>
      <c r="W30" s="27"/>
      <c r="X30" s="50"/>
    </row>
    <row r="31" spans="2:24" x14ac:dyDescent="0.25">
      <c r="B31" s="2"/>
      <c r="C31" s="55"/>
      <c r="D31" s="55"/>
      <c r="I31" s="56"/>
      <c r="O31" s="25"/>
      <c r="P31" s="26"/>
      <c r="Q31" s="26"/>
      <c r="R31" s="26"/>
      <c r="S31" s="26"/>
      <c r="T31" s="26"/>
      <c r="U31" s="26"/>
      <c r="V31" s="26"/>
      <c r="W31" s="27"/>
      <c r="X31" s="50"/>
    </row>
    <row r="32" spans="2:24" x14ac:dyDescent="0.25">
      <c r="B32" s="2"/>
      <c r="C32" s="55"/>
      <c r="D32" s="55"/>
      <c r="I32" s="56"/>
      <c r="O32" s="25"/>
      <c r="P32" s="26"/>
      <c r="Q32" s="26"/>
      <c r="R32" s="26"/>
      <c r="S32" s="26"/>
      <c r="T32" s="26"/>
      <c r="U32" s="26"/>
      <c r="V32" s="26"/>
      <c r="W32" s="27"/>
      <c r="X32" s="50"/>
    </row>
    <row r="33" spans="2:24" x14ac:dyDescent="0.25">
      <c r="B33" s="2"/>
      <c r="C33" s="55"/>
      <c r="D33" s="55"/>
      <c r="I33" s="56"/>
      <c r="O33" s="25"/>
      <c r="P33" s="26"/>
      <c r="Q33" s="26"/>
      <c r="R33" s="26"/>
      <c r="S33" s="26"/>
      <c r="T33" s="26"/>
      <c r="U33" s="26"/>
      <c r="V33" s="26"/>
      <c r="W33" s="27"/>
      <c r="X33" s="50"/>
    </row>
    <row r="34" spans="2:24" x14ac:dyDescent="0.25">
      <c r="B34" s="2"/>
      <c r="C34" s="55"/>
      <c r="D34" s="55"/>
      <c r="I34" s="56"/>
      <c r="O34" s="25"/>
      <c r="P34" s="26"/>
      <c r="Q34" s="26"/>
      <c r="R34" s="26"/>
      <c r="S34" s="26"/>
      <c r="T34" s="26"/>
      <c r="U34" s="26"/>
      <c r="V34" s="26"/>
      <c r="W34" s="27"/>
      <c r="X34" s="50"/>
    </row>
    <row r="35" spans="2:24" x14ac:dyDescent="0.25">
      <c r="B35" s="2"/>
      <c r="C35" s="55"/>
      <c r="D35" s="55"/>
      <c r="I35" s="56"/>
      <c r="O35" s="25"/>
      <c r="P35" s="26"/>
      <c r="Q35" s="26"/>
      <c r="R35" s="26"/>
      <c r="S35" s="26"/>
      <c r="T35" s="26"/>
      <c r="U35" s="26"/>
      <c r="V35" s="26"/>
      <c r="W35" s="27"/>
      <c r="X35" s="50"/>
    </row>
    <row r="36" spans="2:24" x14ac:dyDescent="0.25">
      <c r="B36" s="2"/>
      <c r="C36" s="55"/>
      <c r="D36" s="55"/>
      <c r="I36" s="56"/>
      <c r="O36" s="25"/>
      <c r="P36" s="26"/>
      <c r="Q36" s="26"/>
      <c r="R36" s="26"/>
      <c r="S36" s="26"/>
      <c r="T36" s="26"/>
      <c r="U36" s="26"/>
      <c r="V36" s="26"/>
      <c r="W36" s="27"/>
      <c r="X36" s="50"/>
    </row>
    <row r="37" spans="2:24" x14ac:dyDescent="0.25">
      <c r="B37" s="2"/>
      <c r="C37" s="55"/>
      <c r="D37" s="55"/>
      <c r="I37" s="56"/>
      <c r="O37" s="25"/>
      <c r="P37" s="26"/>
      <c r="Q37" s="26"/>
      <c r="R37" s="26"/>
      <c r="S37" s="26"/>
      <c r="T37" s="26"/>
      <c r="U37" s="26"/>
      <c r="V37" s="26"/>
      <c r="W37" s="27"/>
      <c r="X37" s="50"/>
    </row>
    <row r="38" spans="2:24" x14ac:dyDescent="0.25">
      <c r="B38" s="2"/>
      <c r="C38" s="55"/>
      <c r="D38" s="55"/>
      <c r="I38" s="56"/>
      <c r="O38" s="25"/>
      <c r="P38" s="26"/>
      <c r="Q38" s="26"/>
      <c r="R38" s="26"/>
      <c r="S38" s="26"/>
      <c r="T38" s="26"/>
      <c r="U38" s="26"/>
      <c r="V38" s="26"/>
      <c r="W38" s="27"/>
      <c r="X38" s="50"/>
    </row>
    <row r="39" spans="2:24" x14ac:dyDescent="0.25">
      <c r="B39" s="2"/>
      <c r="C39" s="55"/>
      <c r="D39" s="55"/>
      <c r="I39" s="56"/>
      <c r="O39" s="25"/>
      <c r="P39" s="26"/>
      <c r="Q39" s="26"/>
      <c r="R39" s="26"/>
      <c r="S39" s="26"/>
      <c r="T39" s="26"/>
      <c r="U39" s="26"/>
      <c r="V39" s="26"/>
      <c r="W39" s="27"/>
      <c r="X39" s="50"/>
    </row>
    <row r="40" spans="2:24" x14ac:dyDescent="0.25">
      <c r="B40" s="2"/>
      <c r="C40" s="55"/>
      <c r="D40" s="55"/>
      <c r="I40" s="56"/>
      <c r="O40" s="25"/>
      <c r="P40" s="26"/>
      <c r="Q40" s="26"/>
      <c r="R40" s="26"/>
      <c r="S40" s="26"/>
      <c r="T40" s="26"/>
      <c r="U40" s="26"/>
      <c r="V40" s="26"/>
      <c r="W40" s="27"/>
      <c r="X40" s="50"/>
    </row>
    <row r="41" spans="2:24" x14ac:dyDescent="0.25">
      <c r="B41" s="2"/>
      <c r="C41" s="55"/>
      <c r="D41" s="55"/>
      <c r="I41" s="56"/>
      <c r="O41" s="25"/>
      <c r="P41" s="26"/>
      <c r="Q41" s="26"/>
      <c r="R41" s="26"/>
      <c r="S41" s="26"/>
      <c r="T41" s="26"/>
      <c r="U41" s="26"/>
      <c r="V41" s="26"/>
      <c r="W41" s="27"/>
      <c r="X41" s="50"/>
    </row>
    <row r="42" spans="2:24" x14ac:dyDescent="0.25">
      <c r="B42" s="2"/>
      <c r="C42" s="55"/>
      <c r="D42" s="55"/>
      <c r="I42" s="56"/>
      <c r="O42" s="25"/>
      <c r="P42" s="26"/>
      <c r="Q42" s="26"/>
      <c r="R42" s="26"/>
      <c r="S42" s="26"/>
      <c r="T42" s="26"/>
      <c r="U42" s="26"/>
      <c r="V42" s="26"/>
      <c r="W42" s="27"/>
      <c r="X42" s="50"/>
    </row>
    <row r="43" spans="2:24" x14ac:dyDescent="0.25">
      <c r="B43" s="2"/>
      <c r="C43" s="55"/>
      <c r="D43" s="55"/>
      <c r="I43" s="56"/>
      <c r="O43" s="25"/>
      <c r="P43" s="26"/>
      <c r="Q43" s="26"/>
      <c r="R43" s="26"/>
      <c r="S43" s="26"/>
      <c r="T43" s="26"/>
      <c r="U43" s="26"/>
      <c r="V43" s="26"/>
      <c r="W43" s="27"/>
      <c r="X43" s="50"/>
    </row>
    <row r="44" spans="2:24" x14ac:dyDescent="0.25">
      <c r="B44" s="2"/>
      <c r="C44" s="55"/>
      <c r="D44" s="55"/>
      <c r="I44" s="56"/>
      <c r="O44" s="25"/>
      <c r="P44" s="26"/>
      <c r="Q44" s="26"/>
      <c r="R44" s="26"/>
      <c r="S44" s="26"/>
      <c r="T44" s="26"/>
      <c r="U44" s="26"/>
      <c r="V44" s="26"/>
      <c r="W44" s="27"/>
      <c r="X44" s="50"/>
    </row>
    <row r="45" spans="2:24" x14ac:dyDescent="0.25">
      <c r="B45" s="2"/>
      <c r="C45" s="55"/>
      <c r="D45" s="55"/>
      <c r="I45" s="56"/>
      <c r="O45" s="25"/>
      <c r="P45" s="26"/>
      <c r="Q45" s="26"/>
      <c r="R45" s="26"/>
      <c r="S45" s="26"/>
      <c r="T45" s="26"/>
      <c r="U45" s="26"/>
      <c r="V45" s="26"/>
      <c r="W45" s="27"/>
      <c r="X45" s="50"/>
    </row>
    <row r="46" spans="2:24" x14ac:dyDescent="0.25">
      <c r="B46" s="2"/>
      <c r="C46" s="55"/>
      <c r="D46" s="55"/>
      <c r="I46" s="56"/>
      <c r="O46" s="25"/>
      <c r="P46" s="26"/>
      <c r="Q46" s="26"/>
      <c r="R46" s="26"/>
      <c r="S46" s="26"/>
      <c r="T46" s="26"/>
      <c r="U46" s="26"/>
      <c r="V46" s="26"/>
      <c r="W46" s="27"/>
      <c r="X46" s="50"/>
    </row>
    <row r="47" spans="2:24" x14ac:dyDescent="0.25">
      <c r="B47" s="2"/>
      <c r="C47" s="55"/>
      <c r="D47" s="55"/>
      <c r="I47" s="56"/>
      <c r="O47" s="25"/>
      <c r="P47" s="26"/>
      <c r="Q47" s="26"/>
      <c r="R47" s="26"/>
      <c r="S47" s="26"/>
      <c r="T47" s="26"/>
      <c r="U47" s="26"/>
      <c r="V47" s="26"/>
      <c r="W47" s="27"/>
      <c r="X47" s="50"/>
    </row>
    <row r="48" spans="2:24" x14ac:dyDescent="0.25">
      <c r="B48" s="2"/>
      <c r="C48" s="55"/>
      <c r="D48" s="55"/>
      <c r="I48" s="56"/>
      <c r="O48" s="25"/>
      <c r="P48" s="26"/>
      <c r="Q48" s="26"/>
      <c r="R48" s="26"/>
      <c r="S48" s="26"/>
      <c r="T48" s="26"/>
      <c r="U48" s="26"/>
      <c r="V48" s="26"/>
      <c r="W48" s="27"/>
      <c r="X48" s="50"/>
    </row>
    <row r="49" spans="2:24" x14ac:dyDescent="0.25">
      <c r="B49" s="2"/>
      <c r="C49" s="55"/>
      <c r="D49" s="55"/>
      <c r="I49" s="56"/>
      <c r="O49" s="25"/>
      <c r="P49" s="26"/>
      <c r="Q49" s="26"/>
      <c r="R49" s="26"/>
      <c r="S49" s="26"/>
      <c r="T49" s="26"/>
      <c r="U49" s="26"/>
      <c r="V49" s="26"/>
      <c r="W49" s="27"/>
      <c r="X49" s="50"/>
    </row>
    <row r="50" spans="2:24" x14ac:dyDescent="0.25">
      <c r="B50" s="2"/>
      <c r="C50" s="55"/>
      <c r="D50" s="55"/>
      <c r="I50" s="56"/>
      <c r="O50" s="25"/>
      <c r="P50" s="26"/>
      <c r="Q50" s="26"/>
      <c r="R50" s="26"/>
      <c r="S50" s="26"/>
      <c r="T50" s="26"/>
      <c r="U50" s="26"/>
      <c r="V50" s="26"/>
      <c r="W50" s="27"/>
      <c r="X50" s="50"/>
    </row>
    <row r="51" spans="2:24" x14ac:dyDescent="0.25">
      <c r="B51" s="2"/>
      <c r="C51" s="55"/>
      <c r="D51" s="55"/>
      <c r="I51" s="56"/>
      <c r="O51" s="25"/>
      <c r="P51" s="26"/>
      <c r="Q51" s="26"/>
      <c r="R51" s="26"/>
      <c r="S51" s="26"/>
      <c r="T51" s="26"/>
      <c r="U51" s="26"/>
      <c r="V51" s="26"/>
      <c r="W51" s="27"/>
      <c r="X51" s="50"/>
    </row>
    <row r="52" spans="2:24" x14ac:dyDescent="0.25">
      <c r="B52" s="2"/>
      <c r="C52" s="55"/>
      <c r="D52" s="55"/>
      <c r="I52" s="56"/>
      <c r="O52" s="25"/>
      <c r="P52" s="26"/>
      <c r="Q52" s="26"/>
      <c r="R52" s="26"/>
      <c r="S52" s="26"/>
      <c r="T52" s="26"/>
      <c r="U52" s="26"/>
      <c r="V52" s="26"/>
      <c r="W52" s="27"/>
      <c r="X52" s="50"/>
    </row>
    <row r="53" spans="2:24" x14ac:dyDescent="0.25">
      <c r="B53" s="2"/>
      <c r="C53" s="55"/>
      <c r="D53" s="55"/>
      <c r="I53" s="56"/>
      <c r="O53" s="25"/>
      <c r="P53" s="26"/>
      <c r="Q53" s="26"/>
      <c r="R53" s="26"/>
      <c r="S53" s="26"/>
      <c r="T53" s="26"/>
      <c r="U53" s="26"/>
      <c r="V53" s="26"/>
      <c r="W53" s="27"/>
      <c r="X53" s="50"/>
    </row>
    <row r="54" spans="2:24" x14ac:dyDescent="0.25">
      <c r="B54" s="2"/>
      <c r="C54" s="55"/>
      <c r="D54" s="55"/>
      <c r="I54" s="56"/>
      <c r="O54" s="25"/>
      <c r="P54" s="26"/>
      <c r="Q54" s="26"/>
      <c r="R54" s="26"/>
      <c r="S54" s="26"/>
      <c r="T54" s="26"/>
      <c r="U54" s="26"/>
      <c r="V54" s="26"/>
      <c r="W54" s="27"/>
      <c r="X54" s="50"/>
    </row>
    <row r="55" spans="2:24" x14ac:dyDescent="0.25">
      <c r="B55" s="2"/>
      <c r="C55" s="55"/>
      <c r="D55" s="55"/>
      <c r="I55" s="56"/>
      <c r="O55" s="25"/>
      <c r="P55" s="26"/>
      <c r="Q55" s="26"/>
      <c r="R55" s="26"/>
      <c r="S55" s="26"/>
      <c r="T55" s="26"/>
      <c r="U55" s="26"/>
      <c r="V55" s="26"/>
      <c r="W55" s="27"/>
      <c r="X55" s="50"/>
    </row>
    <row r="56" spans="2:24" x14ac:dyDescent="0.25">
      <c r="B56" s="2"/>
      <c r="C56" s="55"/>
      <c r="D56" s="55"/>
      <c r="I56" s="56"/>
      <c r="O56" s="25"/>
      <c r="P56" s="26"/>
      <c r="Q56" s="26"/>
      <c r="R56" s="26"/>
      <c r="S56" s="26"/>
      <c r="T56" s="26"/>
      <c r="U56" s="26"/>
      <c r="V56" s="26"/>
      <c r="W56" s="27"/>
      <c r="X56" s="50"/>
    </row>
    <row r="57" spans="2:24" x14ac:dyDescent="0.25">
      <c r="B57" s="2"/>
      <c r="C57" s="55"/>
      <c r="D57" s="55"/>
      <c r="I57" s="56"/>
      <c r="O57" s="25"/>
      <c r="P57" s="26"/>
      <c r="Q57" s="26"/>
      <c r="R57" s="26"/>
      <c r="S57" s="26"/>
      <c r="T57" s="26"/>
      <c r="U57" s="26"/>
      <c r="V57" s="26"/>
      <c r="W57" s="27"/>
      <c r="X57" s="50"/>
    </row>
    <row r="58" spans="2:24" x14ac:dyDescent="0.25">
      <c r="B58" s="2"/>
      <c r="C58" s="55"/>
      <c r="D58" s="55"/>
      <c r="I58" s="56"/>
      <c r="O58" s="25"/>
      <c r="P58" s="26"/>
      <c r="Q58" s="26"/>
      <c r="R58" s="26"/>
      <c r="S58" s="26"/>
      <c r="T58" s="26"/>
      <c r="U58" s="26"/>
      <c r="V58" s="26"/>
      <c r="W58" s="27"/>
      <c r="X58" s="50"/>
    </row>
    <row r="59" spans="2:24" x14ac:dyDescent="0.25">
      <c r="B59" s="2"/>
      <c r="C59" s="55"/>
      <c r="D59" s="55"/>
      <c r="I59" s="56"/>
      <c r="O59" s="25"/>
      <c r="P59" s="26"/>
      <c r="Q59" s="26"/>
      <c r="R59" s="26"/>
      <c r="S59" s="26"/>
      <c r="T59" s="26"/>
      <c r="U59" s="26"/>
      <c r="V59" s="26"/>
      <c r="W59" s="27"/>
      <c r="X59" s="50"/>
    </row>
    <row r="60" spans="2:24" x14ac:dyDescent="0.25">
      <c r="B60" s="2"/>
      <c r="C60" s="55"/>
      <c r="D60" s="55"/>
      <c r="I60" s="56"/>
      <c r="O60" s="25"/>
      <c r="P60" s="26"/>
      <c r="Q60" s="26"/>
      <c r="R60" s="26"/>
      <c r="S60" s="26"/>
      <c r="T60" s="26"/>
      <c r="U60" s="26"/>
      <c r="V60" s="26"/>
      <c r="W60" s="27"/>
      <c r="X60" s="50"/>
    </row>
    <row r="61" spans="2:24" x14ac:dyDescent="0.25">
      <c r="B61" s="2"/>
      <c r="C61" s="55"/>
      <c r="D61" s="55"/>
      <c r="I61" s="56"/>
      <c r="O61" s="25"/>
      <c r="P61" s="26"/>
      <c r="Q61" s="26"/>
      <c r="R61" s="26"/>
      <c r="S61" s="26"/>
      <c r="T61" s="26"/>
      <c r="U61" s="26"/>
      <c r="V61" s="26"/>
      <c r="W61" s="27"/>
      <c r="X61" s="50"/>
    </row>
    <row r="62" spans="2:24" x14ac:dyDescent="0.25">
      <c r="B62" s="2"/>
      <c r="C62" s="55"/>
      <c r="D62" s="55"/>
      <c r="I62" s="56"/>
      <c r="O62" s="25"/>
      <c r="P62" s="26"/>
      <c r="Q62" s="26"/>
      <c r="R62" s="26"/>
      <c r="S62" s="26"/>
      <c r="T62" s="26"/>
      <c r="U62" s="26"/>
      <c r="V62" s="26"/>
      <c r="W62" s="27"/>
      <c r="X62" s="50"/>
    </row>
    <row r="63" spans="2:24" x14ac:dyDescent="0.25">
      <c r="B63" s="2"/>
      <c r="C63" s="55"/>
      <c r="D63" s="55"/>
      <c r="I63" s="56"/>
      <c r="O63" s="25"/>
      <c r="P63" s="26"/>
      <c r="Q63" s="26"/>
      <c r="R63" s="26"/>
      <c r="S63" s="26"/>
      <c r="T63" s="26"/>
      <c r="U63" s="26"/>
      <c r="V63" s="26"/>
      <c r="W63" s="27"/>
      <c r="X63" s="50"/>
    </row>
    <row r="64" spans="2:24" x14ac:dyDescent="0.25">
      <c r="B64" s="2"/>
      <c r="C64" s="55"/>
      <c r="D64" s="55"/>
      <c r="I64" s="56"/>
      <c r="O64" s="25"/>
      <c r="P64" s="26"/>
      <c r="Q64" s="26"/>
      <c r="R64" s="26"/>
      <c r="S64" s="26"/>
      <c r="T64" s="26"/>
      <c r="U64" s="26"/>
      <c r="V64" s="26"/>
      <c r="W64" s="27"/>
      <c r="X64" s="50"/>
    </row>
    <row r="65" spans="2:24" x14ac:dyDescent="0.25">
      <c r="B65" s="2"/>
      <c r="C65" s="55"/>
      <c r="D65" s="55"/>
      <c r="I65" s="56"/>
      <c r="O65" s="25"/>
      <c r="P65" s="26"/>
      <c r="Q65" s="26"/>
      <c r="R65" s="26"/>
      <c r="S65" s="26"/>
      <c r="T65" s="26"/>
      <c r="U65" s="26"/>
      <c r="V65" s="26"/>
      <c r="W65" s="27"/>
      <c r="X65" s="50"/>
    </row>
    <row r="66" spans="2:24" x14ac:dyDescent="0.25">
      <c r="B66" s="2"/>
      <c r="C66" s="55"/>
      <c r="D66" s="55"/>
      <c r="I66" s="56"/>
      <c r="O66" s="25"/>
      <c r="P66" s="26"/>
      <c r="Q66" s="26"/>
      <c r="R66" s="26"/>
      <c r="S66" s="26"/>
      <c r="T66" s="26"/>
      <c r="U66" s="26"/>
      <c r="V66" s="26"/>
      <c r="W66" s="27"/>
      <c r="X66" s="50"/>
    </row>
    <row r="67" spans="2:24" x14ac:dyDescent="0.25">
      <c r="B67" s="2"/>
      <c r="C67" s="55"/>
      <c r="D67" s="55"/>
      <c r="I67" s="56"/>
      <c r="O67" s="25"/>
      <c r="P67" s="26"/>
      <c r="Q67" s="26"/>
      <c r="R67" s="26"/>
      <c r="S67" s="26"/>
      <c r="T67" s="26"/>
      <c r="U67" s="26"/>
      <c r="V67" s="26"/>
      <c r="W67" s="27"/>
      <c r="X67" s="50"/>
    </row>
    <row r="68" spans="2:24" x14ac:dyDescent="0.25">
      <c r="B68" s="2"/>
      <c r="C68" s="55"/>
      <c r="D68" s="55"/>
      <c r="I68" s="56"/>
      <c r="O68" s="25"/>
      <c r="P68" s="26"/>
      <c r="Q68" s="26"/>
      <c r="R68" s="26"/>
      <c r="S68" s="26"/>
      <c r="T68" s="26"/>
      <c r="U68" s="26"/>
      <c r="V68" s="26"/>
      <c r="W68" s="27"/>
      <c r="X68" s="50"/>
    </row>
    <row r="69" spans="2:24" x14ac:dyDescent="0.25">
      <c r="B69" s="2"/>
      <c r="C69" s="55"/>
      <c r="D69" s="55"/>
      <c r="I69" s="56"/>
      <c r="O69" s="25"/>
      <c r="P69" s="26"/>
      <c r="Q69" s="26"/>
      <c r="R69" s="26"/>
      <c r="S69" s="26"/>
      <c r="T69" s="26"/>
      <c r="U69" s="26"/>
      <c r="V69" s="26"/>
      <c r="W69" s="27"/>
      <c r="X69" s="50"/>
    </row>
    <row r="70" spans="2:24" x14ac:dyDescent="0.25">
      <c r="B70" s="2"/>
      <c r="C70" s="55"/>
      <c r="D70" s="55"/>
      <c r="I70" s="56"/>
      <c r="O70" s="25"/>
      <c r="P70" s="26"/>
      <c r="Q70" s="26"/>
      <c r="R70" s="26"/>
      <c r="S70" s="26"/>
      <c r="T70" s="26"/>
      <c r="U70" s="26"/>
      <c r="V70" s="26"/>
      <c r="W70" s="27"/>
      <c r="X70" s="50"/>
    </row>
    <row r="71" spans="2:24" x14ac:dyDescent="0.25">
      <c r="B71" s="2"/>
      <c r="C71" s="55"/>
      <c r="D71" s="55"/>
      <c r="I71" s="56"/>
      <c r="O71" s="25"/>
      <c r="P71" s="26"/>
      <c r="Q71" s="26"/>
      <c r="R71" s="26"/>
      <c r="S71" s="26"/>
      <c r="T71" s="26"/>
      <c r="U71" s="26"/>
      <c r="V71" s="26"/>
      <c r="W71" s="27"/>
      <c r="X71" s="50"/>
    </row>
    <row r="72" spans="2:24" x14ac:dyDescent="0.25">
      <c r="B72" s="2"/>
      <c r="C72" s="55"/>
      <c r="D72" s="55"/>
      <c r="I72" s="56"/>
      <c r="O72" s="25"/>
      <c r="P72" s="26"/>
      <c r="Q72" s="26"/>
      <c r="R72" s="26"/>
      <c r="S72" s="26"/>
      <c r="T72" s="26"/>
      <c r="U72" s="26"/>
      <c r="V72" s="26"/>
      <c r="W72" s="27"/>
      <c r="X72" s="50"/>
    </row>
    <row r="73" spans="2:24" x14ac:dyDescent="0.25">
      <c r="B73" s="2"/>
      <c r="C73" s="55"/>
      <c r="D73" s="55"/>
      <c r="I73" s="56"/>
      <c r="O73" s="25"/>
      <c r="P73" s="26"/>
      <c r="Q73" s="26"/>
      <c r="R73" s="26"/>
      <c r="S73" s="26"/>
      <c r="T73" s="26"/>
      <c r="U73" s="26"/>
      <c r="V73" s="26"/>
      <c r="W73" s="27"/>
      <c r="X73" s="50"/>
    </row>
    <row r="74" spans="2:24" x14ac:dyDescent="0.25">
      <c r="B74" s="2"/>
      <c r="C74" s="55"/>
      <c r="D74" s="55"/>
      <c r="I74" s="56"/>
      <c r="O74" s="25"/>
      <c r="P74" s="26"/>
      <c r="Q74" s="26"/>
      <c r="R74" s="26"/>
      <c r="S74" s="26"/>
      <c r="T74" s="26"/>
      <c r="U74" s="26"/>
      <c r="V74" s="26"/>
      <c r="W74" s="27"/>
      <c r="X74" s="50"/>
    </row>
    <row r="75" spans="2:24" x14ac:dyDescent="0.25">
      <c r="B75" s="2"/>
      <c r="C75" s="55"/>
      <c r="D75" s="55"/>
      <c r="I75" s="56"/>
      <c r="O75" s="25"/>
      <c r="P75" s="26"/>
      <c r="Q75" s="26"/>
      <c r="R75" s="26"/>
      <c r="S75" s="26"/>
      <c r="T75" s="26"/>
      <c r="U75" s="26"/>
      <c r="V75" s="26"/>
      <c r="W75" s="27"/>
      <c r="X75" s="50"/>
    </row>
    <row r="76" spans="2:24" x14ac:dyDescent="0.25">
      <c r="B76" s="2"/>
      <c r="C76" s="55"/>
      <c r="D76" s="55"/>
      <c r="I76" s="56"/>
      <c r="O76" s="25"/>
      <c r="P76" s="26"/>
      <c r="Q76" s="26"/>
      <c r="R76" s="26"/>
      <c r="S76" s="26"/>
      <c r="T76" s="26"/>
      <c r="U76" s="26"/>
      <c r="V76" s="26"/>
      <c r="W76" s="27"/>
      <c r="X76" s="50"/>
    </row>
    <row r="77" spans="2:24" x14ac:dyDescent="0.25">
      <c r="B77" s="2"/>
      <c r="C77" s="55"/>
      <c r="D77" s="55"/>
      <c r="I77" s="56"/>
      <c r="O77" s="25"/>
      <c r="P77" s="26"/>
      <c r="Q77" s="26"/>
      <c r="R77" s="26"/>
      <c r="S77" s="26"/>
      <c r="T77" s="26"/>
      <c r="U77" s="26"/>
      <c r="V77" s="26"/>
      <c r="W77" s="27"/>
      <c r="X77" s="50"/>
    </row>
    <row r="78" spans="2:24" x14ac:dyDescent="0.25">
      <c r="B78" s="2"/>
      <c r="C78" s="55"/>
      <c r="D78" s="55"/>
      <c r="I78" s="56"/>
      <c r="O78" s="25"/>
      <c r="P78" s="26"/>
      <c r="Q78" s="26"/>
      <c r="R78" s="26"/>
      <c r="S78" s="26"/>
      <c r="T78" s="26"/>
      <c r="U78" s="26"/>
      <c r="V78" s="26"/>
      <c r="W78" s="27"/>
      <c r="X78" s="50"/>
    </row>
    <row r="79" spans="2:24" x14ac:dyDescent="0.25">
      <c r="B79" s="2"/>
      <c r="C79" s="55"/>
      <c r="D79" s="55"/>
      <c r="I79" s="56"/>
      <c r="O79" s="25"/>
      <c r="P79" s="26"/>
      <c r="Q79" s="26"/>
      <c r="R79" s="26"/>
      <c r="S79" s="26"/>
      <c r="T79" s="26"/>
      <c r="U79" s="26"/>
      <c r="V79" s="26"/>
      <c r="W79" s="27"/>
      <c r="X79" s="50"/>
    </row>
    <row r="80" spans="2:24" x14ac:dyDescent="0.25">
      <c r="B80" s="2"/>
      <c r="C80" s="55"/>
      <c r="D80" s="55"/>
      <c r="I80" s="56"/>
      <c r="O80" s="25"/>
      <c r="P80" s="26"/>
      <c r="Q80" s="26"/>
      <c r="R80" s="26"/>
      <c r="S80" s="26"/>
      <c r="T80" s="26"/>
      <c r="U80" s="26"/>
      <c r="V80" s="26"/>
      <c r="W80" s="27"/>
      <c r="X80" s="50"/>
    </row>
    <row r="81" spans="2:24" x14ac:dyDescent="0.25">
      <c r="B81" s="2"/>
      <c r="C81" s="55"/>
      <c r="D81" s="55"/>
      <c r="I81" s="56"/>
      <c r="O81" s="25"/>
      <c r="P81" s="26"/>
      <c r="Q81" s="26"/>
      <c r="R81" s="26"/>
      <c r="S81" s="26"/>
      <c r="T81" s="26"/>
      <c r="U81" s="26"/>
      <c r="V81" s="26"/>
      <c r="W81" s="27"/>
      <c r="X81" s="50"/>
    </row>
    <row r="82" spans="2:24" x14ac:dyDescent="0.25">
      <c r="B82" s="2"/>
      <c r="C82" s="55"/>
      <c r="D82" s="55"/>
      <c r="I82" s="56"/>
      <c r="O82" s="25"/>
      <c r="P82" s="26"/>
      <c r="Q82" s="26"/>
      <c r="R82" s="26"/>
      <c r="S82" s="26"/>
      <c r="T82" s="26"/>
      <c r="U82" s="26"/>
      <c r="V82" s="26"/>
      <c r="W82" s="27"/>
      <c r="X82" s="50"/>
    </row>
    <row r="83" spans="2:24" x14ac:dyDescent="0.25">
      <c r="B83" s="2"/>
      <c r="C83" s="55"/>
      <c r="D83" s="55"/>
      <c r="I83" s="56"/>
      <c r="O83" s="25"/>
      <c r="P83" s="26"/>
      <c r="Q83" s="26"/>
      <c r="R83" s="26"/>
      <c r="S83" s="26"/>
      <c r="T83" s="26"/>
      <c r="U83" s="26"/>
      <c r="V83" s="26"/>
      <c r="W83" s="27"/>
      <c r="X83" s="50"/>
    </row>
    <row r="84" spans="2:24" x14ac:dyDescent="0.25">
      <c r="B84" s="2"/>
      <c r="C84" s="55"/>
      <c r="D84" s="55"/>
      <c r="I84" s="56"/>
      <c r="O84" s="25"/>
      <c r="P84" s="26"/>
      <c r="Q84" s="26"/>
      <c r="R84" s="26"/>
      <c r="S84" s="26"/>
      <c r="T84" s="26"/>
      <c r="U84" s="26"/>
      <c r="V84" s="26"/>
      <c r="W84" s="27"/>
      <c r="X84" s="50"/>
    </row>
    <row r="85" spans="2:24" x14ac:dyDescent="0.25">
      <c r="B85" s="2"/>
      <c r="C85" s="55"/>
      <c r="D85" s="55"/>
      <c r="I85" s="56"/>
      <c r="O85" s="25"/>
      <c r="P85" s="26"/>
      <c r="Q85" s="26"/>
      <c r="R85" s="26"/>
      <c r="S85" s="26"/>
      <c r="T85" s="26"/>
      <c r="U85" s="26"/>
      <c r="V85" s="26"/>
      <c r="W85" s="27"/>
      <c r="X85" s="50"/>
    </row>
    <row r="86" spans="2:24" x14ac:dyDescent="0.25">
      <c r="B86" s="2"/>
      <c r="C86" s="55"/>
      <c r="D86" s="55"/>
      <c r="I86" s="56"/>
      <c r="O86" s="25"/>
      <c r="P86" s="26"/>
      <c r="Q86" s="26"/>
      <c r="R86" s="26"/>
      <c r="S86" s="26"/>
      <c r="T86" s="26"/>
      <c r="U86" s="26"/>
      <c r="V86" s="26"/>
      <c r="W86" s="27"/>
      <c r="X86" s="50"/>
    </row>
    <row r="87" spans="2:24" x14ac:dyDescent="0.25">
      <c r="B87" s="2"/>
      <c r="C87" s="55"/>
      <c r="D87" s="55"/>
      <c r="I87" s="56"/>
      <c r="O87" s="25"/>
      <c r="P87" s="26"/>
      <c r="Q87" s="26"/>
      <c r="R87" s="26"/>
      <c r="S87" s="26"/>
      <c r="T87" s="26"/>
      <c r="U87" s="26"/>
      <c r="V87" s="26"/>
      <c r="W87" s="27"/>
      <c r="X87" s="50"/>
    </row>
    <row r="88" spans="2:24" x14ac:dyDescent="0.25">
      <c r="B88" s="2"/>
      <c r="C88" s="55"/>
      <c r="D88" s="55"/>
      <c r="I88" s="56"/>
      <c r="O88" s="25"/>
      <c r="P88" s="26"/>
      <c r="Q88" s="26"/>
      <c r="R88" s="26"/>
      <c r="S88" s="26"/>
      <c r="T88" s="26"/>
      <c r="U88" s="26"/>
      <c r="V88" s="26"/>
      <c r="W88" s="27"/>
      <c r="X88" s="50"/>
    </row>
    <row r="89" spans="2:24" x14ac:dyDescent="0.25">
      <c r="B89" s="2"/>
      <c r="C89" s="55"/>
      <c r="D89" s="55"/>
      <c r="I89" s="56"/>
      <c r="O89" s="25"/>
      <c r="P89" s="26"/>
      <c r="Q89" s="26"/>
      <c r="R89" s="26"/>
      <c r="S89" s="26"/>
      <c r="T89" s="26"/>
      <c r="U89" s="26"/>
      <c r="V89" s="26"/>
      <c r="W89" s="27"/>
      <c r="X89" s="50"/>
    </row>
    <row r="90" spans="2:24" x14ac:dyDescent="0.25">
      <c r="B90" s="2"/>
      <c r="C90" s="55"/>
      <c r="D90" s="55"/>
      <c r="I90" s="56"/>
      <c r="O90" s="25"/>
      <c r="P90" s="26"/>
      <c r="Q90" s="26"/>
      <c r="R90" s="26"/>
      <c r="S90" s="26"/>
      <c r="T90" s="26"/>
      <c r="U90" s="26"/>
      <c r="V90" s="26"/>
      <c r="W90" s="27"/>
      <c r="X90" s="50"/>
    </row>
    <row r="91" spans="2:24" x14ac:dyDescent="0.25">
      <c r="B91" s="2"/>
      <c r="C91" s="55"/>
      <c r="D91" s="55"/>
      <c r="I91" s="56"/>
      <c r="O91" s="25"/>
      <c r="P91" s="26"/>
      <c r="Q91" s="26"/>
      <c r="R91" s="26"/>
      <c r="S91" s="26"/>
      <c r="T91" s="26"/>
      <c r="U91" s="26"/>
      <c r="V91" s="26"/>
      <c r="W91" s="27"/>
      <c r="X91" s="50"/>
    </row>
    <row r="92" spans="2:24" x14ac:dyDescent="0.25">
      <c r="B92" s="2"/>
      <c r="C92" s="55"/>
      <c r="D92" s="55"/>
      <c r="I92" s="56"/>
      <c r="O92" s="25"/>
      <c r="P92" s="26"/>
      <c r="Q92" s="26"/>
      <c r="R92" s="26"/>
      <c r="S92" s="26"/>
      <c r="T92" s="26"/>
      <c r="U92" s="26"/>
      <c r="V92" s="26"/>
      <c r="W92" s="27"/>
      <c r="X92" s="50"/>
    </row>
    <row r="93" spans="2:24" x14ac:dyDescent="0.25">
      <c r="B93" s="2"/>
      <c r="C93" s="55"/>
      <c r="D93" s="55"/>
      <c r="I93" s="56"/>
      <c r="O93" s="25"/>
      <c r="P93" s="26"/>
      <c r="Q93" s="26"/>
      <c r="R93" s="26"/>
      <c r="S93" s="26"/>
      <c r="T93" s="26"/>
      <c r="U93" s="26"/>
      <c r="V93" s="26"/>
      <c r="W93" s="27"/>
      <c r="X93" s="50"/>
    </row>
    <row r="94" spans="2:24" x14ac:dyDescent="0.25">
      <c r="B94" s="2"/>
      <c r="C94" s="55"/>
      <c r="D94" s="55"/>
      <c r="I94" s="56"/>
      <c r="O94" s="25"/>
      <c r="P94" s="26"/>
      <c r="Q94" s="26"/>
      <c r="R94" s="26"/>
      <c r="S94" s="26"/>
      <c r="T94" s="26"/>
      <c r="U94" s="26"/>
      <c r="V94" s="26"/>
      <c r="W94" s="27"/>
      <c r="X94" s="50"/>
    </row>
    <row r="95" spans="2:24" x14ac:dyDescent="0.25">
      <c r="B95" s="2"/>
      <c r="C95" s="55"/>
      <c r="D95" s="55"/>
      <c r="I95" s="56"/>
      <c r="O95" s="25"/>
      <c r="P95" s="26"/>
      <c r="Q95" s="26"/>
      <c r="R95" s="26"/>
      <c r="S95" s="26"/>
      <c r="T95" s="26"/>
      <c r="U95" s="26"/>
      <c r="V95" s="26"/>
      <c r="W95" s="27"/>
      <c r="X95" s="50"/>
    </row>
    <row r="96" spans="2:24" x14ac:dyDescent="0.25">
      <c r="B96" s="2"/>
      <c r="C96" s="55"/>
      <c r="D96" s="55"/>
      <c r="I96" s="56"/>
      <c r="O96" s="25"/>
      <c r="P96" s="26"/>
      <c r="Q96" s="26"/>
      <c r="R96" s="26"/>
      <c r="S96" s="26"/>
      <c r="T96" s="26"/>
      <c r="U96" s="26"/>
      <c r="V96" s="26"/>
      <c r="W96" s="27"/>
      <c r="X96" s="50"/>
    </row>
    <row r="97" spans="2:24" x14ac:dyDescent="0.25">
      <c r="B97" s="2"/>
      <c r="C97" s="55"/>
      <c r="D97" s="55"/>
      <c r="I97" s="56"/>
      <c r="O97" s="25"/>
      <c r="P97" s="26"/>
      <c r="Q97" s="26"/>
      <c r="R97" s="26"/>
      <c r="S97" s="26"/>
      <c r="T97" s="26"/>
      <c r="U97" s="26"/>
      <c r="V97" s="26"/>
      <c r="W97" s="27"/>
      <c r="X97" s="50"/>
    </row>
    <row r="98" spans="2:24" x14ac:dyDescent="0.25">
      <c r="B98" s="2"/>
      <c r="C98" s="55"/>
      <c r="D98" s="55"/>
      <c r="I98" s="56"/>
      <c r="O98" s="25"/>
      <c r="P98" s="26"/>
      <c r="Q98" s="26"/>
      <c r="R98" s="26"/>
      <c r="S98" s="26"/>
      <c r="T98" s="26"/>
      <c r="U98" s="26"/>
      <c r="V98" s="26"/>
      <c r="W98" s="27"/>
      <c r="X98" s="50"/>
    </row>
    <row r="99" spans="2:24" x14ac:dyDescent="0.25">
      <c r="B99" s="2"/>
      <c r="C99" s="55"/>
      <c r="D99" s="55"/>
      <c r="I99" s="56"/>
      <c r="O99" s="25"/>
      <c r="P99" s="26"/>
      <c r="Q99" s="26"/>
      <c r="R99" s="26"/>
      <c r="S99" s="26"/>
      <c r="T99" s="26"/>
      <c r="U99" s="26"/>
      <c r="V99" s="26"/>
      <c r="W99" s="27"/>
      <c r="X99" s="50"/>
    </row>
    <row r="100" spans="2:24" x14ac:dyDescent="0.25">
      <c r="B100" s="2"/>
      <c r="C100" s="55"/>
      <c r="D100" s="55"/>
      <c r="I100" s="56"/>
      <c r="O100" s="25"/>
      <c r="P100" s="26"/>
      <c r="Q100" s="26"/>
      <c r="R100" s="26"/>
      <c r="S100" s="26"/>
      <c r="T100" s="26"/>
      <c r="U100" s="26"/>
      <c r="V100" s="26"/>
      <c r="W100" s="27"/>
      <c r="X100" s="50"/>
    </row>
    <row r="101" spans="2:24" x14ac:dyDescent="0.25">
      <c r="B101" s="2"/>
      <c r="C101" s="55"/>
      <c r="D101" s="55"/>
      <c r="I101" s="56"/>
      <c r="O101" s="25"/>
      <c r="P101" s="26"/>
      <c r="Q101" s="26"/>
      <c r="R101" s="26"/>
      <c r="S101" s="26"/>
      <c r="T101" s="26"/>
      <c r="U101" s="26"/>
      <c r="V101" s="26"/>
      <c r="W101" s="27"/>
      <c r="X101" s="50"/>
    </row>
    <row r="102" spans="2:24" x14ac:dyDescent="0.25">
      <c r="B102" s="2"/>
      <c r="C102" s="55"/>
      <c r="D102" s="55"/>
      <c r="I102" s="56"/>
      <c r="O102" s="25"/>
      <c r="P102" s="26"/>
      <c r="Q102" s="26"/>
      <c r="R102" s="26"/>
      <c r="S102" s="26"/>
      <c r="T102" s="26"/>
      <c r="U102" s="26"/>
      <c r="V102" s="26"/>
      <c r="W102" s="27"/>
      <c r="X102" s="50"/>
    </row>
    <row r="103" spans="2:24" x14ac:dyDescent="0.25">
      <c r="B103" s="2"/>
      <c r="C103" s="55"/>
      <c r="D103" s="55"/>
      <c r="I103" s="56"/>
      <c r="O103" s="25"/>
      <c r="P103" s="26"/>
      <c r="Q103" s="26"/>
      <c r="R103" s="26"/>
      <c r="S103" s="26"/>
      <c r="T103" s="26"/>
      <c r="U103" s="26"/>
      <c r="V103" s="26"/>
      <c r="W103" s="27"/>
      <c r="X103" s="50"/>
    </row>
    <row r="104" spans="2:24" x14ac:dyDescent="0.25">
      <c r="B104" s="2"/>
      <c r="C104" s="55"/>
      <c r="D104" s="55"/>
      <c r="I104" s="56"/>
      <c r="O104" s="25"/>
      <c r="P104" s="26"/>
      <c r="Q104" s="26"/>
      <c r="R104" s="26"/>
      <c r="S104" s="26"/>
      <c r="T104" s="26"/>
      <c r="U104" s="26"/>
      <c r="V104" s="26"/>
      <c r="W104" s="27"/>
      <c r="X104" s="50"/>
    </row>
    <row r="105" spans="2:24" x14ac:dyDescent="0.25">
      <c r="B105" s="2"/>
      <c r="C105" s="55"/>
      <c r="D105" s="55"/>
      <c r="I105" s="56"/>
      <c r="O105" s="25"/>
      <c r="P105" s="26"/>
      <c r="Q105" s="26"/>
      <c r="R105" s="26"/>
      <c r="S105" s="26"/>
      <c r="T105" s="26"/>
      <c r="U105" s="26"/>
      <c r="V105" s="26"/>
      <c r="W105" s="27"/>
      <c r="X105" s="50"/>
    </row>
    <row r="106" spans="2:24" x14ac:dyDescent="0.25">
      <c r="B106" s="2"/>
      <c r="C106" s="55"/>
      <c r="D106" s="55"/>
      <c r="I106" s="56"/>
      <c r="O106" s="25"/>
      <c r="P106" s="26"/>
      <c r="Q106" s="26"/>
      <c r="R106" s="26"/>
      <c r="S106" s="26"/>
      <c r="T106" s="26"/>
      <c r="U106" s="26"/>
      <c r="V106" s="26"/>
      <c r="W106" s="27"/>
      <c r="X106" s="50"/>
    </row>
    <row r="107" spans="2:24" x14ac:dyDescent="0.25">
      <c r="B107" s="2"/>
      <c r="C107" s="55"/>
      <c r="D107" s="55"/>
      <c r="I107" s="56"/>
      <c r="O107" s="25"/>
      <c r="P107" s="26"/>
      <c r="Q107" s="26"/>
      <c r="R107" s="26"/>
      <c r="S107" s="26"/>
      <c r="T107" s="26"/>
      <c r="U107" s="26"/>
      <c r="V107" s="26"/>
      <c r="W107" s="27"/>
      <c r="X107" s="50"/>
    </row>
    <row r="108" spans="2:24" x14ac:dyDescent="0.25">
      <c r="B108" s="2"/>
      <c r="C108" s="55"/>
      <c r="D108" s="55"/>
      <c r="I108" s="56"/>
      <c r="O108" s="25"/>
      <c r="P108" s="26"/>
      <c r="Q108" s="26"/>
      <c r="R108" s="26"/>
      <c r="S108" s="26"/>
      <c r="T108" s="26"/>
      <c r="U108" s="26"/>
      <c r="V108" s="26"/>
      <c r="W108" s="27"/>
      <c r="X108" s="50"/>
    </row>
    <row r="109" spans="2:24" x14ac:dyDescent="0.25">
      <c r="B109" s="2"/>
      <c r="C109" s="55"/>
      <c r="D109" s="55"/>
      <c r="I109" s="56"/>
      <c r="O109" s="25"/>
      <c r="P109" s="26"/>
      <c r="Q109" s="26"/>
      <c r="R109" s="26"/>
      <c r="S109" s="26"/>
      <c r="T109" s="26"/>
      <c r="U109" s="26"/>
      <c r="V109" s="26"/>
      <c r="W109" s="27"/>
      <c r="X109" s="50"/>
    </row>
    <row r="110" spans="2:24" x14ac:dyDescent="0.25">
      <c r="B110" s="2"/>
      <c r="C110" s="55"/>
      <c r="D110" s="55"/>
      <c r="I110" s="56"/>
      <c r="O110" s="25"/>
      <c r="P110" s="26"/>
      <c r="Q110" s="26"/>
      <c r="R110" s="26"/>
      <c r="S110" s="26"/>
      <c r="T110" s="26"/>
      <c r="U110" s="26"/>
      <c r="V110" s="26"/>
      <c r="W110" s="27"/>
      <c r="X110" s="50"/>
    </row>
    <row r="111" spans="2:24" x14ac:dyDescent="0.25">
      <c r="B111" s="2"/>
      <c r="C111" s="55"/>
      <c r="D111" s="55"/>
      <c r="I111" s="56"/>
      <c r="O111" s="25"/>
      <c r="P111" s="26"/>
      <c r="Q111" s="26"/>
      <c r="R111" s="26"/>
      <c r="S111" s="26"/>
      <c r="T111" s="26"/>
      <c r="U111" s="26"/>
      <c r="V111" s="26"/>
      <c r="W111" s="27"/>
      <c r="X111" s="50"/>
    </row>
    <row r="112" spans="2:24" x14ac:dyDescent="0.25">
      <c r="B112" s="2"/>
      <c r="C112" s="55"/>
      <c r="D112" s="55"/>
      <c r="I112" s="56"/>
      <c r="O112" s="25"/>
      <c r="P112" s="26"/>
      <c r="Q112" s="26"/>
      <c r="R112" s="26"/>
      <c r="S112" s="26"/>
      <c r="T112" s="26"/>
      <c r="U112" s="26"/>
      <c r="V112" s="26"/>
      <c r="W112" s="27"/>
      <c r="X112" s="50"/>
    </row>
    <row r="113" spans="2:24" x14ac:dyDescent="0.25">
      <c r="B113" s="2"/>
      <c r="C113" s="55"/>
      <c r="D113" s="55"/>
      <c r="I113" s="56"/>
      <c r="O113" s="25"/>
      <c r="P113" s="26"/>
      <c r="Q113" s="26"/>
      <c r="R113" s="26"/>
      <c r="S113" s="26"/>
      <c r="T113" s="26"/>
      <c r="U113" s="26"/>
      <c r="V113" s="26"/>
      <c r="W113" s="27"/>
      <c r="X113" s="50"/>
    </row>
    <row r="114" spans="2:24" x14ac:dyDescent="0.25">
      <c r="B114" s="2"/>
      <c r="C114" s="55"/>
      <c r="D114" s="55"/>
      <c r="I114" s="56"/>
      <c r="O114" s="25"/>
      <c r="P114" s="26"/>
      <c r="Q114" s="26"/>
      <c r="R114" s="26"/>
      <c r="S114" s="26"/>
      <c r="T114" s="26"/>
      <c r="U114" s="26"/>
      <c r="V114" s="26"/>
      <c r="W114" s="27"/>
      <c r="X114" s="50"/>
    </row>
    <row r="115" spans="2:24" x14ac:dyDescent="0.25">
      <c r="B115" s="2"/>
      <c r="C115" s="55"/>
      <c r="D115" s="55"/>
      <c r="I115" s="56"/>
      <c r="O115" s="25"/>
      <c r="P115" s="26"/>
      <c r="Q115" s="26"/>
      <c r="R115" s="26"/>
      <c r="S115" s="26"/>
      <c r="T115" s="26"/>
      <c r="U115" s="26"/>
      <c r="V115" s="26"/>
      <c r="W115" s="27"/>
      <c r="X115" s="50"/>
    </row>
    <row r="116" spans="2:24" x14ac:dyDescent="0.25">
      <c r="B116" s="2"/>
      <c r="C116" s="55"/>
      <c r="D116" s="55"/>
      <c r="I116" s="56"/>
      <c r="O116" s="25"/>
      <c r="P116" s="26"/>
      <c r="Q116" s="26"/>
      <c r="R116" s="26"/>
      <c r="S116" s="26"/>
      <c r="T116" s="26"/>
      <c r="U116" s="26"/>
      <c r="V116" s="26"/>
      <c r="W116" s="27"/>
      <c r="X116" s="50"/>
    </row>
    <row r="117" spans="2:24" x14ac:dyDescent="0.25">
      <c r="B117" s="2"/>
      <c r="C117" s="55"/>
      <c r="D117" s="55"/>
      <c r="I117" s="56"/>
      <c r="O117" s="25"/>
      <c r="P117" s="26"/>
      <c r="Q117" s="26"/>
      <c r="R117" s="26"/>
      <c r="S117" s="26"/>
      <c r="T117" s="26"/>
      <c r="U117" s="26"/>
      <c r="V117" s="26"/>
      <c r="W117" s="27"/>
      <c r="X117" s="50"/>
    </row>
    <row r="118" spans="2:24" x14ac:dyDescent="0.25">
      <c r="B118" s="2"/>
      <c r="C118" s="55"/>
      <c r="D118" s="55"/>
      <c r="I118" s="56"/>
      <c r="O118" s="25"/>
      <c r="P118" s="26"/>
      <c r="Q118" s="26"/>
      <c r="R118" s="26"/>
      <c r="S118" s="26"/>
      <c r="T118" s="26"/>
      <c r="U118" s="26"/>
      <c r="V118" s="26"/>
      <c r="W118" s="27"/>
      <c r="X118" s="50"/>
    </row>
    <row r="119" spans="2:24" x14ac:dyDescent="0.25">
      <c r="B119" s="2"/>
      <c r="C119" s="55"/>
      <c r="D119" s="55"/>
      <c r="I119" s="56"/>
      <c r="O119" s="25"/>
      <c r="P119" s="26"/>
      <c r="Q119" s="26"/>
      <c r="R119" s="26"/>
      <c r="S119" s="26"/>
      <c r="T119" s="26"/>
      <c r="U119" s="26"/>
      <c r="V119" s="26"/>
      <c r="W119" s="27"/>
      <c r="X119" s="50"/>
    </row>
    <row r="120" spans="2:24" x14ac:dyDescent="0.25">
      <c r="B120" s="2"/>
      <c r="C120" s="55"/>
      <c r="D120" s="55"/>
      <c r="I120" s="56"/>
      <c r="O120" s="25"/>
      <c r="P120" s="26"/>
      <c r="Q120" s="26"/>
      <c r="R120" s="26"/>
      <c r="S120" s="26"/>
      <c r="T120" s="26"/>
      <c r="U120" s="26"/>
      <c r="V120" s="26"/>
      <c r="W120" s="27"/>
      <c r="X120" s="50"/>
    </row>
    <row r="121" spans="2:24" x14ac:dyDescent="0.25">
      <c r="B121" s="2"/>
      <c r="C121" s="55"/>
      <c r="D121" s="55"/>
      <c r="I121" s="56"/>
      <c r="O121" s="25"/>
      <c r="P121" s="26"/>
      <c r="Q121" s="26"/>
      <c r="R121" s="26"/>
      <c r="S121" s="26"/>
      <c r="T121" s="26"/>
      <c r="U121" s="26"/>
      <c r="V121" s="26"/>
      <c r="W121" s="27"/>
      <c r="X121" s="50"/>
    </row>
    <row r="122" spans="2:24" x14ac:dyDescent="0.25">
      <c r="B122" s="2"/>
      <c r="C122" s="55"/>
      <c r="D122" s="55"/>
      <c r="I122" s="56"/>
      <c r="O122" s="25"/>
      <c r="P122" s="26"/>
      <c r="Q122" s="26"/>
      <c r="R122" s="26"/>
      <c r="S122" s="26"/>
      <c r="T122" s="26"/>
      <c r="U122" s="26"/>
      <c r="V122" s="26"/>
      <c r="W122" s="27"/>
      <c r="X122" s="50"/>
    </row>
    <row r="123" spans="2:24" x14ac:dyDescent="0.25">
      <c r="B123" s="2"/>
      <c r="C123" s="55"/>
      <c r="D123" s="55"/>
      <c r="I123" s="56"/>
      <c r="O123" s="25"/>
      <c r="P123" s="26"/>
      <c r="Q123" s="26"/>
      <c r="R123" s="26"/>
      <c r="S123" s="26"/>
      <c r="T123" s="26"/>
      <c r="U123" s="26"/>
      <c r="V123" s="26"/>
      <c r="W123" s="27"/>
      <c r="X123" s="50"/>
    </row>
    <row r="124" spans="2:24" x14ac:dyDescent="0.25">
      <c r="B124" s="2"/>
      <c r="C124" s="55"/>
      <c r="D124" s="55"/>
      <c r="I124" s="56"/>
      <c r="O124" s="25"/>
      <c r="P124" s="26"/>
      <c r="Q124" s="26"/>
      <c r="R124" s="26"/>
      <c r="S124" s="26"/>
      <c r="T124" s="26"/>
      <c r="U124" s="26"/>
      <c r="V124" s="26"/>
      <c r="W124" s="27"/>
      <c r="X124" s="50"/>
    </row>
    <row r="125" spans="2:24" x14ac:dyDescent="0.25">
      <c r="B125" s="2"/>
      <c r="C125" s="55"/>
      <c r="D125" s="55"/>
      <c r="I125" s="56"/>
      <c r="O125" s="25"/>
      <c r="P125" s="26"/>
      <c r="Q125" s="26"/>
      <c r="R125" s="26"/>
      <c r="S125" s="26"/>
      <c r="T125" s="26"/>
      <c r="U125" s="26"/>
      <c r="V125" s="26"/>
      <c r="W125" s="27"/>
      <c r="X125" s="50"/>
    </row>
    <row r="126" spans="2:24" x14ac:dyDescent="0.25">
      <c r="B126" s="2"/>
      <c r="C126" s="55"/>
      <c r="D126" s="55"/>
      <c r="I126" s="56"/>
      <c r="O126" s="25"/>
      <c r="P126" s="26"/>
      <c r="Q126" s="26"/>
      <c r="R126" s="26"/>
      <c r="S126" s="26"/>
      <c r="T126" s="26"/>
      <c r="U126" s="26"/>
      <c r="V126" s="26"/>
      <c r="W126" s="27"/>
      <c r="X126" s="50"/>
    </row>
    <row r="127" spans="2:24" x14ac:dyDescent="0.25">
      <c r="B127" s="2"/>
      <c r="C127" s="55"/>
      <c r="D127" s="55"/>
      <c r="I127" s="56"/>
      <c r="O127" s="25"/>
      <c r="P127" s="26"/>
      <c r="Q127" s="26"/>
      <c r="R127" s="26"/>
      <c r="S127" s="26"/>
      <c r="T127" s="26"/>
      <c r="U127" s="26"/>
      <c r="V127" s="26"/>
      <c r="W127" s="27"/>
      <c r="X127" s="50"/>
    </row>
    <row r="128" spans="2:24" x14ac:dyDescent="0.25">
      <c r="B128" s="2"/>
      <c r="C128" s="55"/>
      <c r="D128" s="55"/>
      <c r="I128" s="56"/>
      <c r="O128" s="25"/>
      <c r="P128" s="26"/>
      <c r="Q128" s="26"/>
      <c r="R128" s="26"/>
      <c r="S128" s="26"/>
      <c r="T128" s="26"/>
      <c r="U128" s="26"/>
      <c r="V128" s="26"/>
      <c r="W128" s="27"/>
      <c r="X128" s="50"/>
    </row>
    <row r="129" spans="2:24" x14ac:dyDescent="0.25">
      <c r="B129" s="2"/>
      <c r="C129" s="55"/>
      <c r="D129" s="55"/>
      <c r="I129" s="56"/>
      <c r="O129" s="25"/>
      <c r="P129" s="26"/>
      <c r="Q129" s="26"/>
      <c r="R129" s="26"/>
      <c r="S129" s="26"/>
      <c r="T129" s="26"/>
      <c r="U129" s="26"/>
      <c r="V129" s="26"/>
      <c r="W129" s="27"/>
      <c r="X129" s="50"/>
    </row>
    <row r="130" spans="2:24" x14ac:dyDescent="0.25">
      <c r="B130" s="2"/>
      <c r="C130" s="55"/>
      <c r="D130" s="55"/>
      <c r="I130" s="56"/>
      <c r="O130" s="25"/>
      <c r="P130" s="26"/>
      <c r="Q130" s="26"/>
      <c r="R130" s="26"/>
      <c r="S130" s="26"/>
      <c r="T130" s="26"/>
      <c r="U130" s="26"/>
      <c r="V130" s="26"/>
      <c r="W130" s="27"/>
      <c r="X130" s="50"/>
    </row>
    <row r="131" spans="2:24" x14ac:dyDescent="0.25">
      <c r="B131" s="2"/>
      <c r="C131" s="55"/>
      <c r="D131" s="55"/>
      <c r="I131" s="56"/>
      <c r="O131" s="25"/>
      <c r="P131" s="26"/>
      <c r="Q131" s="26"/>
      <c r="R131" s="26"/>
      <c r="S131" s="26"/>
      <c r="T131" s="26"/>
      <c r="U131" s="26"/>
      <c r="V131" s="26"/>
      <c r="W131" s="27"/>
      <c r="X131" s="50"/>
    </row>
    <row r="132" spans="2:24" x14ac:dyDescent="0.25">
      <c r="B132" s="2"/>
      <c r="C132" s="55"/>
      <c r="D132" s="55"/>
      <c r="I132" s="56"/>
      <c r="O132" s="25"/>
      <c r="P132" s="26"/>
      <c r="Q132" s="26"/>
      <c r="R132" s="26"/>
      <c r="S132" s="26"/>
      <c r="T132" s="26"/>
      <c r="U132" s="26"/>
      <c r="V132" s="26"/>
      <c r="W132" s="27"/>
      <c r="X132" s="50"/>
    </row>
    <row r="133" spans="2:24" x14ac:dyDescent="0.25">
      <c r="B133" s="2"/>
      <c r="C133" s="55"/>
      <c r="D133" s="55"/>
      <c r="I133" s="56"/>
      <c r="O133" s="25"/>
      <c r="P133" s="26"/>
      <c r="Q133" s="26"/>
      <c r="R133" s="26"/>
      <c r="S133" s="26"/>
      <c r="T133" s="26"/>
      <c r="U133" s="26"/>
      <c r="V133" s="26"/>
      <c r="W133" s="27"/>
      <c r="X133" s="50"/>
    </row>
    <row r="134" spans="2:24" x14ac:dyDescent="0.25">
      <c r="B134" s="2"/>
      <c r="C134" s="55"/>
      <c r="D134" s="55"/>
      <c r="I134" s="56"/>
      <c r="O134" s="25"/>
      <c r="P134" s="26"/>
      <c r="Q134" s="26"/>
      <c r="R134" s="26"/>
      <c r="S134" s="26"/>
      <c r="T134" s="26"/>
      <c r="U134" s="26"/>
      <c r="V134" s="26"/>
      <c r="W134" s="27"/>
      <c r="X134" s="50"/>
    </row>
    <row r="135" spans="2:24" x14ac:dyDescent="0.25">
      <c r="B135" s="2"/>
      <c r="C135" s="55"/>
      <c r="D135" s="55"/>
      <c r="I135" s="56"/>
      <c r="O135" s="25"/>
      <c r="P135" s="26"/>
      <c r="Q135" s="26"/>
      <c r="R135" s="26"/>
      <c r="S135" s="26"/>
      <c r="T135" s="26"/>
      <c r="U135" s="26"/>
      <c r="V135" s="26"/>
      <c r="W135" s="27"/>
      <c r="X135" s="50"/>
    </row>
    <row r="136" spans="2:24" x14ac:dyDescent="0.25">
      <c r="B136" s="2"/>
      <c r="C136" s="55"/>
      <c r="D136" s="55"/>
      <c r="I136" s="56"/>
      <c r="O136" s="25"/>
      <c r="P136" s="26"/>
      <c r="Q136" s="26"/>
      <c r="R136" s="26"/>
      <c r="S136" s="26"/>
      <c r="T136" s="26"/>
      <c r="U136" s="26"/>
      <c r="V136" s="26"/>
      <c r="W136" s="27"/>
      <c r="X136" s="50"/>
    </row>
    <row r="137" spans="2:24" x14ac:dyDescent="0.25">
      <c r="B137" s="2"/>
      <c r="C137" s="55"/>
      <c r="D137" s="55"/>
      <c r="I137" s="56"/>
      <c r="O137" s="25"/>
      <c r="P137" s="26"/>
      <c r="Q137" s="26"/>
      <c r="R137" s="26"/>
      <c r="S137" s="26"/>
      <c r="T137" s="26"/>
      <c r="U137" s="26"/>
      <c r="V137" s="26"/>
      <c r="W137" s="27"/>
      <c r="X137" s="50"/>
    </row>
    <row r="138" spans="2:24" x14ac:dyDescent="0.25">
      <c r="B138" s="2"/>
      <c r="C138" s="55"/>
      <c r="D138" s="55"/>
      <c r="I138" s="56"/>
      <c r="O138" s="25"/>
      <c r="P138" s="26"/>
      <c r="Q138" s="26"/>
      <c r="R138" s="26"/>
      <c r="S138" s="26"/>
      <c r="T138" s="26"/>
      <c r="U138" s="26"/>
      <c r="V138" s="26"/>
      <c r="W138" s="27"/>
      <c r="X138" s="50"/>
    </row>
    <row r="139" spans="2:24" x14ac:dyDescent="0.25">
      <c r="B139" s="2"/>
      <c r="C139" s="55"/>
      <c r="D139" s="55"/>
      <c r="I139" s="56"/>
      <c r="O139" s="25"/>
      <c r="P139" s="26"/>
      <c r="Q139" s="26"/>
      <c r="R139" s="26"/>
      <c r="S139" s="26"/>
      <c r="T139" s="26"/>
      <c r="U139" s="26"/>
      <c r="V139" s="26"/>
      <c r="W139" s="27"/>
      <c r="X139" s="50"/>
    </row>
    <row r="140" spans="2:24" x14ac:dyDescent="0.25">
      <c r="B140" s="2"/>
      <c r="C140" s="55"/>
      <c r="D140" s="55"/>
      <c r="I140" s="56"/>
      <c r="O140" s="25"/>
      <c r="P140" s="26"/>
      <c r="Q140" s="26"/>
      <c r="R140" s="26"/>
      <c r="S140" s="26"/>
      <c r="T140" s="26"/>
      <c r="U140" s="26"/>
      <c r="V140" s="26"/>
      <c r="W140" s="27"/>
      <c r="X140" s="50"/>
    </row>
    <row r="141" spans="2:24" x14ac:dyDescent="0.25">
      <c r="B141" s="2"/>
      <c r="C141" s="55"/>
      <c r="D141" s="55"/>
      <c r="I141" s="56"/>
      <c r="O141" s="25"/>
      <c r="P141" s="26"/>
      <c r="Q141" s="26"/>
      <c r="R141" s="26"/>
      <c r="S141" s="26"/>
      <c r="T141" s="26"/>
      <c r="U141" s="26"/>
      <c r="V141" s="26"/>
      <c r="W141" s="27"/>
      <c r="X141" s="50"/>
    </row>
    <row r="142" spans="2:24" x14ac:dyDescent="0.25">
      <c r="B142" s="2"/>
      <c r="C142" s="55"/>
      <c r="D142" s="55"/>
      <c r="I142" s="56"/>
      <c r="O142" s="25"/>
      <c r="P142" s="26"/>
      <c r="Q142" s="26"/>
      <c r="R142" s="26"/>
      <c r="S142" s="26"/>
      <c r="T142" s="26"/>
      <c r="U142" s="26"/>
      <c r="V142" s="26"/>
      <c r="W142" s="27"/>
      <c r="X142" s="50"/>
    </row>
    <row r="143" spans="2:24" x14ac:dyDescent="0.25">
      <c r="B143" s="2"/>
      <c r="C143" s="55"/>
      <c r="D143" s="55"/>
      <c r="I143" s="56"/>
      <c r="O143" s="25"/>
      <c r="P143" s="26"/>
      <c r="Q143" s="26"/>
      <c r="R143" s="26"/>
      <c r="S143" s="26"/>
      <c r="T143" s="26"/>
      <c r="U143" s="26"/>
      <c r="V143" s="26"/>
      <c r="W143" s="27"/>
      <c r="X143" s="50"/>
    </row>
    <row r="144" spans="2:24" x14ac:dyDescent="0.25">
      <c r="B144" s="2"/>
      <c r="C144" s="55"/>
      <c r="D144" s="55"/>
      <c r="I144" s="56"/>
      <c r="O144" s="25"/>
      <c r="P144" s="26"/>
      <c r="Q144" s="26"/>
      <c r="R144" s="26"/>
      <c r="S144" s="26"/>
      <c r="T144" s="26"/>
      <c r="U144" s="26"/>
      <c r="V144" s="26"/>
      <c r="W144" s="27"/>
      <c r="X144" s="50"/>
    </row>
    <row r="145" spans="2:24" x14ac:dyDescent="0.25">
      <c r="B145" s="2"/>
      <c r="C145" s="55"/>
      <c r="D145" s="55"/>
      <c r="I145" s="56"/>
      <c r="O145" s="25"/>
      <c r="P145" s="26"/>
      <c r="Q145" s="26"/>
      <c r="R145" s="26"/>
      <c r="S145" s="26"/>
      <c r="T145" s="26"/>
      <c r="U145" s="26"/>
      <c r="V145" s="26"/>
      <c r="W145" s="27"/>
      <c r="X145" s="50"/>
    </row>
    <row r="146" spans="2:24" x14ac:dyDescent="0.25">
      <c r="B146" s="2"/>
      <c r="C146" s="55"/>
      <c r="D146" s="55"/>
      <c r="I146" s="56"/>
      <c r="O146" s="25"/>
      <c r="P146" s="26"/>
      <c r="Q146" s="26"/>
      <c r="R146" s="26"/>
      <c r="S146" s="26"/>
      <c r="T146" s="26"/>
      <c r="U146" s="26"/>
      <c r="V146" s="26"/>
      <c r="W146" s="27"/>
      <c r="X146" s="50"/>
    </row>
    <row r="147" spans="2:24" x14ac:dyDescent="0.25">
      <c r="B147" s="2"/>
      <c r="C147" s="55"/>
      <c r="D147" s="55"/>
      <c r="I147" s="56"/>
      <c r="O147" s="25"/>
      <c r="P147" s="26"/>
      <c r="Q147" s="26"/>
      <c r="R147" s="26"/>
      <c r="S147" s="26"/>
      <c r="T147" s="26"/>
      <c r="U147" s="26"/>
      <c r="V147" s="26"/>
      <c r="W147" s="27"/>
      <c r="X147" s="50"/>
    </row>
    <row r="148" spans="2:24" x14ac:dyDescent="0.25">
      <c r="B148" s="2"/>
      <c r="C148" s="55"/>
      <c r="D148" s="55"/>
      <c r="I148" s="56"/>
      <c r="O148" s="25"/>
      <c r="P148" s="26"/>
      <c r="Q148" s="26"/>
      <c r="R148" s="26"/>
      <c r="S148" s="26"/>
      <c r="T148" s="26"/>
      <c r="U148" s="26"/>
      <c r="V148" s="26"/>
      <c r="W148" s="27"/>
      <c r="X148" s="50"/>
    </row>
    <row r="149" spans="2:24" x14ac:dyDescent="0.25">
      <c r="B149" s="2"/>
      <c r="C149" s="55"/>
      <c r="D149" s="55"/>
      <c r="I149" s="56"/>
      <c r="O149" s="25"/>
      <c r="P149" s="26"/>
      <c r="Q149" s="26"/>
      <c r="R149" s="26"/>
      <c r="S149" s="26"/>
      <c r="T149" s="26"/>
      <c r="U149" s="26"/>
      <c r="V149" s="26"/>
      <c r="W149" s="27"/>
      <c r="X149" s="50"/>
    </row>
    <row r="150" spans="2:24" x14ac:dyDescent="0.25">
      <c r="B150" s="2"/>
      <c r="C150" s="55"/>
      <c r="D150" s="55"/>
      <c r="I150" s="56"/>
      <c r="O150" s="25"/>
      <c r="P150" s="26"/>
      <c r="Q150" s="26"/>
      <c r="R150" s="26"/>
      <c r="S150" s="26"/>
      <c r="T150" s="26"/>
      <c r="U150" s="26"/>
      <c r="V150" s="26"/>
      <c r="W150" s="27"/>
      <c r="X150" s="50"/>
    </row>
    <row r="151" spans="2:24" x14ac:dyDescent="0.25">
      <c r="B151" s="2"/>
      <c r="C151" s="55"/>
      <c r="D151" s="55"/>
      <c r="I151" s="56"/>
      <c r="O151" s="25"/>
      <c r="P151" s="26"/>
      <c r="Q151" s="26"/>
      <c r="R151" s="26"/>
      <c r="S151" s="26"/>
      <c r="T151" s="26"/>
      <c r="U151" s="26"/>
      <c r="V151" s="26"/>
      <c r="W151" s="27"/>
      <c r="X151" s="50"/>
    </row>
    <row r="152" spans="2:24" x14ac:dyDescent="0.25">
      <c r="B152" s="2"/>
      <c r="C152" s="55"/>
      <c r="D152" s="55"/>
      <c r="I152" s="56"/>
      <c r="O152" s="25"/>
      <c r="P152" s="26"/>
      <c r="Q152" s="26"/>
      <c r="R152" s="26"/>
      <c r="S152" s="26"/>
      <c r="T152" s="26"/>
      <c r="U152" s="26"/>
      <c r="V152" s="26"/>
      <c r="W152" s="27"/>
      <c r="X152" s="50"/>
    </row>
    <row r="153" spans="2:24" x14ac:dyDescent="0.25">
      <c r="B153" s="2"/>
      <c r="C153" s="55"/>
      <c r="D153" s="55"/>
      <c r="I153" s="56"/>
      <c r="O153" s="25"/>
      <c r="P153" s="26"/>
      <c r="Q153" s="26"/>
      <c r="R153" s="26"/>
      <c r="S153" s="26"/>
      <c r="T153" s="26"/>
      <c r="U153" s="26"/>
      <c r="V153" s="26"/>
      <c r="W153" s="27"/>
      <c r="X153" s="50"/>
    </row>
    <row r="154" spans="2:24" x14ac:dyDescent="0.25">
      <c r="B154" s="2"/>
      <c r="C154" s="55"/>
      <c r="D154" s="55"/>
      <c r="I154" s="56"/>
      <c r="O154" s="25"/>
      <c r="P154" s="26"/>
      <c r="Q154" s="26"/>
      <c r="R154" s="26"/>
      <c r="S154" s="26"/>
      <c r="T154" s="26"/>
      <c r="U154" s="26"/>
      <c r="V154" s="26"/>
      <c r="W154" s="27"/>
      <c r="X154" s="50"/>
    </row>
    <row r="155" spans="2:24" x14ac:dyDescent="0.25">
      <c r="B155" s="2"/>
      <c r="C155" s="55"/>
      <c r="D155" s="55"/>
      <c r="I155" s="56"/>
      <c r="O155" s="25"/>
      <c r="P155" s="26"/>
      <c r="Q155" s="26"/>
      <c r="R155" s="26"/>
      <c r="S155" s="26"/>
      <c r="T155" s="26"/>
      <c r="U155" s="26"/>
      <c r="V155" s="26"/>
      <c r="W155" s="27"/>
      <c r="X155" s="50"/>
    </row>
    <row r="156" spans="2:24" x14ac:dyDescent="0.25">
      <c r="B156" s="2"/>
      <c r="C156" s="55"/>
      <c r="D156" s="55"/>
      <c r="I156" s="56"/>
      <c r="O156" s="25"/>
      <c r="P156" s="26"/>
      <c r="Q156" s="26"/>
      <c r="R156" s="26"/>
      <c r="S156" s="26"/>
      <c r="T156" s="26"/>
      <c r="U156" s="26"/>
      <c r="V156" s="26"/>
      <c r="W156" s="27"/>
      <c r="X156" s="50"/>
    </row>
    <row r="157" spans="2:24" x14ac:dyDescent="0.25">
      <c r="B157" s="2"/>
      <c r="C157" s="55"/>
      <c r="D157" s="55"/>
      <c r="I157" s="56"/>
      <c r="O157" s="25"/>
      <c r="P157" s="26"/>
      <c r="Q157" s="26"/>
      <c r="R157" s="26"/>
      <c r="S157" s="26"/>
      <c r="T157" s="26"/>
      <c r="U157" s="26"/>
      <c r="V157" s="26"/>
      <c r="W157" s="27"/>
      <c r="X157" s="50"/>
    </row>
    <row r="158" spans="2:24" x14ac:dyDescent="0.25">
      <c r="B158" s="2"/>
      <c r="C158" s="55"/>
      <c r="D158" s="55"/>
      <c r="I158" s="56"/>
      <c r="O158" s="25"/>
      <c r="P158" s="26"/>
      <c r="Q158" s="26"/>
      <c r="R158" s="26"/>
      <c r="S158" s="26"/>
      <c r="T158" s="26"/>
      <c r="U158" s="26"/>
      <c r="V158" s="26"/>
      <c r="W158" s="27"/>
      <c r="X158" s="50"/>
    </row>
    <row r="159" spans="2:24" x14ac:dyDescent="0.25">
      <c r="B159" s="2"/>
      <c r="C159" s="55"/>
      <c r="D159" s="55"/>
      <c r="I159" s="56"/>
      <c r="O159" s="25"/>
      <c r="P159" s="26"/>
      <c r="Q159" s="26"/>
      <c r="R159" s="26"/>
      <c r="S159" s="26"/>
      <c r="T159" s="26"/>
      <c r="U159" s="26"/>
      <c r="V159" s="26"/>
      <c r="W159" s="27"/>
      <c r="X159" s="50"/>
    </row>
    <row r="160" spans="2:24" x14ac:dyDescent="0.25">
      <c r="B160" s="2"/>
      <c r="C160" s="55"/>
      <c r="D160" s="55"/>
      <c r="I160" s="56"/>
      <c r="O160" s="25"/>
      <c r="P160" s="26"/>
      <c r="Q160" s="26"/>
      <c r="R160" s="26"/>
      <c r="S160" s="26"/>
      <c r="T160" s="26"/>
      <c r="U160" s="26"/>
      <c r="V160" s="26"/>
      <c r="W160" s="27"/>
      <c r="X160" s="50"/>
    </row>
    <row r="161" spans="2:24" x14ac:dyDescent="0.25">
      <c r="B161" s="2"/>
      <c r="C161" s="55"/>
      <c r="D161" s="55"/>
      <c r="I161" s="56"/>
      <c r="O161" s="25"/>
      <c r="P161" s="26"/>
      <c r="Q161" s="26"/>
      <c r="R161" s="26"/>
      <c r="S161" s="26"/>
      <c r="T161" s="26"/>
      <c r="U161" s="26"/>
      <c r="V161" s="26"/>
      <c r="W161" s="27"/>
      <c r="X161" s="50"/>
    </row>
    <row r="162" spans="2:24" x14ac:dyDescent="0.25">
      <c r="B162" s="2"/>
      <c r="C162" s="55"/>
      <c r="D162" s="55"/>
      <c r="I162" s="56"/>
      <c r="O162" s="25"/>
      <c r="P162" s="26"/>
      <c r="Q162" s="26"/>
      <c r="R162" s="26"/>
      <c r="S162" s="26"/>
      <c r="T162" s="26"/>
      <c r="U162" s="26"/>
      <c r="V162" s="26"/>
      <c r="W162" s="27"/>
      <c r="X162" s="50"/>
    </row>
    <row r="163" spans="2:24" x14ac:dyDescent="0.25">
      <c r="B163" s="2"/>
      <c r="C163" s="55"/>
      <c r="D163" s="55"/>
      <c r="I163" s="56"/>
      <c r="O163" s="25"/>
      <c r="P163" s="26"/>
      <c r="Q163" s="26"/>
      <c r="R163" s="26"/>
      <c r="S163" s="26"/>
      <c r="T163" s="26"/>
      <c r="U163" s="26"/>
      <c r="V163" s="26"/>
      <c r="W163" s="27"/>
      <c r="X163" s="50"/>
    </row>
    <row r="164" spans="2:24" x14ac:dyDescent="0.25">
      <c r="B164" s="2"/>
      <c r="C164" s="55"/>
      <c r="D164" s="55"/>
      <c r="I164" s="56"/>
      <c r="O164" s="25"/>
      <c r="P164" s="26"/>
      <c r="Q164" s="26"/>
      <c r="R164" s="26"/>
      <c r="S164" s="26"/>
      <c r="T164" s="26"/>
      <c r="U164" s="26"/>
      <c r="V164" s="26"/>
      <c r="W164" s="27"/>
      <c r="X164" s="50"/>
    </row>
    <row r="165" spans="2:24" x14ac:dyDescent="0.25">
      <c r="B165" s="2"/>
      <c r="C165" s="55"/>
      <c r="D165" s="55"/>
      <c r="I165" s="56"/>
      <c r="O165" s="25"/>
      <c r="P165" s="26"/>
      <c r="Q165" s="26"/>
      <c r="R165" s="26"/>
      <c r="S165" s="26"/>
      <c r="T165" s="26"/>
      <c r="U165" s="26"/>
      <c r="V165" s="26"/>
      <c r="W165" s="27"/>
      <c r="X165" s="50"/>
    </row>
    <row r="166" spans="2:24" x14ac:dyDescent="0.25">
      <c r="B166" s="2"/>
      <c r="C166" s="55"/>
      <c r="D166" s="55"/>
      <c r="I166" s="56"/>
      <c r="O166" s="25"/>
      <c r="P166" s="26"/>
      <c r="Q166" s="26"/>
      <c r="R166" s="26"/>
      <c r="S166" s="26"/>
      <c r="T166" s="26"/>
      <c r="U166" s="26"/>
      <c r="V166" s="26"/>
      <c r="W166" s="27"/>
      <c r="X166" s="50"/>
    </row>
    <row r="167" spans="2:24" x14ac:dyDescent="0.25">
      <c r="B167" s="2"/>
      <c r="C167" s="55"/>
      <c r="D167" s="55"/>
      <c r="I167" s="56"/>
      <c r="O167" s="25"/>
      <c r="P167" s="26"/>
      <c r="Q167" s="26"/>
      <c r="R167" s="26"/>
      <c r="S167" s="26"/>
      <c r="T167" s="26"/>
      <c r="U167" s="26"/>
      <c r="V167" s="26"/>
      <c r="W167" s="27"/>
      <c r="X167" s="50"/>
    </row>
    <row r="168" spans="2:24" x14ac:dyDescent="0.25">
      <c r="B168" s="2"/>
      <c r="C168" s="55"/>
      <c r="D168" s="55"/>
      <c r="I168" s="56"/>
      <c r="O168" s="25"/>
      <c r="P168" s="26"/>
      <c r="Q168" s="26"/>
      <c r="R168" s="26"/>
      <c r="S168" s="26"/>
      <c r="T168" s="26"/>
      <c r="U168" s="26"/>
      <c r="V168" s="26"/>
      <c r="W168" s="27"/>
      <c r="X168" s="50"/>
    </row>
    <row r="169" spans="2:24" x14ac:dyDescent="0.25">
      <c r="B169" s="2"/>
      <c r="C169" s="55"/>
      <c r="D169" s="55"/>
      <c r="I169" s="56"/>
      <c r="O169" s="25"/>
      <c r="P169" s="26"/>
      <c r="Q169" s="26"/>
      <c r="R169" s="26"/>
      <c r="S169" s="26"/>
      <c r="T169" s="26"/>
      <c r="U169" s="26"/>
      <c r="V169" s="26"/>
      <c r="W169" s="27"/>
      <c r="X169" s="50"/>
    </row>
    <row r="170" spans="2:24" x14ac:dyDescent="0.25">
      <c r="B170" s="2"/>
      <c r="C170" s="55"/>
      <c r="D170" s="55"/>
      <c r="I170" s="56"/>
      <c r="O170" s="25"/>
      <c r="P170" s="26"/>
      <c r="Q170" s="26"/>
      <c r="R170" s="26"/>
      <c r="S170" s="26"/>
      <c r="T170" s="26"/>
      <c r="U170" s="26"/>
      <c r="V170" s="26"/>
      <c r="W170" s="27"/>
      <c r="X170" s="50"/>
    </row>
    <row r="171" spans="2:24" x14ac:dyDescent="0.25">
      <c r="B171" s="2"/>
      <c r="C171" s="55"/>
      <c r="D171" s="55"/>
      <c r="I171" s="56"/>
      <c r="O171" s="25"/>
      <c r="P171" s="26"/>
      <c r="Q171" s="26"/>
      <c r="R171" s="26"/>
      <c r="S171" s="26"/>
      <c r="T171" s="26"/>
      <c r="U171" s="26"/>
      <c r="V171" s="26"/>
      <c r="W171" s="27"/>
      <c r="X171" s="50"/>
    </row>
    <row r="172" spans="2:24" x14ac:dyDescent="0.25">
      <c r="B172" s="2"/>
      <c r="C172" s="55"/>
      <c r="D172" s="55"/>
      <c r="I172" s="56"/>
      <c r="O172" s="25"/>
      <c r="P172" s="26"/>
      <c r="Q172" s="26"/>
      <c r="R172" s="26"/>
      <c r="S172" s="26"/>
      <c r="T172" s="26"/>
      <c r="U172" s="26"/>
      <c r="V172" s="26"/>
      <c r="W172" s="27"/>
      <c r="X172" s="50"/>
    </row>
    <row r="173" spans="2:24" x14ac:dyDescent="0.25">
      <c r="B173" s="2"/>
      <c r="C173" s="55"/>
      <c r="D173" s="55"/>
      <c r="I173" s="56"/>
      <c r="O173" s="25"/>
      <c r="P173" s="26"/>
      <c r="Q173" s="26"/>
      <c r="R173" s="26"/>
      <c r="S173" s="26"/>
      <c r="T173" s="26"/>
      <c r="U173" s="26"/>
      <c r="V173" s="26"/>
      <c r="W173" s="27"/>
      <c r="X173" s="50"/>
    </row>
    <row r="174" spans="2:24" x14ac:dyDescent="0.25">
      <c r="B174" s="2"/>
      <c r="C174" s="55"/>
      <c r="D174" s="55"/>
      <c r="I174" s="56"/>
      <c r="O174" s="25"/>
      <c r="P174" s="26"/>
      <c r="Q174" s="26"/>
      <c r="R174" s="26"/>
      <c r="S174" s="26"/>
      <c r="T174" s="26"/>
      <c r="U174" s="26"/>
      <c r="V174" s="26"/>
      <c r="W174" s="27"/>
      <c r="X174" s="50"/>
    </row>
    <row r="175" spans="2:24" x14ac:dyDescent="0.25">
      <c r="B175" s="2"/>
      <c r="C175" s="55"/>
      <c r="D175" s="55"/>
      <c r="I175" s="56"/>
      <c r="O175" s="25"/>
      <c r="P175" s="26"/>
      <c r="Q175" s="26"/>
      <c r="R175" s="26"/>
      <c r="S175" s="26"/>
      <c r="T175" s="26"/>
      <c r="U175" s="26"/>
      <c r="V175" s="26"/>
      <c r="W175" s="27"/>
      <c r="X175" s="50"/>
    </row>
    <row r="176" spans="2:24" x14ac:dyDescent="0.25">
      <c r="B176" s="2"/>
      <c r="C176" s="55"/>
      <c r="D176" s="55"/>
      <c r="I176" s="56"/>
      <c r="O176" s="25"/>
      <c r="P176" s="26"/>
      <c r="Q176" s="26"/>
      <c r="R176" s="26"/>
      <c r="S176" s="26"/>
      <c r="T176" s="26"/>
      <c r="U176" s="26"/>
      <c r="V176" s="26"/>
      <c r="W176" s="27"/>
      <c r="X176" s="50"/>
    </row>
    <row r="177" spans="2:24" x14ac:dyDescent="0.25">
      <c r="B177" s="2"/>
      <c r="C177" s="55"/>
      <c r="D177" s="55"/>
      <c r="I177" s="56"/>
      <c r="O177" s="25"/>
      <c r="P177" s="26"/>
      <c r="Q177" s="26"/>
      <c r="R177" s="26"/>
      <c r="S177" s="26"/>
      <c r="T177" s="26"/>
      <c r="U177" s="26"/>
      <c r="V177" s="26"/>
      <c r="W177" s="27"/>
      <c r="X177" s="50"/>
    </row>
    <row r="178" spans="2:24" x14ac:dyDescent="0.25">
      <c r="B178" s="2"/>
      <c r="C178" s="55"/>
      <c r="D178" s="55"/>
      <c r="I178" s="56"/>
      <c r="O178" s="25"/>
      <c r="P178" s="26"/>
      <c r="Q178" s="26"/>
      <c r="R178" s="26"/>
      <c r="S178" s="26"/>
      <c r="T178" s="26"/>
      <c r="U178" s="26"/>
      <c r="V178" s="26"/>
      <c r="W178" s="27"/>
      <c r="X178" s="50"/>
    </row>
    <row r="179" spans="2:24" x14ac:dyDescent="0.25">
      <c r="B179" s="2"/>
      <c r="C179" s="55"/>
      <c r="D179" s="55"/>
      <c r="I179" s="56"/>
      <c r="O179" s="25"/>
      <c r="P179" s="26"/>
      <c r="Q179" s="26"/>
      <c r="R179" s="26"/>
      <c r="S179" s="26"/>
      <c r="T179" s="26"/>
      <c r="U179" s="26"/>
      <c r="V179" s="26"/>
      <c r="W179" s="27"/>
      <c r="X179" s="50"/>
    </row>
    <row r="180" spans="2:24" x14ac:dyDescent="0.25">
      <c r="B180" s="2"/>
      <c r="C180" s="55"/>
      <c r="D180" s="55"/>
      <c r="I180" s="56"/>
      <c r="O180" s="25"/>
      <c r="P180" s="26"/>
      <c r="Q180" s="26"/>
      <c r="R180" s="26"/>
      <c r="S180" s="26"/>
      <c r="T180" s="26"/>
      <c r="U180" s="26"/>
      <c r="V180" s="26"/>
      <c r="W180" s="27"/>
      <c r="X180" s="50"/>
    </row>
    <row r="181" spans="2:24" x14ac:dyDescent="0.25">
      <c r="B181" s="2"/>
      <c r="C181" s="55"/>
      <c r="D181" s="55"/>
      <c r="I181" s="56"/>
      <c r="O181" s="25"/>
      <c r="P181" s="26"/>
      <c r="Q181" s="26"/>
      <c r="R181" s="26"/>
      <c r="S181" s="26"/>
      <c r="T181" s="26"/>
      <c r="U181" s="26"/>
      <c r="V181" s="26"/>
      <c r="W181" s="27"/>
      <c r="X181" s="50"/>
    </row>
    <row r="182" spans="2:24" x14ac:dyDescent="0.25">
      <c r="B182" s="2"/>
      <c r="C182" s="55"/>
      <c r="D182" s="55"/>
      <c r="I182" s="56"/>
      <c r="O182" s="25"/>
      <c r="P182" s="26"/>
      <c r="Q182" s="26"/>
      <c r="R182" s="26"/>
      <c r="S182" s="26"/>
      <c r="T182" s="26"/>
      <c r="U182" s="26"/>
      <c r="V182" s="26"/>
      <c r="W182" s="27"/>
      <c r="X182" s="50"/>
    </row>
    <row r="183" spans="2:24" x14ac:dyDescent="0.25">
      <c r="B183" s="2"/>
      <c r="C183" s="55"/>
      <c r="D183" s="55"/>
      <c r="I183" s="56"/>
      <c r="O183" s="25"/>
      <c r="P183" s="26"/>
      <c r="Q183" s="26"/>
      <c r="R183" s="26"/>
      <c r="S183" s="26"/>
      <c r="T183" s="26"/>
      <c r="U183" s="26"/>
      <c r="V183" s="26"/>
      <c r="W183" s="27"/>
      <c r="X183" s="50"/>
    </row>
    <row r="184" spans="2:24" x14ac:dyDescent="0.25">
      <c r="B184" s="2"/>
      <c r="C184" s="55"/>
      <c r="D184" s="55"/>
      <c r="I184" s="56"/>
      <c r="O184" s="25"/>
      <c r="P184" s="26"/>
      <c r="Q184" s="26"/>
      <c r="R184" s="26"/>
      <c r="S184" s="26"/>
      <c r="T184" s="26"/>
      <c r="U184" s="26"/>
      <c r="V184" s="26"/>
      <c r="W184" s="27"/>
      <c r="X184" s="50"/>
    </row>
    <row r="185" spans="2:24" x14ac:dyDescent="0.25">
      <c r="B185" s="2"/>
      <c r="C185" s="55"/>
      <c r="D185" s="55"/>
      <c r="I185" s="56"/>
      <c r="O185" s="25"/>
      <c r="P185" s="26"/>
      <c r="Q185" s="26"/>
      <c r="R185" s="26"/>
      <c r="S185" s="26"/>
      <c r="T185" s="26"/>
      <c r="U185" s="26"/>
      <c r="V185" s="26"/>
      <c r="W185" s="27"/>
      <c r="X185" s="50"/>
    </row>
    <row r="186" spans="2:24" x14ac:dyDescent="0.25">
      <c r="B186" s="2"/>
      <c r="C186" s="55"/>
      <c r="D186" s="55"/>
      <c r="I186" s="56"/>
      <c r="O186" s="25"/>
      <c r="P186" s="26"/>
      <c r="Q186" s="26"/>
      <c r="R186" s="26"/>
      <c r="S186" s="26"/>
      <c r="T186" s="26"/>
      <c r="U186" s="26"/>
      <c r="V186" s="26"/>
      <c r="W186" s="27"/>
      <c r="X186" s="50"/>
    </row>
    <row r="187" spans="2:24" x14ac:dyDescent="0.25">
      <c r="B187" s="2"/>
      <c r="C187" s="55"/>
      <c r="D187" s="55"/>
      <c r="I187" s="56"/>
      <c r="O187" s="25"/>
      <c r="P187" s="26"/>
      <c r="Q187" s="26"/>
      <c r="R187" s="26"/>
      <c r="S187" s="26"/>
      <c r="T187" s="26"/>
      <c r="U187" s="26"/>
      <c r="V187" s="26"/>
      <c r="W187" s="27"/>
      <c r="X187" s="50"/>
    </row>
    <row r="188" spans="2:24" x14ac:dyDescent="0.25">
      <c r="B188" s="2"/>
      <c r="C188" s="55"/>
      <c r="D188" s="55"/>
      <c r="I188" s="56"/>
      <c r="O188" s="25"/>
      <c r="P188" s="26"/>
      <c r="Q188" s="26"/>
      <c r="R188" s="26"/>
      <c r="S188" s="26"/>
      <c r="T188" s="26"/>
      <c r="U188" s="26"/>
      <c r="V188" s="26"/>
      <c r="W188" s="27"/>
      <c r="X188" s="50"/>
    </row>
    <row r="189" spans="2:24" x14ac:dyDescent="0.25">
      <c r="B189" s="2"/>
      <c r="C189" s="55"/>
      <c r="D189" s="55"/>
      <c r="I189" s="56"/>
      <c r="O189" s="25"/>
      <c r="P189" s="26"/>
      <c r="Q189" s="26"/>
      <c r="R189" s="26"/>
      <c r="S189" s="26"/>
      <c r="T189" s="26"/>
      <c r="U189" s="26"/>
      <c r="V189" s="26"/>
      <c r="W189" s="27"/>
      <c r="X189" s="50"/>
    </row>
    <row r="190" spans="2:24" x14ac:dyDescent="0.25">
      <c r="B190" s="2"/>
      <c r="C190" s="55"/>
      <c r="D190" s="55"/>
      <c r="I190" s="56"/>
      <c r="O190" s="25"/>
      <c r="P190" s="26"/>
      <c r="Q190" s="26"/>
      <c r="R190" s="26"/>
      <c r="S190" s="26"/>
      <c r="T190" s="26"/>
      <c r="U190" s="26"/>
      <c r="V190" s="26"/>
      <c r="W190" s="27"/>
      <c r="X190" s="50"/>
    </row>
    <row r="191" spans="2:24" x14ac:dyDescent="0.25">
      <c r="B191" s="2"/>
      <c r="C191" s="55"/>
      <c r="D191" s="55"/>
      <c r="I191" s="56"/>
      <c r="O191" s="25"/>
      <c r="P191" s="26"/>
      <c r="Q191" s="26"/>
      <c r="R191" s="26"/>
      <c r="S191" s="26"/>
      <c r="T191" s="26"/>
      <c r="U191" s="26"/>
      <c r="V191" s="26"/>
      <c r="W191" s="27"/>
      <c r="X191" s="50"/>
    </row>
    <row r="192" spans="2:24" x14ac:dyDescent="0.25">
      <c r="B192" s="2"/>
      <c r="C192" s="55"/>
      <c r="D192" s="55"/>
      <c r="I192" s="56"/>
      <c r="O192" s="25"/>
      <c r="P192" s="26"/>
      <c r="Q192" s="26"/>
      <c r="R192" s="26"/>
      <c r="S192" s="26"/>
      <c r="T192" s="26"/>
      <c r="U192" s="26"/>
      <c r="V192" s="26"/>
      <c r="W192" s="27"/>
      <c r="X192" s="50"/>
    </row>
    <row r="193" spans="2:24" x14ac:dyDescent="0.25">
      <c r="B193" s="2"/>
      <c r="C193" s="55"/>
      <c r="D193" s="55"/>
      <c r="I193" s="56"/>
      <c r="O193" s="25"/>
      <c r="P193" s="26"/>
      <c r="Q193" s="26"/>
      <c r="R193" s="26"/>
      <c r="S193" s="26"/>
      <c r="T193" s="26"/>
      <c r="U193" s="26"/>
      <c r="V193" s="26"/>
      <c r="W193" s="27"/>
      <c r="X193" s="50"/>
    </row>
    <row r="194" spans="2:24" x14ac:dyDescent="0.25">
      <c r="B194" s="2"/>
      <c r="C194" s="55"/>
      <c r="D194" s="55"/>
      <c r="I194" s="56"/>
      <c r="O194" s="25"/>
      <c r="P194" s="26"/>
      <c r="Q194" s="26"/>
      <c r="R194" s="26"/>
      <c r="S194" s="26"/>
      <c r="T194" s="26"/>
      <c r="U194" s="26"/>
      <c r="V194" s="26"/>
      <c r="W194" s="27"/>
      <c r="X194" s="50"/>
    </row>
    <row r="195" spans="2:24" x14ac:dyDescent="0.25">
      <c r="B195" s="2"/>
      <c r="C195" s="55"/>
      <c r="D195" s="55"/>
      <c r="I195" s="56"/>
      <c r="O195" s="25"/>
      <c r="P195" s="26"/>
      <c r="Q195" s="26"/>
      <c r="R195" s="26"/>
      <c r="S195" s="26"/>
      <c r="T195" s="26"/>
      <c r="U195" s="26"/>
      <c r="V195" s="26"/>
      <c r="W195" s="27"/>
      <c r="X195" s="50"/>
    </row>
    <row r="196" spans="2:24" x14ac:dyDescent="0.25">
      <c r="B196" s="2"/>
      <c r="C196" s="55"/>
      <c r="D196" s="55"/>
      <c r="I196" s="56"/>
      <c r="O196" s="25"/>
      <c r="P196" s="26"/>
      <c r="Q196" s="26"/>
      <c r="R196" s="26"/>
      <c r="S196" s="26"/>
      <c r="T196" s="26"/>
      <c r="U196" s="26"/>
      <c r="V196" s="26"/>
      <c r="W196" s="27"/>
      <c r="X196" s="50"/>
    </row>
    <row r="197" spans="2:24" x14ac:dyDescent="0.25">
      <c r="B197" s="2"/>
      <c r="C197" s="55"/>
      <c r="D197" s="55"/>
      <c r="I197" s="56"/>
      <c r="O197" s="25"/>
      <c r="P197" s="26"/>
      <c r="Q197" s="26"/>
      <c r="R197" s="26"/>
      <c r="S197" s="26"/>
      <c r="T197" s="26"/>
      <c r="U197" s="26"/>
      <c r="V197" s="26"/>
      <c r="W197" s="27"/>
      <c r="X197" s="50"/>
    </row>
    <row r="198" spans="2:24" x14ac:dyDescent="0.25">
      <c r="B198" s="2"/>
      <c r="C198" s="55"/>
      <c r="D198" s="55"/>
      <c r="I198" s="56"/>
      <c r="O198" s="25"/>
      <c r="P198" s="26"/>
      <c r="Q198" s="26"/>
      <c r="R198" s="26"/>
      <c r="S198" s="26"/>
      <c r="T198" s="26"/>
      <c r="U198" s="26"/>
      <c r="V198" s="26"/>
      <c r="W198" s="27"/>
      <c r="X198" s="50"/>
    </row>
    <row r="199" spans="2:24" x14ac:dyDescent="0.25">
      <c r="B199" s="2"/>
      <c r="C199" s="55"/>
      <c r="D199" s="55"/>
      <c r="I199" s="56"/>
      <c r="O199" s="25"/>
      <c r="P199" s="26"/>
      <c r="Q199" s="26"/>
      <c r="R199" s="26"/>
      <c r="S199" s="26"/>
      <c r="T199" s="26"/>
      <c r="U199" s="26"/>
      <c r="V199" s="26"/>
      <c r="W199" s="27"/>
      <c r="X199" s="50"/>
    </row>
    <row r="200" spans="2:24" x14ac:dyDescent="0.25">
      <c r="B200" s="2"/>
      <c r="C200" s="55"/>
      <c r="D200" s="55"/>
      <c r="I200" s="56"/>
      <c r="O200" s="25"/>
      <c r="P200" s="26"/>
      <c r="Q200" s="26"/>
      <c r="R200" s="26"/>
      <c r="S200" s="26"/>
      <c r="T200" s="26"/>
      <c r="U200" s="26"/>
      <c r="V200" s="26"/>
      <c r="W200" s="27"/>
      <c r="X200" s="50"/>
    </row>
    <row r="201" spans="2:24" x14ac:dyDescent="0.25">
      <c r="B201" s="2"/>
      <c r="C201" s="55"/>
      <c r="D201" s="55"/>
      <c r="I201" s="56"/>
      <c r="O201" s="25"/>
      <c r="P201" s="26"/>
      <c r="Q201" s="26"/>
      <c r="R201" s="26"/>
      <c r="S201" s="26"/>
      <c r="T201" s="26"/>
      <c r="U201" s="26"/>
      <c r="V201" s="26"/>
      <c r="W201" s="27"/>
      <c r="X201" s="50"/>
    </row>
    <row r="202" spans="2:24" x14ac:dyDescent="0.25">
      <c r="B202" s="2"/>
      <c r="C202" s="55"/>
      <c r="D202" s="55"/>
      <c r="I202" s="56"/>
      <c r="O202" s="25"/>
      <c r="P202" s="26"/>
      <c r="Q202" s="26"/>
      <c r="R202" s="26"/>
      <c r="S202" s="26"/>
      <c r="T202" s="26"/>
      <c r="U202" s="26"/>
      <c r="V202" s="26"/>
      <c r="W202" s="27"/>
      <c r="X202" s="50"/>
    </row>
    <row r="203" spans="2:24" x14ac:dyDescent="0.25">
      <c r="B203" s="2"/>
      <c r="C203" s="55"/>
      <c r="D203" s="55"/>
      <c r="I203" s="56"/>
      <c r="O203" s="25"/>
      <c r="P203" s="26"/>
      <c r="Q203" s="26"/>
      <c r="R203" s="26"/>
      <c r="S203" s="26"/>
      <c r="T203" s="26"/>
      <c r="U203" s="26"/>
      <c r="V203" s="26"/>
      <c r="W203" s="27"/>
      <c r="X203" s="50"/>
    </row>
    <row r="204" spans="2:24" x14ac:dyDescent="0.25">
      <c r="B204" s="2"/>
      <c r="C204" s="55"/>
      <c r="D204" s="55"/>
      <c r="I204" s="56"/>
      <c r="O204" s="25"/>
      <c r="P204" s="26"/>
      <c r="Q204" s="26"/>
      <c r="R204" s="26"/>
      <c r="S204" s="26"/>
      <c r="T204" s="26"/>
      <c r="U204" s="26"/>
      <c r="V204" s="26"/>
      <c r="W204" s="27"/>
      <c r="X204" s="50"/>
    </row>
    <row r="205" spans="2:24" x14ac:dyDescent="0.25">
      <c r="B205" s="2"/>
      <c r="C205" s="55"/>
      <c r="D205" s="55"/>
      <c r="I205" s="56"/>
      <c r="O205" s="25"/>
      <c r="P205" s="26"/>
      <c r="Q205" s="26"/>
      <c r="R205" s="26"/>
      <c r="S205" s="26"/>
      <c r="T205" s="26"/>
      <c r="U205" s="26"/>
      <c r="V205" s="26"/>
      <c r="W205" s="27"/>
      <c r="X205" s="50"/>
    </row>
    <row r="206" spans="2:24" x14ac:dyDescent="0.25">
      <c r="B206" s="2"/>
      <c r="C206" s="55"/>
      <c r="D206" s="55"/>
      <c r="I206" s="56"/>
      <c r="O206" s="25"/>
      <c r="P206" s="26"/>
      <c r="Q206" s="26"/>
      <c r="R206" s="26"/>
      <c r="S206" s="26"/>
      <c r="T206" s="26"/>
      <c r="U206" s="26"/>
      <c r="V206" s="26"/>
      <c r="W206" s="27"/>
      <c r="X206" s="50"/>
    </row>
    <row r="207" spans="2:24" x14ac:dyDescent="0.25">
      <c r="B207" s="2"/>
      <c r="C207" s="55"/>
      <c r="D207" s="55"/>
      <c r="I207" s="56"/>
      <c r="O207" s="25"/>
      <c r="P207" s="26"/>
      <c r="Q207" s="26"/>
      <c r="R207" s="26"/>
      <c r="S207" s="26"/>
      <c r="T207" s="26"/>
      <c r="U207" s="26"/>
      <c r="V207" s="26"/>
      <c r="W207" s="27"/>
      <c r="X207" s="50"/>
    </row>
    <row r="208" spans="2:24" x14ac:dyDescent="0.25">
      <c r="B208" s="2"/>
      <c r="C208" s="55"/>
      <c r="D208" s="55"/>
      <c r="I208" s="56"/>
      <c r="O208" s="25"/>
      <c r="P208" s="26"/>
      <c r="Q208" s="26"/>
      <c r="R208" s="26"/>
      <c r="S208" s="26"/>
      <c r="T208" s="26"/>
      <c r="U208" s="26"/>
      <c r="V208" s="26"/>
      <c r="W208" s="27"/>
      <c r="X208" s="50"/>
    </row>
    <row r="209" spans="2:24" x14ac:dyDescent="0.25">
      <c r="B209" s="2"/>
      <c r="C209" s="55"/>
      <c r="D209" s="55"/>
      <c r="I209" s="56"/>
      <c r="O209" s="25"/>
      <c r="P209" s="26"/>
      <c r="Q209" s="26"/>
      <c r="R209" s="26"/>
      <c r="S209" s="26"/>
      <c r="T209" s="26"/>
      <c r="U209" s="26"/>
      <c r="V209" s="26"/>
      <c r="W209" s="27"/>
      <c r="X209" s="50"/>
    </row>
    <row r="210" spans="2:24" x14ac:dyDescent="0.25">
      <c r="B210" s="2"/>
      <c r="C210" s="55"/>
      <c r="D210" s="55"/>
      <c r="I210" s="56"/>
      <c r="O210" s="25"/>
      <c r="P210" s="26"/>
      <c r="Q210" s="26"/>
      <c r="R210" s="26"/>
      <c r="S210" s="26"/>
      <c r="T210" s="26"/>
      <c r="U210" s="26"/>
      <c r="V210" s="26"/>
      <c r="W210" s="27"/>
      <c r="X210" s="50"/>
    </row>
    <row r="211" spans="2:24" x14ac:dyDescent="0.25">
      <c r="B211" s="2"/>
      <c r="C211" s="55"/>
      <c r="D211" s="55"/>
      <c r="I211" s="56"/>
      <c r="O211" s="25"/>
      <c r="P211" s="26"/>
      <c r="Q211" s="26"/>
      <c r="R211" s="26"/>
      <c r="S211" s="26"/>
      <c r="T211" s="26"/>
      <c r="U211" s="26"/>
      <c r="V211" s="26"/>
      <c r="W211" s="27"/>
      <c r="X211" s="50"/>
    </row>
    <row r="212" spans="2:24" x14ac:dyDescent="0.25">
      <c r="B212" s="2"/>
      <c r="C212" s="55"/>
      <c r="D212" s="55"/>
      <c r="I212" s="56"/>
      <c r="O212" s="25"/>
      <c r="P212" s="26"/>
      <c r="Q212" s="26"/>
      <c r="R212" s="26"/>
      <c r="S212" s="26"/>
      <c r="T212" s="26"/>
      <c r="U212" s="26"/>
      <c r="V212" s="26"/>
      <c r="W212" s="27"/>
      <c r="X212" s="50"/>
    </row>
    <row r="213" spans="2:24" x14ac:dyDescent="0.25">
      <c r="B213" s="2"/>
      <c r="C213" s="55"/>
      <c r="D213" s="55"/>
      <c r="I213" s="56"/>
      <c r="O213" s="25"/>
      <c r="P213" s="26"/>
      <c r="Q213" s="26"/>
      <c r="R213" s="26"/>
      <c r="S213" s="26"/>
      <c r="T213" s="26"/>
      <c r="U213" s="26"/>
      <c r="V213" s="26"/>
      <c r="W213" s="27"/>
      <c r="X213" s="50"/>
    </row>
    <row r="214" spans="2:24" x14ac:dyDescent="0.25">
      <c r="B214" s="2"/>
      <c r="C214" s="55"/>
      <c r="D214" s="55"/>
      <c r="I214" s="56"/>
      <c r="O214" s="25"/>
      <c r="P214" s="26"/>
      <c r="Q214" s="26"/>
      <c r="R214" s="26"/>
      <c r="S214" s="26"/>
      <c r="T214" s="26"/>
      <c r="U214" s="26"/>
      <c r="V214" s="26"/>
      <c r="W214" s="27"/>
      <c r="X214" s="50"/>
    </row>
    <row r="215" spans="2:24" x14ac:dyDescent="0.25">
      <c r="B215" s="2"/>
      <c r="C215" s="55"/>
      <c r="D215" s="55"/>
      <c r="I215" s="56"/>
      <c r="O215" s="25"/>
      <c r="P215" s="26"/>
      <c r="Q215" s="26"/>
      <c r="R215" s="26"/>
      <c r="S215" s="26"/>
      <c r="T215" s="26"/>
      <c r="U215" s="26"/>
      <c r="V215" s="26"/>
      <c r="W215" s="27"/>
      <c r="X215" s="50"/>
    </row>
    <row r="216" spans="2:24" x14ac:dyDescent="0.25">
      <c r="B216" s="2"/>
      <c r="C216" s="55"/>
      <c r="D216" s="55"/>
      <c r="I216" s="56"/>
      <c r="O216" s="25"/>
      <c r="P216" s="26"/>
      <c r="Q216" s="26"/>
      <c r="R216" s="26"/>
      <c r="S216" s="26"/>
      <c r="T216" s="26"/>
      <c r="U216" s="26"/>
      <c r="V216" s="26"/>
      <c r="W216" s="27"/>
      <c r="X216" s="50"/>
    </row>
    <row r="217" spans="2:24" x14ac:dyDescent="0.25">
      <c r="B217" s="2"/>
      <c r="C217" s="55"/>
      <c r="D217" s="55"/>
      <c r="I217" s="56"/>
      <c r="O217" s="25"/>
      <c r="P217" s="26"/>
      <c r="Q217" s="26"/>
      <c r="R217" s="26"/>
      <c r="S217" s="26"/>
      <c r="T217" s="26"/>
      <c r="U217" s="26"/>
      <c r="V217" s="26"/>
      <c r="W217" s="27"/>
      <c r="X217" s="50"/>
    </row>
    <row r="218" spans="2:24" x14ac:dyDescent="0.25">
      <c r="B218" s="2"/>
      <c r="C218" s="55"/>
      <c r="D218" s="55"/>
      <c r="I218" s="56"/>
      <c r="O218" s="25"/>
      <c r="P218" s="26"/>
      <c r="Q218" s="26"/>
      <c r="R218" s="26"/>
      <c r="S218" s="26"/>
      <c r="T218" s="26"/>
      <c r="U218" s="26"/>
      <c r="V218" s="26"/>
      <c r="W218" s="27"/>
      <c r="X218" s="50"/>
    </row>
    <row r="219" spans="2:24" x14ac:dyDescent="0.25">
      <c r="B219" s="2"/>
      <c r="C219" s="55"/>
      <c r="D219" s="55"/>
      <c r="I219" s="56"/>
      <c r="O219" s="25"/>
      <c r="P219" s="26"/>
      <c r="Q219" s="26"/>
      <c r="R219" s="26"/>
      <c r="S219" s="26"/>
      <c r="T219" s="26"/>
      <c r="U219" s="26"/>
      <c r="V219" s="26"/>
      <c r="W219" s="27"/>
      <c r="X219" s="50"/>
    </row>
    <row r="220" spans="2:24" x14ac:dyDescent="0.25">
      <c r="B220" s="2"/>
      <c r="C220" s="55"/>
      <c r="D220" s="55"/>
      <c r="I220" s="56"/>
      <c r="O220" s="25"/>
      <c r="P220" s="26"/>
      <c r="Q220" s="26"/>
      <c r="R220" s="26"/>
      <c r="S220" s="26"/>
      <c r="T220" s="26"/>
      <c r="U220" s="26"/>
      <c r="V220" s="26"/>
      <c r="W220" s="27"/>
      <c r="X220" s="50"/>
    </row>
    <row r="221" spans="2:24" x14ac:dyDescent="0.25">
      <c r="B221" s="2"/>
      <c r="C221" s="55"/>
      <c r="D221" s="55"/>
      <c r="I221" s="56"/>
      <c r="O221" s="25"/>
      <c r="P221" s="26"/>
      <c r="Q221" s="26"/>
      <c r="R221" s="26"/>
      <c r="S221" s="26"/>
      <c r="T221" s="26"/>
      <c r="U221" s="26"/>
      <c r="V221" s="26"/>
      <c r="W221" s="27"/>
      <c r="X221" s="50"/>
    </row>
    <row r="222" spans="2:24" x14ac:dyDescent="0.25">
      <c r="B222" s="2"/>
      <c r="C222" s="55"/>
      <c r="D222" s="55"/>
      <c r="I222" s="56"/>
      <c r="O222" s="25"/>
      <c r="P222" s="26"/>
      <c r="Q222" s="26"/>
      <c r="R222" s="26"/>
      <c r="S222" s="26"/>
      <c r="T222" s="26"/>
      <c r="U222" s="26"/>
      <c r="V222" s="26"/>
      <c r="W222" s="27"/>
      <c r="X222" s="50"/>
    </row>
    <row r="223" spans="2:24" x14ac:dyDescent="0.25">
      <c r="B223" s="2"/>
      <c r="C223" s="55"/>
      <c r="D223" s="55"/>
      <c r="I223" s="56"/>
      <c r="O223" s="25"/>
      <c r="P223" s="26"/>
      <c r="Q223" s="26"/>
      <c r="R223" s="26"/>
      <c r="S223" s="26"/>
      <c r="T223" s="26"/>
      <c r="U223" s="26"/>
      <c r="V223" s="26"/>
      <c r="W223" s="27"/>
      <c r="X223" s="50"/>
    </row>
    <row r="224" spans="2:24" x14ac:dyDescent="0.25">
      <c r="B224" s="2"/>
      <c r="C224" s="55"/>
      <c r="D224" s="55"/>
      <c r="I224" s="56"/>
      <c r="O224" s="25"/>
      <c r="P224" s="26"/>
      <c r="Q224" s="26"/>
      <c r="R224" s="26"/>
      <c r="S224" s="26"/>
      <c r="T224" s="26"/>
      <c r="U224" s="26"/>
      <c r="V224" s="26"/>
      <c r="W224" s="27"/>
      <c r="X224" s="50"/>
    </row>
    <row r="225" spans="2:24" x14ac:dyDescent="0.25">
      <c r="B225" s="2"/>
      <c r="C225" s="55"/>
      <c r="D225" s="55"/>
      <c r="I225" s="56"/>
      <c r="O225" s="25"/>
      <c r="P225" s="26"/>
      <c r="Q225" s="26"/>
      <c r="R225" s="26"/>
      <c r="S225" s="26"/>
      <c r="T225" s="26"/>
      <c r="U225" s="26"/>
      <c r="V225" s="26"/>
      <c r="W225" s="27"/>
      <c r="X225" s="50"/>
    </row>
    <row r="226" spans="2:24" x14ac:dyDescent="0.25">
      <c r="B226" s="2"/>
      <c r="C226" s="55"/>
      <c r="D226" s="55"/>
      <c r="I226" s="56"/>
      <c r="O226" s="25"/>
      <c r="P226" s="26"/>
      <c r="Q226" s="26"/>
      <c r="R226" s="26"/>
      <c r="S226" s="26"/>
      <c r="T226" s="26"/>
      <c r="U226" s="26"/>
      <c r="V226" s="26"/>
      <c r="W226" s="27"/>
      <c r="X226" s="50"/>
    </row>
    <row r="227" spans="2:24" x14ac:dyDescent="0.25">
      <c r="B227" s="2"/>
      <c r="C227" s="55"/>
      <c r="D227" s="55"/>
      <c r="I227" s="56"/>
      <c r="O227" s="25"/>
      <c r="P227" s="26"/>
      <c r="Q227" s="26"/>
      <c r="R227" s="26"/>
      <c r="S227" s="26"/>
      <c r="T227" s="26"/>
      <c r="U227" s="26"/>
      <c r="V227" s="26"/>
      <c r="W227" s="27"/>
      <c r="X227" s="50"/>
    </row>
    <row r="228" spans="2:24" x14ac:dyDescent="0.25">
      <c r="B228" s="2"/>
      <c r="C228" s="55"/>
      <c r="D228" s="55"/>
      <c r="I228" s="56"/>
      <c r="O228" s="25"/>
      <c r="P228" s="26"/>
      <c r="Q228" s="26"/>
      <c r="R228" s="26"/>
      <c r="S228" s="26"/>
      <c r="T228" s="26"/>
      <c r="U228" s="26"/>
      <c r="V228" s="26"/>
      <c r="W228" s="27"/>
      <c r="X228" s="50"/>
    </row>
    <row r="229" spans="2:24" x14ac:dyDescent="0.25">
      <c r="B229" s="2"/>
      <c r="C229" s="55"/>
      <c r="D229" s="55"/>
      <c r="I229" s="56"/>
      <c r="O229" s="25"/>
      <c r="P229" s="26"/>
      <c r="Q229" s="26"/>
      <c r="R229" s="26"/>
      <c r="S229" s="26"/>
      <c r="T229" s="26"/>
      <c r="U229" s="26"/>
      <c r="V229" s="26"/>
      <c r="W229" s="27"/>
      <c r="X229" s="50"/>
    </row>
    <row r="230" spans="2:24" x14ac:dyDescent="0.25">
      <c r="B230" s="2"/>
      <c r="C230" s="55"/>
      <c r="D230" s="55"/>
      <c r="I230" s="56"/>
      <c r="O230" s="25"/>
      <c r="P230" s="26"/>
      <c r="Q230" s="26"/>
      <c r="R230" s="26"/>
      <c r="S230" s="26"/>
      <c r="T230" s="26"/>
      <c r="U230" s="26"/>
      <c r="V230" s="26"/>
      <c r="W230" s="27"/>
      <c r="X230" s="50"/>
    </row>
    <row r="231" spans="2:24" x14ac:dyDescent="0.25">
      <c r="B231" s="2"/>
      <c r="C231" s="55"/>
      <c r="D231" s="55"/>
      <c r="I231" s="56"/>
      <c r="O231" s="25"/>
      <c r="P231" s="26"/>
      <c r="Q231" s="26"/>
      <c r="R231" s="26"/>
      <c r="S231" s="26"/>
      <c r="T231" s="26"/>
      <c r="U231" s="26"/>
      <c r="V231" s="26"/>
      <c r="W231" s="27"/>
      <c r="X231" s="50"/>
    </row>
    <row r="232" spans="2:24" x14ac:dyDescent="0.25">
      <c r="B232" s="2"/>
      <c r="C232" s="55"/>
      <c r="D232" s="55"/>
      <c r="I232" s="56"/>
      <c r="O232" s="25"/>
      <c r="P232" s="26"/>
      <c r="Q232" s="26"/>
      <c r="R232" s="26"/>
      <c r="S232" s="26"/>
      <c r="T232" s="26"/>
      <c r="U232" s="26"/>
      <c r="V232" s="26"/>
      <c r="W232" s="27"/>
      <c r="X232" s="50"/>
    </row>
    <row r="233" spans="2:24" x14ac:dyDescent="0.25">
      <c r="B233" s="2"/>
      <c r="C233" s="55"/>
      <c r="D233" s="55"/>
      <c r="I233" s="56"/>
      <c r="O233" s="25"/>
      <c r="P233" s="26"/>
      <c r="Q233" s="26"/>
      <c r="R233" s="26"/>
      <c r="S233" s="26"/>
      <c r="T233" s="26"/>
      <c r="U233" s="26"/>
      <c r="V233" s="26"/>
      <c r="W233" s="27"/>
      <c r="X233" s="50"/>
    </row>
    <row r="234" spans="2:24" x14ac:dyDescent="0.25">
      <c r="B234" s="2"/>
      <c r="C234" s="55"/>
      <c r="D234" s="55"/>
      <c r="I234" s="56"/>
      <c r="O234" s="25"/>
      <c r="P234" s="26"/>
      <c r="Q234" s="26"/>
      <c r="R234" s="26"/>
      <c r="S234" s="26"/>
      <c r="T234" s="26"/>
      <c r="U234" s="26"/>
      <c r="V234" s="26"/>
      <c r="W234" s="27"/>
      <c r="X234" s="50"/>
    </row>
    <row r="235" spans="2:24" x14ac:dyDescent="0.25">
      <c r="B235" s="2"/>
      <c r="C235" s="55"/>
      <c r="D235" s="55"/>
      <c r="I235" s="56"/>
      <c r="O235" s="25"/>
      <c r="P235" s="26"/>
      <c r="Q235" s="26"/>
      <c r="R235" s="26"/>
      <c r="S235" s="26"/>
      <c r="T235" s="26"/>
      <c r="U235" s="26"/>
      <c r="V235" s="26"/>
      <c r="W235" s="27"/>
      <c r="X235" s="50"/>
    </row>
    <row r="236" spans="2:24" x14ac:dyDescent="0.25">
      <c r="B236" s="2"/>
      <c r="C236" s="55"/>
      <c r="D236" s="55"/>
      <c r="I236" s="56"/>
      <c r="O236" s="25"/>
      <c r="P236" s="26"/>
      <c r="Q236" s="26"/>
      <c r="R236" s="26"/>
      <c r="S236" s="26"/>
      <c r="T236" s="26"/>
      <c r="U236" s="26"/>
      <c r="V236" s="26"/>
      <c r="W236" s="27"/>
      <c r="X236" s="50"/>
    </row>
    <row r="237" spans="2:24" x14ac:dyDescent="0.25">
      <c r="B237" s="2"/>
      <c r="C237" s="55"/>
      <c r="D237" s="55"/>
      <c r="I237" s="56"/>
      <c r="O237" s="25"/>
      <c r="P237" s="26"/>
      <c r="Q237" s="26"/>
      <c r="R237" s="26"/>
      <c r="S237" s="26"/>
      <c r="T237" s="26"/>
      <c r="U237" s="26"/>
      <c r="V237" s="26"/>
      <c r="W237" s="27"/>
      <c r="X237" s="50"/>
    </row>
    <row r="238" spans="2:24" x14ac:dyDescent="0.25">
      <c r="B238" s="2"/>
      <c r="C238" s="55"/>
      <c r="D238" s="55"/>
      <c r="I238" s="56"/>
      <c r="O238" s="25"/>
      <c r="P238" s="26"/>
      <c r="Q238" s="26"/>
      <c r="R238" s="26"/>
      <c r="S238" s="26"/>
      <c r="T238" s="26"/>
      <c r="U238" s="26"/>
      <c r="V238" s="26"/>
      <c r="W238" s="27"/>
      <c r="X238" s="50"/>
    </row>
    <row r="239" spans="2:24" x14ac:dyDescent="0.25">
      <c r="B239" s="2"/>
      <c r="C239" s="55"/>
      <c r="D239" s="55"/>
      <c r="I239" s="56"/>
      <c r="O239" s="25"/>
      <c r="P239" s="26"/>
      <c r="Q239" s="26"/>
      <c r="R239" s="26"/>
      <c r="S239" s="26"/>
      <c r="T239" s="26"/>
      <c r="U239" s="26"/>
      <c r="V239" s="26"/>
      <c r="W239" s="27"/>
      <c r="X239" s="50"/>
    </row>
    <row r="240" spans="2:24" x14ac:dyDescent="0.25">
      <c r="B240" s="2"/>
      <c r="C240" s="55"/>
      <c r="D240" s="55"/>
      <c r="I240" s="56"/>
      <c r="O240" s="25"/>
      <c r="P240" s="26"/>
      <c r="Q240" s="26"/>
      <c r="R240" s="26"/>
      <c r="S240" s="26"/>
      <c r="T240" s="26"/>
      <c r="U240" s="26"/>
      <c r="V240" s="26"/>
      <c r="W240" s="27"/>
      <c r="X240" s="50"/>
    </row>
    <row r="241" spans="2:24" x14ac:dyDescent="0.25">
      <c r="B241" s="2"/>
      <c r="C241" s="55"/>
      <c r="D241" s="55"/>
      <c r="I241" s="56"/>
      <c r="O241" s="25"/>
      <c r="P241" s="26"/>
      <c r="Q241" s="26"/>
      <c r="R241" s="26"/>
      <c r="S241" s="26"/>
      <c r="T241" s="26"/>
      <c r="U241" s="26"/>
      <c r="V241" s="26"/>
      <c r="W241" s="27"/>
      <c r="X241" s="50"/>
    </row>
    <row r="242" spans="2:24" x14ac:dyDescent="0.25">
      <c r="B242" s="2"/>
      <c r="C242" s="55"/>
      <c r="D242" s="55"/>
      <c r="I242" s="56"/>
      <c r="O242" s="25"/>
      <c r="P242" s="26"/>
      <c r="Q242" s="26"/>
      <c r="R242" s="26"/>
      <c r="S242" s="26"/>
      <c r="T242" s="26"/>
      <c r="U242" s="26"/>
      <c r="V242" s="26"/>
      <c r="W242" s="27"/>
      <c r="X242" s="50"/>
    </row>
    <row r="243" spans="2:24" x14ac:dyDescent="0.25">
      <c r="B243" s="2"/>
      <c r="C243" s="55"/>
      <c r="D243" s="55"/>
      <c r="I243" s="56"/>
      <c r="O243" s="25"/>
      <c r="P243" s="26"/>
      <c r="Q243" s="26"/>
      <c r="R243" s="26"/>
      <c r="S243" s="26"/>
      <c r="T243" s="26"/>
      <c r="U243" s="26"/>
      <c r="V243" s="26"/>
      <c r="W243" s="27"/>
      <c r="X243" s="50"/>
    </row>
    <row r="244" spans="2:24" x14ac:dyDescent="0.25">
      <c r="B244" s="2"/>
      <c r="C244" s="55"/>
      <c r="D244" s="55"/>
      <c r="I244" s="56"/>
      <c r="O244" s="25"/>
      <c r="P244" s="26"/>
      <c r="Q244" s="26"/>
      <c r="R244" s="26"/>
      <c r="S244" s="26"/>
      <c r="T244" s="26"/>
      <c r="U244" s="26"/>
      <c r="V244" s="26"/>
      <c r="W244" s="27"/>
      <c r="X244" s="50"/>
    </row>
    <row r="245" spans="2:24" x14ac:dyDescent="0.25">
      <c r="B245" s="2"/>
      <c r="C245" s="55"/>
      <c r="D245" s="55"/>
      <c r="I245" s="56"/>
      <c r="O245" s="25"/>
      <c r="P245" s="26"/>
      <c r="Q245" s="26"/>
      <c r="R245" s="26"/>
      <c r="S245" s="26"/>
      <c r="T245" s="26"/>
      <c r="U245" s="26"/>
      <c r="V245" s="26"/>
      <c r="W245" s="27"/>
      <c r="X245" s="50"/>
    </row>
    <row r="246" spans="2:24" x14ac:dyDescent="0.25">
      <c r="B246" s="2"/>
      <c r="C246" s="55"/>
      <c r="D246" s="55"/>
      <c r="I246" s="56"/>
      <c r="O246" s="25"/>
      <c r="P246" s="26"/>
      <c r="Q246" s="26"/>
      <c r="R246" s="26"/>
      <c r="S246" s="26"/>
      <c r="T246" s="26"/>
      <c r="U246" s="26"/>
      <c r="V246" s="26"/>
      <c r="W246" s="27"/>
      <c r="X246" s="50"/>
    </row>
    <row r="247" spans="2:24" x14ac:dyDescent="0.25">
      <c r="B247" s="2"/>
      <c r="C247" s="55"/>
      <c r="D247" s="55"/>
      <c r="I247" s="56"/>
      <c r="O247" s="25"/>
      <c r="P247" s="26"/>
      <c r="Q247" s="26"/>
      <c r="R247" s="26"/>
      <c r="S247" s="26"/>
      <c r="T247" s="26"/>
      <c r="U247" s="26"/>
      <c r="V247" s="26"/>
      <c r="W247" s="27"/>
      <c r="X247" s="50"/>
    </row>
    <row r="248" spans="2:24" x14ac:dyDescent="0.25">
      <c r="B248" s="2"/>
      <c r="C248" s="55"/>
      <c r="D248" s="55"/>
      <c r="I248" s="56"/>
      <c r="O248" s="25"/>
      <c r="P248" s="26"/>
      <c r="Q248" s="26"/>
      <c r="R248" s="26"/>
      <c r="S248" s="26"/>
      <c r="T248" s="26"/>
      <c r="U248" s="26"/>
      <c r="V248" s="26"/>
      <c r="W248" s="27"/>
      <c r="X248" s="50"/>
    </row>
    <row r="249" spans="2:24" x14ac:dyDescent="0.25">
      <c r="B249" s="2"/>
      <c r="C249" s="55"/>
      <c r="D249" s="55"/>
      <c r="I249" s="56"/>
      <c r="O249" s="25"/>
      <c r="P249" s="26"/>
      <c r="Q249" s="26"/>
      <c r="R249" s="26"/>
      <c r="S249" s="26"/>
      <c r="T249" s="26"/>
      <c r="U249" s="26"/>
      <c r="V249" s="26"/>
      <c r="W249" s="27"/>
      <c r="X249" s="50"/>
    </row>
    <row r="250" spans="2:24" x14ac:dyDescent="0.25">
      <c r="B250" s="2"/>
      <c r="C250" s="55"/>
      <c r="D250" s="55"/>
      <c r="I250" s="56"/>
      <c r="O250" s="25"/>
      <c r="P250" s="26"/>
      <c r="Q250" s="26"/>
      <c r="R250" s="26"/>
      <c r="S250" s="26"/>
      <c r="T250" s="26"/>
      <c r="U250" s="26"/>
      <c r="V250" s="26"/>
      <c r="W250" s="27"/>
      <c r="X250" s="50"/>
    </row>
    <row r="251" spans="2:24" x14ac:dyDescent="0.25">
      <c r="B251" s="2"/>
      <c r="C251" s="55"/>
      <c r="D251" s="55"/>
      <c r="I251" s="56"/>
      <c r="O251" s="25"/>
      <c r="P251" s="26"/>
      <c r="Q251" s="26"/>
      <c r="R251" s="26"/>
      <c r="S251" s="26"/>
      <c r="T251" s="26"/>
      <c r="U251" s="26"/>
      <c r="V251" s="26"/>
      <c r="W251" s="27"/>
      <c r="X251" s="50"/>
    </row>
    <row r="252" spans="2:24" x14ac:dyDescent="0.25">
      <c r="B252" s="2"/>
      <c r="C252" s="55"/>
      <c r="D252" s="55"/>
      <c r="I252" s="56"/>
      <c r="O252" s="25"/>
      <c r="P252" s="26"/>
      <c r="Q252" s="26"/>
      <c r="R252" s="26"/>
      <c r="S252" s="26"/>
      <c r="T252" s="26"/>
      <c r="U252" s="26"/>
      <c r="V252" s="26"/>
      <c r="W252" s="27"/>
      <c r="X252" s="50"/>
    </row>
    <row r="253" spans="2:24" x14ac:dyDescent="0.25">
      <c r="B253" s="2"/>
      <c r="C253" s="55"/>
      <c r="D253" s="55"/>
      <c r="I253" s="56"/>
      <c r="O253" s="25"/>
      <c r="P253" s="26"/>
      <c r="Q253" s="26"/>
      <c r="R253" s="26"/>
      <c r="S253" s="26"/>
      <c r="T253" s="26"/>
      <c r="U253" s="26"/>
      <c r="V253" s="26"/>
      <c r="W253" s="27"/>
      <c r="X253" s="50"/>
    </row>
    <row r="254" spans="2:24" x14ac:dyDescent="0.25">
      <c r="B254" s="2"/>
      <c r="C254" s="55"/>
      <c r="D254" s="55"/>
      <c r="I254" s="56"/>
      <c r="O254" s="25"/>
      <c r="P254" s="26"/>
      <c r="Q254" s="26"/>
      <c r="R254" s="26"/>
      <c r="S254" s="26"/>
      <c r="T254" s="26"/>
      <c r="U254" s="26"/>
      <c r="V254" s="26"/>
      <c r="W254" s="27"/>
      <c r="X254" s="50"/>
    </row>
    <row r="255" spans="2:24" x14ac:dyDescent="0.25">
      <c r="B255" s="2"/>
      <c r="C255" s="55"/>
      <c r="D255" s="55"/>
      <c r="I255" s="56"/>
      <c r="O255" s="25"/>
      <c r="P255" s="26"/>
      <c r="Q255" s="26"/>
      <c r="R255" s="26"/>
      <c r="S255" s="26"/>
      <c r="T255" s="26"/>
      <c r="U255" s="26"/>
      <c r="V255" s="26"/>
      <c r="W255" s="27"/>
      <c r="X255" s="50"/>
    </row>
    <row r="256" spans="2:24" x14ac:dyDescent="0.25">
      <c r="B256" s="2"/>
      <c r="C256" s="55"/>
      <c r="D256" s="55"/>
      <c r="I256" s="56"/>
      <c r="O256" s="25"/>
      <c r="P256" s="26"/>
      <c r="Q256" s="26"/>
      <c r="R256" s="26"/>
      <c r="S256" s="26"/>
      <c r="T256" s="26"/>
      <c r="U256" s="26"/>
      <c r="V256" s="26"/>
      <c r="W256" s="27"/>
      <c r="X256" s="50"/>
    </row>
    <row r="257" spans="2:24" x14ac:dyDescent="0.25">
      <c r="B257" s="2"/>
      <c r="C257" s="55"/>
      <c r="D257" s="55"/>
      <c r="I257" s="56"/>
      <c r="O257" s="25"/>
      <c r="P257" s="26"/>
      <c r="Q257" s="26"/>
      <c r="R257" s="26"/>
      <c r="S257" s="26"/>
      <c r="T257" s="26"/>
      <c r="U257" s="26"/>
      <c r="V257" s="26"/>
      <c r="W257" s="27"/>
      <c r="X257" s="50"/>
    </row>
    <row r="258" spans="2:24" x14ac:dyDescent="0.25">
      <c r="B258" s="2"/>
      <c r="C258" s="55"/>
      <c r="D258" s="55"/>
      <c r="I258" s="56"/>
      <c r="O258" s="25"/>
      <c r="P258" s="26"/>
      <c r="Q258" s="26"/>
      <c r="R258" s="26"/>
      <c r="S258" s="26"/>
      <c r="T258" s="26"/>
      <c r="U258" s="26"/>
      <c r="V258" s="26"/>
      <c r="W258" s="27"/>
      <c r="X258" s="50"/>
    </row>
    <row r="259" spans="2:24" x14ac:dyDescent="0.25">
      <c r="B259" s="2"/>
      <c r="C259" s="55"/>
      <c r="D259" s="55"/>
      <c r="I259" s="56"/>
      <c r="O259" s="25"/>
      <c r="P259" s="26"/>
      <c r="Q259" s="26"/>
      <c r="R259" s="26"/>
      <c r="S259" s="26"/>
      <c r="T259" s="26"/>
      <c r="U259" s="26"/>
      <c r="V259" s="26"/>
      <c r="W259" s="27"/>
      <c r="X259" s="50"/>
    </row>
    <row r="260" spans="2:24" x14ac:dyDescent="0.25">
      <c r="B260" s="2"/>
      <c r="C260" s="55"/>
      <c r="D260" s="55"/>
      <c r="I260" s="56"/>
      <c r="O260" s="25"/>
      <c r="P260" s="26"/>
      <c r="Q260" s="26"/>
      <c r="R260" s="26"/>
      <c r="S260" s="26"/>
      <c r="T260" s="26"/>
      <c r="U260" s="26"/>
      <c r="V260" s="26"/>
      <c r="W260" s="27"/>
      <c r="X260" s="50"/>
    </row>
    <row r="261" spans="2:24" x14ac:dyDescent="0.25">
      <c r="B261" s="2"/>
      <c r="C261" s="55"/>
      <c r="D261" s="55"/>
      <c r="I261" s="56"/>
      <c r="O261" s="25"/>
      <c r="P261" s="26"/>
      <c r="Q261" s="26"/>
      <c r="R261" s="26"/>
      <c r="S261" s="26"/>
      <c r="T261" s="26"/>
      <c r="U261" s="26"/>
      <c r="V261" s="26"/>
      <c r="W261" s="27"/>
      <c r="X261" s="50"/>
    </row>
    <row r="262" spans="2:24" x14ac:dyDescent="0.25">
      <c r="B262" s="2"/>
      <c r="C262" s="55"/>
      <c r="D262" s="55"/>
      <c r="I262" s="56"/>
      <c r="O262" s="25"/>
      <c r="P262" s="26"/>
      <c r="Q262" s="26"/>
      <c r="R262" s="26"/>
      <c r="S262" s="26"/>
      <c r="T262" s="26"/>
      <c r="U262" s="26"/>
      <c r="V262" s="26"/>
      <c r="W262" s="27"/>
      <c r="X262" s="50"/>
    </row>
    <row r="263" spans="2:24" x14ac:dyDescent="0.25">
      <c r="B263" s="2"/>
      <c r="C263" s="55"/>
      <c r="D263" s="55"/>
      <c r="I263" s="56"/>
      <c r="O263" s="25"/>
      <c r="P263" s="26"/>
      <c r="Q263" s="26"/>
      <c r="R263" s="26"/>
      <c r="S263" s="26"/>
      <c r="T263" s="26"/>
      <c r="U263" s="26"/>
      <c r="V263" s="26"/>
      <c r="W263" s="27"/>
      <c r="X263" s="50"/>
    </row>
    <row r="264" spans="2:24" x14ac:dyDescent="0.25">
      <c r="B264" s="2"/>
      <c r="C264" s="55"/>
      <c r="D264" s="55"/>
      <c r="I264" s="56"/>
      <c r="O264" s="25"/>
      <c r="P264" s="26"/>
      <c r="Q264" s="26"/>
      <c r="R264" s="26"/>
      <c r="S264" s="26"/>
      <c r="T264" s="26"/>
      <c r="U264" s="26"/>
      <c r="V264" s="26"/>
      <c r="W264" s="27"/>
      <c r="X264" s="50"/>
    </row>
    <row r="265" spans="2:24" x14ac:dyDescent="0.25">
      <c r="B265" s="2"/>
      <c r="C265" s="55"/>
      <c r="D265" s="55"/>
      <c r="I265" s="56"/>
      <c r="O265" s="25"/>
      <c r="P265" s="26"/>
      <c r="Q265" s="26"/>
      <c r="R265" s="26"/>
      <c r="S265" s="26"/>
      <c r="T265" s="26"/>
      <c r="U265" s="26"/>
      <c r="V265" s="26"/>
      <c r="W265" s="27"/>
      <c r="X265" s="50"/>
    </row>
    <row r="266" spans="2:24" x14ac:dyDescent="0.25">
      <c r="B266" s="2"/>
      <c r="C266" s="55"/>
      <c r="D266" s="55"/>
      <c r="I266" s="56"/>
      <c r="O266" s="25"/>
      <c r="P266" s="26"/>
      <c r="Q266" s="26"/>
      <c r="R266" s="26"/>
      <c r="S266" s="26"/>
      <c r="T266" s="26"/>
      <c r="U266" s="26"/>
      <c r="V266" s="26"/>
      <c r="W266" s="27"/>
      <c r="X266" s="50"/>
    </row>
    <row r="267" spans="2:24" x14ac:dyDescent="0.25">
      <c r="B267" s="2"/>
      <c r="C267" s="55"/>
      <c r="D267" s="55"/>
      <c r="I267" s="56"/>
      <c r="O267" s="25"/>
      <c r="P267" s="26"/>
      <c r="Q267" s="26"/>
      <c r="R267" s="26"/>
      <c r="S267" s="26"/>
      <c r="T267" s="26"/>
      <c r="U267" s="26"/>
      <c r="V267" s="26"/>
      <c r="W267" s="27"/>
      <c r="X267" s="50"/>
    </row>
    <row r="268" spans="2:24" x14ac:dyDescent="0.25">
      <c r="B268" s="2"/>
      <c r="C268" s="55"/>
      <c r="D268" s="55"/>
      <c r="I268" s="56"/>
      <c r="O268" s="25"/>
      <c r="P268" s="26"/>
      <c r="Q268" s="26"/>
      <c r="R268" s="26"/>
      <c r="S268" s="26"/>
      <c r="T268" s="26"/>
      <c r="U268" s="26"/>
      <c r="V268" s="26"/>
      <c r="W268" s="27"/>
      <c r="X268" s="50"/>
    </row>
    <row r="269" spans="2:24" x14ac:dyDescent="0.25">
      <c r="B269" s="2"/>
      <c r="C269" s="55"/>
      <c r="D269" s="55"/>
      <c r="I269" s="56"/>
      <c r="O269" s="25"/>
      <c r="P269" s="26"/>
      <c r="Q269" s="26"/>
      <c r="R269" s="26"/>
      <c r="S269" s="26"/>
      <c r="T269" s="26"/>
      <c r="U269" s="26"/>
      <c r="V269" s="26"/>
      <c r="W269" s="27"/>
      <c r="X269" s="50"/>
    </row>
    <row r="270" spans="2:24" x14ac:dyDescent="0.25">
      <c r="B270" s="2"/>
      <c r="C270" s="55"/>
      <c r="D270" s="55"/>
      <c r="I270" s="56"/>
      <c r="O270" s="25"/>
      <c r="P270" s="26"/>
      <c r="Q270" s="26"/>
      <c r="R270" s="26"/>
      <c r="S270" s="26"/>
      <c r="T270" s="26"/>
      <c r="U270" s="26"/>
      <c r="V270" s="26"/>
      <c r="W270" s="27"/>
      <c r="X270" s="50"/>
    </row>
    <row r="271" spans="2:24" x14ac:dyDescent="0.25">
      <c r="B271" s="2"/>
      <c r="C271" s="55"/>
      <c r="D271" s="55"/>
      <c r="I271" s="56"/>
      <c r="O271" s="25"/>
      <c r="P271" s="26"/>
      <c r="Q271" s="26"/>
      <c r="R271" s="26"/>
      <c r="S271" s="26"/>
      <c r="T271" s="26"/>
      <c r="U271" s="26"/>
      <c r="V271" s="26"/>
      <c r="W271" s="27"/>
      <c r="X271" s="50"/>
    </row>
    <row r="272" spans="2:24" x14ac:dyDescent="0.25">
      <c r="B272" s="2"/>
      <c r="C272" s="55"/>
      <c r="D272" s="55"/>
      <c r="I272" s="56"/>
      <c r="O272" s="25"/>
      <c r="P272" s="26"/>
      <c r="Q272" s="26"/>
      <c r="R272" s="26"/>
      <c r="S272" s="26"/>
      <c r="T272" s="26"/>
      <c r="U272" s="26"/>
      <c r="V272" s="26"/>
      <c r="W272" s="27"/>
      <c r="X272" s="50"/>
    </row>
    <row r="273" spans="2:24" x14ac:dyDescent="0.25">
      <c r="B273" s="2"/>
      <c r="C273" s="55"/>
      <c r="D273" s="55"/>
      <c r="I273" s="56"/>
      <c r="O273" s="25"/>
      <c r="P273" s="26"/>
      <c r="Q273" s="26"/>
      <c r="R273" s="26"/>
      <c r="S273" s="26"/>
      <c r="T273" s="26"/>
      <c r="U273" s="26"/>
      <c r="V273" s="26"/>
      <c r="W273" s="27"/>
      <c r="X273" s="50"/>
    </row>
    <row r="274" spans="2:24" x14ac:dyDescent="0.25">
      <c r="B274" s="2"/>
      <c r="C274" s="55"/>
      <c r="D274" s="55"/>
      <c r="I274" s="56"/>
      <c r="O274" s="25"/>
      <c r="P274" s="26"/>
      <c r="Q274" s="26"/>
      <c r="R274" s="26"/>
      <c r="S274" s="26"/>
      <c r="T274" s="26"/>
      <c r="U274" s="26"/>
      <c r="V274" s="26"/>
      <c r="W274" s="27"/>
      <c r="X274" s="50"/>
    </row>
    <row r="275" spans="2:24" x14ac:dyDescent="0.25">
      <c r="B275" s="2"/>
      <c r="C275" s="55"/>
      <c r="D275" s="55"/>
      <c r="I275" s="56"/>
      <c r="O275" s="25"/>
      <c r="P275" s="26"/>
      <c r="Q275" s="26"/>
      <c r="R275" s="26"/>
      <c r="S275" s="26"/>
      <c r="T275" s="26"/>
      <c r="U275" s="26"/>
      <c r="V275" s="26"/>
      <c r="W275" s="27"/>
      <c r="X275" s="50"/>
    </row>
    <row r="276" spans="2:24" x14ac:dyDescent="0.25">
      <c r="B276" s="2"/>
      <c r="C276" s="55"/>
      <c r="D276" s="55"/>
      <c r="I276" s="56"/>
      <c r="O276" s="25"/>
      <c r="P276" s="26"/>
      <c r="Q276" s="26"/>
      <c r="R276" s="26"/>
      <c r="S276" s="26"/>
      <c r="T276" s="26"/>
      <c r="U276" s="26"/>
      <c r="V276" s="26"/>
      <c r="W276" s="27"/>
      <c r="X276" s="50"/>
    </row>
    <row r="277" spans="2:24" x14ac:dyDescent="0.25">
      <c r="B277" s="2"/>
      <c r="C277" s="55"/>
      <c r="D277" s="55"/>
      <c r="I277" s="56"/>
      <c r="O277" s="25"/>
      <c r="P277" s="26"/>
      <c r="Q277" s="26"/>
      <c r="R277" s="26"/>
      <c r="S277" s="26"/>
      <c r="T277" s="26"/>
      <c r="U277" s="26"/>
      <c r="V277" s="26"/>
      <c r="W277" s="27"/>
      <c r="X277" s="50"/>
    </row>
    <row r="278" spans="2:24" x14ac:dyDescent="0.25">
      <c r="B278" s="2"/>
      <c r="C278" s="55"/>
      <c r="D278" s="55"/>
      <c r="I278" s="56"/>
      <c r="O278" s="25"/>
      <c r="P278" s="26"/>
      <c r="Q278" s="26"/>
      <c r="R278" s="26"/>
      <c r="S278" s="26"/>
      <c r="T278" s="26"/>
      <c r="U278" s="26"/>
      <c r="V278" s="26"/>
      <c r="W278" s="27"/>
      <c r="X278" s="50"/>
    </row>
    <row r="279" spans="2:24" x14ac:dyDescent="0.25">
      <c r="B279" s="2"/>
      <c r="C279" s="55"/>
      <c r="D279" s="55"/>
      <c r="I279" s="56"/>
      <c r="O279" s="25"/>
      <c r="P279" s="26"/>
      <c r="Q279" s="26"/>
      <c r="R279" s="26"/>
      <c r="S279" s="26"/>
      <c r="T279" s="26"/>
      <c r="U279" s="26"/>
      <c r="V279" s="26"/>
      <c r="W279" s="27"/>
      <c r="X279" s="50"/>
    </row>
    <row r="280" spans="2:24" x14ac:dyDescent="0.25">
      <c r="B280" s="2"/>
      <c r="C280" s="55"/>
      <c r="D280" s="55"/>
      <c r="I280" s="56"/>
      <c r="O280" s="25"/>
      <c r="P280" s="26"/>
      <c r="Q280" s="26"/>
      <c r="R280" s="26"/>
      <c r="S280" s="26"/>
      <c r="T280" s="26"/>
      <c r="U280" s="26"/>
      <c r="V280" s="26"/>
      <c r="W280" s="27"/>
      <c r="X280" s="50"/>
    </row>
    <row r="281" spans="2:24" x14ac:dyDescent="0.25">
      <c r="B281" s="2"/>
      <c r="C281" s="55"/>
      <c r="D281" s="55"/>
      <c r="I281" s="56"/>
      <c r="O281" s="25"/>
      <c r="P281" s="26"/>
      <c r="Q281" s="26"/>
      <c r="R281" s="26"/>
      <c r="S281" s="26"/>
      <c r="T281" s="26"/>
      <c r="U281" s="26"/>
      <c r="V281" s="26"/>
      <c r="W281" s="27"/>
      <c r="X281" s="50"/>
    </row>
    <row r="282" spans="2:24" x14ac:dyDescent="0.25">
      <c r="B282" s="2"/>
      <c r="C282" s="55"/>
      <c r="D282" s="55"/>
      <c r="I282" s="56"/>
      <c r="O282" s="25"/>
      <c r="P282" s="26"/>
      <c r="Q282" s="26"/>
      <c r="R282" s="26"/>
      <c r="S282" s="26"/>
      <c r="T282" s="26"/>
      <c r="U282" s="26"/>
      <c r="V282" s="26"/>
      <c r="W282" s="27"/>
      <c r="X282" s="50"/>
    </row>
    <row r="283" spans="2:24" x14ac:dyDescent="0.25">
      <c r="B283" s="2"/>
      <c r="C283" s="55"/>
      <c r="D283" s="55"/>
      <c r="I283" s="56"/>
      <c r="O283" s="25"/>
      <c r="P283" s="26"/>
      <c r="Q283" s="26"/>
      <c r="R283" s="26"/>
      <c r="S283" s="26"/>
      <c r="T283" s="26"/>
      <c r="U283" s="26"/>
      <c r="V283" s="26"/>
      <c r="W283" s="27"/>
      <c r="X283" s="50"/>
    </row>
    <row r="284" spans="2:24" x14ac:dyDescent="0.25">
      <c r="B284" s="2"/>
      <c r="C284" s="55"/>
      <c r="D284" s="55"/>
      <c r="I284" s="56"/>
      <c r="O284" s="25"/>
      <c r="P284" s="26"/>
      <c r="Q284" s="26"/>
      <c r="R284" s="26"/>
      <c r="S284" s="26"/>
      <c r="T284" s="26"/>
      <c r="U284" s="26"/>
      <c r="V284" s="26"/>
      <c r="W284" s="27"/>
      <c r="X284" s="50"/>
    </row>
    <row r="285" spans="2:24" x14ac:dyDescent="0.25">
      <c r="B285" s="2"/>
      <c r="C285" s="55"/>
      <c r="D285" s="55"/>
      <c r="I285" s="56"/>
      <c r="O285" s="25"/>
      <c r="P285" s="26"/>
      <c r="Q285" s="26"/>
      <c r="R285" s="26"/>
      <c r="S285" s="26"/>
      <c r="T285" s="26"/>
      <c r="U285" s="26"/>
      <c r="V285" s="26"/>
      <c r="W285" s="27"/>
      <c r="X285" s="50"/>
    </row>
    <row r="286" spans="2:24" x14ac:dyDescent="0.25">
      <c r="B286" s="2"/>
      <c r="C286" s="55"/>
      <c r="D286" s="55"/>
      <c r="I286" s="56"/>
      <c r="O286" s="25"/>
      <c r="P286" s="26"/>
      <c r="Q286" s="26"/>
      <c r="R286" s="26"/>
      <c r="S286" s="26"/>
      <c r="T286" s="26"/>
      <c r="U286" s="26"/>
      <c r="V286" s="26"/>
      <c r="W286" s="27"/>
      <c r="X286" s="50"/>
    </row>
    <row r="287" spans="2:24" x14ac:dyDescent="0.25">
      <c r="B287" s="2"/>
      <c r="C287" s="55"/>
      <c r="D287" s="55"/>
      <c r="I287" s="56"/>
      <c r="O287" s="25"/>
      <c r="P287" s="26"/>
      <c r="Q287" s="26"/>
      <c r="R287" s="26"/>
      <c r="S287" s="26"/>
      <c r="T287" s="26"/>
      <c r="U287" s="26"/>
      <c r="V287" s="26"/>
      <c r="W287" s="27"/>
      <c r="X287" s="50"/>
    </row>
    <row r="288" spans="2:24" x14ac:dyDescent="0.25">
      <c r="B288" s="2"/>
      <c r="C288" s="55"/>
      <c r="D288" s="55"/>
      <c r="I288" s="56"/>
      <c r="O288" s="25"/>
      <c r="P288" s="26"/>
      <c r="Q288" s="26"/>
      <c r="R288" s="26"/>
      <c r="S288" s="26"/>
      <c r="T288" s="26"/>
      <c r="U288" s="26"/>
      <c r="V288" s="26"/>
      <c r="W288" s="27"/>
      <c r="X288" s="50"/>
    </row>
    <row r="289" spans="2:24" x14ac:dyDescent="0.25">
      <c r="B289" s="2"/>
      <c r="C289" s="55"/>
      <c r="D289" s="55"/>
      <c r="I289" s="56"/>
      <c r="O289" s="25"/>
      <c r="P289" s="26"/>
      <c r="Q289" s="26"/>
      <c r="R289" s="26"/>
      <c r="S289" s="26"/>
      <c r="T289" s="26"/>
      <c r="U289" s="26"/>
      <c r="V289" s="26"/>
      <c r="W289" s="27"/>
      <c r="X289" s="50"/>
    </row>
    <row r="290" spans="2:24" x14ac:dyDescent="0.25">
      <c r="B290" s="2"/>
      <c r="C290" s="55"/>
      <c r="D290" s="55"/>
      <c r="I290" s="56"/>
      <c r="O290" s="25"/>
      <c r="P290" s="26"/>
      <c r="Q290" s="26"/>
      <c r="R290" s="26"/>
      <c r="S290" s="26"/>
      <c r="T290" s="26"/>
      <c r="U290" s="26"/>
      <c r="V290" s="26"/>
      <c r="W290" s="27"/>
      <c r="X290" s="50"/>
    </row>
    <row r="291" spans="2:24" x14ac:dyDescent="0.25">
      <c r="B291" s="2"/>
      <c r="C291" s="55"/>
      <c r="D291" s="55"/>
      <c r="I291" s="56"/>
      <c r="O291" s="25"/>
      <c r="P291" s="26"/>
      <c r="Q291" s="26"/>
      <c r="R291" s="26"/>
      <c r="S291" s="26"/>
      <c r="T291" s="26"/>
      <c r="U291" s="26"/>
      <c r="V291" s="26"/>
      <c r="W291" s="27"/>
      <c r="X291" s="50"/>
    </row>
    <row r="292" spans="2:24" x14ac:dyDescent="0.25">
      <c r="B292" s="2"/>
      <c r="C292" s="55"/>
      <c r="D292" s="55"/>
      <c r="I292" s="56"/>
      <c r="O292" s="25"/>
      <c r="P292" s="26"/>
      <c r="Q292" s="26"/>
      <c r="R292" s="26"/>
      <c r="S292" s="26"/>
      <c r="T292" s="26"/>
      <c r="U292" s="26"/>
      <c r="V292" s="26"/>
      <c r="W292" s="27"/>
      <c r="X292" s="50"/>
    </row>
    <row r="293" spans="2:24" x14ac:dyDescent="0.25">
      <c r="B293" s="2"/>
      <c r="C293" s="55"/>
      <c r="D293" s="55"/>
      <c r="I293" s="56"/>
      <c r="O293" s="25"/>
      <c r="P293" s="26"/>
      <c r="Q293" s="26"/>
      <c r="R293" s="26"/>
      <c r="S293" s="26"/>
      <c r="T293" s="26"/>
      <c r="U293" s="26"/>
      <c r="V293" s="26"/>
      <c r="W293" s="27"/>
      <c r="X293" s="50"/>
    </row>
    <row r="294" spans="2:24" x14ac:dyDescent="0.25">
      <c r="B294" s="2"/>
      <c r="C294" s="55"/>
      <c r="D294" s="55"/>
      <c r="I294" s="56"/>
      <c r="O294" s="25"/>
      <c r="P294" s="26"/>
      <c r="Q294" s="26"/>
      <c r="R294" s="26"/>
      <c r="S294" s="26"/>
      <c r="T294" s="26"/>
      <c r="U294" s="26"/>
      <c r="V294" s="26"/>
      <c r="W294" s="27"/>
      <c r="X294" s="50"/>
    </row>
    <row r="295" spans="2:24" x14ac:dyDescent="0.25">
      <c r="B295" s="2"/>
      <c r="C295" s="55"/>
      <c r="D295" s="55"/>
      <c r="I295" s="56"/>
      <c r="O295" s="25"/>
      <c r="P295" s="26"/>
      <c r="Q295" s="26"/>
      <c r="R295" s="26"/>
      <c r="S295" s="26"/>
      <c r="T295" s="26"/>
      <c r="U295" s="26"/>
      <c r="V295" s="26"/>
      <c r="W295" s="27"/>
      <c r="X295" s="50"/>
    </row>
    <row r="296" spans="2:24" x14ac:dyDescent="0.25">
      <c r="B296" s="2"/>
      <c r="C296" s="55"/>
      <c r="D296" s="55"/>
      <c r="I296" s="56"/>
      <c r="O296" s="25"/>
      <c r="P296" s="26"/>
      <c r="Q296" s="26"/>
      <c r="R296" s="26"/>
      <c r="S296" s="26"/>
      <c r="T296" s="26"/>
      <c r="U296" s="26"/>
      <c r="V296" s="26"/>
      <c r="W296" s="27"/>
      <c r="X296" s="50"/>
    </row>
    <row r="297" spans="2:24" x14ac:dyDescent="0.25">
      <c r="B297" s="2"/>
      <c r="C297" s="55"/>
      <c r="D297" s="55"/>
      <c r="I297" s="56"/>
      <c r="O297" s="25"/>
      <c r="P297" s="26"/>
      <c r="Q297" s="26"/>
      <c r="R297" s="26"/>
      <c r="S297" s="26"/>
      <c r="T297" s="26"/>
      <c r="U297" s="26"/>
      <c r="V297" s="26"/>
      <c r="W297" s="27"/>
      <c r="X297" s="50"/>
    </row>
    <row r="298" spans="2:24" x14ac:dyDescent="0.25">
      <c r="B298" s="2"/>
      <c r="C298" s="55"/>
      <c r="D298" s="55"/>
      <c r="I298" s="56"/>
      <c r="O298" s="25"/>
      <c r="P298" s="26"/>
      <c r="Q298" s="26"/>
      <c r="R298" s="26"/>
      <c r="S298" s="26"/>
      <c r="T298" s="26"/>
      <c r="U298" s="26"/>
      <c r="V298" s="26"/>
      <c r="W298" s="27"/>
      <c r="X298" s="50"/>
    </row>
    <row r="299" spans="2:24" x14ac:dyDescent="0.25">
      <c r="B299" s="2"/>
      <c r="C299" s="55"/>
      <c r="D299" s="55"/>
      <c r="I299" s="56"/>
      <c r="O299" s="25"/>
      <c r="P299" s="26"/>
      <c r="Q299" s="26"/>
      <c r="R299" s="26"/>
      <c r="S299" s="26"/>
      <c r="T299" s="26"/>
      <c r="U299" s="26"/>
      <c r="V299" s="26"/>
      <c r="W299" s="27"/>
      <c r="X299" s="50"/>
    </row>
    <row r="300" spans="2:24" x14ac:dyDescent="0.25">
      <c r="B300" s="2"/>
      <c r="C300" s="55"/>
      <c r="D300" s="55"/>
      <c r="I300" s="56"/>
      <c r="O300" s="25"/>
      <c r="P300" s="26"/>
      <c r="Q300" s="26"/>
      <c r="R300" s="26"/>
      <c r="S300" s="26"/>
      <c r="T300" s="26"/>
      <c r="U300" s="26"/>
      <c r="V300" s="26"/>
      <c r="W300" s="27"/>
      <c r="X300" s="50"/>
    </row>
    <row r="301" spans="2:24" x14ac:dyDescent="0.25">
      <c r="B301" s="2"/>
      <c r="C301" s="55"/>
      <c r="D301" s="55"/>
      <c r="I301" s="56"/>
      <c r="O301" s="25"/>
      <c r="P301" s="26"/>
      <c r="Q301" s="26"/>
      <c r="R301" s="26"/>
      <c r="S301" s="26"/>
      <c r="T301" s="26"/>
      <c r="U301" s="26"/>
      <c r="V301" s="26"/>
      <c r="W301" s="27"/>
      <c r="X301" s="50"/>
    </row>
    <row r="302" spans="2:24" x14ac:dyDescent="0.25">
      <c r="B302" s="2"/>
      <c r="C302" s="55"/>
      <c r="D302" s="55"/>
      <c r="I302" s="56"/>
      <c r="O302" s="25"/>
      <c r="P302" s="26"/>
      <c r="Q302" s="26"/>
      <c r="R302" s="26"/>
      <c r="S302" s="26"/>
      <c r="T302" s="26"/>
      <c r="U302" s="26"/>
      <c r="V302" s="26"/>
      <c r="W302" s="27"/>
      <c r="X302" s="50"/>
    </row>
    <row r="303" spans="2:24" x14ac:dyDescent="0.25">
      <c r="B303" s="2"/>
      <c r="C303" s="55"/>
      <c r="D303" s="55"/>
      <c r="I303" s="56"/>
      <c r="O303" s="25"/>
      <c r="P303" s="26"/>
      <c r="Q303" s="26"/>
      <c r="R303" s="26"/>
      <c r="S303" s="26"/>
      <c r="T303" s="26"/>
      <c r="U303" s="26"/>
      <c r="V303" s="26"/>
      <c r="W303" s="27"/>
      <c r="X303" s="50"/>
    </row>
    <row r="304" spans="2:24" x14ac:dyDescent="0.25">
      <c r="B304" s="2"/>
      <c r="C304" s="55"/>
      <c r="D304" s="55"/>
      <c r="I304" s="56"/>
      <c r="O304" s="25"/>
      <c r="P304" s="26"/>
      <c r="Q304" s="26"/>
      <c r="R304" s="26"/>
      <c r="S304" s="26"/>
      <c r="T304" s="26"/>
      <c r="U304" s="26"/>
      <c r="V304" s="26"/>
      <c r="W304" s="27"/>
      <c r="X304" s="50"/>
    </row>
    <row r="305" spans="2:24" x14ac:dyDescent="0.25">
      <c r="B305" s="2"/>
      <c r="C305" s="55"/>
      <c r="D305" s="55"/>
      <c r="I305" s="56"/>
      <c r="O305" s="25"/>
      <c r="P305" s="26"/>
      <c r="Q305" s="26"/>
      <c r="R305" s="26"/>
      <c r="S305" s="26"/>
      <c r="T305" s="26"/>
      <c r="U305" s="26"/>
      <c r="V305" s="26"/>
      <c r="W305" s="27"/>
      <c r="X305" s="50"/>
    </row>
    <row r="306" spans="2:24" x14ac:dyDescent="0.25">
      <c r="B306" s="2"/>
      <c r="C306" s="55"/>
      <c r="D306" s="55"/>
      <c r="I306" s="56"/>
      <c r="O306" s="25"/>
      <c r="P306" s="26"/>
      <c r="Q306" s="26"/>
      <c r="R306" s="26"/>
      <c r="S306" s="26"/>
      <c r="T306" s="26"/>
      <c r="U306" s="26"/>
      <c r="V306" s="26"/>
      <c r="W306" s="27"/>
      <c r="X306" s="50"/>
    </row>
    <row r="307" spans="2:24" x14ac:dyDescent="0.25">
      <c r="B307" s="2"/>
      <c r="C307" s="55"/>
      <c r="D307" s="55"/>
      <c r="I307" s="56"/>
      <c r="O307" s="25"/>
      <c r="P307" s="26"/>
      <c r="Q307" s="26"/>
      <c r="R307" s="26"/>
      <c r="S307" s="26"/>
      <c r="T307" s="26"/>
      <c r="U307" s="26"/>
      <c r="V307" s="26"/>
      <c r="W307" s="27"/>
      <c r="X307" s="50"/>
    </row>
    <row r="308" spans="2:24" x14ac:dyDescent="0.25">
      <c r="B308" s="2"/>
      <c r="C308" s="55"/>
      <c r="D308" s="55"/>
      <c r="I308" s="56"/>
      <c r="O308" s="25"/>
      <c r="P308" s="26"/>
      <c r="Q308" s="26"/>
      <c r="R308" s="26"/>
      <c r="S308" s="26"/>
      <c r="T308" s="26"/>
      <c r="U308" s="26"/>
      <c r="V308" s="26"/>
      <c r="W308" s="27"/>
      <c r="X308" s="50"/>
    </row>
    <row r="309" spans="2:24" x14ac:dyDescent="0.25">
      <c r="B309" s="2"/>
      <c r="C309" s="55"/>
      <c r="D309" s="55"/>
      <c r="I309" s="56"/>
      <c r="O309" s="25"/>
      <c r="P309" s="26"/>
      <c r="Q309" s="26"/>
      <c r="R309" s="26"/>
      <c r="S309" s="26"/>
      <c r="T309" s="26"/>
      <c r="U309" s="26"/>
      <c r="V309" s="26"/>
      <c r="W309" s="27"/>
      <c r="X309" s="50"/>
    </row>
    <row r="310" spans="2:24" x14ac:dyDescent="0.25">
      <c r="B310" s="2"/>
      <c r="C310" s="55"/>
      <c r="D310" s="55"/>
      <c r="I310" s="56"/>
      <c r="O310" s="25"/>
      <c r="P310" s="26"/>
      <c r="Q310" s="26"/>
      <c r="R310" s="26"/>
      <c r="S310" s="26"/>
      <c r="T310" s="26"/>
      <c r="U310" s="26"/>
      <c r="V310" s="26"/>
      <c r="W310" s="27"/>
      <c r="X310" s="50"/>
    </row>
    <row r="311" spans="2:24" x14ac:dyDescent="0.25">
      <c r="B311" s="2"/>
      <c r="C311" s="55"/>
      <c r="D311" s="55"/>
      <c r="I311" s="56"/>
      <c r="O311" s="25"/>
      <c r="P311" s="26"/>
      <c r="Q311" s="26"/>
      <c r="R311" s="26"/>
      <c r="S311" s="26"/>
      <c r="T311" s="26"/>
      <c r="U311" s="26"/>
      <c r="V311" s="26"/>
      <c r="W311" s="27"/>
      <c r="X311" s="50"/>
    </row>
    <row r="312" spans="2:24" x14ac:dyDescent="0.25">
      <c r="B312" s="2"/>
      <c r="C312" s="55"/>
      <c r="D312" s="55"/>
      <c r="I312" s="56"/>
      <c r="O312" s="25"/>
      <c r="P312" s="26"/>
      <c r="Q312" s="26"/>
      <c r="R312" s="26"/>
      <c r="S312" s="26"/>
      <c r="T312" s="26"/>
      <c r="U312" s="26"/>
      <c r="V312" s="26"/>
      <c r="W312" s="27"/>
      <c r="X312" s="50"/>
    </row>
    <row r="313" spans="2:24" x14ac:dyDescent="0.25">
      <c r="B313" s="2"/>
      <c r="C313" s="55"/>
      <c r="D313" s="55"/>
      <c r="I313" s="56"/>
      <c r="O313" s="25"/>
      <c r="P313" s="26"/>
      <c r="Q313" s="26"/>
      <c r="R313" s="26"/>
      <c r="S313" s="26"/>
      <c r="T313" s="26"/>
      <c r="U313" s="26"/>
      <c r="V313" s="26"/>
      <c r="W313" s="27"/>
      <c r="X313" s="50"/>
    </row>
    <row r="314" spans="2:24" x14ac:dyDescent="0.25">
      <c r="B314" s="2"/>
      <c r="C314" s="55"/>
      <c r="D314" s="55"/>
      <c r="I314" s="56"/>
      <c r="O314" s="25"/>
      <c r="P314" s="26"/>
      <c r="Q314" s="26"/>
      <c r="R314" s="26"/>
      <c r="S314" s="26"/>
      <c r="T314" s="26"/>
      <c r="U314" s="26"/>
      <c r="V314" s="26"/>
      <c r="W314" s="27"/>
      <c r="X314" s="50"/>
    </row>
    <row r="315" spans="2:24" x14ac:dyDescent="0.25">
      <c r="B315" s="2"/>
      <c r="C315" s="55"/>
      <c r="D315" s="55"/>
      <c r="I315" s="56"/>
      <c r="O315" s="25"/>
      <c r="P315" s="26"/>
      <c r="Q315" s="26"/>
      <c r="R315" s="26"/>
      <c r="S315" s="26"/>
      <c r="T315" s="26"/>
      <c r="U315" s="26"/>
      <c r="V315" s="26"/>
      <c r="W315" s="27"/>
      <c r="X315" s="50"/>
    </row>
    <row r="316" spans="2:24" x14ac:dyDescent="0.25">
      <c r="B316" s="2"/>
      <c r="C316" s="55"/>
      <c r="D316" s="55"/>
      <c r="I316" s="56"/>
      <c r="O316" s="25"/>
      <c r="P316" s="26"/>
      <c r="Q316" s="26"/>
      <c r="R316" s="26"/>
      <c r="S316" s="26"/>
      <c r="T316" s="26"/>
      <c r="U316" s="26"/>
      <c r="V316" s="26"/>
      <c r="W316" s="27"/>
      <c r="X316" s="50"/>
    </row>
    <row r="317" spans="2:24" x14ac:dyDescent="0.25">
      <c r="B317" s="2"/>
      <c r="C317" s="55"/>
      <c r="D317" s="55"/>
      <c r="I317" s="56"/>
      <c r="O317" s="25"/>
      <c r="P317" s="26"/>
      <c r="Q317" s="26"/>
      <c r="R317" s="26"/>
      <c r="S317" s="26"/>
      <c r="T317" s="26"/>
      <c r="U317" s="26"/>
      <c r="V317" s="26"/>
      <c r="W317" s="27"/>
      <c r="X317" s="50"/>
    </row>
    <row r="318" spans="2:24" x14ac:dyDescent="0.25">
      <c r="B318" s="2"/>
      <c r="C318" s="55"/>
      <c r="D318" s="55"/>
      <c r="I318" s="56"/>
      <c r="O318" s="25"/>
      <c r="P318" s="26"/>
      <c r="Q318" s="26"/>
      <c r="R318" s="26"/>
      <c r="S318" s="26"/>
      <c r="T318" s="26"/>
      <c r="U318" s="26"/>
      <c r="V318" s="26"/>
      <c r="W318" s="27"/>
      <c r="X318" s="50"/>
    </row>
    <row r="319" spans="2:24" x14ac:dyDescent="0.25">
      <c r="B319" s="2"/>
      <c r="C319" s="55"/>
      <c r="D319" s="55"/>
      <c r="I319" s="56"/>
      <c r="O319" s="25"/>
      <c r="P319" s="26"/>
      <c r="Q319" s="26"/>
      <c r="R319" s="26"/>
      <c r="S319" s="26"/>
      <c r="T319" s="26"/>
      <c r="U319" s="26"/>
      <c r="V319" s="26"/>
      <c r="W319" s="27"/>
      <c r="X319" s="50"/>
    </row>
    <row r="320" spans="2:24" x14ac:dyDescent="0.25">
      <c r="B320" s="2"/>
      <c r="C320" s="55"/>
      <c r="D320" s="55"/>
      <c r="I320" s="56"/>
      <c r="O320" s="25"/>
      <c r="P320" s="26"/>
      <c r="Q320" s="26"/>
      <c r="R320" s="26"/>
      <c r="S320" s="26"/>
      <c r="T320" s="26"/>
      <c r="U320" s="26"/>
      <c r="V320" s="26"/>
      <c r="W320" s="27"/>
      <c r="X320" s="50"/>
    </row>
    <row r="321" spans="2:24" x14ac:dyDescent="0.25">
      <c r="B321" s="2"/>
      <c r="C321" s="55"/>
      <c r="D321" s="55"/>
      <c r="I321" s="56"/>
      <c r="O321" s="25"/>
      <c r="P321" s="26"/>
      <c r="Q321" s="26"/>
      <c r="R321" s="26"/>
      <c r="S321" s="26"/>
      <c r="T321" s="26"/>
      <c r="U321" s="26"/>
      <c r="V321" s="26"/>
      <c r="W321" s="27"/>
      <c r="X321" s="50"/>
    </row>
    <row r="322" spans="2:24" x14ac:dyDescent="0.25">
      <c r="B322" s="2"/>
      <c r="C322" s="55"/>
      <c r="D322" s="55"/>
      <c r="I322" s="56"/>
      <c r="O322" s="25"/>
      <c r="P322" s="26"/>
      <c r="Q322" s="26"/>
      <c r="R322" s="26"/>
      <c r="S322" s="26"/>
      <c r="T322" s="26"/>
      <c r="U322" s="26"/>
      <c r="V322" s="26"/>
      <c r="W322" s="27"/>
      <c r="X322" s="50"/>
    </row>
    <row r="323" spans="2:24" x14ac:dyDescent="0.25">
      <c r="B323" s="2"/>
      <c r="C323" s="55"/>
      <c r="D323" s="55"/>
      <c r="I323" s="56"/>
      <c r="O323" s="25"/>
      <c r="P323" s="26"/>
      <c r="Q323" s="26"/>
      <c r="R323" s="26"/>
      <c r="S323" s="26"/>
      <c r="T323" s="26"/>
      <c r="U323" s="26"/>
      <c r="V323" s="26"/>
      <c r="W323" s="27"/>
      <c r="X323" s="50"/>
    </row>
    <row r="324" spans="2:24" x14ac:dyDescent="0.25">
      <c r="B324" s="2"/>
      <c r="C324" s="55"/>
      <c r="D324" s="55"/>
      <c r="I324" s="56"/>
      <c r="O324" s="25"/>
      <c r="P324" s="26"/>
      <c r="Q324" s="26"/>
      <c r="R324" s="26"/>
      <c r="S324" s="26"/>
      <c r="T324" s="26"/>
      <c r="U324" s="26"/>
      <c r="V324" s="26"/>
      <c r="W324" s="27"/>
      <c r="X324" s="50"/>
    </row>
    <row r="325" spans="2:24" x14ac:dyDescent="0.25">
      <c r="B325" s="2"/>
      <c r="C325" s="55"/>
      <c r="D325" s="55"/>
      <c r="I325" s="56"/>
      <c r="O325" s="25"/>
      <c r="P325" s="26"/>
      <c r="Q325" s="26"/>
      <c r="R325" s="26"/>
      <c r="S325" s="26"/>
      <c r="T325" s="26"/>
      <c r="U325" s="26"/>
      <c r="V325" s="26"/>
      <c r="W325" s="27"/>
      <c r="X325" s="50"/>
    </row>
    <row r="326" spans="2:24" x14ac:dyDescent="0.25">
      <c r="B326" s="2"/>
      <c r="C326" s="55"/>
      <c r="D326" s="55"/>
      <c r="I326" s="56"/>
      <c r="O326" s="25"/>
      <c r="P326" s="26"/>
      <c r="Q326" s="26"/>
      <c r="R326" s="26"/>
      <c r="S326" s="26"/>
      <c r="T326" s="26"/>
      <c r="U326" s="26"/>
      <c r="V326" s="26"/>
      <c r="W326" s="27"/>
      <c r="X326" s="50"/>
    </row>
    <row r="327" spans="2:24" x14ac:dyDescent="0.25">
      <c r="B327" s="2"/>
      <c r="C327" s="55"/>
      <c r="D327" s="55"/>
      <c r="I327" s="56"/>
      <c r="O327" s="25"/>
      <c r="P327" s="26"/>
      <c r="Q327" s="26"/>
      <c r="R327" s="26"/>
      <c r="S327" s="26"/>
      <c r="T327" s="26"/>
      <c r="U327" s="26"/>
      <c r="V327" s="26"/>
      <c r="W327" s="27"/>
      <c r="X327" s="50"/>
    </row>
    <row r="328" spans="2:24" x14ac:dyDescent="0.25">
      <c r="B328" s="2"/>
      <c r="C328" s="55"/>
      <c r="D328" s="55"/>
      <c r="I328" s="56"/>
      <c r="O328" s="25"/>
      <c r="P328" s="26"/>
      <c r="Q328" s="26"/>
      <c r="R328" s="26"/>
      <c r="S328" s="26"/>
      <c r="T328" s="26"/>
      <c r="U328" s="26"/>
      <c r="V328" s="26"/>
      <c r="W328" s="27"/>
      <c r="X328" s="50"/>
    </row>
    <row r="329" spans="2:24" x14ac:dyDescent="0.25">
      <c r="B329" s="2"/>
      <c r="C329" s="55"/>
      <c r="D329" s="55"/>
      <c r="I329" s="56"/>
      <c r="O329" s="25"/>
      <c r="P329" s="26"/>
      <c r="Q329" s="26"/>
      <c r="R329" s="26"/>
      <c r="S329" s="26"/>
      <c r="T329" s="26"/>
      <c r="U329" s="26"/>
      <c r="V329" s="26"/>
      <c r="W329" s="27"/>
      <c r="X329" s="50"/>
    </row>
    <row r="330" spans="2:24" x14ac:dyDescent="0.25">
      <c r="B330" s="2"/>
      <c r="C330" s="55"/>
      <c r="D330" s="55"/>
      <c r="I330" s="56"/>
      <c r="O330" s="25"/>
      <c r="P330" s="26"/>
      <c r="Q330" s="26"/>
      <c r="R330" s="26"/>
      <c r="S330" s="26"/>
      <c r="T330" s="26"/>
      <c r="U330" s="26"/>
      <c r="V330" s="26"/>
      <c r="W330" s="27"/>
      <c r="X330" s="50"/>
    </row>
    <row r="331" spans="2:24" x14ac:dyDescent="0.25">
      <c r="B331" s="2"/>
      <c r="C331" s="55"/>
      <c r="D331" s="55"/>
      <c r="I331" s="56"/>
      <c r="O331" s="25"/>
      <c r="P331" s="26"/>
      <c r="Q331" s="26"/>
      <c r="R331" s="26"/>
      <c r="S331" s="26"/>
      <c r="T331" s="26"/>
      <c r="U331" s="26"/>
      <c r="V331" s="26"/>
      <c r="W331" s="27"/>
      <c r="X331" s="50"/>
    </row>
    <row r="332" spans="2:24" x14ac:dyDescent="0.25">
      <c r="B332" s="2"/>
      <c r="C332" s="55"/>
      <c r="D332" s="55"/>
      <c r="I332" s="56"/>
      <c r="O332" s="25"/>
      <c r="P332" s="26"/>
      <c r="Q332" s="26"/>
      <c r="R332" s="26"/>
      <c r="S332" s="26"/>
      <c r="T332" s="26"/>
      <c r="U332" s="26"/>
      <c r="V332" s="26"/>
      <c r="W332" s="27"/>
      <c r="X332" s="50"/>
    </row>
    <row r="333" spans="2:24" x14ac:dyDescent="0.25">
      <c r="B333" s="2"/>
      <c r="C333" s="55"/>
      <c r="D333" s="55"/>
      <c r="I333" s="56"/>
      <c r="O333" s="25"/>
      <c r="P333" s="26"/>
      <c r="Q333" s="26"/>
      <c r="R333" s="26"/>
      <c r="S333" s="26"/>
      <c r="T333" s="26"/>
      <c r="U333" s="26"/>
      <c r="V333" s="26"/>
      <c r="W333" s="27"/>
      <c r="X333" s="50"/>
    </row>
    <row r="334" spans="2:24" x14ac:dyDescent="0.25">
      <c r="B334" s="2"/>
      <c r="C334" s="55"/>
      <c r="D334" s="55"/>
      <c r="I334" s="56"/>
      <c r="O334" s="25"/>
      <c r="P334" s="26"/>
      <c r="Q334" s="26"/>
      <c r="R334" s="26"/>
      <c r="S334" s="26"/>
      <c r="T334" s="26"/>
      <c r="U334" s="26"/>
      <c r="V334" s="26"/>
      <c r="W334" s="27"/>
      <c r="X334" s="50"/>
    </row>
    <row r="335" spans="2:24" x14ac:dyDescent="0.25">
      <c r="B335" s="2"/>
      <c r="C335" s="55"/>
      <c r="D335" s="55"/>
      <c r="I335" s="56"/>
      <c r="O335" s="25"/>
      <c r="P335" s="26"/>
      <c r="Q335" s="26"/>
      <c r="R335" s="26"/>
      <c r="S335" s="26"/>
      <c r="T335" s="26"/>
      <c r="U335" s="26"/>
      <c r="V335" s="26"/>
      <c r="W335" s="27"/>
      <c r="X335" s="50"/>
    </row>
    <row r="336" spans="2:24" x14ac:dyDescent="0.25">
      <c r="B336" s="2"/>
      <c r="C336" s="55"/>
      <c r="D336" s="55"/>
      <c r="I336" s="56"/>
      <c r="O336" s="25"/>
      <c r="P336" s="26"/>
      <c r="Q336" s="26"/>
      <c r="R336" s="26"/>
      <c r="S336" s="26"/>
      <c r="T336" s="26"/>
      <c r="U336" s="26"/>
      <c r="V336" s="26"/>
      <c r="W336" s="27"/>
      <c r="X336" s="50"/>
    </row>
    <row r="337" spans="2:24" x14ac:dyDescent="0.25">
      <c r="B337" s="2"/>
      <c r="C337" s="55"/>
      <c r="D337" s="55"/>
      <c r="I337" s="56"/>
      <c r="O337" s="25"/>
      <c r="P337" s="26"/>
      <c r="Q337" s="26"/>
      <c r="R337" s="26"/>
      <c r="S337" s="26"/>
      <c r="T337" s="26"/>
      <c r="U337" s="26"/>
      <c r="V337" s="26"/>
      <c r="W337" s="27"/>
      <c r="X337" s="50"/>
    </row>
    <row r="338" spans="2:24" x14ac:dyDescent="0.25">
      <c r="B338" s="2"/>
      <c r="C338" s="55"/>
      <c r="D338" s="55"/>
      <c r="I338" s="56"/>
      <c r="O338" s="25"/>
      <c r="P338" s="26"/>
      <c r="Q338" s="26"/>
      <c r="R338" s="26"/>
      <c r="S338" s="26"/>
      <c r="T338" s="26"/>
      <c r="U338" s="26"/>
      <c r="V338" s="26"/>
      <c r="W338" s="27"/>
      <c r="X338" s="50"/>
    </row>
    <row r="339" spans="2:24" x14ac:dyDescent="0.25">
      <c r="B339" s="2"/>
      <c r="C339" s="55"/>
      <c r="D339" s="55"/>
      <c r="I339" s="56"/>
      <c r="O339" s="25"/>
      <c r="P339" s="26"/>
      <c r="Q339" s="26"/>
      <c r="R339" s="26"/>
      <c r="S339" s="26"/>
      <c r="T339" s="26"/>
      <c r="U339" s="26"/>
      <c r="V339" s="26"/>
      <c r="W339" s="27"/>
      <c r="X339" s="50"/>
    </row>
    <row r="340" spans="2:24" x14ac:dyDescent="0.25">
      <c r="B340" s="2"/>
      <c r="C340" s="55"/>
      <c r="D340" s="55"/>
      <c r="I340" s="56"/>
      <c r="O340" s="25"/>
      <c r="P340" s="26"/>
      <c r="Q340" s="26"/>
      <c r="R340" s="26"/>
      <c r="S340" s="26"/>
      <c r="T340" s="26"/>
      <c r="U340" s="26"/>
      <c r="V340" s="26"/>
      <c r="W340" s="27"/>
      <c r="X340" s="50"/>
    </row>
    <row r="341" spans="2:24" x14ac:dyDescent="0.25">
      <c r="B341" s="2"/>
      <c r="C341" s="55"/>
      <c r="D341" s="55"/>
      <c r="I341" s="56"/>
      <c r="O341" s="25"/>
      <c r="P341" s="26"/>
      <c r="Q341" s="26"/>
      <c r="R341" s="26"/>
      <c r="S341" s="26"/>
      <c r="T341" s="26"/>
      <c r="U341" s="26"/>
      <c r="V341" s="26"/>
      <c r="W341" s="27"/>
      <c r="X341" s="50"/>
    </row>
    <row r="342" spans="2:24" x14ac:dyDescent="0.25">
      <c r="B342" s="2"/>
      <c r="C342" s="55"/>
      <c r="D342" s="55"/>
      <c r="I342" s="56"/>
      <c r="O342" s="25"/>
      <c r="P342" s="26"/>
      <c r="Q342" s="26"/>
      <c r="R342" s="26"/>
      <c r="S342" s="26"/>
      <c r="T342" s="26"/>
      <c r="U342" s="26"/>
      <c r="V342" s="26"/>
      <c r="W342" s="27"/>
      <c r="X342" s="50"/>
    </row>
    <row r="343" spans="2:24" x14ac:dyDescent="0.25">
      <c r="B343" s="2"/>
      <c r="C343" s="55"/>
      <c r="D343" s="55"/>
      <c r="I343" s="56"/>
      <c r="O343" s="25"/>
      <c r="P343" s="26"/>
      <c r="Q343" s="26"/>
      <c r="R343" s="26"/>
      <c r="S343" s="26"/>
      <c r="T343" s="26"/>
      <c r="U343" s="26"/>
      <c r="V343" s="26"/>
      <c r="W343" s="27"/>
      <c r="X343" s="50"/>
    </row>
    <row r="344" spans="2:24" x14ac:dyDescent="0.25">
      <c r="B344" s="2"/>
      <c r="C344" s="55"/>
      <c r="D344" s="55"/>
      <c r="I344" s="56"/>
      <c r="O344" s="25"/>
      <c r="P344" s="26"/>
      <c r="Q344" s="26"/>
      <c r="R344" s="26"/>
      <c r="S344" s="26"/>
      <c r="T344" s="26"/>
      <c r="U344" s="26"/>
      <c r="V344" s="26"/>
      <c r="W344" s="27"/>
      <c r="X344" s="50"/>
    </row>
    <row r="345" spans="2:24" x14ac:dyDescent="0.25">
      <c r="B345" s="2"/>
      <c r="C345" s="55"/>
      <c r="D345" s="55"/>
      <c r="I345" s="56"/>
      <c r="O345" s="25"/>
      <c r="P345" s="26"/>
      <c r="Q345" s="26"/>
      <c r="R345" s="26"/>
      <c r="S345" s="26"/>
      <c r="T345" s="26"/>
      <c r="U345" s="26"/>
      <c r="V345" s="26"/>
      <c r="W345" s="27"/>
      <c r="X345" s="50"/>
    </row>
    <row r="346" spans="2:24" x14ac:dyDescent="0.25">
      <c r="B346" s="2"/>
      <c r="C346" s="55"/>
      <c r="D346" s="55"/>
      <c r="I346" s="56"/>
      <c r="O346" s="25"/>
      <c r="P346" s="26"/>
      <c r="Q346" s="26"/>
      <c r="R346" s="26"/>
      <c r="S346" s="26"/>
      <c r="T346" s="26"/>
      <c r="U346" s="26"/>
      <c r="V346" s="26"/>
      <c r="W346" s="27"/>
      <c r="X346" s="50"/>
    </row>
    <row r="347" spans="2:24" x14ac:dyDescent="0.25">
      <c r="B347" s="2"/>
      <c r="C347" s="55"/>
      <c r="D347" s="55"/>
      <c r="I347" s="56"/>
      <c r="O347" s="25"/>
      <c r="P347" s="26"/>
      <c r="Q347" s="26"/>
      <c r="R347" s="26"/>
      <c r="S347" s="26"/>
      <c r="T347" s="26"/>
      <c r="U347" s="26"/>
      <c r="V347" s="26"/>
      <c r="W347" s="27"/>
      <c r="X347" s="50"/>
    </row>
    <row r="348" spans="2:24" x14ac:dyDescent="0.25">
      <c r="B348" s="2"/>
      <c r="C348" s="55"/>
      <c r="D348" s="55"/>
      <c r="I348" s="56"/>
      <c r="O348" s="25"/>
      <c r="P348" s="26"/>
      <c r="Q348" s="26"/>
      <c r="R348" s="26"/>
      <c r="S348" s="26"/>
      <c r="T348" s="26"/>
      <c r="U348" s="26"/>
      <c r="V348" s="26"/>
      <c r="W348" s="27"/>
      <c r="X348" s="50"/>
    </row>
    <row r="349" spans="2:24" x14ac:dyDescent="0.25">
      <c r="B349" s="2"/>
      <c r="C349" s="55"/>
      <c r="D349" s="55"/>
      <c r="I349" s="56"/>
      <c r="O349" s="25"/>
      <c r="P349" s="26"/>
      <c r="Q349" s="26"/>
      <c r="R349" s="26"/>
      <c r="S349" s="26"/>
      <c r="T349" s="26"/>
      <c r="U349" s="26"/>
      <c r="V349" s="26"/>
      <c r="W349" s="27"/>
      <c r="X349" s="50"/>
    </row>
    <row r="350" spans="2:24" x14ac:dyDescent="0.25">
      <c r="B350" s="2"/>
      <c r="C350" s="55"/>
      <c r="D350" s="55"/>
      <c r="I350" s="56"/>
      <c r="O350" s="25"/>
      <c r="P350" s="26"/>
      <c r="Q350" s="26"/>
      <c r="R350" s="26"/>
      <c r="S350" s="26"/>
      <c r="T350" s="26"/>
      <c r="U350" s="26"/>
      <c r="V350" s="26"/>
      <c r="W350" s="27"/>
      <c r="X350" s="50"/>
    </row>
    <row r="351" spans="2:24" x14ac:dyDescent="0.25">
      <c r="B351" s="2"/>
      <c r="C351" s="55"/>
      <c r="D351" s="55"/>
      <c r="I351" s="56"/>
      <c r="O351" s="25"/>
      <c r="P351" s="26"/>
      <c r="Q351" s="26"/>
      <c r="R351" s="26"/>
      <c r="S351" s="26"/>
      <c r="T351" s="26"/>
      <c r="U351" s="26"/>
      <c r="V351" s="26"/>
      <c r="W351" s="27"/>
      <c r="X351" s="50"/>
    </row>
    <row r="352" spans="2:24" x14ac:dyDescent="0.25">
      <c r="B352" s="2"/>
      <c r="C352" s="55"/>
      <c r="D352" s="55"/>
      <c r="I352" s="56"/>
      <c r="O352" s="25"/>
      <c r="P352" s="26"/>
      <c r="Q352" s="26"/>
      <c r="R352" s="26"/>
      <c r="S352" s="26"/>
      <c r="T352" s="26"/>
      <c r="U352" s="26"/>
      <c r="V352" s="26"/>
      <c r="W352" s="27"/>
      <c r="X352" s="50"/>
    </row>
    <row r="353" spans="2:24" x14ac:dyDescent="0.25">
      <c r="B353" s="2"/>
      <c r="C353" s="55"/>
      <c r="D353" s="55"/>
      <c r="I353" s="56"/>
      <c r="O353" s="25"/>
      <c r="P353" s="26"/>
      <c r="Q353" s="26"/>
      <c r="R353" s="26"/>
      <c r="S353" s="26"/>
      <c r="T353" s="26"/>
      <c r="U353" s="26"/>
      <c r="V353" s="26"/>
      <c r="W353" s="27"/>
      <c r="X353" s="50"/>
    </row>
    <row r="354" spans="2:24" x14ac:dyDescent="0.25">
      <c r="B354" s="2"/>
      <c r="C354" s="55"/>
      <c r="D354" s="55"/>
      <c r="I354" s="56"/>
      <c r="O354" s="25"/>
      <c r="P354" s="26"/>
      <c r="Q354" s="26"/>
      <c r="R354" s="26"/>
      <c r="S354" s="26"/>
      <c r="T354" s="26"/>
      <c r="U354" s="26"/>
      <c r="V354" s="26"/>
      <c r="W354" s="27"/>
      <c r="X354" s="50"/>
    </row>
    <row r="355" spans="2:24" x14ac:dyDescent="0.25">
      <c r="B355" s="2"/>
      <c r="C355" s="55"/>
      <c r="D355" s="55"/>
      <c r="I355" s="56"/>
      <c r="O355" s="25"/>
      <c r="P355" s="26"/>
      <c r="Q355" s="26"/>
      <c r="R355" s="26"/>
      <c r="S355" s="26"/>
      <c r="T355" s="26"/>
      <c r="U355" s="26"/>
      <c r="V355" s="26"/>
      <c r="W355" s="27"/>
      <c r="X355" s="50"/>
    </row>
    <row r="356" spans="2:24" x14ac:dyDescent="0.25">
      <c r="B356" s="2"/>
      <c r="C356" s="55"/>
      <c r="D356" s="55"/>
      <c r="I356" s="56"/>
      <c r="O356" s="25"/>
      <c r="P356" s="26"/>
      <c r="Q356" s="26"/>
      <c r="R356" s="26"/>
      <c r="S356" s="26"/>
      <c r="T356" s="26"/>
      <c r="U356" s="26"/>
      <c r="V356" s="26"/>
      <c r="W356" s="27"/>
      <c r="X356" s="50"/>
    </row>
    <row r="357" spans="2:24" x14ac:dyDescent="0.25">
      <c r="B357" s="2"/>
      <c r="C357" s="55"/>
      <c r="D357" s="55"/>
      <c r="I357" s="56"/>
      <c r="O357" s="25"/>
      <c r="P357" s="26"/>
      <c r="Q357" s="26"/>
      <c r="R357" s="26"/>
      <c r="S357" s="26"/>
      <c r="T357" s="26"/>
      <c r="U357" s="26"/>
      <c r="V357" s="26"/>
      <c r="W357" s="27"/>
      <c r="X357" s="50"/>
    </row>
    <row r="358" spans="2:24" x14ac:dyDescent="0.25">
      <c r="B358" s="2"/>
      <c r="C358" s="55"/>
      <c r="D358" s="55"/>
      <c r="I358" s="56"/>
      <c r="O358" s="25"/>
      <c r="P358" s="26"/>
      <c r="Q358" s="26"/>
      <c r="R358" s="26"/>
      <c r="S358" s="26"/>
      <c r="T358" s="26"/>
      <c r="U358" s="26"/>
      <c r="V358" s="26"/>
      <c r="W358" s="27"/>
      <c r="X358" s="50"/>
    </row>
    <row r="359" spans="2:24" x14ac:dyDescent="0.25">
      <c r="B359" s="2"/>
      <c r="C359" s="55"/>
      <c r="D359" s="55"/>
      <c r="I359" s="56"/>
      <c r="O359" s="25"/>
      <c r="P359" s="26"/>
      <c r="Q359" s="26"/>
      <c r="R359" s="26"/>
      <c r="S359" s="26"/>
      <c r="T359" s="26"/>
      <c r="U359" s="26"/>
      <c r="V359" s="26"/>
      <c r="W359" s="27"/>
      <c r="X359" s="50"/>
    </row>
    <row r="360" spans="2:24" x14ac:dyDescent="0.25">
      <c r="B360" s="2"/>
      <c r="C360" s="55"/>
      <c r="D360" s="55"/>
      <c r="I360" s="56"/>
      <c r="O360" s="25"/>
      <c r="P360" s="26"/>
      <c r="Q360" s="26"/>
      <c r="R360" s="26"/>
      <c r="S360" s="26"/>
      <c r="T360" s="26"/>
      <c r="U360" s="26"/>
      <c r="V360" s="26"/>
      <c r="W360" s="27"/>
      <c r="X360" s="50"/>
    </row>
    <row r="361" spans="2:24" x14ac:dyDescent="0.25">
      <c r="B361" s="2"/>
      <c r="C361" s="55"/>
      <c r="D361" s="55"/>
      <c r="I361" s="56"/>
      <c r="O361" s="25"/>
      <c r="P361" s="26"/>
      <c r="Q361" s="26"/>
      <c r="R361" s="26"/>
      <c r="S361" s="26"/>
      <c r="T361" s="26"/>
      <c r="U361" s="26"/>
      <c r="V361" s="26"/>
      <c r="W361" s="27"/>
      <c r="X361" s="50"/>
    </row>
    <row r="362" spans="2:24" x14ac:dyDescent="0.25">
      <c r="B362" s="2"/>
      <c r="C362" s="55"/>
      <c r="D362" s="55"/>
      <c r="I362" s="56"/>
      <c r="O362" s="25"/>
      <c r="P362" s="26"/>
      <c r="Q362" s="26"/>
      <c r="R362" s="26"/>
      <c r="S362" s="26"/>
      <c r="T362" s="26"/>
      <c r="U362" s="26"/>
      <c r="V362" s="26"/>
      <c r="W362" s="27"/>
      <c r="X362" s="50"/>
    </row>
    <row r="363" spans="2:24" x14ac:dyDescent="0.25">
      <c r="B363" s="2"/>
      <c r="C363" s="55"/>
      <c r="D363" s="55"/>
      <c r="I363" s="56"/>
      <c r="O363" s="25"/>
      <c r="P363" s="26"/>
      <c r="Q363" s="26"/>
      <c r="R363" s="26"/>
      <c r="S363" s="26"/>
      <c r="T363" s="26"/>
      <c r="U363" s="26"/>
      <c r="V363" s="26"/>
      <c r="W363" s="27"/>
      <c r="X363" s="50"/>
    </row>
    <row r="364" spans="2:24" x14ac:dyDescent="0.25">
      <c r="B364" s="2"/>
      <c r="C364" s="55"/>
      <c r="D364" s="55"/>
      <c r="I364" s="56"/>
      <c r="O364" s="25"/>
      <c r="P364" s="26"/>
      <c r="Q364" s="26"/>
      <c r="R364" s="26"/>
      <c r="S364" s="26"/>
      <c r="T364" s="26"/>
      <c r="U364" s="26"/>
      <c r="V364" s="26"/>
      <c r="W364" s="27"/>
      <c r="X364" s="50"/>
    </row>
    <row r="365" spans="2:24" x14ac:dyDescent="0.25">
      <c r="B365" s="2"/>
      <c r="C365" s="55"/>
      <c r="D365" s="55"/>
      <c r="I365" s="56"/>
      <c r="O365" s="25"/>
      <c r="P365" s="26"/>
      <c r="Q365" s="26"/>
      <c r="R365" s="26"/>
      <c r="S365" s="26"/>
      <c r="T365" s="26"/>
      <c r="U365" s="26"/>
      <c r="V365" s="26"/>
      <c r="W365" s="27"/>
      <c r="X365" s="50"/>
    </row>
    <row r="366" spans="2:24" x14ac:dyDescent="0.25">
      <c r="B366" s="2"/>
      <c r="C366" s="55"/>
      <c r="D366" s="55"/>
      <c r="I366" s="56"/>
      <c r="O366" s="25"/>
      <c r="P366" s="26"/>
      <c r="Q366" s="26"/>
      <c r="R366" s="26"/>
      <c r="S366" s="26"/>
      <c r="T366" s="26"/>
      <c r="U366" s="26"/>
      <c r="V366" s="26"/>
      <c r="W366" s="27"/>
      <c r="X366" s="50"/>
    </row>
    <row r="367" spans="2:24" x14ac:dyDescent="0.25">
      <c r="B367" s="2"/>
      <c r="C367" s="55"/>
      <c r="D367" s="55"/>
      <c r="I367" s="56"/>
      <c r="O367" s="25"/>
      <c r="P367" s="26"/>
      <c r="Q367" s="26"/>
      <c r="R367" s="26"/>
      <c r="S367" s="26"/>
      <c r="T367" s="26"/>
      <c r="U367" s="26"/>
      <c r="V367" s="26"/>
      <c r="W367" s="27"/>
      <c r="X367" s="50"/>
    </row>
    <row r="368" spans="2:24" x14ac:dyDescent="0.25">
      <c r="B368" s="2"/>
      <c r="C368" s="55"/>
      <c r="D368" s="55"/>
      <c r="I368" s="56"/>
      <c r="O368" s="25"/>
      <c r="P368" s="26"/>
      <c r="Q368" s="26"/>
      <c r="R368" s="26"/>
      <c r="S368" s="26"/>
      <c r="T368" s="26"/>
      <c r="U368" s="26"/>
      <c r="V368" s="26"/>
      <c r="W368" s="27"/>
      <c r="X368" s="50"/>
    </row>
    <row r="369" spans="2:24" x14ac:dyDescent="0.25">
      <c r="B369" s="2"/>
      <c r="C369" s="55"/>
      <c r="D369" s="55"/>
      <c r="I369" s="56"/>
      <c r="O369" s="25"/>
      <c r="P369" s="26"/>
      <c r="Q369" s="26"/>
      <c r="R369" s="26"/>
      <c r="S369" s="26"/>
      <c r="T369" s="26"/>
      <c r="U369" s="26"/>
      <c r="V369" s="26"/>
      <c r="W369" s="27"/>
      <c r="X369" s="50"/>
    </row>
    <row r="370" spans="2:24" x14ac:dyDescent="0.25">
      <c r="B370" s="2"/>
      <c r="C370" s="55"/>
      <c r="D370" s="55"/>
      <c r="I370" s="56"/>
      <c r="O370" s="25"/>
      <c r="P370" s="26"/>
      <c r="Q370" s="26"/>
      <c r="R370" s="26"/>
      <c r="S370" s="26"/>
      <c r="T370" s="26"/>
      <c r="U370" s="26"/>
      <c r="V370" s="26"/>
      <c r="W370" s="27"/>
      <c r="X370" s="50"/>
    </row>
    <row r="371" spans="2:24" x14ac:dyDescent="0.25">
      <c r="B371" s="2"/>
      <c r="C371" s="55"/>
      <c r="D371" s="55"/>
      <c r="I371" s="56"/>
      <c r="O371" s="25"/>
      <c r="P371" s="26"/>
      <c r="Q371" s="26"/>
      <c r="R371" s="26"/>
      <c r="S371" s="26"/>
      <c r="T371" s="26"/>
      <c r="U371" s="26"/>
      <c r="V371" s="26"/>
      <c r="W371" s="27"/>
      <c r="X371" s="50"/>
    </row>
    <row r="372" spans="2:24" x14ac:dyDescent="0.25">
      <c r="B372" s="2"/>
      <c r="C372" s="55"/>
      <c r="D372" s="55"/>
      <c r="I372" s="56"/>
      <c r="O372" s="25"/>
      <c r="P372" s="26"/>
      <c r="Q372" s="26"/>
      <c r="R372" s="26"/>
      <c r="S372" s="26"/>
      <c r="T372" s="26"/>
      <c r="U372" s="26"/>
      <c r="V372" s="26"/>
      <c r="W372" s="27"/>
      <c r="X372" s="50"/>
    </row>
    <row r="373" spans="2:24" x14ac:dyDescent="0.25">
      <c r="B373" s="2"/>
      <c r="C373" s="55"/>
      <c r="D373" s="55"/>
      <c r="I373" s="56"/>
      <c r="O373" s="25"/>
      <c r="P373" s="26"/>
      <c r="Q373" s="26"/>
      <c r="R373" s="26"/>
      <c r="S373" s="26"/>
      <c r="T373" s="26"/>
      <c r="U373" s="26"/>
      <c r="V373" s="26"/>
      <c r="W373" s="27"/>
      <c r="X373" s="50"/>
    </row>
    <row r="374" spans="2:24" x14ac:dyDescent="0.25">
      <c r="B374" s="2"/>
      <c r="C374" s="55"/>
      <c r="D374" s="55"/>
      <c r="I374" s="56"/>
      <c r="O374" s="25"/>
      <c r="P374" s="26"/>
      <c r="Q374" s="26"/>
      <c r="R374" s="26"/>
      <c r="S374" s="26"/>
      <c r="T374" s="26"/>
      <c r="U374" s="26"/>
      <c r="V374" s="26"/>
      <c r="W374" s="27"/>
      <c r="X374" s="50"/>
    </row>
    <row r="375" spans="2:24" x14ac:dyDescent="0.25">
      <c r="B375" s="2"/>
      <c r="C375" s="55"/>
      <c r="D375" s="55"/>
      <c r="I375" s="56"/>
      <c r="O375" s="25"/>
      <c r="P375" s="26"/>
      <c r="Q375" s="26"/>
      <c r="R375" s="26"/>
      <c r="S375" s="26"/>
      <c r="T375" s="26"/>
      <c r="U375" s="26"/>
      <c r="V375" s="26"/>
      <c r="W375" s="27"/>
      <c r="X375" s="50"/>
    </row>
    <row r="376" spans="2:24" x14ac:dyDescent="0.25">
      <c r="B376" s="2"/>
      <c r="C376" s="55"/>
      <c r="D376" s="55"/>
      <c r="I376" s="56"/>
      <c r="O376" s="25"/>
      <c r="P376" s="26"/>
      <c r="Q376" s="26"/>
      <c r="R376" s="26"/>
      <c r="S376" s="26"/>
      <c r="T376" s="26"/>
      <c r="U376" s="26"/>
      <c r="V376" s="26"/>
      <c r="W376" s="27"/>
      <c r="X376" s="50"/>
    </row>
    <row r="377" spans="2:24" x14ac:dyDescent="0.25">
      <c r="B377" s="2"/>
      <c r="C377" s="55"/>
      <c r="D377" s="55"/>
      <c r="I377" s="56"/>
      <c r="O377" s="25"/>
      <c r="P377" s="26"/>
      <c r="Q377" s="26"/>
      <c r="R377" s="26"/>
      <c r="S377" s="26"/>
      <c r="T377" s="26"/>
      <c r="U377" s="26"/>
      <c r="V377" s="26"/>
      <c r="W377" s="27"/>
      <c r="X377" s="50"/>
    </row>
    <row r="378" spans="2:24" x14ac:dyDescent="0.25">
      <c r="B378" s="2"/>
      <c r="C378" s="55"/>
      <c r="D378" s="55"/>
      <c r="I378" s="56"/>
      <c r="O378" s="25"/>
      <c r="P378" s="26"/>
      <c r="Q378" s="26"/>
      <c r="R378" s="26"/>
      <c r="S378" s="26"/>
      <c r="T378" s="26"/>
      <c r="U378" s="26"/>
      <c r="V378" s="26"/>
      <c r="W378" s="27"/>
      <c r="X378" s="50"/>
    </row>
    <row r="379" spans="2:24" x14ac:dyDescent="0.25">
      <c r="B379" s="2"/>
      <c r="C379" s="55"/>
      <c r="D379" s="55"/>
      <c r="I379" s="56"/>
      <c r="O379" s="25"/>
      <c r="P379" s="26"/>
      <c r="Q379" s="26"/>
      <c r="R379" s="26"/>
      <c r="S379" s="26"/>
      <c r="T379" s="26"/>
      <c r="U379" s="26"/>
      <c r="V379" s="26"/>
      <c r="W379" s="27"/>
      <c r="X379" s="50"/>
    </row>
    <row r="380" spans="2:24" x14ac:dyDescent="0.25">
      <c r="B380" s="2"/>
      <c r="C380" s="55"/>
      <c r="D380" s="55"/>
      <c r="I380" s="56"/>
      <c r="O380" s="25"/>
      <c r="P380" s="26"/>
      <c r="Q380" s="26"/>
      <c r="R380" s="26"/>
      <c r="S380" s="26"/>
      <c r="T380" s="26"/>
      <c r="U380" s="26"/>
      <c r="V380" s="26"/>
      <c r="W380" s="27"/>
      <c r="X380" s="50"/>
    </row>
    <row r="381" spans="2:24" x14ac:dyDescent="0.25">
      <c r="B381" s="2"/>
      <c r="C381" s="55"/>
      <c r="D381" s="55"/>
      <c r="I381" s="56"/>
      <c r="O381" s="25"/>
      <c r="P381" s="26"/>
      <c r="Q381" s="26"/>
      <c r="R381" s="26"/>
      <c r="S381" s="26"/>
      <c r="T381" s="26"/>
      <c r="U381" s="26"/>
      <c r="V381" s="26"/>
      <c r="W381" s="27"/>
      <c r="X381" s="50"/>
    </row>
    <row r="382" spans="2:24" x14ac:dyDescent="0.25">
      <c r="B382" s="2"/>
      <c r="C382" s="55"/>
      <c r="D382" s="55"/>
      <c r="I382" s="56"/>
      <c r="O382" s="25"/>
      <c r="P382" s="26"/>
      <c r="Q382" s="26"/>
      <c r="R382" s="26"/>
      <c r="S382" s="26"/>
      <c r="T382" s="26"/>
      <c r="U382" s="26"/>
      <c r="V382" s="26"/>
      <c r="W382" s="27"/>
      <c r="X382" s="50"/>
    </row>
    <row r="383" spans="2:24" x14ac:dyDescent="0.25">
      <c r="B383" s="2"/>
      <c r="C383" s="55"/>
      <c r="D383" s="55"/>
      <c r="I383" s="56"/>
      <c r="O383" s="25"/>
      <c r="P383" s="26"/>
      <c r="Q383" s="26"/>
      <c r="R383" s="26"/>
      <c r="S383" s="26"/>
      <c r="T383" s="26"/>
      <c r="U383" s="26"/>
      <c r="V383" s="26"/>
      <c r="W383" s="27"/>
      <c r="X383" s="50"/>
    </row>
    <row r="384" spans="2:24" x14ac:dyDescent="0.25">
      <c r="B384" s="2"/>
      <c r="C384" s="55"/>
      <c r="D384" s="55"/>
      <c r="I384" s="56"/>
      <c r="O384" s="25"/>
      <c r="P384" s="26"/>
      <c r="Q384" s="26"/>
      <c r="R384" s="26"/>
      <c r="S384" s="26"/>
      <c r="T384" s="26"/>
      <c r="U384" s="26"/>
      <c r="V384" s="26"/>
      <c r="W384" s="27"/>
      <c r="X384" s="50"/>
    </row>
    <row r="385" spans="2:24" x14ac:dyDescent="0.25">
      <c r="B385" s="2"/>
      <c r="C385" s="55"/>
      <c r="D385" s="55"/>
      <c r="I385" s="56"/>
      <c r="O385" s="25"/>
      <c r="P385" s="26"/>
      <c r="Q385" s="26"/>
      <c r="R385" s="26"/>
      <c r="S385" s="26"/>
      <c r="T385" s="26"/>
      <c r="U385" s="26"/>
      <c r="V385" s="26"/>
      <c r="W385" s="27"/>
      <c r="X385" s="50"/>
    </row>
    <row r="386" spans="2:24" x14ac:dyDescent="0.25">
      <c r="B386" s="2"/>
      <c r="C386" s="55"/>
      <c r="D386" s="55"/>
      <c r="I386" s="56"/>
      <c r="O386" s="25"/>
      <c r="P386" s="26"/>
      <c r="Q386" s="26"/>
      <c r="R386" s="26"/>
      <c r="S386" s="26"/>
      <c r="T386" s="26"/>
      <c r="U386" s="26"/>
      <c r="V386" s="26"/>
      <c r="W386" s="27"/>
      <c r="X386" s="50"/>
    </row>
    <row r="387" spans="2:24" x14ac:dyDescent="0.25">
      <c r="B387" s="2"/>
      <c r="C387" s="55"/>
      <c r="D387" s="55"/>
      <c r="I387" s="56"/>
      <c r="O387" s="25"/>
      <c r="P387" s="26"/>
      <c r="Q387" s="26"/>
      <c r="R387" s="26"/>
      <c r="S387" s="26"/>
      <c r="T387" s="26"/>
      <c r="U387" s="26"/>
      <c r="V387" s="26"/>
      <c r="W387" s="27"/>
      <c r="X387" s="50"/>
    </row>
    <row r="388" spans="2:24" x14ac:dyDescent="0.25">
      <c r="B388" s="2"/>
      <c r="C388" s="55"/>
      <c r="D388" s="55"/>
      <c r="I388" s="56"/>
      <c r="O388" s="25"/>
      <c r="P388" s="26"/>
      <c r="Q388" s="26"/>
      <c r="R388" s="26"/>
      <c r="S388" s="26"/>
      <c r="T388" s="26"/>
      <c r="U388" s="26"/>
      <c r="V388" s="26"/>
      <c r="W388" s="27"/>
      <c r="X388" s="50"/>
    </row>
    <row r="389" spans="2:24" x14ac:dyDescent="0.25">
      <c r="B389" s="2"/>
      <c r="C389" s="55"/>
      <c r="D389" s="55"/>
      <c r="I389" s="56"/>
      <c r="O389" s="25"/>
      <c r="P389" s="26"/>
      <c r="Q389" s="26"/>
      <c r="R389" s="26"/>
      <c r="S389" s="26"/>
      <c r="T389" s="26"/>
      <c r="U389" s="26"/>
      <c r="V389" s="26"/>
      <c r="W389" s="27"/>
      <c r="X389" s="50"/>
    </row>
    <row r="390" spans="2:24" x14ac:dyDescent="0.25">
      <c r="B390" s="2"/>
      <c r="C390" s="55"/>
      <c r="D390" s="55"/>
      <c r="I390" s="56"/>
      <c r="O390" s="25"/>
      <c r="P390" s="26"/>
      <c r="Q390" s="26"/>
      <c r="R390" s="26"/>
      <c r="S390" s="26"/>
      <c r="T390" s="26"/>
      <c r="U390" s="26"/>
      <c r="V390" s="26"/>
      <c r="W390" s="27"/>
      <c r="X390" s="50"/>
    </row>
    <row r="391" spans="2:24" x14ac:dyDescent="0.25">
      <c r="B391" s="2"/>
      <c r="C391" s="55"/>
      <c r="D391" s="55"/>
      <c r="I391" s="56"/>
      <c r="O391" s="25"/>
      <c r="P391" s="26"/>
      <c r="Q391" s="26"/>
      <c r="R391" s="26"/>
      <c r="S391" s="26"/>
      <c r="T391" s="26"/>
      <c r="U391" s="26"/>
      <c r="V391" s="26"/>
      <c r="W391" s="27"/>
      <c r="X391" s="50"/>
    </row>
    <row r="392" spans="2:24" x14ac:dyDescent="0.25">
      <c r="B392" s="2"/>
      <c r="C392" s="55"/>
      <c r="D392" s="55"/>
      <c r="I392" s="56"/>
      <c r="O392" s="25"/>
      <c r="P392" s="26"/>
      <c r="Q392" s="26"/>
      <c r="R392" s="26"/>
      <c r="S392" s="26"/>
      <c r="T392" s="26"/>
      <c r="U392" s="26"/>
      <c r="V392" s="26"/>
      <c r="W392" s="27"/>
      <c r="X392" s="50"/>
    </row>
    <row r="393" spans="2:24" x14ac:dyDescent="0.25">
      <c r="B393" s="2"/>
      <c r="C393" s="55"/>
      <c r="D393" s="55"/>
      <c r="I393" s="56"/>
      <c r="O393" s="25"/>
      <c r="P393" s="26"/>
      <c r="Q393" s="26"/>
      <c r="R393" s="26"/>
      <c r="S393" s="26"/>
      <c r="T393" s="26"/>
      <c r="U393" s="26"/>
      <c r="V393" s="26"/>
      <c r="W393" s="27"/>
      <c r="X393" s="50"/>
    </row>
    <row r="394" spans="2:24" x14ac:dyDescent="0.25">
      <c r="B394" s="2"/>
      <c r="C394" s="55"/>
      <c r="D394" s="55"/>
      <c r="I394" s="56"/>
      <c r="O394" s="25"/>
      <c r="P394" s="26"/>
      <c r="Q394" s="26"/>
      <c r="R394" s="26"/>
      <c r="S394" s="26"/>
      <c r="T394" s="26"/>
      <c r="U394" s="26"/>
      <c r="V394" s="26"/>
      <c r="W394" s="27"/>
      <c r="X394" s="50"/>
    </row>
    <row r="395" spans="2:24" x14ac:dyDescent="0.25">
      <c r="B395" s="2"/>
      <c r="C395" s="55"/>
      <c r="D395" s="55"/>
      <c r="I395" s="56"/>
      <c r="O395" s="25"/>
      <c r="P395" s="26"/>
      <c r="Q395" s="26"/>
      <c r="R395" s="26"/>
      <c r="S395" s="26"/>
      <c r="T395" s="26"/>
      <c r="U395" s="26"/>
      <c r="V395" s="26"/>
      <c r="W395" s="27"/>
      <c r="X395" s="50"/>
    </row>
    <row r="396" spans="2:24" x14ac:dyDescent="0.25">
      <c r="B396" s="2"/>
      <c r="C396" s="55"/>
      <c r="D396" s="55"/>
      <c r="I396" s="56"/>
      <c r="O396" s="25"/>
      <c r="P396" s="26"/>
      <c r="Q396" s="26"/>
      <c r="R396" s="26"/>
      <c r="S396" s="26"/>
      <c r="T396" s="26"/>
      <c r="U396" s="26"/>
      <c r="V396" s="26"/>
      <c r="W396" s="27"/>
      <c r="X396" s="50"/>
    </row>
    <row r="397" spans="2:24" x14ac:dyDescent="0.25">
      <c r="B397" s="2"/>
      <c r="C397" s="55"/>
      <c r="D397" s="55"/>
      <c r="I397" s="56"/>
      <c r="O397" s="25"/>
      <c r="P397" s="26"/>
      <c r="Q397" s="26"/>
      <c r="R397" s="26"/>
      <c r="S397" s="26"/>
      <c r="T397" s="26"/>
      <c r="U397" s="26"/>
      <c r="V397" s="26"/>
      <c r="W397" s="27"/>
      <c r="X397" s="50"/>
    </row>
    <row r="398" spans="2:24" x14ac:dyDescent="0.25">
      <c r="B398" s="2"/>
      <c r="C398" s="55"/>
      <c r="D398" s="55"/>
      <c r="I398" s="56"/>
      <c r="O398" s="25"/>
      <c r="P398" s="26"/>
      <c r="Q398" s="26"/>
      <c r="R398" s="26"/>
      <c r="S398" s="26"/>
      <c r="T398" s="26"/>
      <c r="U398" s="26"/>
      <c r="V398" s="26"/>
      <c r="W398" s="27"/>
      <c r="X398" s="50"/>
    </row>
    <row r="399" spans="2:24" x14ac:dyDescent="0.25">
      <c r="B399" s="2"/>
      <c r="C399" s="55"/>
      <c r="D399" s="55"/>
      <c r="I399" s="56"/>
      <c r="O399" s="25"/>
      <c r="P399" s="26"/>
      <c r="Q399" s="26"/>
      <c r="R399" s="26"/>
      <c r="S399" s="26"/>
      <c r="T399" s="26"/>
      <c r="U399" s="26"/>
      <c r="V399" s="26"/>
      <c r="W399" s="27"/>
      <c r="X399" s="50"/>
    </row>
    <row r="400" spans="2:24" x14ac:dyDescent="0.25">
      <c r="B400" s="2"/>
      <c r="C400" s="55"/>
      <c r="D400" s="55"/>
      <c r="I400" s="56"/>
      <c r="O400" s="25"/>
      <c r="P400" s="26"/>
      <c r="Q400" s="26"/>
      <c r="R400" s="26"/>
      <c r="S400" s="26"/>
      <c r="T400" s="26"/>
      <c r="U400" s="26"/>
      <c r="V400" s="26"/>
      <c r="W400" s="27"/>
      <c r="X400" s="50"/>
    </row>
    <row r="401" spans="2:24" x14ac:dyDescent="0.25">
      <c r="B401" s="2"/>
      <c r="C401" s="55"/>
      <c r="D401" s="55"/>
      <c r="I401" s="56"/>
      <c r="O401" s="25"/>
      <c r="P401" s="26"/>
      <c r="Q401" s="26"/>
      <c r="R401" s="26"/>
      <c r="S401" s="26"/>
      <c r="T401" s="26"/>
      <c r="U401" s="26"/>
      <c r="V401" s="26"/>
      <c r="W401" s="27"/>
      <c r="X401" s="50"/>
    </row>
    <row r="402" spans="2:24" x14ac:dyDescent="0.25">
      <c r="B402" s="2"/>
      <c r="C402" s="55"/>
      <c r="D402" s="55"/>
      <c r="I402" s="56"/>
      <c r="O402" s="25"/>
      <c r="P402" s="26"/>
      <c r="Q402" s="26"/>
      <c r="R402" s="26"/>
      <c r="S402" s="26"/>
      <c r="T402" s="26"/>
      <c r="U402" s="26"/>
      <c r="V402" s="26"/>
      <c r="W402" s="27"/>
      <c r="X402" s="50"/>
    </row>
    <row r="403" spans="2:24" x14ac:dyDescent="0.25">
      <c r="B403" s="2"/>
      <c r="C403" s="55"/>
      <c r="D403" s="55"/>
      <c r="I403" s="56"/>
      <c r="O403" s="25"/>
      <c r="P403" s="26"/>
      <c r="Q403" s="26"/>
      <c r="R403" s="26"/>
      <c r="S403" s="26"/>
      <c r="T403" s="26"/>
      <c r="U403" s="26"/>
      <c r="V403" s="26"/>
      <c r="W403" s="27"/>
      <c r="X403" s="50"/>
    </row>
    <row r="404" spans="2:24" x14ac:dyDescent="0.25">
      <c r="B404" s="2"/>
      <c r="C404" s="55"/>
      <c r="D404" s="55"/>
      <c r="I404" s="56"/>
      <c r="O404" s="25"/>
      <c r="P404" s="26"/>
      <c r="Q404" s="26"/>
      <c r="R404" s="26"/>
      <c r="S404" s="26"/>
      <c r="T404" s="26"/>
      <c r="U404" s="26"/>
      <c r="V404" s="26"/>
      <c r="W404" s="27"/>
      <c r="X404" s="50"/>
    </row>
    <row r="405" spans="2:24" x14ac:dyDescent="0.25">
      <c r="B405" s="2"/>
      <c r="C405" s="55"/>
      <c r="D405" s="55"/>
      <c r="I405" s="56"/>
      <c r="O405" s="25"/>
      <c r="P405" s="26"/>
      <c r="Q405" s="26"/>
      <c r="R405" s="26"/>
      <c r="S405" s="26"/>
      <c r="T405" s="26"/>
      <c r="U405" s="26"/>
      <c r="V405" s="26"/>
      <c r="W405" s="27"/>
      <c r="X405" s="50"/>
    </row>
    <row r="406" spans="2:24" x14ac:dyDescent="0.25">
      <c r="B406" s="2"/>
      <c r="C406" s="55"/>
      <c r="D406" s="55"/>
      <c r="I406" s="56"/>
      <c r="O406" s="25"/>
      <c r="P406" s="26"/>
      <c r="Q406" s="26"/>
      <c r="R406" s="26"/>
      <c r="S406" s="26"/>
      <c r="T406" s="26"/>
      <c r="U406" s="26"/>
      <c r="V406" s="26"/>
      <c r="W406" s="27"/>
      <c r="X406" s="50"/>
    </row>
    <row r="407" spans="2:24" x14ac:dyDescent="0.25">
      <c r="B407" s="2"/>
      <c r="C407" s="55"/>
      <c r="D407" s="55"/>
      <c r="I407" s="56"/>
      <c r="O407" s="25"/>
      <c r="P407" s="26"/>
      <c r="Q407" s="26"/>
      <c r="R407" s="26"/>
      <c r="S407" s="26"/>
      <c r="T407" s="26"/>
      <c r="U407" s="26"/>
      <c r="V407" s="26"/>
      <c r="W407" s="27"/>
      <c r="X407" s="50"/>
    </row>
    <row r="408" spans="2:24" x14ac:dyDescent="0.25">
      <c r="B408" s="2"/>
      <c r="C408" s="55"/>
      <c r="D408" s="55"/>
      <c r="I408" s="56"/>
      <c r="O408" s="25"/>
      <c r="P408" s="26"/>
      <c r="Q408" s="26"/>
      <c r="R408" s="26"/>
      <c r="S408" s="26"/>
      <c r="T408" s="26"/>
      <c r="U408" s="26"/>
      <c r="V408" s="26"/>
      <c r="W408" s="27"/>
      <c r="X408" s="50"/>
    </row>
    <row r="409" spans="2:24" x14ac:dyDescent="0.25">
      <c r="B409" s="2"/>
      <c r="C409" s="55"/>
      <c r="D409" s="55"/>
      <c r="I409" s="56"/>
      <c r="O409" s="25"/>
      <c r="P409" s="26"/>
      <c r="Q409" s="26"/>
      <c r="R409" s="26"/>
      <c r="S409" s="26"/>
      <c r="T409" s="26"/>
      <c r="U409" s="26"/>
      <c r="V409" s="26"/>
      <c r="W409" s="27"/>
      <c r="X409" s="50"/>
    </row>
    <row r="410" spans="2:24" x14ac:dyDescent="0.25">
      <c r="B410" s="2"/>
      <c r="C410" s="55"/>
      <c r="D410" s="55"/>
      <c r="I410" s="56"/>
      <c r="O410" s="25"/>
      <c r="P410" s="26"/>
      <c r="Q410" s="26"/>
      <c r="R410" s="26"/>
      <c r="S410" s="26"/>
      <c r="T410" s="26"/>
      <c r="U410" s="26"/>
      <c r="V410" s="26"/>
      <c r="W410" s="27"/>
      <c r="X410" s="50"/>
    </row>
    <row r="411" spans="2:24" x14ac:dyDescent="0.25">
      <c r="B411" s="2"/>
      <c r="C411" s="55"/>
      <c r="D411" s="55"/>
      <c r="I411" s="56"/>
      <c r="O411" s="25"/>
      <c r="P411" s="26"/>
      <c r="Q411" s="26"/>
      <c r="R411" s="26"/>
      <c r="S411" s="26"/>
      <c r="T411" s="26"/>
      <c r="U411" s="26"/>
      <c r="V411" s="26"/>
      <c r="W411" s="27"/>
      <c r="X411" s="50"/>
    </row>
    <row r="412" spans="2:24" x14ac:dyDescent="0.25">
      <c r="B412" s="2"/>
      <c r="C412" s="55"/>
      <c r="D412" s="55"/>
      <c r="I412" s="56"/>
      <c r="O412" s="25"/>
      <c r="P412" s="26"/>
      <c r="Q412" s="26"/>
      <c r="R412" s="26"/>
      <c r="S412" s="26"/>
      <c r="T412" s="26"/>
      <c r="U412" s="26"/>
      <c r="V412" s="26"/>
      <c r="W412" s="27"/>
      <c r="X412" s="50"/>
    </row>
    <row r="413" spans="2:24" x14ac:dyDescent="0.25">
      <c r="B413" s="2"/>
      <c r="C413" s="55"/>
      <c r="D413" s="55"/>
      <c r="I413" s="56"/>
      <c r="O413" s="25"/>
      <c r="P413" s="26"/>
      <c r="Q413" s="26"/>
      <c r="R413" s="26"/>
      <c r="S413" s="26"/>
      <c r="T413" s="26"/>
      <c r="U413" s="26"/>
      <c r="V413" s="26"/>
      <c r="W413" s="27"/>
      <c r="X413" s="50"/>
    </row>
    <row r="414" spans="2:24" x14ac:dyDescent="0.25">
      <c r="B414" s="2"/>
      <c r="C414" s="55"/>
      <c r="D414" s="55"/>
      <c r="I414" s="56"/>
      <c r="O414" s="25"/>
      <c r="P414" s="26"/>
      <c r="Q414" s="26"/>
      <c r="R414" s="26"/>
      <c r="S414" s="26"/>
      <c r="T414" s="26"/>
      <c r="U414" s="26"/>
      <c r="V414" s="26"/>
      <c r="W414" s="27"/>
      <c r="X414" s="50"/>
    </row>
    <row r="415" spans="2:24" x14ac:dyDescent="0.25">
      <c r="B415" s="2"/>
      <c r="C415" s="55"/>
      <c r="D415" s="55"/>
      <c r="I415" s="56"/>
      <c r="O415" s="25"/>
      <c r="P415" s="26"/>
      <c r="Q415" s="26"/>
      <c r="R415" s="26"/>
      <c r="S415" s="26"/>
      <c r="T415" s="26"/>
      <c r="U415" s="26"/>
      <c r="V415" s="26"/>
      <c r="W415" s="27"/>
      <c r="X415" s="50"/>
    </row>
    <row r="416" spans="2:24" x14ac:dyDescent="0.25">
      <c r="B416" s="2"/>
      <c r="C416" s="55"/>
      <c r="D416" s="55"/>
      <c r="I416" s="56"/>
      <c r="O416" s="25"/>
      <c r="P416" s="26"/>
      <c r="Q416" s="26"/>
      <c r="R416" s="26"/>
      <c r="S416" s="26"/>
      <c r="T416" s="26"/>
      <c r="U416" s="26"/>
      <c r="V416" s="26"/>
      <c r="W416" s="27"/>
      <c r="X416" s="50"/>
    </row>
    <row r="417" spans="2:24" x14ac:dyDescent="0.25">
      <c r="B417" s="2"/>
      <c r="C417" s="55"/>
      <c r="D417" s="55"/>
      <c r="I417" s="56"/>
      <c r="O417" s="25"/>
      <c r="P417" s="26"/>
      <c r="Q417" s="26"/>
      <c r="R417" s="26"/>
      <c r="S417" s="26"/>
      <c r="T417" s="26"/>
      <c r="U417" s="26"/>
      <c r="V417" s="26"/>
      <c r="W417" s="27"/>
      <c r="X417" s="50"/>
    </row>
    <row r="418" spans="2:24" x14ac:dyDescent="0.25">
      <c r="B418" s="2"/>
      <c r="C418" s="55"/>
      <c r="D418" s="55"/>
      <c r="I418" s="56"/>
      <c r="O418" s="25"/>
      <c r="P418" s="26"/>
      <c r="Q418" s="26"/>
      <c r="R418" s="26"/>
      <c r="S418" s="26"/>
      <c r="T418" s="26"/>
      <c r="U418" s="26"/>
      <c r="V418" s="26"/>
      <c r="W418" s="27"/>
      <c r="X418" s="50"/>
    </row>
    <row r="419" spans="2:24" x14ac:dyDescent="0.25">
      <c r="B419" s="2"/>
      <c r="C419" s="55"/>
      <c r="D419" s="55"/>
      <c r="I419" s="56"/>
      <c r="O419" s="25"/>
      <c r="P419" s="26"/>
      <c r="Q419" s="26"/>
      <c r="R419" s="26"/>
      <c r="S419" s="26"/>
      <c r="T419" s="26"/>
      <c r="U419" s="26"/>
      <c r="V419" s="26"/>
      <c r="W419" s="27"/>
      <c r="X419" s="50"/>
    </row>
    <row r="420" spans="2:24" x14ac:dyDescent="0.25">
      <c r="B420" s="2"/>
      <c r="C420" s="55"/>
      <c r="D420" s="55"/>
      <c r="I420" s="56"/>
      <c r="O420" s="25"/>
      <c r="P420" s="26"/>
      <c r="Q420" s="26"/>
      <c r="R420" s="26"/>
      <c r="S420" s="26"/>
      <c r="T420" s="26"/>
      <c r="U420" s="26"/>
      <c r="V420" s="26"/>
      <c r="W420" s="27"/>
      <c r="X420" s="50"/>
    </row>
    <row r="421" spans="2:24" x14ac:dyDescent="0.25">
      <c r="B421" s="2"/>
      <c r="C421" s="55"/>
      <c r="D421" s="55"/>
      <c r="I421" s="56"/>
      <c r="O421" s="25"/>
      <c r="P421" s="26"/>
      <c r="Q421" s="26"/>
      <c r="R421" s="26"/>
      <c r="S421" s="26"/>
      <c r="T421" s="26"/>
      <c r="U421" s="26"/>
      <c r="V421" s="26"/>
      <c r="W421" s="27"/>
      <c r="X421" s="50"/>
    </row>
    <row r="422" spans="2:24" x14ac:dyDescent="0.25">
      <c r="B422" s="2"/>
      <c r="C422" s="55"/>
      <c r="D422" s="55"/>
      <c r="I422" s="56"/>
      <c r="O422" s="25"/>
      <c r="P422" s="26"/>
      <c r="Q422" s="26"/>
      <c r="R422" s="26"/>
      <c r="S422" s="26"/>
      <c r="T422" s="26"/>
      <c r="U422" s="26"/>
      <c r="V422" s="26"/>
      <c r="W422" s="27"/>
      <c r="X422" s="50"/>
    </row>
    <row r="423" spans="2:24" x14ac:dyDescent="0.25">
      <c r="B423" s="2"/>
      <c r="C423" s="55"/>
      <c r="D423" s="55"/>
      <c r="I423" s="56"/>
      <c r="O423" s="25"/>
      <c r="P423" s="26"/>
      <c r="Q423" s="26"/>
      <c r="R423" s="26"/>
      <c r="S423" s="26"/>
      <c r="T423" s="26"/>
      <c r="U423" s="26"/>
      <c r="V423" s="26"/>
      <c r="W423" s="27"/>
      <c r="X423" s="50"/>
    </row>
    <row r="424" spans="2:24" x14ac:dyDescent="0.25">
      <c r="B424" s="2"/>
      <c r="C424" s="55"/>
      <c r="D424" s="55"/>
      <c r="I424" s="56"/>
      <c r="O424" s="25"/>
      <c r="P424" s="26"/>
      <c r="Q424" s="26"/>
      <c r="R424" s="26"/>
      <c r="S424" s="26"/>
      <c r="T424" s="26"/>
      <c r="U424" s="26"/>
      <c r="V424" s="26"/>
      <c r="W424" s="27"/>
      <c r="X424" s="50"/>
    </row>
    <row r="425" spans="2:24" x14ac:dyDescent="0.25">
      <c r="B425" s="2"/>
      <c r="C425" s="55"/>
      <c r="D425" s="55"/>
      <c r="I425" s="56"/>
      <c r="O425" s="25"/>
      <c r="P425" s="26"/>
      <c r="Q425" s="26"/>
      <c r="R425" s="26"/>
      <c r="S425" s="26"/>
      <c r="T425" s="26"/>
      <c r="U425" s="26"/>
      <c r="V425" s="26"/>
      <c r="W425" s="27"/>
      <c r="X425" s="50"/>
    </row>
    <row r="426" spans="2:24" x14ac:dyDescent="0.25">
      <c r="B426" s="2"/>
      <c r="C426" s="55"/>
      <c r="D426" s="55"/>
      <c r="I426" s="56"/>
      <c r="O426" s="25"/>
      <c r="P426" s="26"/>
      <c r="Q426" s="26"/>
      <c r="R426" s="26"/>
      <c r="S426" s="26"/>
      <c r="T426" s="26"/>
      <c r="U426" s="26"/>
      <c r="V426" s="26"/>
      <c r="W426" s="27"/>
      <c r="X426" s="50"/>
    </row>
    <row r="427" spans="2:24" x14ac:dyDescent="0.25">
      <c r="B427" s="2"/>
      <c r="C427" s="55"/>
      <c r="D427" s="55"/>
      <c r="I427" s="56"/>
      <c r="O427" s="25"/>
      <c r="P427" s="26"/>
      <c r="Q427" s="26"/>
      <c r="R427" s="26"/>
      <c r="S427" s="26"/>
      <c r="T427" s="26"/>
      <c r="U427" s="26"/>
      <c r="V427" s="26"/>
      <c r="W427" s="27"/>
      <c r="X427" s="50"/>
    </row>
    <row r="428" spans="2:24" x14ac:dyDescent="0.25">
      <c r="B428" s="2"/>
      <c r="C428" s="55"/>
      <c r="D428" s="55"/>
      <c r="I428" s="56"/>
      <c r="O428" s="25"/>
      <c r="P428" s="26"/>
      <c r="Q428" s="26"/>
      <c r="R428" s="26"/>
      <c r="S428" s="26"/>
      <c r="T428" s="26"/>
      <c r="U428" s="26"/>
      <c r="V428" s="26"/>
      <c r="W428" s="27"/>
      <c r="X428" s="50"/>
    </row>
    <row r="429" spans="2:24" x14ac:dyDescent="0.25">
      <c r="B429" s="2"/>
      <c r="C429" s="55"/>
      <c r="D429" s="55"/>
      <c r="I429" s="56"/>
      <c r="O429" s="25"/>
      <c r="P429" s="26"/>
      <c r="Q429" s="26"/>
      <c r="R429" s="26"/>
      <c r="S429" s="26"/>
      <c r="T429" s="26"/>
      <c r="U429" s="26"/>
      <c r="V429" s="26"/>
      <c r="W429" s="27"/>
      <c r="X429" s="50"/>
    </row>
    <row r="430" spans="2:24" x14ac:dyDescent="0.25">
      <c r="B430" s="2"/>
      <c r="C430" s="55"/>
      <c r="D430" s="55"/>
      <c r="I430" s="56"/>
      <c r="O430" s="25"/>
      <c r="P430" s="26"/>
      <c r="Q430" s="26"/>
      <c r="R430" s="26"/>
      <c r="S430" s="26"/>
      <c r="T430" s="26"/>
      <c r="U430" s="26"/>
      <c r="V430" s="26"/>
      <c r="W430" s="27"/>
      <c r="X430" s="50"/>
    </row>
    <row r="431" spans="2:24" x14ac:dyDescent="0.25">
      <c r="B431" s="2"/>
      <c r="C431" s="55"/>
      <c r="D431" s="55"/>
      <c r="I431" s="56"/>
      <c r="O431" s="25"/>
      <c r="P431" s="26"/>
      <c r="Q431" s="26"/>
      <c r="R431" s="26"/>
      <c r="S431" s="26"/>
      <c r="T431" s="26"/>
      <c r="U431" s="26"/>
      <c r="V431" s="26"/>
      <c r="W431" s="27"/>
      <c r="X431" s="50"/>
    </row>
    <row r="432" spans="2:24" x14ac:dyDescent="0.25">
      <c r="B432" s="2"/>
      <c r="C432" s="55"/>
      <c r="D432" s="55"/>
      <c r="I432" s="56"/>
      <c r="O432" s="25"/>
      <c r="P432" s="26"/>
      <c r="Q432" s="26"/>
      <c r="R432" s="26"/>
      <c r="S432" s="26"/>
      <c r="T432" s="26"/>
      <c r="U432" s="26"/>
      <c r="V432" s="26"/>
      <c r="W432" s="27"/>
      <c r="X432" s="50"/>
    </row>
    <row r="433" spans="2:24" x14ac:dyDescent="0.25">
      <c r="B433" s="2"/>
      <c r="C433" s="55"/>
      <c r="D433" s="55"/>
      <c r="I433" s="56"/>
      <c r="O433" s="25"/>
      <c r="P433" s="26"/>
      <c r="Q433" s="26"/>
      <c r="R433" s="26"/>
      <c r="S433" s="26"/>
      <c r="T433" s="26"/>
      <c r="U433" s="26"/>
      <c r="V433" s="26"/>
      <c r="W433" s="27"/>
      <c r="X433" s="50"/>
    </row>
    <row r="434" spans="2:24" x14ac:dyDescent="0.25">
      <c r="B434" s="2"/>
      <c r="C434" s="55"/>
      <c r="D434" s="55"/>
      <c r="I434" s="56"/>
      <c r="O434" s="25"/>
      <c r="P434" s="26"/>
      <c r="Q434" s="26"/>
      <c r="R434" s="26"/>
      <c r="S434" s="26"/>
      <c r="T434" s="26"/>
      <c r="U434" s="26"/>
      <c r="V434" s="26"/>
      <c r="W434" s="27"/>
      <c r="X434" s="50"/>
    </row>
    <row r="435" spans="2:24" x14ac:dyDescent="0.25">
      <c r="B435" s="2"/>
      <c r="C435" s="55"/>
      <c r="D435" s="55"/>
      <c r="I435" s="56"/>
      <c r="O435" s="25"/>
      <c r="P435" s="26"/>
      <c r="Q435" s="26"/>
      <c r="R435" s="26"/>
      <c r="S435" s="26"/>
      <c r="T435" s="26"/>
      <c r="U435" s="26"/>
      <c r="V435" s="26"/>
      <c r="W435" s="27"/>
      <c r="X435" s="50"/>
    </row>
    <row r="436" spans="2:24" x14ac:dyDescent="0.25">
      <c r="B436" s="2"/>
      <c r="C436" s="55"/>
      <c r="D436" s="55"/>
      <c r="I436" s="56"/>
      <c r="O436" s="25"/>
      <c r="P436" s="26"/>
      <c r="Q436" s="26"/>
      <c r="R436" s="26"/>
      <c r="S436" s="26"/>
      <c r="T436" s="26"/>
      <c r="U436" s="26"/>
      <c r="V436" s="26"/>
      <c r="W436" s="27"/>
      <c r="X436" s="50"/>
    </row>
    <row r="437" spans="2:24" x14ac:dyDescent="0.25">
      <c r="B437" s="2"/>
      <c r="C437" s="55"/>
      <c r="D437" s="55"/>
      <c r="I437" s="56"/>
      <c r="O437" s="25"/>
      <c r="P437" s="26"/>
      <c r="Q437" s="26"/>
      <c r="R437" s="26"/>
      <c r="S437" s="26"/>
      <c r="T437" s="26"/>
      <c r="U437" s="26"/>
      <c r="V437" s="26"/>
      <c r="W437" s="27"/>
      <c r="X437" s="50"/>
    </row>
    <row r="438" spans="2:24" x14ac:dyDescent="0.25">
      <c r="B438" s="2"/>
      <c r="C438" s="55"/>
      <c r="D438" s="55"/>
      <c r="I438" s="56"/>
      <c r="O438" s="25"/>
      <c r="P438" s="26"/>
      <c r="Q438" s="26"/>
      <c r="R438" s="26"/>
      <c r="S438" s="26"/>
      <c r="T438" s="26"/>
      <c r="U438" s="26"/>
      <c r="V438" s="26"/>
      <c r="W438" s="27"/>
      <c r="X438" s="50"/>
    </row>
    <row r="439" spans="2:24" x14ac:dyDescent="0.25">
      <c r="B439" s="2"/>
      <c r="C439" s="55"/>
      <c r="D439" s="55"/>
      <c r="I439" s="56"/>
      <c r="O439" s="25"/>
      <c r="P439" s="26"/>
      <c r="Q439" s="26"/>
      <c r="R439" s="26"/>
      <c r="S439" s="26"/>
      <c r="T439" s="26"/>
      <c r="U439" s="26"/>
      <c r="V439" s="26"/>
      <c r="W439" s="27"/>
      <c r="X439" s="50"/>
    </row>
    <row r="440" spans="2:24" x14ac:dyDescent="0.25">
      <c r="B440" s="2"/>
      <c r="C440" s="55"/>
      <c r="D440" s="55"/>
      <c r="I440" s="56"/>
      <c r="O440" s="25"/>
      <c r="P440" s="26"/>
      <c r="Q440" s="26"/>
      <c r="R440" s="26"/>
      <c r="S440" s="26"/>
      <c r="T440" s="26"/>
      <c r="U440" s="26"/>
      <c r="V440" s="26"/>
      <c r="W440" s="27"/>
      <c r="X440" s="50"/>
    </row>
    <row r="441" spans="2:24" x14ac:dyDescent="0.25">
      <c r="B441" s="2"/>
      <c r="C441" s="55"/>
      <c r="D441" s="55"/>
      <c r="I441" s="56"/>
      <c r="O441" s="25"/>
      <c r="P441" s="26"/>
      <c r="Q441" s="26"/>
      <c r="R441" s="26"/>
      <c r="S441" s="26"/>
      <c r="T441" s="26"/>
      <c r="U441" s="26"/>
      <c r="V441" s="26"/>
      <c r="W441" s="27"/>
      <c r="X441" s="50"/>
    </row>
    <row r="442" spans="2:24" x14ac:dyDescent="0.25">
      <c r="B442" s="2"/>
      <c r="C442" s="55"/>
      <c r="D442" s="55"/>
      <c r="I442" s="56"/>
      <c r="O442" s="25"/>
      <c r="P442" s="26"/>
      <c r="Q442" s="26"/>
      <c r="R442" s="26"/>
      <c r="S442" s="26"/>
      <c r="T442" s="26"/>
      <c r="U442" s="26"/>
      <c r="V442" s="26"/>
      <c r="W442" s="27"/>
      <c r="X442" s="50"/>
    </row>
    <row r="443" spans="2:24" x14ac:dyDescent="0.25">
      <c r="B443" s="2"/>
      <c r="C443" s="55"/>
      <c r="D443" s="55"/>
      <c r="I443" s="56"/>
      <c r="O443" s="25"/>
      <c r="P443" s="26"/>
      <c r="Q443" s="26"/>
      <c r="R443" s="26"/>
      <c r="S443" s="26"/>
      <c r="T443" s="26"/>
      <c r="U443" s="26"/>
      <c r="V443" s="26"/>
      <c r="W443" s="27"/>
      <c r="X443" s="50"/>
    </row>
    <row r="444" spans="2:24" x14ac:dyDescent="0.25">
      <c r="B444" s="2"/>
      <c r="C444" s="55"/>
      <c r="D444" s="55"/>
      <c r="I444" s="56"/>
      <c r="O444" s="25"/>
      <c r="P444" s="26"/>
      <c r="Q444" s="26"/>
      <c r="R444" s="26"/>
      <c r="S444" s="26"/>
      <c r="T444" s="26"/>
      <c r="U444" s="26"/>
      <c r="V444" s="26"/>
      <c r="W444" s="27"/>
      <c r="X444" s="50"/>
    </row>
    <row r="445" spans="2:24" x14ac:dyDescent="0.25">
      <c r="B445" s="2"/>
      <c r="C445" s="55"/>
      <c r="D445" s="55"/>
      <c r="I445" s="56"/>
      <c r="O445" s="25"/>
      <c r="P445" s="26"/>
      <c r="Q445" s="26"/>
      <c r="R445" s="26"/>
      <c r="S445" s="26"/>
      <c r="T445" s="26"/>
      <c r="U445" s="26"/>
      <c r="V445" s="26"/>
      <c r="W445" s="27"/>
      <c r="X445" s="50"/>
    </row>
    <row r="446" spans="2:24" x14ac:dyDescent="0.25">
      <c r="B446" s="2"/>
      <c r="C446" s="55"/>
      <c r="D446" s="55"/>
      <c r="I446" s="56"/>
      <c r="O446" s="25"/>
      <c r="P446" s="26"/>
      <c r="Q446" s="26"/>
      <c r="R446" s="26"/>
      <c r="S446" s="26"/>
      <c r="T446" s="26"/>
      <c r="U446" s="26"/>
      <c r="V446" s="26"/>
      <c r="W446" s="27"/>
      <c r="X446" s="50"/>
    </row>
    <row r="447" spans="2:24" x14ac:dyDescent="0.25">
      <c r="B447" s="2"/>
      <c r="C447" s="55"/>
      <c r="D447" s="55"/>
      <c r="I447" s="56"/>
      <c r="O447" s="25"/>
      <c r="P447" s="26"/>
      <c r="Q447" s="26"/>
      <c r="R447" s="26"/>
      <c r="S447" s="26"/>
      <c r="T447" s="26"/>
      <c r="U447" s="26"/>
      <c r="V447" s="26"/>
      <c r="W447" s="27"/>
      <c r="X447" s="50"/>
    </row>
    <row r="448" spans="2:24" x14ac:dyDescent="0.25">
      <c r="B448" s="2"/>
      <c r="C448" s="55"/>
      <c r="D448" s="55"/>
      <c r="I448" s="56"/>
      <c r="O448" s="25"/>
      <c r="P448" s="26"/>
      <c r="Q448" s="26"/>
      <c r="R448" s="26"/>
      <c r="S448" s="26"/>
      <c r="T448" s="26"/>
      <c r="U448" s="26"/>
      <c r="V448" s="26"/>
      <c r="W448" s="27"/>
      <c r="X448" s="50"/>
    </row>
    <row r="449" spans="2:24" x14ac:dyDescent="0.25">
      <c r="B449" s="2"/>
      <c r="C449" s="55"/>
      <c r="D449" s="55"/>
      <c r="I449" s="56"/>
      <c r="O449" s="25"/>
      <c r="P449" s="26"/>
      <c r="Q449" s="26"/>
      <c r="R449" s="26"/>
      <c r="S449" s="26"/>
      <c r="T449" s="26"/>
      <c r="U449" s="26"/>
      <c r="V449" s="26"/>
      <c r="W449" s="27"/>
      <c r="X449" s="50"/>
    </row>
    <row r="450" spans="2:24" x14ac:dyDescent="0.25">
      <c r="B450" s="2"/>
      <c r="C450" s="55"/>
      <c r="D450" s="55"/>
      <c r="I450" s="56"/>
      <c r="O450" s="25"/>
      <c r="P450" s="26"/>
      <c r="Q450" s="26"/>
      <c r="R450" s="26"/>
      <c r="S450" s="26"/>
      <c r="T450" s="26"/>
      <c r="U450" s="26"/>
      <c r="V450" s="26"/>
      <c r="W450" s="27"/>
      <c r="X450" s="50"/>
    </row>
    <row r="451" spans="2:24" x14ac:dyDescent="0.25">
      <c r="B451" s="2"/>
      <c r="C451" s="55"/>
      <c r="D451" s="55"/>
      <c r="I451" s="56"/>
      <c r="O451" s="25"/>
      <c r="P451" s="26"/>
      <c r="Q451" s="26"/>
      <c r="R451" s="26"/>
      <c r="S451" s="26"/>
      <c r="T451" s="26"/>
      <c r="U451" s="26"/>
      <c r="V451" s="26"/>
      <c r="W451" s="27"/>
      <c r="X451" s="50"/>
    </row>
    <row r="452" spans="2:24" x14ac:dyDescent="0.25">
      <c r="B452" s="2"/>
      <c r="C452" s="55"/>
      <c r="D452" s="55"/>
      <c r="I452" s="56"/>
      <c r="O452" s="25"/>
      <c r="P452" s="26"/>
      <c r="Q452" s="26"/>
      <c r="R452" s="26"/>
      <c r="S452" s="26"/>
      <c r="T452" s="26"/>
      <c r="U452" s="26"/>
      <c r="V452" s="26"/>
      <c r="W452" s="27"/>
      <c r="X452" s="50"/>
    </row>
    <row r="453" spans="2:24" x14ac:dyDescent="0.25">
      <c r="B453" s="2"/>
      <c r="C453" s="55"/>
      <c r="D453" s="55"/>
      <c r="I453" s="56"/>
      <c r="O453" s="25"/>
      <c r="P453" s="26"/>
      <c r="Q453" s="26"/>
      <c r="R453" s="26"/>
      <c r="S453" s="26"/>
      <c r="T453" s="26"/>
      <c r="U453" s="26"/>
      <c r="V453" s="26"/>
      <c r="W453" s="27"/>
      <c r="X453" s="50"/>
    </row>
    <row r="454" spans="2:24" x14ac:dyDescent="0.25">
      <c r="B454" s="2"/>
      <c r="C454" s="55"/>
      <c r="D454" s="55"/>
      <c r="I454" s="56"/>
      <c r="O454" s="25"/>
      <c r="P454" s="26"/>
      <c r="Q454" s="26"/>
      <c r="R454" s="26"/>
      <c r="S454" s="26"/>
      <c r="T454" s="26"/>
      <c r="U454" s="26"/>
      <c r="V454" s="26"/>
      <c r="W454" s="27"/>
      <c r="X454" s="50"/>
    </row>
    <row r="455" spans="2:24" x14ac:dyDescent="0.25">
      <c r="B455" s="2"/>
      <c r="C455" s="55"/>
      <c r="D455" s="55"/>
      <c r="I455" s="56"/>
      <c r="O455" s="25"/>
      <c r="P455" s="26"/>
      <c r="Q455" s="26"/>
      <c r="R455" s="26"/>
      <c r="S455" s="26"/>
      <c r="T455" s="26"/>
      <c r="U455" s="26"/>
      <c r="V455" s="26"/>
      <c r="W455" s="27"/>
      <c r="X455" s="50"/>
    </row>
    <row r="456" spans="2:24" x14ac:dyDescent="0.25">
      <c r="B456" s="2"/>
      <c r="C456" s="55"/>
      <c r="D456" s="55"/>
      <c r="I456" s="56"/>
      <c r="O456" s="25"/>
      <c r="P456" s="26"/>
      <c r="Q456" s="26"/>
      <c r="R456" s="26"/>
      <c r="S456" s="26"/>
      <c r="T456" s="26"/>
      <c r="U456" s="26"/>
      <c r="V456" s="26"/>
      <c r="W456" s="27"/>
      <c r="X456" s="50"/>
    </row>
    <row r="457" spans="2:24" x14ac:dyDescent="0.25">
      <c r="B457" s="2"/>
      <c r="C457" s="55"/>
      <c r="D457" s="55"/>
      <c r="I457" s="56"/>
      <c r="O457" s="25"/>
      <c r="P457" s="26"/>
      <c r="Q457" s="26"/>
      <c r="R457" s="26"/>
      <c r="S457" s="26"/>
      <c r="T457" s="26"/>
      <c r="U457" s="26"/>
      <c r="V457" s="26"/>
      <c r="W457" s="27"/>
      <c r="X457" s="50"/>
    </row>
    <row r="458" spans="2:24" x14ac:dyDescent="0.25">
      <c r="B458" s="2"/>
      <c r="C458" s="55"/>
      <c r="D458" s="55"/>
      <c r="I458" s="56"/>
      <c r="O458" s="25"/>
      <c r="P458" s="26"/>
      <c r="Q458" s="26"/>
      <c r="R458" s="26"/>
      <c r="S458" s="26"/>
      <c r="T458" s="26"/>
      <c r="U458" s="26"/>
      <c r="V458" s="26"/>
      <c r="W458" s="27"/>
      <c r="X458" s="50"/>
    </row>
    <row r="459" spans="2:24" x14ac:dyDescent="0.25">
      <c r="B459" s="2"/>
      <c r="C459" s="55"/>
      <c r="D459" s="55"/>
      <c r="I459" s="56"/>
      <c r="O459" s="25"/>
      <c r="P459" s="26"/>
      <c r="Q459" s="26"/>
      <c r="R459" s="26"/>
      <c r="S459" s="26"/>
      <c r="T459" s="26"/>
      <c r="U459" s="26"/>
      <c r="V459" s="26"/>
      <c r="W459" s="27"/>
      <c r="X459" s="50"/>
    </row>
    <row r="460" spans="2:24" x14ac:dyDescent="0.25">
      <c r="B460" s="2"/>
      <c r="C460" s="55"/>
      <c r="D460" s="55"/>
      <c r="I460" s="56"/>
      <c r="O460" s="25"/>
      <c r="P460" s="26"/>
      <c r="Q460" s="26"/>
      <c r="R460" s="26"/>
      <c r="S460" s="26"/>
      <c r="T460" s="26"/>
      <c r="U460" s="26"/>
      <c r="V460" s="26"/>
      <c r="W460" s="27"/>
      <c r="X460" s="50"/>
    </row>
    <row r="461" spans="2:24" x14ac:dyDescent="0.25">
      <c r="B461" s="2"/>
      <c r="C461" s="55"/>
      <c r="D461" s="55"/>
      <c r="I461" s="56"/>
      <c r="O461" s="25"/>
      <c r="P461" s="26"/>
      <c r="Q461" s="26"/>
      <c r="R461" s="26"/>
      <c r="S461" s="26"/>
      <c r="T461" s="26"/>
      <c r="U461" s="26"/>
      <c r="V461" s="26"/>
      <c r="W461" s="27"/>
      <c r="X461" s="50"/>
    </row>
    <row r="462" spans="2:24" x14ac:dyDescent="0.25">
      <c r="B462" s="2"/>
      <c r="C462" s="55"/>
      <c r="D462" s="55"/>
      <c r="I462" s="56"/>
      <c r="O462" s="25"/>
      <c r="P462" s="26"/>
      <c r="Q462" s="26"/>
      <c r="R462" s="26"/>
      <c r="S462" s="26"/>
      <c r="T462" s="26"/>
      <c r="U462" s="26"/>
      <c r="V462" s="26"/>
      <c r="W462" s="27"/>
      <c r="X462" s="50"/>
    </row>
    <row r="463" spans="2:24" x14ac:dyDescent="0.25">
      <c r="B463" s="2"/>
      <c r="C463" s="55"/>
      <c r="D463" s="55"/>
      <c r="I463" s="56"/>
      <c r="O463" s="25"/>
      <c r="P463" s="26"/>
      <c r="Q463" s="26"/>
      <c r="R463" s="26"/>
      <c r="S463" s="26"/>
      <c r="T463" s="26"/>
      <c r="U463" s="26"/>
      <c r="V463" s="26"/>
      <c r="W463" s="27"/>
      <c r="X463" s="50"/>
    </row>
    <row r="464" spans="2:24" x14ac:dyDescent="0.25">
      <c r="B464" s="2"/>
      <c r="C464" s="55"/>
      <c r="D464" s="55"/>
      <c r="I464" s="56"/>
      <c r="O464" s="25"/>
      <c r="P464" s="26"/>
      <c r="Q464" s="26"/>
      <c r="R464" s="26"/>
      <c r="S464" s="26"/>
      <c r="T464" s="26"/>
      <c r="U464" s="26"/>
      <c r="V464" s="26"/>
      <c r="W464" s="27"/>
      <c r="X464" s="50"/>
    </row>
    <row r="465" spans="2:24" x14ac:dyDescent="0.25">
      <c r="B465" s="2"/>
      <c r="C465" s="55"/>
      <c r="D465" s="55"/>
      <c r="I465" s="56"/>
      <c r="O465" s="25"/>
      <c r="P465" s="26"/>
      <c r="Q465" s="26"/>
      <c r="R465" s="26"/>
      <c r="S465" s="26"/>
      <c r="T465" s="26"/>
      <c r="U465" s="26"/>
      <c r="V465" s="26"/>
      <c r="W465" s="27"/>
      <c r="X465" s="50"/>
    </row>
    <row r="466" spans="2:24" x14ac:dyDescent="0.25">
      <c r="B466" s="2"/>
      <c r="C466" s="55"/>
      <c r="D466" s="55"/>
      <c r="I466" s="56"/>
      <c r="O466" s="25"/>
      <c r="P466" s="26"/>
      <c r="Q466" s="26"/>
      <c r="R466" s="26"/>
      <c r="S466" s="26"/>
      <c r="T466" s="26"/>
      <c r="U466" s="26"/>
      <c r="V466" s="26"/>
      <c r="W466" s="27"/>
      <c r="X466" s="50"/>
    </row>
    <row r="467" spans="2:24" x14ac:dyDescent="0.25">
      <c r="B467" s="2"/>
      <c r="C467" s="55"/>
      <c r="D467" s="55"/>
      <c r="I467" s="56"/>
      <c r="O467" s="25"/>
      <c r="P467" s="26"/>
      <c r="Q467" s="26"/>
      <c r="R467" s="26"/>
      <c r="S467" s="26"/>
      <c r="T467" s="26"/>
      <c r="U467" s="26"/>
      <c r="V467" s="26"/>
      <c r="W467" s="27"/>
      <c r="X467" s="50"/>
    </row>
    <row r="468" spans="2:24" x14ac:dyDescent="0.25">
      <c r="B468" s="2"/>
      <c r="C468" s="55"/>
      <c r="D468" s="55"/>
      <c r="I468" s="56"/>
      <c r="O468" s="25"/>
      <c r="P468" s="26"/>
      <c r="Q468" s="26"/>
      <c r="R468" s="26"/>
      <c r="S468" s="26"/>
      <c r="T468" s="26"/>
      <c r="U468" s="26"/>
      <c r="V468" s="26"/>
      <c r="W468" s="27"/>
      <c r="X468" s="50"/>
    </row>
    <row r="469" spans="2:24" x14ac:dyDescent="0.25">
      <c r="B469" s="2"/>
      <c r="C469" s="55"/>
      <c r="D469" s="55"/>
      <c r="I469" s="56"/>
      <c r="O469" s="25"/>
      <c r="P469" s="26"/>
      <c r="Q469" s="26"/>
      <c r="R469" s="26"/>
      <c r="S469" s="26"/>
      <c r="T469" s="26"/>
      <c r="U469" s="26"/>
      <c r="V469" s="26"/>
      <c r="W469" s="27"/>
      <c r="X469" s="50"/>
    </row>
    <row r="470" spans="2:24" x14ac:dyDescent="0.25">
      <c r="B470" s="2"/>
      <c r="C470" s="55"/>
      <c r="D470" s="55"/>
      <c r="I470" s="56"/>
      <c r="O470" s="25"/>
      <c r="P470" s="26"/>
      <c r="Q470" s="26"/>
      <c r="R470" s="26"/>
      <c r="S470" s="26"/>
      <c r="T470" s="26"/>
      <c r="U470" s="26"/>
      <c r="V470" s="26"/>
      <c r="W470" s="27"/>
      <c r="X470" s="50"/>
    </row>
    <row r="471" spans="2:24" x14ac:dyDescent="0.25">
      <c r="B471" s="2"/>
      <c r="C471" s="55"/>
      <c r="D471" s="55"/>
      <c r="I471" s="56"/>
      <c r="O471" s="25"/>
      <c r="P471" s="26"/>
      <c r="Q471" s="26"/>
      <c r="R471" s="26"/>
      <c r="S471" s="26"/>
      <c r="T471" s="26"/>
      <c r="U471" s="26"/>
      <c r="V471" s="26"/>
      <c r="W471" s="27"/>
      <c r="X471" s="50"/>
    </row>
    <row r="472" spans="2:24" x14ac:dyDescent="0.25">
      <c r="B472" s="2"/>
      <c r="C472" s="55"/>
      <c r="D472" s="55"/>
      <c r="I472" s="56"/>
      <c r="O472" s="25"/>
      <c r="P472" s="26"/>
      <c r="Q472" s="26"/>
      <c r="R472" s="26"/>
      <c r="S472" s="26"/>
      <c r="T472" s="26"/>
      <c r="U472" s="26"/>
      <c r="V472" s="26"/>
      <c r="W472" s="27"/>
      <c r="X472" s="50"/>
    </row>
    <row r="473" spans="2:24" x14ac:dyDescent="0.25">
      <c r="B473" s="2"/>
      <c r="C473" s="55"/>
      <c r="D473" s="55"/>
      <c r="I473" s="56"/>
      <c r="O473" s="25"/>
      <c r="P473" s="26"/>
      <c r="Q473" s="26"/>
      <c r="R473" s="26"/>
      <c r="S473" s="26"/>
      <c r="T473" s="26"/>
      <c r="U473" s="26"/>
      <c r="V473" s="26"/>
      <c r="W473" s="27"/>
      <c r="X473" s="50"/>
    </row>
    <row r="474" spans="2:24" x14ac:dyDescent="0.25">
      <c r="B474" s="2"/>
      <c r="C474" s="55"/>
      <c r="D474" s="55"/>
      <c r="I474" s="56"/>
      <c r="O474" s="25"/>
      <c r="P474" s="26"/>
      <c r="Q474" s="26"/>
      <c r="R474" s="26"/>
      <c r="S474" s="26"/>
      <c r="T474" s="26"/>
      <c r="U474" s="26"/>
      <c r="V474" s="26"/>
      <c r="W474" s="27"/>
      <c r="X474" s="50"/>
    </row>
    <row r="475" spans="2:24" x14ac:dyDescent="0.25">
      <c r="B475" s="2"/>
      <c r="C475" s="55"/>
      <c r="D475" s="55"/>
      <c r="I475" s="56"/>
      <c r="O475" s="25"/>
      <c r="P475" s="26"/>
      <c r="Q475" s="26"/>
      <c r="R475" s="26"/>
      <c r="S475" s="26"/>
      <c r="T475" s="26"/>
      <c r="U475" s="26"/>
      <c r="V475" s="26"/>
      <c r="W475" s="27"/>
      <c r="X475" s="50"/>
    </row>
    <row r="476" spans="2:24" x14ac:dyDescent="0.25">
      <c r="B476" s="2"/>
      <c r="C476" s="55"/>
      <c r="D476" s="55"/>
      <c r="I476" s="56"/>
      <c r="O476" s="25"/>
      <c r="P476" s="26"/>
      <c r="Q476" s="26"/>
      <c r="R476" s="26"/>
      <c r="S476" s="26"/>
      <c r="T476" s="26"/>
      <c r="U476" s="26"/>
      <c r="V476" s="26"/>
      <c r="W476" s="27"/>
      <c r="X476" s="50"/>
    </row>
    <row r="477" spans="2:24" x14ac:dyDescent="0.25">
      <c r="B477" s="2"/>
      <c r="C477" s="55"/>
      <c r="D477" s="55"/>
      <c r="I477" s="56"/>
      <c r="O477" s="25"/>
      <c r="P477" s="26"/>
      <c r="Q477" s="26"/>
      <c r="R477" s="26"/>
      <c r="S477" s="26"/>
      <c r="T477" s="26"/>
      <c r="U477" s="26"/>
      <c r="V477" s="26"/>
      <c r="W477" s="27"/>
      <c r="X477" s="50"/>
    </row>
    <row r="478" spans="2:24" x14ac:dyDescent="0.25">
      <c r="B478" s="2"/>
      <c r="C478" s="55"/>
      <c r="D478" s="55"/>
      <c r="I478" s="56"/>
      <c r="O478" s="25"/>
      <c r="P478" s="26"/>
      <c r="Q478" s="26"/>
      <c r="R478" s="26"/>
      <c r="S478" s="26"/>
      <c r="T478" s="26"/>
      <c r="U478" s="26"/>
      <c r="V478" s="26"/>
      <c r="W478" s="27"/>
      <c r="X478" s="50"/>
    </row>
    <row r="479" spans="2:24" x14ac:dyDescent="0.25">
      <c r="B479" s="2"/>
      <c r="C479" s="55"/>
      <c r="D479" s="55"/>
      <c r="I479" s="56"/>
      <c r="O479" s="25"/>
      <c r="P479" s="26"/>
      <c r="Q479" s="26"/>
      <c r="R479" s="26"/>
      <c r="S479" s="26"/>
      <c r="T479" s="26"/>
      <c r="U479" s="26"/>
      <c r="V479" s="26"/>
      <c r="W479" s="27"/>
      <c r="X479" s="50"/>
    </row>
    <row r="480" spans="2:24" x14ac:dyDescent="0.25">
      <c r="B480" s="2"/>
      <c r="C480" s="55"/>
      <c r="D480" s="55"/>
      <c r="I480" s="56"/>
      <c r="O480" s="25"/>
      <c r="P480" s="26"/>
      <c r="Q480" s="26"/>
      <c r="R480" s="26"/>
      <c r="S480" s="26"/>
      <c r="T480" s="26"/>
      <c r="U480" s="26"/>
      <c r="V480" s="26"/>
      <c r="W480" s="27"/>
      <c r="X480" s="50"/>
    </row>
    <row r="481" spans="2:24" x14ac:dyDescent="0.25">
      <c r="B481" s="2"/>
      <c r="C481" s="55"/>
      <c r="D481" s="55"/>
      <c r="I481" s="56"/>
      <c r="O481" s="25"/>
      <c r="P481" s="26"/>
      <c r="Q481" s="26"/>
      <c r="R481" s="26"/>
      <c r="S481" s="26"/>
      <c r="T481" s="26"/>
      <c r="U481" s="26"/>
      <c r="V481" s="26"/>
      <c r="W481" s="27"/>
      <c r="X481" s="50"/>
    </row>
    <row r="482" spans="2:24" x14ac:dyDescent="0.25">
      <c r="B482" s="2"/>
      <c r="C482" s="55"/>
      <c r="D482" s="55"/>
      <c r="I482" s="56"/>
      <c r="O482" s="25"/>
      <c r="P482" s="26"/>
      <c r="Q482" s="26"/>
      <c r="R482" s="26"/>
      <c r="S482" s="26"/>
      <c r="T482" s="26"/>
      <c r="U482" s="26"/>
      <c r="V482" s="26"/>
      <c r="W482" s="27"/>
      <c r="X482" s="50"/>
    </row>
    <row r="483" spans="2:24" x14ac:dyDescent="0.25">
      <c r="B483" s="2"/>
      <c r="C483" s="55"/>
      <c r="D483" s="55"/>
      <c r="I483" s="56"/>
      <c r="O483" s="25"/>
      <c r="P483" s="26"/>
      <c r="Q483" s="26"/>
      <c r="R483" s="26"/>
      <c r="S483" s="26"/>
      <c r="T483" s="26"/>
      <c r="U483" s="26"/>
      <c r="V483" s="26"/>
      <c r="W483" s="27"/>
      <c r="X483" s="50"/>
    </row>
    <row r="484" spans="2:24" x14ac:dyDescent="0.25">
      <c r="B484" s="2"/>
      <c r="C484" s="55"/>
      <c r="D484" s="55"/>
      <c r="I484" s="56"/>
      <c r="O484" s="25"/>
      <c r="P484" s="26"/>
      <c r="Q484" s="26"/>
      <c r="R484" s="26"/>
      <c r="S484" s="26"/>
      <c r="T484" s="26"/>
      <c r="U484" s="26"/>
      <c r="V484" s="26"/>
      <c r="W484" s="27"/>
      <c r="X484" s="50"/>
    </row>
    <row r="485" spans="2:24" x14ac:dyDescent="0.25">
      <c r="B485" s="2"/>
      <c r="C485" s="55"/>
      <c r="D485" s="55"/>
      <c r="I485" s="56"/>
      <c r="O485" s="25"/>
      <c r="P485" s="26"/>
      <c r="Q485" s="26"/>
      <c r="R485" s="26"/>
      <c r="S485" s="26"/>
      <c r="T485" s="26"/>
      <c r="U485" s="26"/>
      <c r="V485" s="26"/>
      <c r="W485" s="27"/>
      <c r="X485" s="50"/>
    </row>
    <row r="486" spans="2:24" x14ac:dyDescent="0.25">
      <c r="B486" s="2"/>
      <c r="C486" s="55"/>
      <c r="D486" s="55"/>
      <c r="I486" s="56"/>
      <c r="O486" s="25"/>
      <c r="P486" s="26"/>
      <c r="Q486" s="26"/>
      <c r="R486" s="26"/>
      <c r="S486" s="26"/>
      <c r="T486" s="26"/>
      <c r="U486" s="26"/>
      <c r="V486" s="26"/>
      <c r="W486" s="27"/>
      <c r="X486" s="50"/>
    </row>
    <row r="487" spans="2:24" x14ac:dyDescent="0.25">
      <c r="B487" s="2"/>
      <c r="C487" s="55"/>
      <c r="D487" s="55"/>
      <c r="I487" s="56"/>
      <c r="O487" s="25"/>
      <c r="P487" s="26"/>
      <c r="Q487" s="26"/>
      <c r="R487" s="26"/>
      <c r="S487" s="26"/>
      <c r="T487" s="26"/>
      <c r="U487" s="26"/>
      <c r="V487" s="26"/>
      <c r="W487" s="27"/>
      <c r="X487" s="50"/>
    </row>
    <row r="488" spans="2:24" x14ac:dyDescent="0.25">
      <c r="B488" s="2"/>
      <c r="C488" s="55"/>
      <c r="D488" s="55"/>
      <c r="I488" s="56"/>
      <c r="O488" s="25"/>
      <c r="P488" s="26"/>
      <c r="Q488" s="26"/>
      <c r="R488" s="26"/>
      <c r="S488" s="26"/>
      <c r="T488" s="26"/>
      <c r="U488" s="26"/>
      <c r="V488" s="26"/>
      <c r="W488" s="27"/>
      <c r="X488" s="50"/>
    </row>
    <row r="489" spans="2:24" x14ac:dyDescent="0.25">
      <c r="B489" s="2"/>
      <c r="C489" s="55"/>
      <c r="D489" s="55"/>
      <c r="I489" s="56"/>
      <c r="O489" s="25"/>
      <c r="P489" s="26"/>
      <c r="Q489" s="26"/>
      <c r="R489" s="26"/>
      <c r="S489" s="26"/>
      <c r="T489" s="26"/>
      <c r="U489" s="26"/>
      <c r="V489" s="26"/>
      <c r="W489" s="27"/>
      <c r="X489" s="50"/>
    </row>
    <row r="490" spans="2:24" x14ac:dyDescent="0.25">
      <c r="B490" s="2"/>
      <c r="C490" s="55"/>
      <c r="D490" s="55"/>
      <c r="I490" s="56"/>
      <c r="O490" s="25"/>
      <c r="P490" s="26"/>
      <c r="Q490" s="26"/>
      <c r="R490" s="26"/>
      <c r="S490" s="26"/>
      <c r="T490" s="26"/>
      <c r="U490" s="26"/>
      <c r="V490" s="26"/>
      <c r="W490" s="27"/>
      <c r="X490" s="50"/>
    </row>
    <row r="491" spans="2:24" x14ac:dyDescent="0.25">
      <c r="B491" s="2"/>
      <c r="C491" s="55"/>
      <c r="D491" s="55"/>
      <c r="I491" s="56"/>
      <c r="O491" s="25"/>
      <c r="P491" s="26"/>
      <c r="Q491" s="26"/>
      <c r="R491" s="26"/>
      <c r="S491" s="26"/>
      <c r="T491" s="26"/>
      <c r="U491" s="26"/>
      <c r="V491" s="26"/>
      <c r="W491" s="27"/>
      <c r="X491" s="50"/>
    </row>
    <row r="492" spans="2:24" x14ac:dyDescent="0.25">
      <c r="B492" s="2"/>
      <c r="C492" s="55"/>
      <c r="D492" s="55"/>
      <c r="I492" s="56"/>
      <c r="O492" s="25"/>
      <c r="P492" s="26"/>
      <c r="Q492" s="26"/>
      <c r="R492" s="26"/>
      <c r="S492" s="26"/>
      <c r="T492" s="26"/>
      <c r="U492" s="26"/>
      <c r="V492" s="26"/>
      <c r="W492" s="27"/>
      <c r="X492" s="50"/>
    </row>
    <row r="493" spans="2:24" x14ac:dyDescent="0.25">
      <c r="B493" s="2"/>
      <c r="C493" s="55"/>
      <c r="D493" s="55"/>
      <c r="I493" s="56"/>
      <c r="O493" s="25"/>
      <c r="P493" s="26"/>
      <c r="Q493" s="26"/>
      <c r="R493" s="26"/>
      <c r="S493" s="26"/>
      <c r="T493" s="26"/>
      <c r="U493" s="26"/>
      <c r="V493" s="26"/>
      <c r="W493" s="27"/>
      <c r="X493" s="50"/>
    </row>
    <row r="494" spans="2:24" x14ac:dyDescent="0.25">
      <c r="B494" s="2"/>
      <c r="C494" s="55"/>
      <c r="D494" s="55"/>
      <c r="I494" s="56"/>
      <c r="O494" s="25"/>
      <c r="P494" s="26"/>
      <c r="Q494" s="26"/>
      <c r="R494" s="26"/>
      <c r="S494" s="26"/>
      <c r="T494" s="26"/>
      <c r="U494" s="26"/>
      <c r="V494" s="26"/>
      <c r="W494" s="27"/>
      <c r="X494" s="50"/>
    </row>
    <row r="495" spans="2:24" x14ac:dyDescent="0.25">
      <c r="B495" s="2"/>
      <c r="C495" s="55"/>
      <c r="D495" s="55"/>
      <c r="I495" s="56"/>
      <c r="O495" s="25"/>
      <c r="P495" s="26"/>
      <c r="Q495" s="26"/>
      <c r="R495" s="26"/>
      <c r="S495" s="26"/>
      <c r="T495" s="26"/>
      <c r="U495" s="26"/>
      <c r="V495" s="26"/>
      <c r="W495" s="27"/>
      <c r="X495" s="50"/>
    </row>
    <row r="496" spans="2:24" x14ac:dyDescent="0.25">
      <c r="B496" s="2"/>
      <c r="C496" s="55"/>
      <c r="D496" s="55"/>
      <c r="I496" s="56"/>
      <c r="O496" s="25"/>
      <c r="P496" s="26"/>
      <c r="Q496" s="26"/>
      <c r="R496" s="26"/>
      <c r="S496" s="26"/>
      <c r="T496" s="26"/>
      <c r="U496" s="26"/>
      <c r="V496" s="26"/>
      <c r="W496" s="27"/>
      <c r="X496" s="50"/>
    </row>
    <row r="497" spans="2:24" x14ac:dyDescent="0.25">
      <c r="B497" s="2"/>
      <c r="C497" s="55"/>
      <c r="D497" s="55"/>
      <c r="I497" s="56"/>
      <c r="O497" s="25"/>
      <c r="P497" s="26"/>
      <c r="Q497" s="26"/>
      <c r="R497" s="26"/>
      <c r="S497" s="26"/>
      <c r="T497" s="26"/>
      <c r="U497" s="26"/>
      <c r="V497" s="26"/>
      <c r="W497" s="27"/>
      <c r="X497" s="50"/>
    </row>
    <row r="498" spans="2:24" x14ac:dyDescent="0.25">
      <c r="B498" s="2"/>
      <c r="C498" s="55"/>
      <c r="D498" s="55"/>
      <c r="I498" s="56"/>
      <c r="O498" s="25"/>
      <c r="P498" s="26"/>
      <c r="Q498" s="26"/>
      <c r="R498" s="26"/>
      <c r="S498" s="26"/>
      <c r="T498" s="26"/>
      <c r="U498" s="26"/>
      <c r="V498" s="26"/>
      <c r="W498" s="27"/>
      <c r="X498" s="50"/>
    </row>
    <row r="499" spans="2:24" x14ac:dyDescent="0.25">
      <c r="B499" s="2"/>
      <c r="C499" s="55"/>
      <c r="D499" s="55"/>
      <c r="I499" s="56"/>
      <c r="O499" s="25"/>
      <c r="P499" s="26"/>
      <c r="Q499" s="26"/>
      <c r="R499" s="26"/>
      <c r="S499" s="26"/>
      <c r="T499" s="26"/>
      <c r="U499" s="26"/>
      <c r="V499" s="26"/>
      <c r="W499" s="27"/>
      <c r="X499" s="50"/>
    </row>
    <row r="500" spans="2:24" x14ac:dyDescent="0.25">
      <c r="B500" s="2"/>
      <c r="C500" s="55"/>
      <c r="D500" s="55"/>
      <c r="I500" s="56"/>
      <c r="O500" s="25"/>
      <c r="P500" s="26"/>
      <c r="Q500" s="26"/>
      <c r="R500" s="26"/>
      <c r="S500" s="26"/>
      <c r="T500" s="26"/>
      <c r="U500" s="26"/>
      <c r="V500" s="26"/>
      <c r="W500" s="27"/>
      <c r="X500" s="50"/>
    </row>
    <row r="501" spans="2:24" x14ac:dyDescent="0.25">
      <c r="B501" s="2"/>
      <c r="C501" s="55"/>
      <c r="D501" s="55"/>
      <c r="I501" s="56"/>
      <c r="O501" s="25"/>
      <c r="P501" s="26"/>
      <c r="Q501" s="26"/>
      <c r="R501" s="26"/>
      <c r="S501" s="26"/>
      <c r="T501" s="26"/>
      <c r="U501" s="26"/>
      <c r="V501" s="26"/>
      <c r="W501" s="27"/>
      <c r="X501" s="50"/>
    </row>
    <row r="502" spans="2:24" x14ac:dyDescent="0.25">
      <c r="B502" s="2"/>
      <c r="C502" s="55"/>
      <c r="D502" s="55"/>
      <c r="I502" s="56"/>
      <c r="O502" s="25"/>
      <c r="P502" s="26"/>
      <c r="Q502" s="26"/>
      <c r="R502" s="26"/>
      <c r="S502" s="26"/>
      <c r="T502" s="26"/>
      <c r="U502" s="26"/>
      <c r="V502" s="26"/>
      <c r="W502" s="27"/>
      <c r="X502" s="50"/>
    </row>
    <row r="503" spans="2:24" x14ac:dyDescent="0.25">
      <c r="B503" s="2"/>
      <c r="C503" s="55"/>
      <c r="D503" s="55"/>
      <c r="I503" s="56"/>
      <c r="O503" s="25"/>
      <c r="P503" s="26"/>
      <c r="Q503" s="26"/>
      <c r="R503" s="26"/>
      <c r="S503" s="26"/>
      <c r="T503" s="26"/>
      <c r="U503" s="26"/>
      <c r="V503" s="26"/>
      <c r="W503" s="27"/>
      <c r="X503" s="50"/>
    </row>
    <row r="504" spans="2:24" x14ac:dyDescent="0.25">
      <c r="B504" s="2"/>
      <c r="C504" s="55"/>
      <c r="D504" s="55"/>
      <c r="I504" s="56"/>
      <c r="O504" s="25"/>
      <c r="P504" s="26"/>
      <c r="Q504" s="26"/>
      <c r="R504" s="26"/>
      <c r="S504" s="26"/>
      <c r="T504" s="26"/>
      <c r="U504" s="26"/>
      <c r="V504" s="26"/>
      <c r="W504" s="27"/>
      <c r="X504" s="50"/>
    </row>
    <row r="505" spans="2:24" x14ac:dyDescent="0.25">
      <c r="B505" s="2"/>
      <c r="C505" s="55"/>
      <c r="D505" s="55"/>
      <c r="I505" s="56"/>
      <c r="O505" s="25"/>
      <c r="P505" s="26"/>
      <c r="Q505" s="26"/>
      <c r="R505" s="26"/>
      <c r="S505" s="26"/>
      <c r="T505" s="26"/>
      <c r="U505" s="26"/>
      <c r="V505" s="26"/>
      <c r="W505" s="27"/>
      <c r="X505" s="50"/>
    </row>
    <row r="506" spans="2:24" x14ac:dyDescent="0.25">
      <c r="B506" s="2"/>
      <c r="C506" s="55"/>
      <c r="D506" s="55"/>
      <c r="I506" s="56"/>
      <c r="O506" s="25"/>
      <c r="P506" s="26"/>
      <c r="Q506" s="26"/>
      <c r="R506" s="26"/>
      <c r="S506" s="26"/>
      <c r="T506" s="26"/>
      <c r="U506" s="26"/>
      <c r="V506" s="26"/>
      <c r="W506" s="27"/>
      <c r="X506" s="50"/>
    </row>
    <row r="507" spans="2:24" x14ac:dyDescent="0.25">
      <c r="B507" s="2"/>
      <c r="C507" s="55"/>
      <c r="D507" s="55"/>
      <c r="I507" s="56"/>
      <c r="O507" s="25"/>
      <c r="P507" s="26"/>
      <c r="Q507" s="26"/>
      <c r="R507" s="26"/>
      <c r="S507" s="26"/>
      <c r="T507" s="26"/>
      <c r="U507" s="26"/>
      <c r="V507" s="26"/>
      <c r="W507" s="27"/>
      <c r="X507" s="50"/>
    </row>
    <row r="508" spans="2:24" x14ac:dyDescent="0.25">
      <c r="B508" s="2"/>
      <c r="C508" s="55"/>
      <c r="D508" s="55"/>
      <c r="I508" s="56"/>
      <c r="O508" s="25"/>
      <c r="P508" s="26"/>
      <c r="Q508" s="26"/>
      <c r="R508" s="26"/>
      <c r="S508" s="26"/>
      <c r="T508" s="26"/>
      <c r="U508" s="26"/>
      <c r="V508" s="26"/>
      <c r="W508" s="27"/>
      <c r="X508" s="50"/>
    </row>
    <row r="509" spans="2:24" x14ac:dyDescent="0.25">
      <c r="B509" s="2"/>
      <c r="C509" s="55"/>
      <c r="D509" s="55"/>
      <c r="I509" s="56"/>
      <c r="O509" s="25"/>
      <c r="P509" s="26"/>
      <c r="Q509" s="26"/>
      <c r="R509" s="26"/>
      <c r="S509" s="26"/>
      <c r="T509" s="26"/>
      <c r="U509" s="26"/>
      <c r="V509" s="26"/>
      <c r="W509" s="27"/>
      <c r="X509" s="50"/>
    </row>
    <row r="510" spans="2:24" x14ac:dyDescent="0.25">
      <c r="B510" s="2"/>
      <c r="C510" s="55"/>
      <c r="D510" s="55"/>
      <c r="I510" s="56"/>
      <c r="O510" s="25"/>
      <c r="P510" s="26"/>
      <c r="Q510" s="26"/>
      <c r="R510" s="26"/>
      <c r="S510" s="26"/>
      <c r="T510" s="26"/>
      <c r="U510" s="26"/>
      <c r="V510" s="26"/>
      <c r="W510" s="27"/>
      <c r="X510" s="50"/>
    </row>
    <row r="511" spans="2:24" x14ac:dyDescent="0.25">
      <c r="B511" s="2"/>
      <c r="C511" s="55"/>
      <c r="D511" s="55"/>
      <c r="I511" s="56"/>
      <c r="O511" s="25"/>
      <c r="P511" s="26"/>
      <c r="Q511" s="26"/>
      <c r="R511" s="26"/>
      <c r="S511" s="26"/>
      <c r="T511" s="26"/>
      <c r="U511" s="26"/>
      <c r="V511" s="26"/>
      <c r="W511" s="27"/>
      <c r="X511" s="50"/>
    </row>
    <row r="512" spans="2:24" x14ac:dyDescent="0.25">
      <c r="B512" s="2"/>
      <c r="C512" s="55"/>
      <c r="D512" s="55"/>
      <c r="I512" s="56"/>
      <c r="O512" s="25"/>
      <c r="P512" s="26"/>
      <c r="Q512" s="26"/>
      <c r="R512" s="26"/>
      <c r="S512" s="26"/>
      <c r="T512" s="26"/>
      <c r="U512" s="26"/>
      <c r="V512" s="26"/>
      <c r="W512" s="27"/>
      <c r="X512" s="50"/>
    </row>
    <row r="513" spans="2:24" x14ac:dyDescent="0.25">
      <c r="B513" s="2"/>
      <c r="C513" s="55"/>
      <c r="D513" s="55"/>
      <c r="I513" s="56"/>
      <c r="O513" s="25"/>
      <c r="P513" s="26"/>
      <c r="Q513" s="26"/>
      <c r="R513" s="26"/>
      <c r="S513" s="26"/>
      <c r="T513" s="26"/>
      <c r="U513" s="26"/>
      <c r="V513" s="26"/>
      <c r="W513" s="27"/>
      <c r="X513" s="50"/>
    </row>
    <row r="514" spans="2:24" x14ac:dyDescent="0.25">
      <c r="B514" s="2"/>
      <c r="C514" s="55"/>
      <c r="D514" s="55"/>
      <c r="I514" s="56"/>
      <c r="O514" s="25"/>
      <c r="P514" s="26"/>
      <c r="Q514" s="26"/>
      <c r="R514" s="26"/>
      <c r="S514" s="26"/>
      <c r="T514" s="26"/>
      <c r="U514" s="26"/>
      <c r="V514" s="26"/>
      <c r="W514" s="27"/>
      <c r="X514" s="50"/>
    </row>
    <row r="515" spans="2:24" x14ac:dyDescent="0.25">
      <c r="B515" s="2"/>
      <c r="C515" s="55"/>
      <c r="D515" s="55"/>
      <c r="I515" s="56"/>
      <c r="O515" s="25"/>
      <c r="P515" s="26"/>
      <c r="Q515" s="26"/>
      <c r="R515" s="26"/>
      <c r="S515" s="26"/>
      <c r="T515" s="26"/>
      <c r="U515" s="26"/>
      <c r="V515" s="26"/>
      <c r="W515" s="27"/>
      <c r="X515" s="50"/>
    </row>
    <row r="516" spans="2:24" x14ac:dyDescent="0.25">
      <c r="B516" s="2"/>
      <c r="C516" s="55"/>
      <c r="D516" s="55"/>
      <c r="I516" s="56"/>
      <c r="O516" s="25"/>
      <c r="P516" s="26"/>
      <c r="Q516" s="26"/>
      <c r="R516" s="26"/>
      <c r="S516" s="26"/>
      <c r="T516" s="26"/>
      <c r="U516" s="26"/>
      <c r="V516" s="26"/>
      <c r="W516" s="27"/>
      <c r="X516" s="50"/>
    </row>
    <row r="517" spans="2:24" x14ac:dyDescent="0.25">
      <c r="B517" s="2"/>
      <c r="C517" s="55"/>
      <c r="D517" s="55"/>
      <c r="I517" s="56"/>
      <c r="O517" s="25"/>
      <c r="P517" s="26"/>
      <c r="Q517" s="26"/>
      <c r="R517" s="26"/>
      <c r="S517" s="26"/>
      <c r="T517" s="26"/>
      <c r="U517" s="26"/>
      <c r="V517" s="26"/>
      <c r="W517" s="27"/>
      <c r="X517" s="50"/>
    </row>
    <row r="518" spans="2:24" x14ac:dyDescent="0.25">
      <c r="B518" s="2"/>
      <c r="C518" s="55"/>
      <c r="D518" s="55"/>
      <c r="I518" s="56"/>
      <c r="O518" s="25"/>
      <c r="P518" s="26"/>
      <c r="Q518" s="26"/>
      <c r="R518" s="26"/>
      <c r="S518" s="26"/>
      <c r="T518" s="26"/>
      <c r="U518" s="26"/>
      <c r="V518" s="26"/>
      <c r="W518" s="27"/>
      <c r="X518" s="50"/>
    </row>
    <row r="519" spans="2:24" x14ac:dyDescent="0.25">
      <c r="B519" s="2"/>
      <c r="C519" s="55"/>
      <c r="D519" s="55"/>
      <c r="I519" s="56"/>
      <c r="O519" s="25"/>
      <c r="P519" s="26"/>
      <c r="Q519" s="26"/>
      <c r="R519" s="26"/>
      <c r="S519" s="26"/>
      <c r="T519" s="26"/>
      <c r="U519" s="26"/>
      <c r="V519" s="26"/>
      <c r="W519" s="27"/>
      <c r="X519" s="50"/>
    </row>
    <row r="520" spans="2:24" x14ac:dyDescent="0.25">
      <c r="B520" s="2"/>
      <c r="C520" s="55"/>
      <c r="D520" s="55"/>
      <c r="I520" s="56"/>
      <c r="O520" s="25"/>
      <c r="P520" s="26"/>
      <c r="Q520" s="26"/>
      <c r="R520" s="26"/>
      <c r="S520" s="26"/>
      <c r="T520" s="26"/>
      <c r="U520" s="26"/>
      <c r="V520" s="26"/>
      <c r="W520" s="27"/>
      <c r="X520" s="50"/>
    </row>
    <row r="521" spans="2:24" x14ac:dyDescent="0.25">
      <c r="B521" s="2"/>
      <c r="C521" s="55"/>
      <c r="D521" s="55"/>
      <c r="I521" s="56"/>
      <c r="O521" s="25"/>
      <c r="P521" s="26"/>
      <c r="Q521" s="26"/>
      <c r="R521" s="26"/>
      <c r="S521" s="26"/>
      <c r="T521" s="26"/>
      <c r="U521" s="26"/>
      <c r="V521" s="26"/>
      <c r="W521" s="27"/>
      <c r="X521" s="50"/>
    </row>
    <row r="522" spans="2:24" x14ac:dyDescent="0.25">
      <c r="B522" s="2"/>
      <c r="C522" s="55"/>
      <c r="D522" s="55"/>
      <c r="I522" s="56"/>
      <c r="O522" s="25"/>
      <c r="P522" s="26"/>
      <c r="Q522" s="26"/>
      <c r="R522" s="26"/>
      <c r="S522" s="26"/>
      <c r="T522" s="26"/>
      <c r="U522" s="26"/>
      <c r="V522" s="26"/>
      <c r="W522" s="27"/>
      <c r="X522" s="50"/>
    </row>
    <row r="523" spans="2:24" x14ac:dyDescent="0.25">
      <c r="B523" s="2"/>
      <c r="C523" s="55"/>
      <c r="D523" s="55"/>
      <c r="I523" s="56"/>
      <c r="O523" s="25"/>
      <c r="P523" s="26"/>
      <c r="Q523" s="26"/>
      <c r="R523" s="26"/>
      <c r="S523" s="26"/>
      <c r="T523" s="26"/>
      <c r="U523" s="26"/>
      <c r="V523" s="26"/>
      <c r="W523" s="27"/>
      <c r="X523" s="50"/>
    </row>
    <row r="524" spans="2:24" x14ac:dyDescent="0.25">
      <c r="B524" s="2"/>
      <c r="C524" s="55"/>
      <c r="D524" s="55"/>
      <c r="I524" s="56"/>
      <c r="O524" s="25"/>
      <c r="P524" s="26"/>
      <c r="Q524" s="26"/>
      <c r="R524" s="26"/>
      <c r="S524" s="26"/>
      <c r="T524" s="26"/>
      <c r="U524" s="26"/>
      <c r="V524" s="26"/>
      <c r="W524" s="27"/>
      <c r="X524" s="50"/>
    </row>
    <row r="525" spans="2:24" x14ac:dyDescent="0.25">
      <c r="B525" s="2"/>
      <c r="C525" s="55"/>
      <c r="D525" s="55"/>
      <c r="I525" s="56"/>
      <c r="O525" s="25"/>
      <c r="P525" s="26"/>
      <c r="Q525" s="26"/>
      <c r="R525" s="26"/>
      <c r="S525" s="26"/>
      <c r="T525" s="26"/>
      <c r="U525" s="26"/>
      <c r="V525" s="26"/>
      <c r="W525" s="27"/>
      <c r="X525" s="50"/>
    </row>
    <row r="526" spans="2:24" x14ac:dyDescent="0.25">
      <c r="B526" s="2"/>
      <c r="C526" s="55"/>
      <c r="D526" s="55"/>
      <c r="I526" s="56"/>
      <c r="O526" s="25"/>
      <c r="P526" s="26"/>
      <c r="Q526" s="26"/>
      <c r="R526" s="26"/>
      <c r="S526" s="26"/>
      <c r="T526" s="26"/>
      <c r="U526" s="26"/>
      <c r="V526" s="26"/>
      <c r="W526" s="27"/>
      <c r="X526" s="50"/>
    </row>
    <row r="527" spans="2:24" x14ac:dyDescent="0.25">
      <c r="B527" s="2"/>
      <c r="C527" s="55"/>
      <c r="D527" s="55"/>
      <c r="I527" s="56"/>
      <c r="O527" s="25"/>
      <c r="P527" s="26"/>
      <c r="Q527" s="26"/>
      <c r="R527" s="26"/>
      <c r="S527" s="26"/>
      <c r="T527" s="26"/>
      <c r="U527" s="26"/>
      <c r="V527" s="26"/>
      <c r="W527" s="27"/>
      <c r="X527" s="50"/>
    </row>
    <row r="528" spans="2:24" x14ac:dyDescent="0.25">
      <c r="B528" s="2"/>
      <c r="C528" s="55"/>
      <c r="D528" s="55"/>
      <c r="I528" s="56"/>
      <c r="O528" s="25"/>
      <c r="P528" s="26"/>
      <c r="Q528" s="26"/>
      <c r="R528" s="26"/>
      <c r="S528" s="26"/>
      <c r="T528" s="26"/>
      <c r="U528" s="26"/>
      <c r="V528" s="26"/>
      <c r="W528" s="27"/>
      <c r="X528" s="50"/>
    </row>
    <row r="529" spans="2:24" x14ac:dyDescent="0.25">
      <c r="B529" s="2"/>
      <c r="C529" s="55"/>
      <c r="D529" s="55"/>
      <c r="I529" s="56"/>
      <c r="O529" s="25"/>
      <c r="P529" s="26"/>
      <c r="Q529" s="26"/>
      <c r="R529" s="26"/>
      <c r="S529" s="26"/>
      <c r="T529" s="26"/>
      <c r="U529" s="26"/>
      <c r="V529" s="26"/>
      <c r="W529" s="27"/>
      <c r="X529" s="50"/>
    </row>
    <row r="530" spans="2:24" x14ac:dyDescent="0.25">
      <c r="B530" s="2"/>
      <c r="C530" s="55"/>
      <c r="D530" s="55"/>
      <c r="I530" s="56"/>
      <c r="O530" s="25"/>
      <c r="P530" s="26"/>
      <c r="Q530" s="26"/>
      <c r="R530" s="26"/>
      <c r="S530" s="26"/>
      <c r="T530" s="26"/>
      <c r="U530" s="26"/>
      <c r="V530" s="26"/>
      <c r="W530" s="27"/>
      <c r="X530" s="50"/>
    </row>
    <row r="531" spans="2:24" x14ac:dyDescent="0.25">
      <c r="B531" s="2"/>
      <c r="C531" s="55"/>
      <c r="D531" s="55"/>
      <c r="I531" s="56"/>
      <c r="O531" s="25"/>
      <c r="P531" s="26"/>
      <c r="Q531" s="26"/>
      <c r="R531" s="26"/>
      <c r="S531" s="26"/>
      <c r="T531" s="26"/>
      <c r="U531" s="26"/>
      <c r="V531" s="26"/>
      <c r="W531" s="27"/>
      <c r="X531" s="50"/>
    </row>
    <row r="532" spans="2:24" x14ac:dyDescent="0.25">
      <c r="B532" s="2"/>
      <c r="C532" s="55"/>
      <c r="D532" s="55"/>
      <c r="I532" s="56"/>
      <c r="O532" s="25"/>
      <c r="P532" s="26"/>
      <c r="Q532" s="26"/>
      <c r="R532" s="26"/>
      <c r="S532" s="26"/>
      <c r="T532" s="26"/>
      <c r="U532" s="26"/>
      <c r="V532" s="26"/>
      <c r="W532" s="27"/>
      <c r="X532" s="50"/>
    </row>
    <row r="533" spans="2:24" x14ac:dyDescent="0.25">
      <c r="B533" s="2"/>
      <c r="C533" s="55"/>
      <c r="D533" s="55"/>
      <c r="I533" s="56"/>
      <c r="O533" s="25"/>
      <c r="P533" s="26"/>
      <c r="Q533" s="26"/>
      <c r="R533" s="26"/>
      <c r="S533" s="26"/>
      <c r="T533" s="26"/>
      <c r="U533" s="26"/>
      <c r="V533" s="26"/>
      <c r="W533" s="27"/>
      <c r="X533" s="50"/>
    </row>
    <row r="534" spans="2:24" x14ac:dyDescent="0.25">
      <c r="B534" s="2"/>
      <c r="C534" s="55"/>
      <c r="D534" s="55"/>
      <c r="I534" s="56"/>
      <c r="O534" s="25"/>
      <c r="P534" s="26"/>
      <c r="Q534" s="26"/>
      <c r="R534" s="26"/>
      <c r="S534" s="26"/>
      <c r="T534" s="26"/>
      <c r="U534" s="26"/>
      <c r="V534" s="26"/>
      <c r="W534" s="27"/>
      <c r="X534" s="50"/>
    </row>
    <row r="535" spans="2:24" x14ac:dyDescent="0.25">
      <c r="B535" s="2"/>
      <c r="C535" s="55"/>
      <c r="D535" s="55"/>
      <c r="I535" s="56"/>
      <c r="O535" s="25"/>
      <c r="P535" s="26"/>
      <c r="Q535" s="26"/>
      <c r="R535" s="26"/>
      <c r="S535" s="26"/>
      <c r="T535" s="26"/>
      <c r="U535" s="26"/>
      <c r="V535" s="26"/>
      <c r="W535" s="27"/>
      <c r="X535" s="50"/>
    </row>
    <row r="536" spans="2:24" x14ac:dyDescent="0.25">
      <c r="B536" s="2"/>
      <c r="C536" s="55"/>
      <c r="D536" s="55"/>
      <c r="I536" s="56"/>
      <c r="O536" s="25"/>
      <c r="P536" s="26"/>
      <c r="Q536" s="26"/>
      <c r="R536" s="26"/>
      <c r="S536" s="26"/>
      <c r="T536" s="26"/>
      <c r="U536" s="26"/>
      <c r="V536" s="26"/>
      <c r="W536" s="27"/>
      <c r="X536" s="50"/>
    </row>
    <row r="537" spans="2:24" x14ac:dyDescent="0.25">
      <c r="B537" s="2"/>
      <c r="C537" s="55"/>
      <c r="D537" s="55"/>
      <c r="I537" s="56"/>
      <c r="O537" s="25"/>
      <c r="P537" s="26"/>
      <c r="Q537" s="26"/>
      <c r="R537" s="26"/>
      <c r="S537" s="26"/>
      <c r="T537" s="26"/>
      <c r="U537" s="26"/>
      <c r="V537" s="26"/>
      <c r="W537" s="27"/>
      <c r="X537" s="50"/>
    </row>
  </sheetData>
  <autoFilter ref="A10:AD537" xr:uid="{C397BE88-AA2D-467A-988A-B96C9D4BC7C8}"/>
  <conditionalFormatting sqref="A1:AD1 B2:AD2 A3:AD7">
    <cfRule type="expression" dxfId="2" priority="3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2">
      <formula>$D8&lt;&gt;""</formula>
    </cfRule>
  </conditionalFormatting>
  <pageMargins left="0.7" right="0.7" top="0.75" bottom="0.75" header="0.3" footer="0.3"/>
  <pageSetup paperSize="8" scale="51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Tien Nguyen Nhu - Nesting</cp:lastModifiedBy>
  <cp:lastPrinted>2026-04-11T01:27:09Z</cp:lastPrinted>
  <dcterms:created xsi:type="dcterms:W3CDTF">2026-04-10T09:06:08Z</dcterms:created>
  <dcterms:modified xsi:type="dcterms:W3CDTF">2026-09-04T10:39:16Z</dcterms:modified>
</cp:coreProperties>
</file>