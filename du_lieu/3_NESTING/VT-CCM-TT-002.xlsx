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13-KTSX-BPGC\.NESTING-CNC-DDC\18-10626-125 DG TN CAU CO MAY\01-VT-CCM-TT-002-TEST MAU HAN\01-REV00\"/>
    </mc:Choice>
  </mc:AlternateContent>
  <xr:revisionPtr revIDLastSave="0" documentId="13_ncr:1_{7CC11EF0-FEAD-47B6-A891-FE672FC52D1E}" xr6:coauthVersionLast="47" xr6:coauthVersionMax="47" xr10:uidLastSave="{00000000-0000-0000-0000-000000000000}"/>
  <bookViews>
    <workbookView xWindow="28590" yWindow="-210" windowWidth="29010" windowHeight="15450" xr2:uid="{569F5D1B-7441-48E8-BFBA-DB228489DC48}"/>
  </bookViews>
  <sheets>
    <sheet name="List chi tiet" sheetId="1" r:id="rId1"/>
    <sheet name="Phieu vat tu" sheetId="2" r:id="rId2"/>
    <sheet name="Hao hut vat tu" sheetId="3" r:id="rId3"/>
    <sheet name="LSX-VT" sheetId="4" r:id="rId4"/>
  </sheets>
  <definedNames>
    <definedName name="_xlnm._FilterDatabase" localSheetId="2" hidden="1">'Hao hut vat tu'!$A$12:$Q$24</definedName>
    <definedName name="_xlnm._FilterDatabase" localSheetId="0" hidden="1">'List chi tiet'!$A$5:$AC$22</definedName>
    <definedName name="_xlnm._FilterDatabase" localSheetId="3" hidden="1">'LSX-VT'!$A$10:$AD$27</definedName>
    <definedName name="_xlnm._FilterDatabase" localSheetId="1" hidden="1">'Phieu vat tu'!$A$4:$Z$16</definedName>
    <definedName name="_xlnm.Print_Area" localSheetId="2">'Hao hut vat tu'!$A$1:$Q$24</definedName>
    <definedName name="_xlnm.Print_Area" localSheetId="0">'List chi tiet'!$A$1:$AC$22</definedName>
    <definedName name="_xlnm.Print_Area" localSheetId="3">'LSX-VT'!$A$1:$AD$27</definedName>
    <definedName name="_xlnm.Print_Area" localSheetId="1">'Phieu vat tu'!$A$1:$Z$16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4" l="1"/>
  <c r="I8" i="4"/>
  <c r="H8" i="4"/>
  <c r="K10" i="3"/>
  <c r="K9" i="3"/>
  <c r="K6" i="3"/>
  <c r="K8" i="3"/>
  <c r="K7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G4" i="1"/>
  <c r="B4" i="1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C3" i="4"/>
  <c r="H13" i="3"/>
  <c r="I13" i="3"/>
  <c r="H14" i="3"/>
  <c r="I14" i="3"/>
  <c r="J14" i="3" s="1"/>
  <c r="H15" i="3"/>
  <c r="I15" i="3"/>
  <c r="J15" i="3" s="1"/>
  <c r="H16" i="3"/>
  <c r="I16" i="3"/>
  <c r="J16" i="3" s="1"/>
  <c r="H17" i="3"/>
  <c r="I17" i="3"/>
  <c r="J17" i="3"/>
  <c r="H18" i="3"/>
  <c r="I18" i="3"/>
  <c r="J18" i="3" s="1"/>
  <c r="H19" i="3"/>
  <c r="I19" i="3"/>
  <c r="J19" i="3" s="1"/>
  <c r="H20" i="3"/>
  <c r="I20" i="3"/>
  <c r="J20" i="3" s="1"/>
  <c r="H21" i="3"/>
  <c r="I21" i="3"/>
  <c r="J21" i="3" s="1"/>
  <c r="H22" i="3"/>
  <c r="I22" i="3"/>
  <c r="J22" i="3" s="1"/>
  <c r="H23" i="3"/>
  <c r="I23" i="3"/>
  <c r="J23" i="3" s="1"/>
  <c r="C2" i="3"/>
  <c r="K1" i="3"/>
  <c r="C1" i="3"/>
  <c r="B5" i="2"/>
  <c r="Q5" i="2"/>
  <c r="R5" i="2"/>
  <c r="U5" i="2"/>
  <c r="T5" i="2" s="1"/>
  <c r="X5" i="2"/>
  <c r="B6" i="2"/>
  <c r="Q6" i="2"/>
  <c r="R6" i="2"/>
  <c r="U6" i="2"/>
  <c r="T6" i="2" s="1"/>
  <c r="X6" i="2"/>
  <c r="B7" i="2"/>
  <c r="Q7" i="2"/>
  <c r="R7" i="2"/>
  <c r="U7" i="2"/>
  <c r="T7" i="2" s="1"/>
  <c r="X7" i="2"/>
  <c r="B8" i="2"/>
  <c r="Q8" i="2"/>
  <c r="R8" i="2"/>
  <c r="U8" i="2"/>
  <c r="T8" i="2" s="1"/>
  <c r="X8" i="2"/>
  <c r="B9" i="2"/>
  <c r="Q9" i="2"/>
  <c r="R9" i="2"/>
  <c r="U9" i="2"/>
  <c r="T9" i="2" s="1"/>
  <c r="X9" i="2"/>
  <c r="B10" i="2"/>
  <c r="Q10" i="2"/>
  <c r="R10" i="2"/>
  <c r="U10" i="2"/>
  <c r="T10" i="2" s="1"/>
  <c r="X10" i="2"/>
  <c r="B11" i="2"/>
  <c r="Q11" i="2"/>
  <c r="R11" i="2"/>
  <c r="U11" i="2"/>
  <c r="T11" i="2" s="1"/>
  <c r="X11" i="2"/>
  <c r="B12" i="2"/>
  <c r="Q12" i="2"/>
  <c r="R12" i="2"/>
  <c r="U12" i="2"/>
  <c r="T12" i="2" s="1"/>
  <c r="X12" i="2"/>
  <c r="B13" i="2"/>
  <c r="Q13" i="2"/>
  <c r="R13" i="2"/>
  <c r="U13" i="2"/>
  <c r="T13" i="2" s="1"/>
  <c r="X13" i="2"/>
  <c r="B14" i="2"/>
  <c r="Q14" i="2"/>
  <c r="R14" i="2"/>
  <c r="U14" i="2"/>
  <c r="T14" i="2" s="1"/>
  <c r="X14" i="2"/>
  <c r="B15" i="2"/>
  <c r="Q15" i="2"/>
  <c r="R15" i="2"/>
  <c r="U15" i="2"/>
  <c r="T15" i="2" s="1"/>
  <c r="X15" i="2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P13" i="4" l="1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C5" i="4"/>
  <c r="D5" i="2"/>
  <c r="D6" i="2"/>
  <c r="D7" i="2"/>
  <c r="D9" i="2"/>
  <c r="D11" i="2"/>
  <c r="D12" i="2"/>
  <c r="D14" i="2"/>
  <c r="C3" i="3"/>
  <c r="D8" i="2"/>
  <c r="D10" i="2"/>
  <c r="D13" i="2"/>
  <c r="D15" i="2"/>
  <c r="J13" i="3"/>
  <c r="L14" i="3"/>
  <c r="K14" i="3"/>
  <c r="L17" i="3"/>
  <c r="K17" i="3"/>
  <c r="L19" i="3"/>
  <c r="K19" i="3"/>
  <c r="K21" i="3"/>
  <c r="L21" i="3"/>
  <c r="K16" i="3"/>
  <c r="L16" i="3"/>
  <c r="K23" i="3"/>
  <c r="L23" i="3"/>
  <c r="K18" i="3"/>
  <c r="L18" i="3"/>
  <c r="K22" i="3"/>
  <c r="L22" i="3"/>
  <c r="K20" i="3"/>
  <c r="L20" i="3"/>
  <c r="K15" i="3"/>
  <c r="L15" i="3"/>
  <c r="K13" i="3" l="1"/>
  <c r="L13" i="3"/>
</calcChain>
</file>

<file path=xl/sharedStrings.xml><?xml version="1.0" encoding="utf-8"?>
<sst xmlns="http://schemas.openxmlformats.org/spreadsheetml/2006/main" count="731" uniqueCount="218">
  <si>
    <t>LIST CHI TIẾT CẤU KIỆN</t>
  </si>
  <si>
    <t>Tên Công Trình: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</si>
  <si>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</si>
  <si>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</si>
  <si>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</si>
  <si>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</si>
  <si>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</si>
  <si>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</si>
  <si>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</si>
  <si>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</si>
  <si>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</si>
  <si>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</si>
  <si>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</si>
  <si>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</si>
  <si>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</si>
  <si>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</si>
  <si>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</si>
  <si>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</si>
  <si>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</si>
  <si>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</si>
  <si>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</si>
  <si>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</si>
  <si>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</si>
  <si>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</si>
  <si>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</si>
  <si>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</si>
  <si>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</si>
  <si>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</si>
  <si>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</si>
  <si>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</si>
  <si>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</si>
  <si>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NEST PAGE NO</t>
  </si>
  <si>
    <t>PL6</t>
  </si>
  <si>
    <t>Q355</t>
  </si>
  <si>
    <t>PL6x75x300</t>
  </si>
  <si>
    <t>PL6x862x12000</t>
  </si>
  <si>
    <t>VT-CCM-TT-001-TESTMH-Q355-SP6-001</t>
  </si>
  <si>
    <t>22/09/2026</t>
  </si>
  <si>
    <t>REV0</t>
  </si>
  <si>
    <t>X</t>
  </si>
  <si>
    <t>VT-HV-TT-060-SUPERTRUSS -X01-Q355-SP6-001</t>
  </si>
  <si>
    <t>VT-10626-125-Z00-001</t>
  </si>
  <si>
    <t>PL6x846x2340</t>
  </si>
  <si>
    <t>VT-CCM-TT-001-TESTMH-Q355-SP6-002</t>
  </si>
  <si>
    <t>VT-HV-TT-064-SUPTRUSS -X01-Q355-SP6-001</t>
  </si>
  <si>
    <t>VT-10626-125-Z00-002</t>
  </si>
  <si>
    <t>PL10</t>
  </si>
  <si>
    <t>PL10x75x500</t>
  </si>
  <si>
    <t>PL10x402x1305</t>
  </si>
  <si>
    <t>VT-CCM-TT-001-TESTMH-Q355-SP10-001</t>
  </si>
  <si>
    <t>VT-FD-TT-027-TESTMH -Q355-SP10-001</t>
  </si>
  <si>
    <t>VT-10626-125-Z00-003</t>
  </si>
  <si>
    <t>PL12</t>
  </si>
  <si>
    <t>PL12x386x722</t>
  </si>
  <si>
    <t>PL12x414x728</t>
  </si>
  <si>
    <t>VT-CCM-TT-001-TESTMH-Q355-SP12-001</t>
  </si>
  <si>
    <t>VT-CR-TT-019-TESTMH -Q355-SP12-003</t>
  </si>
  <si>
    <t>VT-10626-125-Z00-004</t>
  </si>
  <si>
    <t>PL12x50x50</t>
  </si>
  <si>
    <t>PL12x328x1480</t>
  </si>
  <si>
    <t>VT-CCM-TT-001-TESTMH-Q355-SP12-002</t>
  </si>
  <si>
    <t>VT-CR-TT-019-TESTMH -Q355-SP12-002</t>
  </si>
  <si>
    <t>VT-10626-125-Z00-005</t>
  </si>
  <si>
    <t>PL25_1-V</t>
  </si>
  <si>
    <t>PL25x100x250</t>
  </si>
  <si>
    <t>PL25x2000x6520</t>
  </si>
  <si>
    <t>VT-CCM-TT-001-TESTMH-Q355-SP0-001</t>
  </si>
  <si>
    <t>VT-S2-TT-079-PM(UT4-UT5) -Q355B-SP25-001</t>
  </si>
  <si>
    <t>VT-10626-125-Z00-006</t>
  </si>
  <si>
    <t>PL25_3-V</t>
  </si>
  <si>
    <t>PL25x200x450</t>
  </si>
  <si>
    <t>PL25x1163x1512</t>
  </si>
  <si>
    <t>VT-CCM-TT-001-TESTMH-Q355-SP25-002</t>
  </si>
  <si>
    <t>VT-HV-TT-060-SUPERTRUSS -X01-Q355-SP25-006_2</t>
  </si>
  <si>
    <t>VT-10626-125-Z00-007</t>
  </si>
  <si>
    <t>PL25_2-V</t>
  </si>
  <si>
    <t>PL25x488x5153</t>
  </si>
  <si>
    <t>VT-CCM-TT-001-TESTMH-Q355-SP25-003</t>
  </si>
  <si>
    <t>VT-HV-TT-061-SUPERTRUSS -X01-Q355-SP25-002</t>
  </si>
  <si>
    <t>VT-10626-125-Z00-008</t>
  </si>
  <si>
    <t>PL25_4-V</t>
  </si>
  <si>
    <t>PL25x692x1169</t>
  </si>
  <si>
    <t>VT-CCM-TT-001-TESTMH-Q355-SP25-004</t>
  </si>
  <si>
    <t>VT-HV-TT-064-SUPERTRUSS -X01-Q355-SP25-001_2</t>
  </si>
  <si>
    <t>VT-10626-125-Z00-009</t>
  </si>
  <si>
    <t>PL25x193x2101</t>
  </si>
  <si>
    <t>VT-CCM-TT-001-TESTMH-Q355-SP25-005</t>
  </si>
  <si>
    <t>VT-CDB-TT-078-TEST_MAU -Q355-SP25-001</t>
  </si>
  <si>
    <t>VT-10626-125-Z00-010</t>
  </si>
  <si>
    <t>PL25x191x1582</t>
  </si>
  <si>
    <t>VT-CCM-TT-001-TESTMH-Q355-SP25-006</t>
  </si>
  <si>
    <t>VT-HV-TT-064-SUPERTRUSS -X01-Q355-SP25-001_1</t>
  </si>
  <si>
    <t>VT-10626-125-Z00-011</t>
  </si>
  <si>
    <t>Phiếu Yêu Cầu Vật Tư - VT-CCM-TT-001</t>
  </si>
  <si>
    <t>No
STT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</si>
  <si>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</si>
  <si>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</si>
  <si>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</si>
  <si>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</si>
  <si>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</si>
  <si>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</si>
  <si>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</si>
  <si>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</si>
  <si>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</si>
  <si>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</si>
  <si>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</si>
  <si>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</si>
  <si>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</si>
  <si>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Nguồn Gốc
Vật Tư</t>
  </si>
  <si>
    <t>Khối Lượng
Thành Phẩm</t>
  </si>
  <si>
    <t>Lệnh Xuất Vật Tư
Nguyên Khổ (kg)</t>
  </si>
  <si>
    <t>Lệnh Xuất 
Remain (kg)</t>
  </si>
  <si>
    <t>Lệnh Thu
Remain (kg)</t>
  </si>
  <si>
    <t>Lệnh Thu
Phế Liệu (kg)</t>
  </si>
  <si>
    <t>Phế Liệu Tiêu Hao
(Không Thu Hồi) (kg)</t>
  </si>
  <si>
    <t>Lần
Ban
Hành</t>
  </si>
  <si>
    <t>Lệnh Sản Xuất</t>
  </si>
  <si>
    <t>REV</t>
  </si>
  <si>
    <t>NGƯỜI BAN HÀNH</t>
  </si>
  <si>
    <t>PLATE</t>
  </si>
  <si>
    <t>6x862x12000</t>
  </si>
  <si>
    <t>Pcs</t>
  </si>
  <si>
    <t>VT-CCM-TT-001</t>
  </si>
  <si>
    <t>NGUYEN SONG HUONG</t>
  </si>
  <si>
    <t>6x846x2340</t>
  </si>
  <si>
    <t>10x402x1305</t>
  </si>
  <si>
    <t>12x414x728</t>
  </si>
  <si>
    <t>12x328x1480</t>
  </si>
  <si>
    <t>25x2000x6520</t>
  </si>
  <si>
    <t>25x1163x1512</t>
  </si>
  <si>
    <t>25x488x5153</t>
  </si>
  <si>
    <t>25x692x1169</t>
  </si>
  <si>
    <t>25x193x2101</t>
  </si>
  <si>
    <t>25x191x1582</t>
  </si>
  <si>
    <t>Thông Tin Dự Án</t>
  </si>
  <si>
    <t>Số Liệu Trung Bình Cho Dự Án</t>
  </si>
  <si>
    <t>ĐVT</t>
  </si>
  <si>
    <t>Project:</t>
  </si>
  <si>
    <t>Phase:</t>
  </si>
  <si>
    <t>OMS:</t>
  </si>
  <si>
    <t>Nesting:</t>
  </si>
  <si>
    <t>LSX: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</si>
  <si>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</si>
  <si>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</si>
  <si>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</si>
  <si>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</si>
  <si>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</si>
  <si>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</si>
  <si>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</si>
  <si>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</si>
  <si>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</si>
  <si>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%Remain</t>
  </si>
  <si>
    <t>Tiêu Hao (kg)</t>
  </si>
  <si>
    <t>Phế Liệu(Waste)</t>
  </si>
  <si>
    <t>%Phế Liệu</t>
  </si>
  <si>
    <t>%Hao Hụt</t>
  </si>
  <si>
    <t>LSX</t>
  </si>
  <si>
    <t>Lần B.Hành</t>
  </si>
  <si>
    <t>TỔNG CHIỀU DÀI ĐƯỜNG CẮT</t>
  </si>
  <si>
    <t>PL25</t>
  </si>
  <si>
    <t>Tổng Thành Phẩm (Total Nesting) :</t>
  </si>
  <si>
    <t>kg</t>
  </si>
  <si>
    <t>Tổng Tấm Mới Cấp Vào (New Plate) :</t>
  </si>
  <si>
    <t>Tổng Remain Cấp Vào (Remain In) :</t>
  </si>
  <si>
    <t>Tổng Remain Sinh Ra (Remain Out):</t>
  </si>
  <si>
    <t>% Remain:</t>
  </si>
  <si>
    <t>%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</si>
  <si>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</si>
  <si>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</si>
  <si>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</si>
  <si>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</si>
  <si>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</si>
  <si>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</si>
  <si>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</si>
  <si>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</si>
  <si>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</si>
  <si>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</si>
  <si>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</si>
  <si>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</si>
  <si>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</si>
  <si>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</si>
  <si>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</si>
  <si>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</si>
  <si>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</si>
  <si>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</si>
  <si>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</si>
  <si>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</si>
  <si>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</si>
  <si>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</si>
  <si>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</si>
  <si>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</si>
  <si>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</si>
  <si>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</si>
  <si>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</si>
  <si>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</si>
  <si>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</si>
  <si>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</si>
  <si>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</si>
  <si>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</si>
  <si>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</si>
  <si>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Lần Ban
Hành</t>
  </si>
  <si>
    <t>Ngày B.hành</t>
  </si>
  <si>
    <t>NESTING</t>
  </si>
  <si>
    <t>SC</t>
  </si>
  <si>
    <t xml:space="preserve">10626-125 DG TN CẦU CỎ MAY     </t>
  </si>
  <si>
    <t>10626-125</t>
  </si>
  <si>
    <t>TEST MẪU HÀN</t>
  </si>
  <si>
    <t>S355J2+N</t>
  </si>
  <si>
    <t>PL12x80.43x300</t>
  </si>
  <si>
    <t>PL12x1500x3314</t>
  </si>
  <si>
    <t>VT-CCM-TT-002-TESTMH-S355J2+N-SP12-001</t>
  </si>
  <si>
    <t>VT-CR-TT-018-TESTMAUHAN -S355J2+N-SP12-001</t>
  </si>
  <si>
    <t>VT-10626-125-Z00-012</t>
  </si>
  <si>
    <t>12x1500x3314</t>
  </si>
  <si>
    <t>VT-CCM-TT-002</t>
  </si>
  <si>
    <t>Thép tấm lỡ cỡ cường độ Cao</t>
  </si>
  <si>
    <t>KG</t>
  </si>
  <si>
    <t>VT-10626-125-Z00-012.1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</si>
</sst>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;&quot;-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Continuous" vertical="center"/>
    </xf>
    <xf numFmtId="0" fontId="1" fillId="0" borderId="0" xfId="0" applyFont="1"/>
    <xf numFmtId="0" fontId="1" fillId="3" borderId="1" xfId="0" applyFont="1" applyFill="1" applyBorder="1"/>
    <xf numFmtId="0" fontId="0" fillId="0" borderId="0" xfId="0" quotePrefix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6" borderId="1" xfId="0" applyFont="1" applyFill="1" applyBorder="1"/>
    <xf numFmtId="164" fontId="0" fillId="0" borderId="1" xfId="0" applyNumberFormat="1" applyBorder="1"/>
    <xf numFmtId="10" fontId="0" fillId="0" borderId="1" xfId="0" applyNumberFormat="1" applyBorder="1"/>
    <xf numFmtId="0" fontId="4" fillId="0" borderId="0" xfId="0" applyFont="1"/>
    <xf numFmtId="10" fontId="1" fillId="0" borderId="0" xfId="0" applyNumberFormat="1" applyFont="1"/>
    <xf numFmtId="10" fontId="3" fillId="0" borderId="0" xfId="0" applyNumberFormat="1" applyFont="1"/>
    <xf numFmtId="0" fontId="5" fillId="0" borderId="0" xfId="0" applyFont="1" applyAlignment="1">
      <alignment horizontal="centerContinuous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2" borderId="0" xfId="0" applyFill="1"/>
    <xf numFmtId="14" fontId="0" fillId="0" borderId="0" xfId="0" applyNumberFormat="1"/>
    <xf numFmtId="10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27E7-81F9-4232-803D-F1B25F843986}">
  <sheetPr filterMode="1">
    <pageSetUpPr fitToPage="1"/>
  </sheetPr>
  <dimension ref="A1:AC22"/>
  <sheetViews>
    <sheetView tabSelected="1" workbookViewId="0">
      <pane ySplit="5" topLeftCell="A6" activePane="bottomLeft" state="frozenSplit"/>
      <selection pane="bottomLeft" activeCell="I25" sqref="I25"/>
    </sheetView>
  </sheetViews>
  <sheetFormatPr defaultRowHeight="15" x14ac:dyDescent="0.25"/>
  <cols>
    <col min="1" max="1" width="14.7109375" bestFit="1" customWidth="1"/>
    <col min="2" max="2" width="10.85546875" bestFit="1" customWidth="1"/>
    <col min="3" max="3" width="9.28515625" bestFit="1" customWidth="1"/>
    <col min="4" max="4" width="13.5703125" bestFit="1" customWidth="1"/>
    <col min="5" max="5" width="4.28515625" bestFit="1" customWidth="1"/>
    <col min="6" max="6" width="5.42578125" bestFit="1" customWidth="1"/>
    <col min="7" max="7" width="6.140625" bestFit="1" customWidth="1"/>
    <col min="8" max="8" width="4.140625" bestFit="1" customWidth="1"/>
    <col min="9" max="9" width="9.5703125" bestFit="1" customWidth="1"/>
    <col min="10" max="10" width="7.7109375" bestFit="1" customWidth="1"/>
    <col min="11" max="11" width="15.5703125" bestFit="1" customWidth="1"/>
    <col min="12" max="12" width="36.7109375" bestFit="1" customWidth="1"/>
    <col min="13" max="13" width="7.42578125" bestFit="1" customWidth="1"/>
    <col min="14" max="14" width="6.5703125" bestFit="1" customWidth="1"/>
    <col min="15" max="15" width="5.42578125" bestFit="1" customWidth="1"/>
    <col min="16" max="16" width="8.42578125" bestFit="1" customWidth="1"/>
    <col min="17" max="17" width="7.140625" bestFit="1" customWidth="1"/>
    <col min="18" max="18" width="12.140625" bestFit="1" customWidth="1"/>
    <col min="19" max="19" width="5.42578125" bestFit="1" customWidth="1"/>
    <col min="20" max="21" width="6.42578125" bestFit="1" customWidth="1"/>
    <col min="22" max="22" width="9.85546875" bestFit="1" customWidth="1"/>
    <col min="23" max="23" width="3.140625" bestFit="1" customWidth="1"/>
    <col min="24" max="24" width="4" bestFit="1" customWidth="1"/>
    <col min="25" max="25" width="3.28515625" bestFit="1" customWidth="1"/>
    <col min="26" max="26" width="9.7109375" bestFit="1" customWidth="1"/>
    <col min="27" max="27" width="45.85546875" bestFit="1" customWidth="1"/>
    <col min="29" max="29" width="20.42578125" bestFit="1" customWidth="1"/>
  </cols>
  <sheetData>
    <row r="1" spans="1:29" ht="23.25" x14ac:dyDescent="0.25"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9" ht="23.25" x14ac:dyDescent="0.25">
      <c r="A2" t="s">
        <v>1</v>
      </c>
      <c r="B2" s="21" t="s">
        <v>204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9" x14ac:dyDescent="0.25">
      <c r="A3" t="s">
        <v>2</v>
      </c>
      <c r="B3" s="21" t="s">
        <v>205</v>
      </c>
    </row>
    <row r="4" spans="1:29" x14ac:dyDescent="0.25">
      <c r="A4" t="s">
        <v>3</v>
      </c>
      <c r="B4" s="21" t="str">
        <f ca="1">INDEX(Z6:Z99999, MATCH(1, INDEX(SUBTOTAL(3, OFFSET(Z6, ROW(Z6:Z99999)-ROW(Z6), 0)), 0), 0))</f>
        <v>TEST MẪU HÀN</v>
      </c>
      <c r="G4">
        <f ca="1">SUMPRODUCT(G6:G99999, H6:H99999, SUBTOTAL(103, OFFSET(G6, ROW(G6:G99999)-ROW(G6), 0)))</f>
        <v>15000</v>
      </c>
      <c r="H4" s="8">
        <f ca="1">SUMPRODUCT(SUBTOTAL(109, OFFSET(H6, ROW(H6:H99995)-ROW(H6), 0)), (B6:B99995&lt;&gt;"") * (B6:B99995&lt;&gt;0))</f>
        <v>50</v>
      </c>
      <c r="J4" s="8">
        <f ca="1">SUMPRODUCT(SUBTOTAL(109, OFFSET(J6, ROW(J6:J99995)-ROW(J6), 0)), (B6:B99995&lt;&gt;"") * (B6:B99995&lt;&gt;0))</f>
        <v>95.1</v>
      </c>
      <c r="L4" s="8">
        <f ca="1">SUMPRODUCT(SUBTOTAL(103, OFFSET(B6, ROW(B6:B99996)-ROW(B6), 0)))</f>
        <v>1</v>
      </c>
    </row>
    <row r="5" spans="1:29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/>
      <c r="AC5" s="3" t="s">
        <v>31</v>
      </c>
    </row>
    <row r="6" spans="1:29" hidden="1" x14ac:dyDescent="0.25">
      <c r="A6" s="5">
        <v>1</v>
      </c>
      <c r="B6" s="5" t="s">
        <v>32</v>
      </c>
      <c r="C6" s="5" t="s">
        <v>33</v>
      </c>
      <c r="D6" s="5" t="s">
        <v>34</v>
      </c>
      <c r="E6" s="5">
        <v>6</v>
      </c>
      <c r="F6" s="5">
        <v>75</v>
      </c>
      <c r="G6" s="5">
        <v>300</v>
      </c>
      <c r="H6" s="5">
        <v>15</v>
      </c>
      <c r="I6" s="5">
        <v>1.06</v>
      </c>
      <c r="J6" s="5">
        <v>15.9</v>
      </c>
      <c r="K6" s="5" t="s">
        <v>35</v>
      </c>
      <c r="L6" s="5" t="s">
        <v>36</v>
      </c>
      <c r="M6" s="6"/>
      <c r="N6" s="6"/>
      <c r="O6" s="6"/>
      <c r="P6" s="6"/>
      <c r="Q6" s="6">
        <v>1</v>
      </c>
      <c r="R6" s="7" t="s">
        <v>37</v>
      </c>
      <c r="S6" s="6"/>
      <c r="T6" s="6" t="s">
        <v>38</v>
      </c>
      <c r="U6" s="6"/>
      <c r="V6" s="6" t="str">
        <f t="shared" ref="V6:V21" si="0">IF(LEN($B$3)=0,"",$B$3)</f>
        <v>10626-125</v>
      </c>
      <c r="W6" s="6" t="s">
        <v>39</v>
      </c>
      <c r="X6" s="6"/>
      <c r="Y6" s="6"/>
      <c r="Z6" s="6" t="s">
        <v>206</v>
      </c>
      <c r="AA6" s="6" t="s">
        <v>40</v>
      </c>
      <c r="AB6" s="6"/>
      <c r="AC6" s="6" t="s">
        <v>41</v>
      </c>
    </row>
    <row r="7" spans="1:29" hidden="1" x14ac:dyDescent="0.25">
      <c r="A7" s="5">
        <v>2</v>
      </c>
      <c r="B7" s="5" t="s">
        <v>32</v>
      </c>
      <c r="C7" s="5" t="s">
        <v>33</v>
      </c>
      <c r="D7" s="5" t="s">
        <v>34</v>
      </c>
      <c r="E7" s="5">
        <v>6</v>
      </c>
      <c r="F7" s="5">
        <v>75</v>
      </c>
      <c r="G7" s="5">
        <v>300</v>
      </c>
      <c r="H7" s="5">
        <v>25</v>
      </c>
      <c r="I7" s="5">
        <v>1.06</v>
      </c>
      <c r="J7" s="5">
        <v>26.49</v>
      </c>
      <c r="K7" s="5" t="s">
        <v>42</v>
      </c>
      <c r="L7" s="5" t="s">
        <v>43</v>
      </c>
      <c r="M7" s="6"/>
      <c r="N7" s="6"/>
      <c r="O7" s="6"/>
      <c r="P7" s="6"/>
      <c r="Q7" s="6">
        <v>1</v>
      </c>
      <c r="R7" s="7" t="s">
        <v>37</v>
      </c>
      <c r="S7" s="6"/>
      <c r="T7" s="6" t="s">
        <v>38</v>
      </c>
      <c r="U7" s="6"/>
      <c r="V7" s="6" t="str">
        <f t="shared" si="0"/>
        <v>10626-125</v>
      </c>
      <c r="W7" s="6" t="s">
        <v>39</v>
      </c>
      <c r="X7" s="6"/>
      <c r="Y7" s="6"/>
      <c r="Z7" s="6" t="s">
        <v>206</v>
      </c>
      <c r="AA7" s="6" t="s">
        <v>44</v>
      </c>
      <c r="AB7" s="6"/>
      <c r="AC7" s="6" t="s">
        <v>45</v>
      </c>
    </row>
    <row r="8" spans="1:29" hidden="1" x14ac:dyDescent="0.25">
      <c r="A8" s="5">
        <v>3</v>
      </c>
      <c r="B8" s="5" t="s">
        <v>46</v>
      </c>
      <c r="C8" s="5" t="s">
        <v>33</v>
      </c>
      <c r="D8" s="5" t="s">
        <v>47</v>
      </c>
      <c r="E8" s="5">
        <v>10</v>
      </c>
      <c r="F8" s="5">
        <v>75</v>
      </c>
      <c r="G8" s="5">
        <v>500</v>
      </c>
      <c r="H8" s="5">
        <v>5</v>
      </c>
      <c r="I8" s="5">
        <v>2.94</v>
      </c>
      <c r="J8" s="5">
        <v>14.72</v>
      </c>
      <c r="K8" s="5" t="s">
        <v>48</v>
      </c>
      <c r="L8" s="5" t="s">
        <v>49</v>
      </c>
      <c r="M8" s="6"/>
      <c r="N8" s="6"/>
      <c r="O8" s="6"/>
      <c r="P8" s="6"/>
      <c r="Q8" s="6">
        <v>1</v>
      </c>
      <c r="R8" s="7" t="s">
        <v>37</v>
      </c>
      <c r="S8" s="6"/>
      <c r="T8" s="6" t="s">
        <v>38</v>
      </c>
      <c r="U8" s="6"/>
      <c r="V8" s="6" t="str">
        <f t="shared" si="0"/>
        <v>10626-125</v>
      </c>
      <c r="W8" s="6" t="s">
        <v>39</v>
      </c>
      <c r="X8" s="6"/>
      <c r="Y8" s="6"/>
      <c r="Z8" s="6" t="s">
        <v>206</v>
      </c>
      <c r="AA8" s="6" t="s">
        <v>50</v>
      </c>
      <c r="AB8" s="6"/>
      <c r="AC8" s="6" t="s">
        <v>51</v>
      </c>
    </row>
    <row r="9" spans="1:29" hidden="1" x14ac:dyDescent="0.25">
      <c r="A9" s="5">
        <v>4</v>
      </c>
      <c r="B9" s="5" t="s">
        <v>52</v>
      </c>
      <c r="C9" s="5" t="s">
        <v>33</v>
      </c>
      <c r="D9" s="5" t="s">
        <v>53</v>
      </c>
      <c r="E9" s="5">
        <v>12</v>
      </c>
      <c r="F9" s="5">
        <v>386</v>
      </c>
      <c r="G9" s="5">
        <v>722</v>
      </c>
      <c r="H9" s="5">
        <v>91</v>
      </c>
      <c r="I9" s="5">
        <v>0.24</v>
      </c>
      <c r="J9" s="5">
        <v>21.43</v>
      </c>
      <c r="K9" s="5" t="s">
        <v>54</v>
      </c>
      <c r="L9" s="5" t="s">
        <v>55</v>
      </c>
      <c r="M9" s="6"/>
      <c r="N9" s="6"/>
      <c r="O9" s="6"/>
      <c r="P9" s="6"/>
      <c r="Q9" s="6">
        <v>1</v>
      </c>
      <c r="R9" s="7" t="s">
        <v>37</v>
      </c>
      <c r="S9" s="6"/>
      <c r="T9" s="6" t="s">
        <v>38</v>
      </c>
      <c r="U9" s="6"/>
      <c r="V9" s="6" t="str">
        <f t="shared" si="0"/>
        <v>10626-125</v>
      </c>
      <c r="W9" s="6" t="s">
        <v>39</v>
      </c>
      <c r="X9" s="6"/>
      <c r="Y9" s="6"/>
      <c r="Z9" s="6" t="s">
        <v>206</v>
      </c>
      <c r="AA9" s="6" t="s">
        <v>56</v>
      </c>
      <c r="AB9" s="6"/>
      <c r="AC9" s="6" t="s">
        <v>57</v>
      </c>
    </row>
    <row r="10" spans="1:29" hidden="1" x14ac:dyDescent="0.25">
      <c r="A10" s="5">
        <v>5</v>
      </c>
      <c r="B10" s="5" t="s">
        <v>52</v>
      </c>
      <c r="C10" s="5" t="s">
        <v>33</v>
      </c>
      <c r="D10" s="5" t="s">
        <v>58</v>
      </c>
      <c r="E10" s="5">
        <v>12</v>
      </c>
      <c r="F10" s="5">
        <v>50</v>
      </c>
      <c r="G10" s="5">
        <v>50</v>
      </c>
      <c r="H10" s="5">
        <v>39</v>
      </c>
      <c r="I10" s="5">
        <v>0.24</v>
      </c>
      <c r="J10" s="5">
        <v>9.18</v>
      </c>
      <c r="K10" s="5" t="s">
        <v>59</v>
      </c>
      <c r="L10" s="5" t="s">
        <v>60</v>
      </c>
      <c r="M10" s="6"/>
      <c r="N10" s="6"/>
      <c r="O10" s="6"/>
      <c r="P10" s="6"/>
      <c r="Q10" s="6">
        <v>1</v>
      </c>
      <c r="R10" s="7" t="s">
        <v>37</v>
      </c>
      <c r="S10" s="6"/>
      <c r="T10" s="6" t="s">
        <v>38</v>
      </c>
      <c r="U10" s="6"/>
      <c r="V10" s="6" t="str">
        <f t="shared" si="0"/>
        <v>10626-125</v>
      </c>
      <c r="W10" s="6" t="s">
        <v>39</v>
      </c>
      <c r="X10" s="6"/>
      <c r="Y10" s="6"/>
      <c r="Z10" s="6" t="s">
        <v>206</v>
      </c>
      <c r="AA10" s="6" t="s">
        <v>61</v>
      </c>
      <c r="AB10" s="6"/>
      <c r="AC10" s="6" t="s">
        <v>62</v>
      </c>
    </row>
    <row r="11" spans="1:29" hidden="1" x14ac:dyDescent="0.25">
      <c r="A11" s="5">
        <v>6</v>
      </c>
      <c r="B11" s="5" t="s">
        <v>63</v>
      </c>
      <c r="C11" s="5" t="s">
        <v>33</v>
      </c>
      <c r="D11" s="5" t="s">
        <v>64</v>
      </c>
      <c r="E11" s="5">
        <v>25</v>
      </c>
      <c r="F11" s="5">
        <v>100</v>
      </c>
      <c r="G11" s="5">
        <v>250</v>
      </c>
      <c r="H11" s="5">
        <v>13</v>
      </c>
      <c r="I11" s="5">
        <v>4.91</v>
      </c>
      <c r="J11" s="5">
        <v>63.78</v>
      </c>
      <c r="K11" s="5" t="s">
        <v>65</v>
      </c>
      <c r="L11" s="5" t="s">
        <v>66</v>
      </c>
      <c r="M11" s="6"/>
      <c r="N11" s="6"/>
      <c r="O11" s="6"/>
      <c r="P11" s="6" t="s">
        <v>39</v>
      </c>
      <c r="Q11" s="6">
        <v>1</v>
      </c>
      <c r="R11" s="7" t="s">
        <v>37</v>
      </c>
      <c r="S11" s="6"/>
      <c r="T11" s="6" t="s">
        <v>38</v>
      </c>
      <c r="U11" s="6"/>
      <c r="V11" s="6" t="str">
        <f t="shared" si="0"/>
        <v>10626-125</v>
      </c>
      <c r="W11" s="6" t="s">
        <v>39</v>
      </c>
      <c r="X11" s="6"/>
      <c r="Y11" s="6"/>
      <c r="Z11" s="6" t="s">
        <v>206</v>
      </c>
      <c r="AA11" s="6" t="s">
        <v>67</v>
      </c>
      <c r="AB11" s="6"/>
      <c r="AC11" s="6" t="s">
        <v>68</v>
      </c>
    </row>
    <row r="12" spans="1:29" hidden="1" x14ac:dyDescent="0.25">
      <c r="A12" s="5">
        <v>7</v>
      </c>
      <c r="B12" s="5" t="s">
        <v>69</v>
      </c>
      <c r="C12" s="5" t="s">
        <v>33</v>
      </c>
      <c r="D12" s="5" t="s">
        <v>70</v>
      </c>
      <c r="E12" s="5">
        <v>25</v>
      </c>
      <c r="F12" s="5">
        <v>200</v>
      </c>
      <c r="G12" s="5">
        <v>450</v>
      </c>
      <c r="H12" s="5">
        <v>2</v>
      </c>
      <c r="I12" s="5">
        <v>17.66</v>
      </c>
      <c r="J12" s="5">
        <v>35.33</v>
      </c>
      <c r="K12" s="5" t="s">
        <v>65</v>
      </c>
      <c r="L12" s="5" t="s">
        <v>66</v>
      </c>
      <c r="M12" s="6"/>
      <c r="N12" s="6"/>
      <c r="O12" s="6"/>
      <c r="P12" s="6" t="s">
        <v>39</v>
      </c>
      <c r="Q12" s="6">
        <v>1</v>
      </c>
      <c r="R12" s="7" t="s">
        <v>37</v>
      </c>
      <c r="S12" s="6"/>
      <c r="T12" s="6" t="s">
        <v>38</v>
      </c>
      <c r="U12" s="6"/>
      <c r="V12" s="6" t="str">
        <f t="shared" si="0"/>
        <v>10626-125</v>
      </c>
      <c r="W12" s="6" t="s">
        <v>39</v>
      </c>
      <c r="X12" s="6"/>
      <c r="Y12" s="6"/>
      <c r="Z12" s="6" t="s">
        <v>206</v>
      </c>
      <c r="AA12" s="6" t="s">
        <v>67</v>
      </c>
      <c r="AB12" s="6"/>
      <c r="AC12" s="6" t="s">
        <v>68</v>
      </c>
    </row>
    <row r="13" spans="1:29" hidden="1" x14ac:dyDescent="0.25">
      <c r="A13" s="5">
        <v>8</v>
      </c>
      <c r="B13" s="5" t="s">
        <v>63</v>
      </c>
      <c r="C13" s="5" t="s">
        <v>33</v>
      </c>
      <c r="D13" s="5" t="s">
        <v>64</v>
      </c>
      <c r="E13" s="5">
        <v>25</v>
      </c>
      <c r="F13" s="5">
        <v>100</v>
      </c>
      <c r="G13" s="5">
        <v>250</v>
      </c>
      <c r="H13" s="5">
        <v>4</v>
      </c>
      <c r="I13" s="5">
        <v>4.91</v>
      </c>
      <c r="J13" s="5">
        <v>19.63</v>
      </c>
      <c r="K13" s="5" t="s">
        <v>71</v>
      </c>
      <c r="L13" s="5" t="s">
        <v>72</v>
      </c>
      <c r="M13" s="6"/>
      <c r="N13" s="6"/>
      <c r="O13" s="6"/>
      <c r="P13" s="6" t="s">
        <v>39</v>
      </c>
      <c r="Q13" s="6">
        <v>1</v>
      </c>
      <c r="R13" s="7" t="s">
        <v>37</v>
      </c>
      <c r="S13" s="6"/>
      <c r="T13" s="6" t="s">
        <v>38</v>
      </c>
      <c r="U13" s="6"/>
      <c r="V13" s="6" t="str">
        <f t="shared" si="0"/>
        <v>10626-125</v>
      </c>
      <c r="W13" s="6" t="s">
        <v>39</v>
      </c>
      <c r="X13" s="6"/>
      <c r="Y13" s="6"/>
      <c r="Z13" s="6" t="s">
        <v>206</v>
      </c>
      <c r="AA13" s="6" t="s">
        <v>73</v>
      </c>
      <c r="AB13" s="6"/>
      <c r="AC13" s="6" t="s">
        <v>74</v>
      </c>
    </row>
    <row r="14" spans="1:29" hidden="1" x14ac:dyDescent="0.25">
      <c r="A14" s="5">
        <v>9</v>
      </c>
      <c r="B14" s="5" t="s">
        <v>75</v>
      </c>
      <c r="C14" s="5" t="s">
        <v>33</v>
      </c>
      <c r="D14" s="5" t="s">
        <v>64</v>
      </c>
      <c r="E14" s="5">
        <v>25</v>
      </c>
      <c r="F14" s="5">
        <v>100</v>
      </c>
      <c r="G14" s="5">
        <v>250</v>
      </c>
      <c r="H14" s="5">
        <v>11</v>
      </c>
      <c r="I14" s="5">
        <v>4.91</v>
      </c>
      <c r="J14" s="5">
        <v>53.97</v>
      </c>
      <c r="K14" s="5" t="s">
        <v>71</v>
      </c>
      <c r="L14" s="5" t="s">
        <v>72</v>
      </c>
      <c r="M14" s="6"/>
      <c r="N14" s="6"/>
      <c r="O14" s="6"/>
      <c r="P14" s="6" t="s">
        <v>39</v>
      </c>
      <c r="Q14" s="6">
        <v>1</v>
      </c>
      <c r="R14" s="7" t="s">
        <v>37</v>
      </c>
      <c r="S14" s="6"/>
      <c r="T14" s="6" t="s">
        <v>38</v>
      </c>
      <c r="U14" s="6"/>
      <c r="V14" s="6" t="str">
        <f t="shared" si="0"/>
        <v>10626-125</v>
      </c>
      <c r="W14" s="6" t="s">
        <v>39</v>
      </c>
      <c r="X14" s="6"/>
      <c r="Y14" s="6"/>
      <c r="Z14" s="6" t="s">
        <v>206</v>
      </c>
      <c r="AA14" s="6" t="s">
        <v>73</v>
      </c>
      <c r="AB14" s="6"/>
      <c r="AC14" s="6" t="s">
        <v>74</v>
      </c>
    </row>
    <row r="15" spans="1:29" hidden="1" x14ac:dyDescent="0.25">
      <c r="A15" s="5">
        <v>10</v>
      </c>
      <c r="B15" s="5" t="s">
        <v>63</v>
      </c>
      <c r="C15" s="5" t="s">
        <v>33</v>
      </c>
      <c r="D15" s="5" t="s">
        <v>64</v>
      </c>
      <c r="E15" s="5">
        <v>25</v>
      </c>
      <c r="F15" s="5">
        <v>100</v>
      </c>
      <c r="G15" s="5">
        <v>250</v>
      </c>
      <c r="H15" s="5">
        <v>23</v>
      </c>
      <c r="I15" s="5">
        <v>4.91</v>
      </c>
      <c r="J15" s="5">
        <v>112.84</v>
      </c>
      <c r="K15" s="5" t="s">
        <v>76</v>
      </c>
      <c r="L15" s="5" t="s">
        <v>77</v>
      </c>
      <c r="M15" s="6"/>
      <c r="N15" s="6"/>
      <c r="O15" s="6"/>
      <c r="P15" s="6" t="s">
        <v>39</v>
      </c>
      <c r="Q15" s="6">
        <v>1</v>
      </c>
      <c r="R15" s="7" t="s">
        <v>37</v>
      </c>
      <c r="S15" s="6"/>
      <c r="T15" s="6" t="s">
        <v>38</v>
      </c>
      <c r="U15" s="6"/>
      <c r="V15" s="6" t="str">
        <f t="shared" si="0"/>
        <v>10626-125</v>
      </c>
      <c r="W15" s="6" t="s">
        <v>39</v>
      </c>
      <c r="X15" s="6"/>
      <c r="Y15" s="6"/>
      <c r="Z15" s="6" t="s">
        <v>206</v>
      </c>
      <c r="AA15" s="6" t="s">
        <v>78</v>
      </c>
      <c r="AB15" s="6"/>
      <c r="AC15" s="6" t="s">
        <v>79</v>
      </c>
    </row>
    <row r="16" spans="1:29" hidden="1" x14ac:dyDescent="0.25">
      <c r="A16" s="5">
        <v>11</v>
      </c>
      <c r="B16" s="5" t="s">
        <v>69</v>
      </c>
      <c r="C16" s="5" t="s">
        <v>33</v>
      </c>
      <c r="D16" s="5" t="s">
        <v>70</v>
      </c>
      <c r="E16" s="5">
        <v>25</v>
      </c>
      <c r="F16" s="5">
        <v>200</v>
      </c>
      <c r="G16" s="5">
        <v>450</v>
      </c>
      <c r="H16" s="5">
        <v>3</v>
      </c>
      <c r="I16" s="5">
        <v>17.66</v>
      </c>
      <c r="J16" s="5">
        <v>52.99</v>
      </c>
      <c r="K16" s="5" t="s">
        <v>76</v>
      </c>
      <c r="L16" s="5" t="s">
        <v>77</v>
      </c>
      <c r="M16" s="6"/>
      <c r="N16" s="6"/>
      <c r="O16" s="6"/>
      <c r="P16" s="6" t="s">
        <v>39</v>
      </c>
      <c r="Q16" s="6">
        <v>1</v>
      </c>
      <c r="R16" s="7" t="s">
        <v>37</v>
      </c>
      <c r="S16" s="6"/>
      <c r="T16" s="6" t="s">
        <v>38</v>
      </c>
      <c r="U16" s="6"/>
      <c r="V16" s="6" t="str">
        <f t="shared" si="0"/>
        <v>10626-125</v>
      </c>
      <c r="W16" s="6" t="s">
        <v>39</v>
      </c>
      <c r="X16" s="6"/>
      <c r="Y16" s="6"/>
      <c r="Z16" s="6" t="s">
        <v>206</v>
      </c>
      <c r="AA16" s="6" t="s">
        <v>78</v>
      </c>
      <c r="AB16" s="6"/>
      <c r="AC16" s="6" t="s">
        <v>79</v>
      </c>
    </row>
    <row r="17" spans="1:29" hidden="1" x14ac:dyDescent="0.25">
      <c r="A17" s="5">
        <v>12</v>
      </c>
      <c r="B17" s="5" t="s">
        <v>80</v>
      </c>
      <c r="C17" s="5" t="s">
        <v>33</v>
      </c>
      <c r="D17" s="5" t="s">
        <v>70</v>
      </c>
      <c r="E17" s="5">
        <v>25</v>
      </c>
      <c r="F17" s="5">
        <v>200</v>
      </c>
      <c r="G17" s="5">
        <v>450</v>
      </c>
      <c r="H17" s="5">
        <v>1</v>
      </c>
      <c r="I17" s="5">
        <v>17.66</v>
      </c>
      <c r="J17" s="5">
        <v>17.66</v>
      </c>
      <c r="K17" s="5" t="s">
        <v>76</v>
      </c>
      <c r="L17" s="5" t="s">
        <v>77</v>
      </c>
      <c r="M17" s="6"/>
      <c r="N17" s="6"/>
      <c r="O17" s="6"/>
      <c r="P17" s="6" t="s">
        <v>39</v>
      </c>
      <c r="Q17" s="6">
        <v>1</v>
      </c>
      <c r="R17" s="7" t="s">
        <v>37</v>
      </c>
      <c r="S17" s="6"/>
      <c r="T17" s="6" t="s">
        <v>38</v>
      </c>
      <c r="U17" s="6"/>
      <c r="V17" s="6" t="str">
        <f t="shared" si="0"/>
        <v>10626-125</v>
      </c>
      <c r="W17" s="6" t="s">
        <v>39</v>
      </c>
      <c r="X17" s="6"/>
      <c r="Y17" s="6"/>
      <c r="Z17" s="6" t="s">
        <v>206</v>
      </c>
      <c r="AA17" s="6" t="s">
        <v>78</v>
      </c>
      <c r="AB17" s="6"/>
      <c r="AC17" s="6" t="s">
        <v>79</v>
      </c>
    </row>
    <row r="18" spans="1:29" hidden="1" x14ac:dyDescent="0.25">
      <c r="A18" s="5">
        <v>13</v>
      </c>
      <c r="B18" s="5" t="s">
        <v>75</v>
      </c>
      <c r="C18" s="5" t="s">
        <v>33</v>
      </c>
      <c r="D18" s="5" t="s">
        <v>64</v>
      </c>
      <c r="E18" s="5">
        <v>25</v>
      </c>
      <c r="F18" s="5">
        <v>100</v>
      </c>
      <c r="G18" s="5">
        <v>250</v>
      </c>
      <c r="H18" s="5">
        <v>15</v>
      </c>
      <c r="I18" s="5">
        <v>4.91</v>
      </c>
      <c r="J18" s="5">
        <v>73.59</v>
      </c>
      <c r="K18" s="5" t="s">
        <v>81</v>
      </c>
      <c r="L18" s="5" t="s">
        <v>82</v>
      </c>
      <c r="M18" s="6"/>
      <c r="N18" s="6"/>
      <c r="O18" s="6"/>
      <c r="P18" s="6" t="s">
        <v>39</v>
      </c>
      <c r="Q18" s="6">
        <v>1</v>
      </c>
      <c r="R18" s="7" t="s">
        <v>37</v>
      </c>
      <c r="S18" s="6"/>
      <c r="T18" s="6" t="s">
        <v>38</v>
      </c>
      <c r="U18" s="6"/>
      <c r="V18" s="6" t="str">
        <f t="shared" si="0"/>
        <v>10626-125</v>
      </c>
      <c r="W18" s="6" t="s">
        <v>39</v>
      </c>
      <c r="X18" s="6"/>
      <c r="Y18" s="6"/>
      <c r="Z18" s="6" t="s">
        <v>206</v>
      </c>
      <c r="AA18" s="6" t="s">
        <v>83</v>
      </c>
      <c r="AB18" s="6"/>
      <c r="AC18" s="6" t="s">
        <v>84</v>
      </c>
    </row>
    <row r="19" spans="1:29" hidden="1" x14ac:dyDescent="0.25">
      <c r="A19" s="5">
        <v>14</v>
      </c>
      <c r="B19" s="5" t="s">
        <v>80</v>
      </c>
      <c r="C19" s="5" t="s">
        <v>33</v>
      </c>
      <c r="D19" s="5" t="s">
        <v>70</v>
      </c>
      <c r="E19" s="5">
        <v>25</v>
      </c>
      <c r="F19" s="5">
        <v>200</v>
      </c>
      <c r="G19" s="5">
        <v>450</v>
      </c>
      <c r="H19" s="5">
        <v>4</v>
      </c>
      <c r="I19" s="5">
        <v>17.66</v>
      </c>
      <c r="J19" s="5">
        <v>70.650000000000006</v>
      </c>
      <c r="K19" s="5" t="s">
        <v>81</v>
      </c>
      <c r="L19" s="5" t="s">
        <v>82</v>
      </c>
      <c r="M19" s="6"/>
      <c r="N19" s="6"/>
      <c r="O19" s="6"/>
      <c r="P19" s="6" t="s">
        <v>39</v>
      </c>
      <c r="Q19" s="6">
        <v>1</v>
      </c>
      <c r="R19" s="7" t="s">
        <v>37</v>
      </c>
      <c r="S19" s="6"/>
      <c r="T19" s="6" t="s">
        <v>38</v>
      </c>
      <c r="U19" s="6"/>
      <c r="V19" s="6" t="str">
        <f t="shared" si="0"/>
        <v>10626-125</v>
      </c>
      <c r="W19" s="6" t="s">
        <v>39</v>
      </c>
      <c r="X19" s="6"/>
      <c r="Y19" s="6"/>
      <c r="Z19" s="6" t="s">
        <v>206</v>
      </c>
      <c r="AA19" s="6" t="s">
        <v>83</v>
      </c>
      <c r="AB19" s="6"/>
      <c r="AC19" s="6" t="s">
        <v>84</v>
      </c>
    </row>
    <row r="20" spans="1:29" hidden="1" x14ac:dyDescent="0.25">
      <c r="A20" s="5">
        <v>15</v>
      </c>
      <c r="B20" s="5" t="s">
        <v>75</v>
      </c>
      <c r="C20" s="5" t="s">
        <v>33</v>
      </c>
      <c r="D20" s="5" t="s">
        <v>64</v>
      </c>
      <c r="E20" s="5">
        <v>25</v>
      </c>
      <c r="F20" s="5">
        <v>100</v>
      </c>
      <c r="G20" s="5">
        <v>250</v>
      </c>
      <c r="H20" s="5">
        <v>8</v>
      </c>
      <c r="I20" s="5">
        <v>4.91</v>
      </c>
      <c r="J20" s="5">
        <v>39.25</v>
      </c>
      <c r="K20" s="5" t="s">
        <v>85</v>
      </c>
      <c r="L20" s="5" t="s">
        <v>86</v>
      </c>
      <c r="M20" s="6"/>
      <c r="N20" s="6"/>
      <c r="O20" s="6"/>
      <c r="P20" s="6" t="s">
        <v>39</v>
      </c>
      <c r="Q20" s="6">
        <v>1</v>
      </c>
      <c r="R20" s="7" t="s">
        <v>37</v>
      </c>
      <c r="S20" s="6"/>
      <c r="T20" s="6" t="s">
        <v>38</v>
      </c>
      <c r="U20" s="6"/>
      <c r="V20" s="6" t="str">
        <f t="shared" si="0"/>
        <v>10626-125</v>
      </c>
      <c r="W20" s="6" t="s">
        <v>39</v>
      </c>
      <c r="X20" s="6"/>
      <c r="Y20" s="6"/>
      <c r="Z20" s="6" t="s">
        <v>206</v>
      </c>
      <c r="AA20" s="6" t="s">
        <v>87</v>
      </c>
      <c r="AB20" s="6"/>
      <c r="AC20" s="6" t="s">
        <v>88</v>
      </c>
    </row>
    <row r="21" spans="1:29" hidden="1" x14ac:dyDescent="0.25">
      <c r="A21" s="5">
        <v>16</v>
      </c>
      <c r="B21" s="5" t="s">
        <v>75</v>
      </c>
      <c r="C21" s="5" t="s">
        <v>33</v>
      </c>
      <c r="D21" s="5" t="s">
        <v>64</v>
      </c>
      <c r="E21" s="5">
        <v>25</v>
      </c>
      <c r="F21" s="5">
        <v>100</v>
      </c>
      <c r="G21" s="5">
        <v>250</v>
      </c>
      <c r="H21" s="5">
        <v>6</v>
      </c>
      <c r="I21" s="5">
        <v>4.91</v>
      </c>
      <c r="J21" s="5">
        <v>29.44</v>
      </c>
      <c r="K21" s="5" t="s">
        <v>89</v>
      </c>
      <c r="L21" s="5" t="s">
        <v>90</v>
      </c>
      <c r="M21" s="6"/>
      <c r="N21" s="6"/>
      <c r="O21" s="6"/>
      <c r="P21" s="6" t="s">
        <v>39</v>
      </c>
      <c r="Q21" s="6">
        <v>1</v>
      </c>
      <c r="R21" s="7" t="s">
        <v>37</v>
      </c>
      <c r="S21" s="6"/>
      <c r="T21" s="6" t="s">
        <v>38</v>
      </c>
      <c r="U21" s="6"/>
      <c r="V21" s="6" t="str">
        <f t="shared" si="0"/>
        <v>10626-125</v>
      </c>
      <c r="W21" s="6" t="s">
        <v>39</v>
      </c>
      <c r="X21" s="6"/>
      <c r="Y21" s="6"/>
      <c r="Z21" s="6" t="s">
        <v>206</v>
      </c>
      <c r="AA21" s="6" t="s">
        <v>91</v>
      </c>
      <c r="AB21" s="6"/>
      <c r="AC21" s="6" t="s">
        <v>92</v>
      </c>
    </row>
    <row r="22" spans="1:29" x14ac:dyDescent="0.25">
      <c r="A22">
        <v>1</v>
      </c>
      <c r="B22" t="s">
        <v>52</v>
      </c>
      <c r="C22" t="s">
        <v>207</v>
      </c>
      <c r="D22" t="s">
        <v>208</v>
      </c>
      <c r="E22">
        <v>12</v>
      </c>
      <c r="F22">
        <v>80.430000000000007</v>
      </c>
      <c r="G22">
        <v>300</v>
      </c>
      <c r="H22">
        <v>50</v>
      </c>
      <c r="I22">
        <v>1.9</v>
      </c>
      <c r="J22">
        <v>95.1</v>
      </c>
      <c r="K22" t="s">
        <v>209</v>
      </c>
      <c r="L22" t="s">
        <v>210</v>
      </c>
      <c r="Q22">
        <v>2</v>
      </c>
      <c r="R22" s="22">
        <v>46063</v>
      </c>
      <c r="T22" t="s">
        <v>38</v>
      </c>
      <c r="V22" t="s">
        <v>205</v>
      </c>
      <c r="W22" t="s">
        <v>39</v>
      </c>
      <c r="Z22" t="s">
        <v>206</v>
      </c>
      <c r="AA22" t="s">
        <v>211</v>
      </c>
      <c r="AC22" t="s">
        <v>212</v>
      </c>
    </row>
  </sheetData>
  <autoFilter ref="A5:AC22" xr:uid="{150627E7-81F9-4232-803D-F1B25F843986}">
    <filterColumn colId="16">
      <filters>
        <filter val="2"/>
      </filters>
    </filterColumn>
  </autoFilter>
  <pageMargins left="0.7" right="0.7" top="0.75" bottom="0.75" header="0.3" footer="0.3"/>
  <pageSetup scale="3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DD38-8B05-4DFB-81D2-693222904EA0}">
  <sheetPr filterMode="1"/>
  <dimension ref="A1:Z16"/>
  <sheetViews>
    <sheetView topLeftCell="D1" workbookViewId="0">
      <pane ySplit="4" topLeftCell="A5" activePane="bottomLeft" state="frozenSplit"/>
      <selection pane="bottomLeft"/>
    </sheetView>
  </sheetViews>
  <sheetFormatPr defaultRowHeight="15" x14ac:dyDescent="0.25"/>
  <cols>
    <col min="1" max="1" width="4" bestFit="1" customWidth="1"/>
    <col min="2" max="2" width="7.28515625" bestFit="1" customWidth="1"/>
    <col min="3" max="3" width="36.7109375" bestFit="1" customWidth="1"/>
    <col min="4" max="5" width="6.28515625" bestFit="1" customWidth="1"/>
    <col min="6" max="6" width="8.5703125" bestFit="1" customWidth="1"/>
    <col min="7" max="7" width="13.140625" bestFit="1" customWidth="1"/>
    <col min="8" max="8" width="8.7109375" bestFit="1" customWidth="1"/>
    <col min="9" max="9" width="6.5703125" bestFit="1" customWidth="1"/>
    <col min="10" max="10" width="7" bestFit="1" customWidth="1"/>
    <col min="11" max="11" width="4.85546875" bestFit="1" customWidth="1"/>
    <col min="12" max="12" width="8.140625" bestFit="1" customWidth="1"/>
    <col min="13" max="13" width="8.42578125" bestFit="1" customWidth="1"/>
    <col min="14" max="14" width="8" bestFit="1" customWidth="1"/>
    <col min="15" max="15" width="45.85546875" bestFit="1" customWidth="1"/>
    <col min="16" max="16" width="11.28515625" bestFit="1" customWidth="1"/>
    <col min="17" max="17" width="15.7109375" bestFit="1" customWidth="1"/>
    <col min="18" max="18" width="9.7109375" bestFit="1" customWidth="1"/>
    <col min="19" max="20" width="9" bestFit="1" customWidth="1"/>
    <col min="21" max="21" width="16.85546875" bestFit="1" customWidth="1"/>
    <col min="22" max="22" width="5.5703125" bestFit="1" customWidth="1"/>
    <col min="23" max="23" width="14.5703125" bestFit="1" customWidth="1"/>
    <col min="25" max="25" width="5.42578125" bestFit="1" customWidth="1"/>
    <col min="26" max="26" width="21.5703125" bestFit="1" customWidth="1"/>
  </cols>
  <sheetData>
    <row r="1" spans="1:26" ht="23.25" x14ac:dyDescent="0.25">
      <c r="F1" s="1" t="s">
        <v>93</v>
      </c>
      <c r="G1" s="1"/>
      <c r="H1" s="1"/>
      <c r="I1" s="1"/>
      <c r="J1" s="1"/>
      <c r="K1" s="1"/>
      <c r="L1" s="1"/>
      <c r="M1" s="1"/>
      <c r="N1" s="1"/>
      <c r="O1" s="1"/>
    </row>
    <row r="2" spans="1:26" ht="23.25" x14ac:dyDescent="0.25">
      <c r="F2" s="1"/>
      <c r="G2" s="1"/>
      <c r="H2" s="1"/>
      <c r="I2" s="1"/>
      <c r="J2" s="1"/>
      <c r="K2" s="1"/>
      <c r="L2" s="1"/>
      <c r="M2" s="1"/>
      <c r="N2" s="1"/>
      <c r="O2" s="1"/>
    </row>
    <row r="3" spans="1:26" x14ac:dyDescent="0.25">
      <c r="M3" s="8">
        <f ca="1">SUMPRODUCT(SUBTOTAL(109, OFFSET(M5, ROW(M5:M99999)-ROW(M5), 0)), (F5:F99999&lt;&gt;"") * (F5:F99999&lt;&gt;0))</f>
        <v>1</v>
      </c>
      <c r="N3" s="8">
        <f ca="1">SUMPRODUCT(SUBTOTAL(109, OFFSET(N5, ROW(N5:N99999)-ROW(N5), 0)), (F5:F99999&lt;&gt;"") * (F5:F99999&lt;&gt;0))</f>
        <v>459.62</v>
      </c>
      <c r="P3" s="8">
        <f ca="1">SUMPRODUCT(SUBTOTAL(109, OFFSET(P5, ROW(P5:P99995)-ROW(P5), 0)), (E5:E99995&lt;&gt;"") * (E5:E99995&lt;&gt;0))</f>
        <v>95.1</v>
      </c>
      <c r="Q3" s="8">
        <f ca="1">SUMPRODUCT(SUBTOTAL(109, OFFSET(Q5, ROW(Q5:Q99999)-ROW(Q5), 0)), (F5:F99999&lt;&gt;"") * (F5:F99999&lt;&gt;0))</f>
        <v>0</v>
      </c>
      <c r="R3" s="8">
        <f ca="1">SUMPRODUCT(SUBTOTAL(109, OFFSET(R5, ROW(R5:R99999)-ROW(R5), 0)), (F5:F99999&lt;&gt;"") * (F5:F99999&lt;&gt;0))</f>
        <v>459.62</v>
      </c>
      <c r="S3" s="8">
        <f ca="1">SUMPRODUCT(SUBTOTAL(109, OFFSET(S5, ROW(S5:S99999)-ROW(S5), 0)), (F5:F99999&lt;&gt;"") * (F5:F99999&lt;&gt;0))</f>
        <v>329.91</v>
      </c>
      <c r="T3" s="8">
        <f ca="1">SUMPRODUCT(SUBTOTAL(109, OFFSET(T5, ROW(T5:T99999)-ROW(T5), 0)), (F5:F99999&lt;&gt;"") * (F5:F99999&lt;&gt;0))</f>
        <v>33.94</v>
      </c>
      <c r="U3">
        <f ca="1">SUMPRODUCT(SUBTOTAL(109, OFFSET(U5, ROW(U5:U99999)-ROW(U5), 0)), (F5:F99999&lt;&gt;"") * (F5:F99999&lt;&gt;0))</f>
        <v>0.67</v>
      </c>
    </row>
    <row r="4" spans="1:26" ht="54.95" customHeight="1" x14ac:dyDescent="0.25">
      <c r="A4" s="9" t="s">
        <v>94</v>
      </c>
      <c r="B4" s="9" t="s">
        <v>95</v>
      </c>
      <c r="C4" s="9" t="s">
        <v>96</v>
      </c>
      <c r="D4" s="9" t="s">
        <v>97</v>
      </c>
      <c r="E4" s="9" t="s">
        <v>98</v>
      </c>
      <c r="F4" s="9" t="s">
        <v>99</v>
      </c>
      <c r="G4" s="9" t="s">
        <v>100</v>
      </c>
      <c r="H4" s="9" t="s">
        <v>101</v>
      </c>
      <c r="I4" s="9" t="s">
        <v>102</v>
      </c>
      <c r="J4" s="9" t="s">
        <v>103</v>
      </c>
      <c r="K4" s="9" t="s">
        <v>104</v>
      </c>
      <c r="L4" s="9" t="s">
        <v>105</v>
      </c>
      <c r="M4" s="9" t="s">
        <v>106</v>
      </c>
      <c r="N4" s="9" t="s">
        <v>107</v>
      </c>
      <c r="O4" s="9" t="s">
        <v>108</v>
      </c>
      <c r="P4" s="9" t="s">
        <v>109</v>
      </c>
      <c r="Q4" s="9" t="s">
        <v>110</v>
      </c>
      <c r="R4" s="9" t="s">
        <v>111</v>
      </c>
      <c r="S4" s="9" t="s">
        <v>112</v>
      </c>
      <c r="T4" s="9" t="s">
        <v>113</v>
      </c>
      <c r="U4" s="9" t="s">
        <v>114</v>
      </c>
      <c r="V4" s="9" t="s">
        <v>115</v>
      </c>
      <c r="W4" s="9" t="s">
        <v>116</v>
      </c>
      <c r="X4" s="9"/>
      <c r="Y4" s="9" t="s">
        <v>117</v>
      </c>
      <c r="Z4" s="9" t="s">
        <v>118</v>
      </c>
    </row>
    <row r="5" spans="1:26" hidden="1" x14ac:dyDescent="0.25">
      <c r="A5" s="5">
        <v>1</v>
      </c>
      <c r="B5" s="5" t="str">
        <f>IF(LEN('List chi tiet'!$B$3)=0,"",'List chi tiet'!$B$3)</f>
        <v>10626-125</v>
      </c>
      <c r="C5" s="5" t="s">
        <v>36</v>
      </c>
      <c r="D5" s="5" t="str">
        <f ca="1">IF(LEN('List chi tiet'!$B$4)=0,"",'List chi tiet'!$B$4)</f>
        <v>TEST MẪU HÀN</v>
      </c>
      <c r="E5" s="5" t="s">
        <v>119</v>
      </c>
      <c r="F5" s="5" t="s">
        <v>33</v>
      </c>
      <c r="G5" s="5" t="s">
        <v>120</v>
      </c>
      <c r="H5" s="5">
        <v>6</v>
      </c>
      <c r="I5" s="5">
        <v>862</v>
      </c>
      <c r="J5" s="5">
        <v>12000</v>
      </c>
      <c r="K5" s="5" t="s">
        <v>121</v>
      </c>
      <c r="L5" s="5"/>
      <c r="M5" s="5">
        <v>1</v>
      </c>
      <c r="N5" s="5">
        <v>487.2</v>
      </c>
      <c r="O5" s="5" t="s">
        <v>40</v>
      </c>
      <c r="P5" s="5">
        <v>15.9</v>
      </c>
      <c r="Q5" s="5" t="str">
        <f t="shared" ref="Q5:Q15" si="0">IF(O5="NEWPLATE", N5, "")</f>
        <v/>
      </c>
      <c r="R5" s="5">
        <f t="shared" ref="R5:R15" si="1">IF(O5&lt;&gt;"NEWPLATE", N5, "")</f>
        <v>487.2</v>
      </c>
      <c r="S5" s="5">
        <v>469.69</v>
      </c>
      <c r="T5" s="5">
        <f t="shared" ref="T5:T15" si="2">MAX(ROUND(N5-P5-IF(S5="",0,S5)-U5, 2), 0)</f>
        <v>1.5</v>
      </c>
      <c r="U5" s="5">
        <f t="shared" ref="U5:U15" si="3">ROUND(P5*0.7/100, 2)</f>
        <v>0.11</v>
      </c>
      <c r="V5" s="5">
        <v>1</v>
      </c>
      <c r="W5" s="5" t="s">
        <v>122</v>
      </c>
      <c r="X5" s="5" t="str">
        <f>IF(LEN('List chi tiet'!$B$2)=0,"",'List chi tiet'!$B$2)</f>
        <v xml:space="preserve">10626-125 DG TN CẦU CỎ MAY     </v>
      </c>
      <c r="Y5" s="5" t="s">
        <v>38</v>
      </c>
      <c r="Z5" s="5" t="s">
        <v>123</v>
      </c>
    </row>
    <row r="6" spans="1:26" hidden="1" x14ac:dyDescent="0.25">
      <c r="A6" s="5">
        <v>2</v>
      </c>
      <c r="B6" s="5" t="str">
        <f>IF(LEN('List chi tiet'!$B$3)=0,"",'List chi tiet'!$B$3)</f>
        <v>10626-125</v>
      </c>
      <c r="C6" s="5" t="s">
        <v>43</v>
      </c>
      <c r="D6" s="5" t="str">
        <f ca="1">IF(LEN('List chi tiet'!$B$4)=0,"",'List chi tiet'!$B$4)</f>
        <v>TEST MẪU HÀN</v>
      </c>
      <c r="E6" s="5" t="s">
        <v>119</v>
      </c>
      <c r="F6" s="5" t="s">
        <v>33</v>
      </c>
      <c r="G6" s="5" t="s">
        <v>124</v>
      </c>
      <c r="H6" s="5">
        <v>6</v>
      </c>
      <c r="I6" s="5">
        <v>846</v>
      </c>
      <c r="J6" s="5">
        <v>2340</v>
      </c>
      <c r="K6" s="5" t="s">
        <v>121</v>
      </c>
      <c r="L6" s="5"/>
      <c r="M6" s="5">
        <v>1</v>
      </c>
      <c r="N6" s="5">
        <v>35.65</v>
      </c>
      <c r="O6" s="5" t="s">
        <v>44</v>
      </c>
      <c r="P6" s="5">
        <v>26.49</v>
      </c>
      <c r="Q6" s="5" t="str">
        <f t="shared" si="0"/>
        <v/>
      </c>
      <c r="R6" s="5">
        <f t="shared" si="1"/>
        <v>35.65</v>
      </c>
      <c r="S6" s="5">
        <v>1.9</v>
      </c>
      <c r="T6" s="5">
        <f t="shared" si="2"/>
        <v>7.07</v>
      </c>
      <c r="U6" s="5">
        <f t="shared" si="3"/>
        <v>0.19</v>
      </c>
      <c r="V6" s="5">
        <v>1</v>
      </c>
      <c r="W6" s="5" t="s">
        <v>122</v>
      </c>
      <c r="X6" s="5" t="str">
        <f>IF(LEN('List chi tiet'!$B$2)=0,"",'List chi tiet'!$B$2)</f>
        <v xml:space="preserve">10626-125 DG TN CẦU CỎ MAY     </v>
      </c>
      <c r="Y6" s="5" t="s">
        <v>38</v>
      </c>
      <c r="Z6" s="5" t="s">
        <v>123</v>
      </c>
    </row>
    <row r="7" spans="1:26" hidden="1" x14ac:dyDescent="0.25">
      <c r="A7" s="5">
        <v>3</v>
      </c>
      <c r="B7" s="5" t="str">
        <f>IF(LEN('List chi tiet'!$B$3)=0,"",'List chi tiet'!$B$3)</f>
        <v>10626-125</v>
      </c>
      <c r="C7" s="5" t="s">
        <v>49</v>
      </c>
      <c r="D7" s="5" t="str">
        <f ca="1">IF(LEN('List chi tiet'!$B$4)=0,"",'List chi tiet'!$B$4)</f>
        <v>TEST MẪU HÀN</v>
      </c>
      <c r="E7" s="5" t="s">
        <v>119</v>
      </c>
      <c r="F7" s="5" t="s">
        <v>33</v>
      </c>
      <c r="G7" s="5" t="s">
        <v>125</v>
      </c>
      <c r="H7" s="5">
        <v>10</v>
      </c>
      <c r="I7" s="5">
        <v>402</v>
      </c>
      <c r="J7" s="5">
        <v>1305</v>
      </c>
      <c r="K7" s="5" t="s">
        <v>121</v>
      </c>
      <c r="L7" s="5"/>
      <c r="M7" s="5">
        <v>1</v>
      </c>
      <c r="N7" s="5">
        <v>36.99</v>
      </c>
      <c r="O7" s="5" t="s">
        <v>50</v>
      </c>
      <c r="P7" s="5">
        <v>14.72</v>
      </c>
      <c r="Q7" s="5" t="str">
        <f t="shared" si="0"/>
        <v/>
      </c>
      <c r="R7" s="5">
        <f t="shared" si="1"/>
        <v>36.99</v>
      </c>
      <c r="S7" s="5">
        <v>21.01</v>
      </c>
      <c r="T7" s="5">
        <f t="shared" si="2"/>
        <v>1.1599999999999999</v>
      </c>
      <c r="U7" s="5">
        <f t="shared" si="3"/>
        <v>0.1</v>
      </c>
      <c r="V7" s="5">
        <v>1</v>
      </c>
      <c r="W7" s="5" t="s">
        <v>122</v>
      </c>
      <c r="X7" s="5" t="str">
        <f>IF(LEN('List chi tiet'!$B$2)=0,"",'List chi tiet'!$B$2)</f>
        <v xml:space="preserve">10626-125 DG TN CẦU CỎ MAY     </v>
      </c>
      <c r="Y7" s="5" t="s">
        <v>38</v>
      </c>
      <c r="Z7" s="5" t="s">
        <v>123</v>
      </c>
    </row>
    <row r="8" spans="1:26" hidden="1" x14ac:dyDescent="0.25">
      <c r="A8" s="5">
        <v>4</v>
      </c>
      <c r="B8" s="5" t="str">
        <f>IF(LEN('List chi tiet'!$B$3)=0,"",'List chi tiet'!$B$3)</f>
        <v>10626-125</v>
      </c>
      <c r="C8" s="5" t="s">
        <v>55</v>
      </c>
      <c r="D8" s="5" t="str">
        <f ca="1">IF(LEN('List chi tiet'!$B$4)=0,"",'List chi tiet'!$B$4)</f>
        <v>TEST MẪU HÀN</v>
      </c>
      <c r="E8" s="5" t="s">
        <v>119</v>
      </c>
      <c r="F8" s="5" t="s">
        <v>33</v>
      </c>
      <c r="G8" s="5" t="s">
        <v>126</v>
      </c>
      <c r="H8" s="5">
        <v>12</v>
      </c>
      <c r="I8" s="5">
        <v>414</v>
      </c>
      <c r="J8" s="5">
        <v>728</v>
      </c>
      <c r="K8" s="5" t="s">
        <v>121</v>
      </c>
      <c r="L8" s="5"/>
      <c r="M8" s="5">
        <v>1</v>
      </c>
      <c r="N8" s="5">
        <v>28.39</v>
      </c>
      <c r="O8" s="5" t="s">
        <v>56</v>
      </c>
      <c r="P8" s="5">
        <v>21.43</v>
      </c>
      <c r="Q8" s="5" t="str">
        <f t="shared" si="0"/>
        <v/>
      </c>
      <c r="R8" s="5">
        <f t="shared" si="1"/>
        <v>28.39</v>
      </c>
      <c r="S8" s="5"/>
      <c r="T8" s="5">
        <f t="shared" si="2"/>
        <v>6.81</v>
      </c>
      <c r="U8" s="5">
        <f t="shared" si="3"/>
        <v>0.15</v>
      </c>
      <c r="V8" s="5">
        <v>1</v>
      </c>
      <c r="W8" s="5" t="s">
        <v>122</v>
      </c>
      <c r="X8" s="5" t="str">
        <f>IF(LEN('List chi tiet'!$B$2)=0,"",'List chi tiet'!$B$2)</f>
        <v xml:space="preserve">10626-125 DG TN CẦU CỎ MAY     </v>
      </c>
      <c r="Y8" s="5" t="s">
        <v>38</v>
      </c>
      <c r="Z8" s="5" t="s">
        <v>123</v>
      </c>
    </row>
    <row r="9" spans="1:26" hidden="1" x14ac:dyDescent="0.25">
      <c r="A9" s="5">
        <v>5</v>
      </c>
      <c r="B9" s="5" t="str">
        <f>IF(LEN('List chi tiet'!$B$3)=0,"",'List chi tiet'!$B$3)</f>
        <v>10626-125</v>
      </c>
      <c r="C9" s="5" t="s">
        <v>60</v>
      </c>
      <c r="D9" s="5" t="str">
        <f ca="1">IF(LEN('List chi tiet'!$B$4)=0,"",'List chi tiet'!$B$4)</f>
        <v>TEST MẪU HÀN</v>
      </c>
      <c r="E9" s="5" t="s">
        <v>119</v>
      </c>
      <c r="F9" s="5" t="s">
        <v>33</v>
      </c>
      <c r="G9" s="5" t="s">
        <v>127</v>
      </c>
      <c r="H9" s="5">
        <v>12</v>
      </c>
      <c r="I9" s="5">
        <v>328</v>
      </c>
      <c r="J9" s="5">
        <v>1480</v>
      </c>
      <c r="K9" s="5" t="s">
        <v>121</v>
      </c>
      <c r="L9" s="5"/>
      <c r="M9" s="5">
        <v>1</v>
      </c>
      <c r="N9" s="5">
        <v>21.22</v>
      </c>
      <c r="O9" s="5" t="s">
        <v>61</v>
      </c>
      <c r="P9" s="5">
        <v>9.18</v>
      </c>
      <c r="Q9" s="5" t="str">
        <f t="shared" si="0"/>
        <v/>
      </c>
      <c r="R9" s="5">
        <f t="shared" si="1"/>
        <v>21.22</v>
      </c>
      <c r="S9" s="5">
        <v>9.74</v>
      </c>
      <c r="T9" s="5">
        <f t="shared" si="2"/>
        <v>2.2400000000000002</v>
      </c>
      <c r="U9" s="5">
        <f t="shared" si="3"/>
        <v>0.06</v>
      </c>
      <c r="V9" s="5">
        <v>1</v>
      </c>
      <c r="W9" s="5" t="s">
        <v>122</v>
      </c>
      <c r="X9" s="5" t="str">
        <f>IF(LEN('List chi tiet'!$B$2)=0,"",'List chi tiet'!$B$2)</f>
        <v xml:space="preserve">10626-125 DG TN CẦU CỎ MAY     </v>
      </c>
      <c r="Y9" s="5" t="s">
        <v>38</v>
      </c>
      <c r="Z9" s="5" t="s">
        <v>123</v>
      </c>
    </row>
    <row r="10" spans="1:26" hidden="1" x14ac:dyDescent="0.25">
      <c r="A10" s="5">
        <v>6</v>
      </c>
      <c r="B10" s="5" t="str">
        <f>IF(LEN('List chi tiet'!$B$3)=0,"",'List chi tiet'!$B$3)</f>
        <v>10626-125</v>
      </c>
      <c r="C10" s="5" t="s">
        <v>66</v>
      </c>
      <c r="D10" s="5" t="str">
        <f ca="1">IF(LEN('List chi tiet'!$B$4)=0,"",'List chi tiet'!$B$4)</f>
        <v>TEST MẪU HÀN</v>
      </c>
      <c r="E10" s="5" t="s">
        <v>119</v>
      </c>
      <c r="F10" s="5" t="s">
        <v>33</v>
      </c>
      <c r="G10" s="5" t="s">
        <v>128</v>
      </c>
      <c r="H10" s="5">
        <v>25</v>
      </c>
      <c r="I10" s="5">
        <v>2000</v>
      </c>
      <c r="J10" s="5">
        <v>6520</v>
      </c>
      <c r="K10" s="5" t="s">
        <v>121</v>
      </c>
      <c r="L10" s="5"/>
      <c r="M10" s="5">
        <v>1</v>
      </c>
      <c r="N10" s="5">
        <v>2544</v>
      </c>
      <c r="O10" s="5" t="s">
        <v>67</v>
      </c>
      <c r="P10" s="5">
        <v>99.11</v>
      </c>
      <c r="Q10" s="5" t="str">
        <f t="shared" si="0"/>
        <v/>
      </c>
      <c r="R10" s="5">
        <f t="shared" si="1"/>
        <v>2544</v>
      </c>
      <c r="S10" s="5">
        <v>2425.96</v>
      </c>
      <c r="T10" s="5">
        <f t="shared" si="2"/>
        <v>18.239999999999998</v>
      </c>
      <c r="U10" s="5">
        <f t="shared" si="3"/>
        <v>0.69</v>
      </c>
      <c r="V10" s="5">
        <v>1</v>
      </c>
      <c r="W10" s="5" t="s">
        <v>122</v>
      </c>
      <c r="X10" s="5" t="str">
        <f>IF(LEN('List chi tiet'!$B$2)=0,"",'List chi tiet'!$B$2)</f>
        <v xml:space="preserve">10626-125 DG TN CẦU CỎ MAY     </v>
      </c>
      <c r="Y10" s="5" t="s">
        <v>38</v>
      </c>
      <c r="Z10" s="5" t="s">
        <v>123</v>
      </c>
    </row>
    <row r="11" spans="1:26" hidden="1" x14ac:dyDescent="0.25">
      <c r="A11" s="5">
        <v>7</v>
      </c>
      <c r="B11" s="5" t="str">
        <f>IF(LEN('List chi tiet'!$B$3)=0,"",'List chi tiet'!$B$3)</f>
        <v>10626-125</v>
      </c>
      <c r="C11" s="5" t="s">
        <v>72</v>
      </c>
      <c r="D11" s="5" t="str">
        <f ca="1">IF(LEN('List chi tiet'!$B$4)=0,"",'List chi tiet'!$B$4)</f>
        <v>TEST MẪU HÀN</v>
      </c>
      <c r="E11" s="5" t="s">
        <v>119</v>
      </c>
      <c r="F11" s="5" t="s">
        <v>33</v>
      </c>
      <c r="G11" s="5" t="s">
        <v>129</v>
      </c>
      <c r="H11" s="5">
        <v>25</v>
      </c>
      <c r="I11" s="5">
        <v>1163</v>
      </c>
      <c r="J11" s="5">
        <v>1512</v>
      </c>
      <c r="K11" s="5" t="s">
        <v>121</v>
      </c>
      <c r="L11" s="5"/>
      <c r="M11" s="5">
        <v>1</v>
      </c>
      <c r="N11" s="5">
        <v>108.99</v>
      </c>
      <c r="O11" s="5" t="s">
        <v>73</v>
      </c>
      <c r="P11" s="5">
        <v>73.599999999999994</v>
      </c>
      <c r="Q11" s="5" t="str">
        <f t="shared" si="0"/>
        <v/>
      </c>
      <c r="R11" s="5">
        <f t="shared" si="1"/>
        <v>108.99</v>
      </c>
      <c r="S11" s="5">
        <v>14.8</v>
      </c>
      <c r="T11" s="5">
        <f t="shared" si="2"/>
        <v>20.07</v>
      </c>
      <c r="U11" s="5">
        <f t="shared" si="3"/>
        <v>0.52</v>
      </c>
      <c r="V11" s="5">
        <v>1</v>
      </c>
      <c r="W11" s="5" t="s">
        <v>122</v>
      </c>
      <c r="X11" s="5" t="str">
        <f>IF(LEN('List chi tiet'!$B$2)=0,"",'List chi tiet'!$B$2)</f>
        <v xml:space="preserve">10626-125 DG TN CẦU CỎ MAY     </v>
      </c>
      <c r="Y11" s="5" t="s">
        <v>38</v>
      </c>
      <c r="Z11" s="5" t="s">
        <v>123</v>
      </c>
    </row>
    <row r="12" spans="1:26" hidden="1" x14ac:dyDescent="0.25">
      <c r="A12" s="5">
        <v>8</v>
      </c>
      <c r="B12" s="5" t="str">
        <f>IF(LEN('List chi tiet'!$B$3)=0,"",'List chi tiet'!$B$3)</f>
        <v>10626-125</v>
      </c>
      <c r="C12" s="5" t="s">
        <v>77</v>
      </c>
      <c r="D12" s="5" t="str">
        <f ca="1">IF(LEN('List chi tiet'!$B$4)=0,"",'List chi tiet'!$B$4)</f>
        <v>TEST MẪU HÀN</v>
      </c>
      <c r="E12" s="5" t="s">
        <v>119</v>
      </c>
      <c r="F12" s="5" t="s">
        <v>33</v>
      </c>
      <c r="G12" s="5" t="s">
        <v>130</v>
      </c>
      <c r="H12" s="5">
        <v>25</v>
      </c>
      <c r="I12" s="5">
        <v>488</v>
      </c>
      <c r="J12" s="5">
        <v>5153</v>
      </c>
      <c r="K12" s="5" t="s">
        <v>121</v>
      </c>
      <c r="L12" s="5"/>
      <c r="M12" s="5">
        <v>1</v>
      </c>
      <c r="N12" s="5">
        <v>262.18</v>
      </c>
      <c r="O12" s="5" t="s">
        <v>78</v>
      </c>
      <c r="P12" s="5">
        <v>183.49</v>
      </c>
      <c r="Q12" s="5" t="str">
        <f t="shared" si="0"/>
        <v/>
      </c>
      <c r="R12" s="5">
        <f t="shared" si="1"/>
        <v>262.18</v>
      </c>
      <c r="S12" s="5">
        <v>57.59</v>
      </c>
      <c r="T12" s="5">
        <f t="shared" si="2"/>
        <v>19.82</v>
      </c>
      <c r="U12" s="5">
        <f t="shared" si="3"/>
        <v>1.28</v>
      </c>
      <c r="V12" s="5">
        <v>1</v>
      </c>
      <c r="W12" s="5" t="s">
        <v>122</v>
      </c>
      <c r="X12" s="5" t="str">
        <f>IF(LEN('List chi tiet'!$B$2)=0,"",'List chi tiet'!$B$2)</f>
        <v xml:space="preserve">10626-125 DG TN CẦU CỎ MAY     </v>
      </c>
      <c r="Y12" s="5" t="s">
        <v>38</v>
      </c>
      <c r="Z12" s="5" t="s">
        <v>123</v>
      </c>
    </row>
    <row r="13" spans="1:26" hidden="1" x14ac:dyDescent="0.25">
      <c r="A13" s="5">
        <v>9</v>
      </c>
      <c r="B13" s="5" t="str">
        <f>IF(LEN('List chi tiet'!$B$3)=0,"",'List chi tiet'!$B$3)</f>
        <v>10626-125</v>
      </c>
      <c r="C13" s="5" t="s">
        <v>82</v>
      </c>
      <c r="D13" s="5" t="str">
        <f ca="1">IF(LEN('List chi tiet'!$B$4)=0,"",'List chi tiet'!$B$4)</f>
        <v>TEST MẪU HÀN</v>
      </c>
      <c r="E13" s="5" t="s">
        <v>119</v>
      </c>
      <c r="F13" s="5" t="s">
        <v>33</v>
      </c>
      <c r="G13" s="5" t="s">
        <v>131</v>
      </c>
      <c r="H13" s="5">
        <v>25</v>
      </c>
      <c r="I13" s="5">
        <v>692</v>
      </c>
      <c r="J13" s="5">
        <v>1169</v>
      </c>
      <c r="K13" s="5" t="s">
        <v>121</v>
      </c>
      <c r="L13" s="5"/>
      <c r="M13" s="5">
        <v>1</v>
      </c>
      <c r="N13" s="5">
        <v>158.76</v>
      </c>
      <c r="O13" s="5" t="s">
        <v>83</v>
      </c>
      <c r="P13" s="5">
        <v>144.24</v>
      </c>
      <c r="Q13" s="5" t="str">
        <f t="shared" si="0"/>
        <v/>
      </c>
      <c r="R13" s="5">
        <f t="shared" si="1"/>
        <v>158.76</v>
      </c>
      <c r="S13" s="5"/>
      <c r="T13" s="5">
        <f t="shared" si="2"/>
        <v>13.51</v>
      </c>
      <c r="U13" s="5">
        <f t="shared" si="3"/>
        <v>1.01</v>
      </c>
      <c r="V13" s="5">
        <v>1</v>
      </c>
      <c r="W13" s="5" t="s">
        <v>122</v>
      </c>
      <c r="X13" s="5" t="str">
        <f>IF(LEN('List chi tiet'!$B$2)=0,"",'List chi tiet'!$B$2)</f>
        <v xml:space="preserve">10626-125 DG TN CẦU CỎ MAY     </v>
      </c>
      <c r="Y13" s="5" t="s">
        <v>38</v>
      </c>
      <c r="Z13" s="5" t="s">
        <v>123</v>
      </c>
    </row>
    <row r="14" spans="1:26" hidden="1" x14ac:dyDescent="0.25">
      <c r="A14" s="5">
        <v>10</v>
      </c>
      <c r="B14" s="5" t="str">
        <f>IF(LEN('List chi tiet'!$B$3)=0,"",'List chi tiet'!$B$3)</f>
        <v>10626-125</v>
      </c>
      <c r="C14" s="5" t="s">
        <v>86</v>
      </c>
      <c r="D14" s="5" t="str">
        <f ca="1">IF(LEN('List chi tiet'!$B$4)=0,"",'List chi tiet'!$B$4)</f>
        <v>TEST MẪU HÀN</v>
      </c>
      <c r="E14" s="5" t="s">
        <v>119</v>
      </c>
      <c r="F14" s="5" t="s">
        <v>33</v>
      </c>
      <c r="G14" s="5" t="s">
        <v>132</v>
      </c>
      <c r="H14" s="5">
        <v>25</v>
      </c>
      <c r="I14" s="5">
        <v>193</v>
      </c>
      <c r="J14" s="5">
        <v>2101</v>
      </c>
      <c r="K14" s="5" t="s">
        <v>121</v>
      </c>
      <c r="L14" s="5"/>
      <c r="M14" s="5">
        <v>1</v>
      </c>
      <c r="N14" s="5">
        <v>79.39</v>
      </c>
      <c r="O14" s="5" t="s">
        <v>87</v>
      </c>
      <c r="P14" s="5">
        <v>39.25</v>
      </c>
      <c r="Q14" s="5" t="str">
        <f t="shared" si="0"/>
        <v/>
      </c>
      <c r="R14" s="5">
        <f t="shared" si="1"/>
        <v>79.39</v>
      </c>
      <c r="S14" s="5">
        <v>35.68</v>
      </c>
      <c r="T14" s="5">
        <f t="shared" si="2"/>
        <v>4.1900000000000004</v>
      </c>
      <c r="U14" s="5">
        <f t="shared" si="3"/>
        <v>0.27</v>
      </c>
      <c r="V14" s="5">
        <v>1</v>
      </c>
      <c r="W14" s="5" t="s">
        <v>122</v>
      </c>
      <c r="X14" s="5" t="str">
        <f>IF(LEN('List chi tiet'!$B$2)=0,"",'List chi tiet'!$B$2)</f>
        <v xml:space="preserve">10626-125 DG TN CẦU CỎ MAY     </v>
      </c>
      <c r="Y14" s="5" t="s">
        <v>38</v>
      </c>
      <c r="Z14" s="5" t="s">
        <v>123</v>
      </c>
    </row>
    <row r="15" spans="1:26" hidden="1" x14ac:dyDescent="0.25">
      <c r="A15" s="5">
        <v>11</v>
      </c>
      <c r="B15" s="5" t="str">
        <f>IF(LEN('List chi tiet'!$B$3)=0,"",'List chi tiet'!$B$3)</f>
        <v>10626-125</v>
      </c>
      <c r="C15" s="5" t="s">
        <v>90</v>
      </c>
      <c r="D15" s="5" t="str">
        <f ca="1">IF(LEN('List chi tiet'!$B$4)=0,"",'List chi tiet'!$B$4)</f>
        <v>TEST MẪU HÀN</v>
      </c>
      <c r="E15" s="5" t="s">
        <v>119</v>
      </c>
      <c r="F15" s="5" t="s">
        <v>33</v>
      </c>
      <c r="G15" s="5" t="s">
        <v>133</v>
      </c>
      <c r="H15" s="5">
        <v>25</v>
      </c>
      <c r="I15" s="5">
        <v>191</v>
      </c>
      <c r="J15" s="5">
        <v>1582</v>
      </c>
      <c r="K15" s="5" t="s">
        <v>121</v>
      </c>
      <c r="L15" s="5"/>
      <c r="M15" s="5">
        <v>1</v>
      </c>
      <c r="N15" s="5">
        <v>59.3</v>
      </c>
      <c r="O15" s="5" t="s">
        <v>91</v>
      </c>
      <c r="P15" s="5">
        <v>29.44</v>
      </c>
      <c r="Q15" s="5" t="str">
        <f t="shared" si="0"/>
        <v/>
      </c>
      <c r="R15" s="5">
        <f t="shared" si="1"/>
        <v>59.3</v>
      </c>
      <c r="S15" s="5">
        <v>26.39</v>
      </c>
      <c r="T15" s="5">
        <f t="shared" si="2"/>
        <v>3.26</v>
      </c>
      <c r="U15" s="5">
        <f t="shared" si="3"/>
        <v>0.21</v>
      </c>
      <c r="V15" s="5">
        <v>1</v>
      </c>
      <c r="W15" s="5" t="s">
        <v>122</v>
      </c>
      <c r="X15" s="5" t="str">
        <f>IF(LEN('List chi tiet'!$B$2)=0,"",'List chi tiet'!$B$2)</f>
        <v xml:space="preserve">10626-125 DG TN CẦU CỎ MAY     </v>
      </c>
      <c r="Y15" s="5" t="s">
        <v>38</v>
      </c>
      <c r="Z15" s="5" t="s">
        <v>123</v>
      </c>
    </row>
    <row r="16" spans="1:26" x14ac:dyDescent="0.25">
      <c r="A16">
        <v>1</v>
      </c>
      <c r="B16" t="s">
        <v>205</v>
      </c>
      <c r="C16" t="s">
        <v>210</v>
      </c>
      <c r="D16" t="s">
        <v>206</v>
      </c>
      <c r="E16" t="s">
        <v>119</v>
      </c>
      <c r="F16" t="s">
        <v>207</v>
      </c>
      <c r="G16" t="s">
        <v>213</v>
      </c>
      <c r="H16">
        <v>12</v>
      </c>
      <c r="I16">
        <v>1500</v>
      </c>
      <c r="J16">
        <v>3314</v>
      </c>
      <c r="K16" t="s">
        <v>121</v>
      </c>
      <c r="M16">
        <v>1</v>
      </c>
      <c r="N16">
        <v>459.62</v>
      </c>
      <c r="O16" t="s">
        <v>211</v>
      </c>
      <c r="P16">
        <v>95.1</v>
      </c>
      <c r="R16">
        <v>459.62</v>
      </c>
      <c r="S16">
        <v>329.91</v>
      </c>
      <c r="T16">
        <v>33.94</v>
      </c>
      <c r="U16">
        <v>0.67</v>
      </c>
      <c r="V16">
        <v>2</v>
      </c>
      <c r="W16" t="s">
        <v>214</v>
      </c>
      <c r="X16" t="s">
        <v>204</v>
      </c>
      <c r="Y16" t="s">
        <v>38</v>
      </c>
      <c r="Z16" t="s">
        <v>123</v>
      </c>
    </row>
  </sheetData>
  <autoFilter ref="A4:Z16" xr:uid="{0AF8DD38-8B05-4DFB-81D2-693222904EA0}">
    <filterColumn colId="21">
      <filters>
        <filter val="2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BA7D-AB28-4E9F-ABF4-3091FE4D5258}">
  <sheetPr filterMode="1"/>
  <dimension ref="A1:Q24"/>
  <sheetViews>
    <sheetView workbookViewId="0">
      <pane ySplit="12" topLeftCell="A13" activePane="bottomLeft" state="frozenSplit"/>
      <selection pane="bottomLeft"/>
    </sheetView>
  </sheetViews>
  <sheetFormatPr defaultRowHeight="15" x14ac:dyDescent="0.25"/>
  <cols>
    <col min="1" max="1" width="32.140625" bestFit="1" customWidth="1"/>
    <col min="2" max="2" width="5" bestFit="1" customWidth="1"/>
    <col min="3" max="3" width="36.7109375" bestFit="1" customWidth="1"/>
    <col min="4" max="4" width="20.140625" bestFit="1" customWidth="1"/>
    <col min="5" max="5" width="19" bestFit="1" customWidth="1"/>
    <col min="6" max="6" width="11.85546875" bestFit="1" customWidth="1"/>
    <col min="7" max="7" width="19.5703125" bestFit="1" customWidth="1"/>
    <col min="8" max="8" width="9.28515625" bestFit="1" customWidth="1"/>
    <col min="9" max="9" width="33.85546875" bestFit="1" customWidth="1"/>
    <col min="10" max="10" width="15.85546875" bestFit="1" customWidth="1"/>
    <col min="11" max="11" width="10.140625" bestFit="1" customWidth="1"/>
    <col min="12" max="12" width="9.5703125" bestFit="1" customWidth="1"/>
    <col min="13" max="13" width="14.7109375" bestFit="1" customWidth="1"/>
    <col min="14" max="14" width="10.7109375" bestFit="1" customWidth="1"/>
    <col min="15" max="15" width="9.7109375" bestFit="1" customWidth="1"/>
    <col min="16" max="16" width="27.85546875" bestFit="1" customWidth="1"/>
    <col min="17" max="17" width="5.42578125" bestFit="1" customWidth="1"/>
  </cols>
  <sheetData>
    <row r="1" spans="1:17" x14ac:dyDescent="0.25">
      <c r="A1" s="10" t="s">
        <v>134</v>
      </c>
      <c r="C1" t="str">
        <f>IF(LEN('List chi tiet'!$B$3)=0,"",'List chi tiet'!$B$3)</f>
        <v>10626-125</v>
      </c>
      <c r="I1" s="10" t="s">
        <v>135</v>
      </c>
      <c r="K1" t="str">
        <f>IF(LEN('List chi tiet'!$B$3)=0,"",'List chi tiet'!$B$3)</f>
        <v>10626-125</v>
      </c>
      <c r="L1" s="2" t="s">
        <v>136</v>
      </c>
    </row>
    <row r="2" spans="1:17" x14ac:dyDescent="0.25">
      <c r="A2" t="s">
        <v>137</v>
      </c>
      <c r="C2" t="str">
        <f>IF(LEN('List chi tiet'!$B$2)=0,"",'List chi tiet'!$B$2)</f>
        <v xml:space="preserve">10626-125 DG TN CẦU CỎ MAY     </v>
      </c>
      <c r="I2" t="s">
        <v>160</v>
      </c>
      <c r="K2" s="2">
        <f>SUBTOTAL(109, F13:F99999)</f>
        <v>95.1</v>
      </c>
      <c r="L2" t="s">
        <v>161</v>
      </c>
    </row>
    <row r="3" spans="1:17" x14ac:dyDescent="0.25">
      <c r="A3" t="s">
        <v>138</v>
      </c>
      <c r="C3" t="str">
        <f ca="1">IF(LEN('List chi tiet'!$B$4)=0,"",'List chi tiet'!$B$4)</f>
        <v>TEST MẪU HÀN</v>
      </c>
      <c r="I3" t="s">
        <v>162</v>
      </c>
      <c r="K3" s="2">
        <f>SUBTOTAL(109, D13:D99999)</f>
        <v>0</v>
      </c>
      <c r="L3" t="s">
        <v>161</v>
      </c>
    </row>
    <row r="4" spans="1:17" x14ac:dyDescent="0.25">
      <c r="A4" t="s">
        <v>139</v>
      </c>
      <c r="I4" t="s">
        <v>163</v>
      </c>
      <c r="K4" s="2">
        <f>SUBTOTAL(109, E13:E99999)</f>
        <v>459.62</v>
      </c>
      <c r="L4" t="s">
        <v>161</v>
      </c>
    </row>
    <row r="5" spans="1:17" x14ac:dyDescent="0.25">
      <c r="A5" t="s">
        <v>140</v>
      </c>
      <c r="I5" t="s">
        <v>164</v>
      </c>
      <c r="K5" s="2">
        <f>SUBTOTAL(109, G13:G99999)</f>
        <v>329.91</v>
      </c>
      <c r="L5" t="s">
        <v>161</v>
      </c>
    </row>
    <row r="6" spans="1:17" x14ac:dyDescent="0.25">
      <c r="A6" t="s">
        <v>141</v>
      </c>
      <c r="C6" t="s">
        <v>122</v>
      </c>
      <c r="I6" t="s">
        <v>165</v>
      </c>
      <c r="K6" s="15">
        <f>IF(K2=0,0,K5/K2)</f>
        <v>3.4690851735015777</v>
      </c>
      <c r="L6" t="s">
        <v>166</v>
      </c>
    </row>
    <row r="7" spans="1:17" x14ac:dyDescent="0.25">
      <c r="A7" t="s">
        <v>142</v>
      </c>
      <c r="B7">
        <v>0</v>
      </c>
      <c r="I7" t="s">
        <v>167</v>
      </c>
      <c r="K7" s="2">
        <f>SUBTOTAL(109, I13:I99999)</f>
        <v>0.67</v>
      </c>
      <c r="L7" t="s">
        <v>161</v>
      </c>
    </row>
    <row r="8" spans="1:17" x14ac:dyDescent="0.25">
      <c r="A8" t="s">
        <v>143</v>
      </c>
      <c r="C8" s="4" t="s">
        <v>37</v>
      </c>
      <c r="I8" t="s">
        <v>168</v>
      </c>
      <c r="K8" s="2">
        <f>SUBTOTAL(109, J13:J99999)</f>
        <v>33.94</v>
      </c>
      <c r="L8" t="s">
        <v>161</v>
      </c>
    </row>
    <row r="9" spans="1:17" x14ac:dyDescent="0.25">
      <c r="I9" t="s">
        <v>169</v>
      </c>
      <c r="K9" s="15">
        <f>IF(K2=0,0,K8/K2)</f>
        <v>0.35688748685594113</v>
      </c>
      <c r="L9" t="s">
        <v>166</v>
      </c>
    </row>
    <row r="10" spans="1:17" x14ac:dyDescent="0.25">
      <c r="I10" s="14" t="s">
        <v>170</v>
      </c>
      <c r="K10" s="16">
        <f>IF(K2=0,0,(K7+K8)/K2)</f>
        <v>0.36393270241850684</v>
      </c>
      <c r="L10" t="s">
        <v>166</v>
      </c>
    </row>
    <row r="11" spans="1:17" x14ac:dyDescent="0.25">
      <c r="A11" s="10" t="s">
        <v>144</v>
      </c>
    </row>
    <row r="12" spans="1:17" x14ac:dyDescent="0.25">
      <c r="A12" s="11" t="s">
        <v>4</v>
      </c>
      <c r="B12" s="11" t="s">
        <v>145</v>
      </c>
      <c r="C12" s="11" t="s">
        <v>146</v>
      </c>
      <c r="D12" s="11" t="s">
        <v>147</v>
      </c>
      <c r="E12" s="11" t="s">
        <v>148</v>
      </c>
      <c r="F12" s="11" t="s">
        <v>149</v>
      </c>
      <c r="G12" s="11" t="s">
        <v>150</v>
      </c>
      <c r="H12" s="11" t="s">
        <v>151</v>
      </c>
      <c r="I12" s="11" t="s">
        <v>152</v>
      </c>
      <c r="J12" s="11" t="s">
        <v>153</v>
      </c>
      <c r="K12" s="11" t="s">
        <v>154</v>
      </c>
      <c r="L12" s="11" t="s">
        <v>155</v>
      </c>
      <c r="M12" s="11" t="s">
        <v>156</v>
      </c>
      <c r="N12" s="11" t="s">
        <v>157</v>
      </c>
      <c r="O12" s="11" t="s">
        <v>29</v>
      </c>
      <c r="P12" s="11" t="s">
        <v>158</v>
      </c>
      <c r="Q12" s="11" t="s">
        <v>117</v>
      </c>
    </row>
    <row r="13" spans="1:17" hidden="1" x14ac:dyDescent="0.25">
      <c r="A13" s="5">
        <v>1</v>
      </c>
      <c r="B13" s="5" t="s">
        <v>32</v>
      </c>
      <c r="C13" s="5" t="s">
        <v>36</v>
      </c>
      <c r="D13" s="12">
        <v>0</v>
      </c>
      <c r="E13" s="12">
        <v>487.2</v>
      </c>
      <c r="F13" s="5">
        <v>15.9</v>
      </c>
      <c r="G13" s="12">
        <v>469.69</v>
      </c>
      <c r="H13" s="13">
        <f t="shared" ref="H13:H23" si="0">IF(D13+E13&gt;0, G13/(D13+E13), 0)</f>
        <v>0.96405993431855508</v>
      </c>
      <c r="I13" s="5">
        <f t="shared" ref="I13:I23" si="1">ROUND(F13*0.7/100, 2)</f>
        <v>0.11</v>
      </c>
      <c r="J13" s="5">
        <f t="shared" ref="J13:J23" si="2">MAX(ROUND(D13+E13-F13-G13-I13, 2), 0)</f>
        <v>1.5</v>
      </c>
      <c r="K13" s="13">
        <f t="shared" ref="K13:K23" si="3">IF(D13+E13&gt;0, J13/(D13+E13), 0)</f>
        <v>3.0788177339901479E-3</v>
      </c>
      <c r="L13" s="13">
        <f t="shared" ref="L13:L23" si="4">IF(F13&gt;0, J13/F13, 0)</f>
        <v>9.4339622641509427E-2</v>
      </c>
      <c r="M13" s="5" t="s">
        <v>122</v>
      </c>
      <c r="N13" s="5">
        <v>1</v>
      </c>
      <c r="O13" s="5" t="s">
        <v>206</v>
      </c>
      <c r="P13" s="5">
        <v>11.25</v>
      </c>
      <c r="Q13" s="5" t="s">
        <v>38</v>
      </c>
    </row>
    <row r="14" spans="1:17" hidden="1" x14ac:dyDescent="0.25">
      <c r="A14" s="5">
        <v>2</v>
      </c>
      <c r="B14" s="5" t="s">
        <v>32</v>
      </c>
      <c r="C14" s="5" t="s">
        <v>43</v>
      </c>
      <c r="D14" s="12">
        <v>0</v>
      </c>
      <c r="E14" s="12">
        <v>35.65</v>
      </c>
      <c r="F14" s="5">
        <v>26.49</v>
      </c>
      <c r="G14" s="12">
        <v>1.9</v>
      </c>
      <c r="H14" s="13">
        <f t="shared" si="0"/>
        <v>5.3295932678821878E-2</v>
      </c>
      <c r="I14" s="5">
        <f t="shared" si="1"/>
        <v>0.19</v>
      </c>
      <c r="J14" s="5">
        <f t="shared" si="2"/>
        <v>7.07</v>
      </c>
      <c r="K14" s="13">
        <f t="shared" si="3"/>
        <v>0.19831697054698458</v>
      </c>
      <c r="L14" s="13">
        <f t="shared" si="4"/>
        <v>0.26689316723291812</v>
      </c>
      <c r="M14" s="5" t="s">
        <v>122</v>
      </c>
      <c r="N14" s="5">
        <v>1</v>
      </c>
      <c r="O14" s="5" t="s">
        <v>206</v>
      </c>
      <c r="P14" s="5">
        <v>18.75</v>
      </c>
      <c r="Q14" s="5" t="s">
        <v>38</v>
      </c>
    </row>
    <row r="15" spans="1:17" hidden="1" x14ac:dyDescent="0.25">
      <c r="A15" s="5">
        <v>3</v>
      </c>
      <c r="B15" s="5" t="s">
        <v>46</v>
      </c>
      <c r="C15" s="5" t="s">
        <v>49</v>
      </c>
      <c r="D15" s="12">
        <v>0</v>
      </c>
      <c r="E15" s="12">
        <v>36.99</v>
      </c>
      <c r="F15" s="5">
        <v>14.72</v>
      </c>
      <c r="G15" s="12">
        <v>21.01</v>
      </c>
      <c r="H15" s="13">
        <f t="shared" si="0"/>
        <v>0.56799134901324688</v>
      </c>
      <c r="I15" s="5">
        <f t="shared" si="1"/>
        <v>0.1</v>
      </c>
      <c r="J15" s="5">
        <f t="shared" si="2"/>
        <v>1.1599999999999999</v>
      </c>
      <c r="K15" s="13">
        <f t="shared" si="3"/>
        <v>3.1359826980264932E-2</v>
      </c>
      <c r="L15" s="13">
        <f t="shared" si="4"/>
        <v>7.8804347826086946E-2</v>
      </c>
      <c r="M15" s="5" t="s">
        <v>122</v>
      </c>
      <c r="N15" s="5">
        <v>1</v>
      </c>
      <c r="O15" s="5" t="s">
        <v>206</v>
      </c>
      <c r="P15" s="5">
        <v>5.75</v>
      </c>
      <c r="Q15" s="5" t="s">
        <v>38</v>
      </c>
    </row>
    <row r="16" spans="1:17" hidden="1" x14ac:dyDescent="0.25">
      <c r="A16" s="5">
        <v>4</v>
      </c>
      <c r="B16" s="5" t="s">
        <v>52</v>
      </c>
      <c r="C16" s="5" t="s">
        <v>55</v>
      </c>
      <c r="D16" s="12">
        <v>0</v>
      </c>
      <c r="E16" s="12">
        <v>28.39</v>
      </c>
      <c r="F16" s="5">
        <v>21.43</v>
      </c>
      <c r="G16" s="12">
        <v>0</v>
      </c>
      <c r="H16" s="13">
        <f t="shared" si="0"/>
        <v>0</v>
      </c>
      <c r="I16" s="5">
        <f t="shared" si="1"/>
        <v>0.15</v>
      </c>
      <c r="J16" s="5">
        <f t="shared" si="2"/>
        <v>6.81</v>
      </c>
      <c r="K16" s="13">
        <f t="shared" si="3"/>
        <v>0.23987319478689678</v>
      </c>
      <c r="L16" s="13">
        <f t="shared" si="4"/>
        <v>0.31777881474568359</v>
      </c>
      <c r="M16" s="5" t="s">
        <v>122</v>
      </c>
      <c r="N16" s="5">
        <v>1</v>
      </c>
      <c r="O16" s="5" t="s">
        <v>206</v>
      </c>
      <c r="P16" s="5">
        <v>18.2</v>
      </c>
      <c r="Q16" s="5" t="s">
        <v>38</v>
      </c>
    </row>
    <row r="17" spans="1:17" hidden="1" x14ac:dyDescent="0.25">
      <c r="A17" s="5">
        <v>5</v>
      </c>
      <c r="B17" s="5" t="s">
        <v>52</v>
      </c>
      <c r="C17" s="5" t="s">
        <v>60</v>
      </c>
      <c r="D17" s="12">
        <v>0</v>
      </c>
      <c r="E17" s="12">
        <v>21.22</v>
      </c>
      <c r="F17" s="5">
        <v>9.18</v>
      </c>
      <c r="G17" s="12">
        <v>9.74</v>
      </c>
      <c r="H17" s="13">
        <f t="shared" si="0"/>
        <v>0.45900094250706885</v>
      </c>
      <c r="I17" s="5">
        <f t="shared" si="1"/>
        <v>0.06</v>
      </c>
      <c r="J17" s="5">
        <f t="shared" si="2"/>
        <v>2.2400000000000002</v>
      </c>
      <c r="K17" s="13">
        <f t="shared" si="3"/>
        <v>0.10556079170593781</v>
      </c>
      <c r="L17" s="13">
        <f t="shared" si="4"/>
        <v>0.24400871459694992</v>
      </c>
      <c r="M17" s="5" t="s">
        <v>122</v>
      </c>
      <c r="N17" s="5">
        <v>1</v>
      </c>
      <c r="O17" s="5" t="s">
        <v>206</v>
      </c>
      <c r="P17" s="5">
        <v>7.8</v>
      </c>
      <c r="Q17" s="5" t="s">
        <v>38</v>
      </c>
    </row>
    <row r="18" spans="1:17" hidden="1" x14ac:dyDescent="0.25">
      <c r="A18" s="5">
        <v>6</v>
      </c>
      <c r="B18" s="5" t="s">
        <v>159</v>
      </c>
      <c r="C18" s="5" t="s">
        <v>66</v>
      </c>
      <c r="D18" s="12">
        <v>0</v>
      </c>
      <c r="E18" s="12">
        <v>2544</v>
      </c>
      <c r="F18" s="5">
        <v>99.11</v>
      </c>
      <c r="G18" s="12">
        <v>2425.96</v>
      </c>
      <c r="H18" s="13">
        <f t="shared" si="0"/>
        <v>0.95360062893081765</v>
      </c>
      <c r="I18" s="5">
        <f t="shared" si="1"/>
        <v>0.69</v>
      </c>
      <c r="J18" s="5">
        <f t="shared" si="2"/>
        <v>18.239999999999998</v>
      </c>
      <c r="K18" s="13">
        <f t="shared" si="3"/>
        <v>7.1698113207547161E-3</v>
      </c>
      <c r="L18" s="13">
        <f t="shared" si="4"/>
        <v>0.18403793764504084</v>
      </c>
      <c r="M18" s="5" t="s">
        <v>122</v>
      </c>
      <c r="N18" s="5">
        <v>1</v>
      </c>
      <c r="O18" s="5" t="s">
        <v>206</v>
      </c>
      <c r="P18" s="5">
        <v>11.7</v>
      </c>
      <c r="Q18" s="5" t="s">
        <v>38</v>
      </c>
    </row>
    <row r="19" spans="1:17" hidden="1" x14ac:dyDescent="0.25">
      <c r="A19" s="5">
        <v>7</v>
      </c>
      <c r="B19" s="5" t="s">
        <v>159</v>
      </c>
      <c r="C19" s="5" t="s">
        <v>72</v>
      </c>
      <c r="D19" s="12">
        <v>0</v>
      </c>
      <c r="E19" s="12">
        <v>108.99</v>
      </c>
      <c r="F19" s="5">
        <v>73.599999999999994</v>
      </c>
      <c r="G19" s="12">
        <v>14.8</v>
      </c>
      <c r="H19" s="13">
        <f t="shared" si="0"/>
        <v>0.13579227452059822</v>
      </c>
      <c r="I19" s="5">
        <f t="shared" si="1"/>
        <v>0.52</v>
      </c>
      <c r="J19" s="5">
        <f t="shared" si="2"/>
        <v>20.07</v>
      </c>
      <c r="K19" s="13">
        <f t="shared" si="3"/>
        <v>0.1841453344343518</v>
      </c>
      <c r="L19" s="13">
        <f t="shared" si="4"/>
        <v>0.27269021739130439</v>
      </c>
      <c r="M19" s="5" t="s">
        <v>122</v>
      </c>
      <c r="N19" s="5">
        <v>1</v>
      </c>
      <c r="O19" s="5" t="s">
        <v>206</v>
      </c>
      <c r="P19" s="5">
        <v>10.5</v>
      </c>
      <c r="Q19" s="5" t="s">
        <v>38</v>
      </c>
    </row>
    <row r="20" spans="1:17" hidden="1" x14ac:dyDescent="0.25">
      <c r="A20" s="5">
        <v>8</v>
      </c>
      <c r="B20" s="5" t="s">
        <v>159</v>
      </c>
      <c r="C20" s="5" t="s">
        <v>77</v>
      </c>
      <c r="D20" s="12">
        <v>0</v>
      </c>
      <c r="E20" s="12">
        <v>262.18</v>
      </c>
      <c r="F20" s="5">
        <v>183.49</v>
      </c>
      <c r="G20" s="12">
        <v>57.59</v>
      </c>
      <c r="H20" s="13">
        <f t="shared" si="0"/>
        <v>0.21965825005721262</v>
      </c>
      <c r="I20" s="5">
        <f t="shared" si="1"/>
        <v>1.28</v>
      </c>
      <c r="J20" s="5">
        <f t="shared" si="2"/>
        <v>19.82</v>
      </c>
      <c r="K20" s="13">
        <f t="shared" si="3"/>
        <v>7.5596918147837366E-2</v>
      </c>
      <c r="L20" s="13">
        <f t="shared" si="4"/>
        <v>0.10801678565589405</v>
      </c>
      <c r="M20" s="5" t="s">
        <v>122</v>
      </c>
      <c r="N20" s="5">
        <v>1</v>
      </c>
      <c r="O20" s="5" t="s">
        <v>206</v>
      </c>
      <c r="P20" s="5">
        <v>21.3</v>
      </c>
      <c r="Q20" s="5" t="s">
        <v>38</v>
      </c>
    </row>
    <row r="21" spans="1:17" hidden="1" x14ac:dyDescent="0.25">
      <c r="A21" s="5">
        <v>9</v>
      </c>
      <c r="B21" s="5" t="s">
        <v>159</v>
      </c>
      <c r="C21" s="5" t="s">
        <v>82</v>
      </c>
      <c r="D21" s="12">
        <v>0</v>
      </c>
      <c r="E21" s="12">
        <v>158.76</v>
      </c>
      <c r="F21" s="5">
        <v>144.24</v>
      </c>
      <c r="G21" s="12">
        <v>0</v>
      </c>
      <c r="H21" s="13">
        <f t="shared" si="0"/>
        <v>0</v>
      </c>
      <c r="I21" s="5">
        <f t="shared" si="1"/>
        <v>1.01</v>
      </c>
      <c r="J21" s="5">
        <f t="shared" si="2"/>
        <v>13.51</v>
      </c>
      <c r="K21" s="13">
        <f t="shared" si="3"/>
        <v>8.5097001763668439E-2</v>
      </c>
      <c r="L21" s="13">
        <f t="shared" si="4"/>
        <v>9.3663338879645022E-2</v>
      </c>
      <c r="M21" s="5" t="s">
        <v>122</v>
      </c>
      <c r="N21" s="5">
        <v>1</v>
      </c>
      <c r="O21" s="5" t="s">
        <v>206</v>
      </c>
      <c r="P21" s="5">
        <v>15.7</v>
      </c>
      <c r="Q21" s="5" t="s">
        <v>38</v>
      </c>
    </row>
    <row r="22" spans="1:17" hidden="1" x14ac:dyDescent="0.25">
      <c r="A22" s="5">
        <v>10</v>
      </c>
      <c r="B22" s="5" t="s">
        <v>159</v>
      </c>
      <c r="C22" s="5" t="s">
        <v>86</v>
      </c>
      <c r="D22" s="12">
        <v>0</v>
      </c>
      <c r="E22" s="12">
        <v>79.39</v>
      </c>
      <c r="F22" s="5">
        <v>39.25</v>
      </c>
      <c r="G22" s="12">
        <v>35.68</v>
      </c>
      <c r="H22" s="13">
        <f t="shared" si="0"/>
        <v>0.44942687995969266</v>
      </c>
      <c r="I22" s="5">
        <f t="shared" si="1"/>
        <v>0.27</v>
      </c>
      <c r="J22" s="5">
        <f t="shared" si="2"/>
        <v>4.1900000000000004</v>
      </c>
      <c r="K22" s="13">
        <f t="shared" si="3"/>
        <v>5.2777427887643287E-2</v>
      </c>
      <c r="L22" s="13">
        <f t="shared" si="4"/>
        <v>0.10675159235668791</v>
      </c>
      <c r="M22" s="5" t="s">
        <v>122</v>
      </c>
      <c r="N22" s="5">
        <v>1</v>
      </c>
      <c r="O22" s="5" t="s">
        <v>206</v>
      </c>
      <c r="P22" s="5">
        <v>5.6</v>
      </c>
      <c r="Q22" s="5" t="s">
        <v>38</v>
      </c>
    </row>
    <row r="23" spans="1:17" hidden="1" x14ac:dyDescent="0.25">
      <c r="A23" s="5">
        <v>11</v>
      </c>
      <c r="B23" s="5" t="s">
        <v>159</v>
      </c>
      <c r="C23" s="5" t="s">
        <v>90</v>
      </c>
      <c r="D23" s="12">
        <v>0</v>
      </c>
      <c r="E23" s="12">
        <v>59.3</v>
      </c>
      <c r="F23" s="5">
        <v>29.44</v>
      </c>
      <c r="G23" s="12">
        <v>26.39</v>
      </c>
      <c r="H23" s="13">
        <f t="shared" si="0"/>
        <v>0.4450252951096122</v>
      </c>
      <c r="I23" s="5">
        <f t="shared" si="1"/>
        <v>0.21</v>
      </c>
      <c r="J23" s="5">
        <f t="shared" si="2"/>
        <v>3.26</v>
      </c>
      <c r="K23" s="13">
        <f t="shared" si="3"/>
        <v>5.497470489038786E-2</v>
      </c>
      <c r="L23" s="13">
        <f t="shared" si="4"/>
        <v>0.11073369565217391</v>
      </c>
      <c r="M23" s="5" t="s">
        <v>122</v>
      </c>
      <c r="N23" s="5">
        <v>1</v>
      </c>
      <c r="O23" s="5" t="s">
        <v>206</v>
      </c>
      <c r="P23" s="5">
        <v>4.2</v>
      </c>
      <c r="Q23" s="5" t="s">
        <v>38</v>
      </c>
    </row>
    <row r="24" spans="1:17" x14ac:dyDescent="0.25">
      <c r="A24">
        <v>1</v>
      </c>
      <c r="B24" t="s">
        <v>52</v>
      </c>
      <c r="C24" t="s">
        <v>210</v>
      </c>
      <c r="D24">
        <v>0</v>
      </c>
      <c r="E24">
        <v>459.62</v>
      </c>
      <c r="F24">
        <v>95.1</v>
      </c>
      <c r="G24">
        <v>329.91</v>
      </c>
      <c r="H24" s="23">
        <v>0.7177886079805057</v>
      </c>
      <c r="I24">
        <v>0.67</v>
      </c>
      <c r="J24">
        <v>33.94</v>
      </c>
      <c r="K24" s="23">
        <v>7.3843609938644958E-2</v>
      </c>
      <c r="L24">
        <v>0.35688748685594113</v>
      </c>
      <c r="M24" t="s">
        <v>214</v>
      </c>
      <c r="N24">
        <v>2</v>
      </c>
      <c r="O24" t="s">
        <v>206</v>
      </c>
    </row>
  </sheetData>
  <autoFilter ref="A12:Q24" xr:uid="{6D97BA7D-AB28-4E9F-ABF4-3091FE4D5258}">
    <filterColumn colId="13">
      <filters>
        <filter val="2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ADCD-723C-403B-B061-25295F20DB30}">
  <sheetPr filterMode="1"/>
  <dimension ref="A1:AD27"/>
  <sheetViews>
    <sheetView workbookViewId="0">
      <pane ySplit="10" topLeftCell="A11" activePane="bottomLeft" state="frozenSplit"/>
      <selection pane="bottomLeft" activeCell="J7" sqref="J7"/>
    </sheetView>
  </sheetViews>
  <sheetFormatPr defaultRowHeight="15" x14ac:dyDescent="0.25"/>
  <cols>
    <col min="1" max="1" width="30.5703125" bestFit="1" customWidth="1"/>
    <col min="2" max="2" width="10.7109375" bestFit="1" customWidth="1"/>
    <col min="3" max="3" width="14.7109375" bestFit="1" customWidth="1"/>
    <col min="4" max="4" width="6.5703125" bestFit="1" customWidth="1"/>
    <col min="5" max="5" width="7" bestFit="1" customWidth="1"/>
    <col min="6" max="6" width="10.140625" bestFit="1" customWidth="1"/>
    <col min="7" max="7" width="5.5703125" bestFit="1" customWidth="1"/>
    <col min="8" max="8" width="7.7109375" bestFit="1" customWidth="1"/>
    <col min="9" max="9" width="11.42578125" bestFit="1" customWidth="1"/>
    <col min="10" max="10" width="7.5703125" bestFit="1" customWidth="1"/>
    <col min="11" max="11" width="8.85546875" bestFit="1" customWidth="1"/>
    <col min="12" max="12" width="7.28515625" bestFit="1" customWidth="1"/>
    <col min="13" max="13" width="14.5703125" bestFit="1" customWidth="1"/>
    <col min="14" max="14" width="5.85546875" bestFit="1" customWidth="1"/>
    <col min="15" max="15" width="5.7109375" bestFit="1" customWidth="1"/>
    <col min="16" max="16" width="5.42578125" bestFit="1" customWidth="1"/>
    <col min="17" max="17" width="7.42578125" bestFit="1" customWidth="1"/>
    <col min="18" max="18" width="7.85546875" bestFit="1" customWidth="1"/>
    <col min="19" max="19" width="6.28515625" bestFit="1" customWidth="1"/>
    <col min="21" max="21" width="5.5703125" bestFit="1" customWidth="1"/>
    <col min="22" max="22" width="5.140625" bestFit="1" customWidth="1"/>
    <col min="23" max="23" width="7.7109375" bestFit="1" customWidth="1"/>
    <col min="24" max="24" width="10.7109375" bestFit="1" customWidth="1"/>
    <col min="25" max="25" width="5.42578125" bestFit="1" customWidth="1"/>
    <col min="26" max="27" width="6.42578125" bestFit="1" customWidth="1"/>
    <col min="28" max="28" width="7" bestFit="1" customWidth="1"/>
    <col min="29" max="29" width="36.7109375" bestFit="1" customWidth="1"/>
    <col min="30" max="30" width="45.85546875" bestFit="1" customWidth="1"/>
  </cols>
  <sheetData>
    <row r="1" spans="1:30" ht="21" x14ac:dyDescent="0.25">
      <c r="A1" s="17" t="s">
        <v>171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spans="1:30" ht="2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x14ac:dyDescent="0.25">
      <c r="A3" s="2" t="s">
        <v>172</v>
      </c>
      <c r="C3" s="2" t="str">
        <f>IF(LEN('List chi tiet'!$B$2)=0,"",'List chi tiet'!$B$2)</f>
        <v xml:space="preserve">10626-125 DG TN CẦU CỎ MAY     </v>
      </c>
    </row>
    <row r="4" spans="1:30" x14ac:dyDescent="0.25">
      <c r="A4" s="2" t="s">
        <v>173</v>
      </c>
      <c r="C4" s="10" t="s">
        <v>122</v>
      </c>
    </row>
    <row r="5" spans="1:30" x14ac:dyDescent="0.25">
      <c r="A5" s="2" t="s">
        <v>174</v>
      </c>
      <c r="C5" s="2" t="str">
        <f ca="1">IF(LEN('List chi tiet'!$B$4)=0,"",'List chi tiet'!$B$4)</f>
        <v>TEST MẪU HÀN</v>
      </c>
    </row>
    <row r="6" spans="1:30" x14ac:dyDescent="0.25">
      <c r="A6" s="2" t="s">
        <v>175</v>
      </c>
      <c r="C6" s="2" t="s">
        <v>176</v>
      </c>
    </row>
    <row r="7" spans="1:30" x14ac:dyDescent="0.25">
      <c r="A7" s="2" t="s">
        <v>177</v>
      </c>
      <c r="C7" s="2"/>
    </row>
    <row r="8" spans="1:30" x14ac:dyDescent="0.25">
      <c r="A8" s="2" t="s">
        <v>178</v>
      </c>
      <c r="C8" s="2"/>
      <c r="H8" s="2">
        <f ca="1">SUMPRODUCT(SUBTOTAL(109, OFFSET(H11, ROW(H11:H99999)-ROW(H11), 0)), (B11:B99999&lt;&gt;"") * (B11:B99999&lt;&gt;0))</f>
        <v>50</v>
      </c>
      <c r="I8" s="2">
        <f ca="1">SUMPRODUCT(SUBTOTAL(109, OFFSET(I11, ROW(I11:I99999)-ROW(I11), 0)), (B11:B99999&lt;&gt;"") * (B11:B99999&lt;&gt;0))</f>
        <v>95.1</v>
      </c>
      <c r="P8">
        <f ca="1">VALUE(SUMPRODUCT(SUBTOTAL(103,OFFSET(B11,ROW(B11:B99692)-MIN(ROW(B11:B99692)),,1)),--(B11:B99692&lt;&gt;"")))</f>
        <v>1</v>
      </c>
    </row>
    <row r="9" spans="1:30" x14ac:dyDescent="0.25">
      <c r="A9" s="2" t="s">
        <v>179</v>
      </c>
      <c r="C9" s="2"/>
    </row>
    <row r="10" spans="1:30" ht="45" customHeight="1" x14ac:dyDescent="0.25">
      <c r="A10" s="18" t="s">
        <v>180</v>
      </c>
      <c r="B10" s="18" t="s">
        <v>181</v>
      </c>
      <c r="C10" s="18" t="s">
        <v>182</v>
      </c>
      <c r="D10" s="18" t="s">
        <v>183</v>
      </c>
      <c r="E10" s="18" t="s">
        <v>184</v>
      </c>
      <c r="F10" s="18" t="s">
        <v>185</v>
      </c>
      <c r="G10" s="18" t="s">
        <v>186</v>
      </c>
      <c r="H10" s="18" t="s">
        <v>187</v>
      </c>
      <c r="I10" s="18" t="s">
        <v>188</v>
      </c>
      <c r="J10" s="18" t="s">
        <v>189</v>
      </c>
      <c r="K10" s="18" t="s">
        <v>190</v>
      </c>
      <c r="L10" s="18" t="s">
        <v>191</v>
      </c>
      <c r="M10" s="18" t="s">
        <v>156</v>
      </c>
      <c r="N10" s="18" t="s">
        <v>192</v>
      </c>
      <c r="O10" s="18" t="s">
        <v>193</v>
      </c>
      <c r="P10" s="18" t="s">
        <v>29</v>
      </c>
      <c r="Q10" s="18" t="s">
        <v>194</v>
      </c>
      <c r="R10" s="18" t="s">
        <v>195</v>
      </c>
      <c r="S10" s="18" t="s">
        <v>196</v>
      </c>
      <c r="T10" s="18" t="s">
        <v>197</v>
      </c>
      <c r="U10" s="18" t="s">
        <v>198</v>
      </c>
      <c r="V10" s="18" t="s">
        <v>199</v>
      </c>
      <c r="W10" s="18" t="s">
        <v>200</v>
      </c>
      <c r="X10" s="18" t="s">
        <v>201</v>
      </c>
      <c r="Y10" s="18" t="s">
        <v>22</v>
      </c>
      <c r="Z10" s="18" t="s">
        <v>23</v>
      </c>
      <c r="AA10" s="18" t="s">
        <v>24</v>
      </c>
      <c r="AB10" s="18" t="s">
        <v>25</v>
      </c>
      <c r="AC10" s="18" t="s">
        <v>202</v>
      </c>
      <c r="AD10" s="18" t="s">
        <v>30</v>
      </c>
    </row>
    <row r="11" spans="1:30" hidden="1" x14ac:dyDescent="0.25">
      <c r="A11" s="5"/>
      <c r="B11" s="5"/>
      <c r="C11" s="5" t="s">
        <v>215</v>
      </c>
      <c r="D11" s="5">
        <v>12</v>
      </c>
      <c r="E11" s="5">
        <v>459.62</v>
      </c>
      <c r="F11" s="5" t="s">
        <v>216</v>
      </c>
      <c r="G11" s="5"/>
      <c r="H11" s="5"/>
      <c r="I11" s="5"/>
      <c r="J11" s="5"/>
      <c r="K11" s="5" t="s">
        <v>212</v>
      </c>
      <c r="L11" s="5" t="s">
        <v>214</v>
      </c>
      <c r="M11" s="5" t="s">
        <v>204</v>
      </c>
      <c r="N11" s="24">
        <v>46063</v>
      </c>
      <c r="O11" s="19" t="s">
        <v>123</v>
      </c>
      <c r="P11" s="19" t="s">
        <v>38</v>
      </c>
      <c r="Q11" s="19"/>
      <c r="R11" s="19" t="s">
        <v>207</v>
      </c>
      <c r="S11" s="19">
        <v>0.67</v>
      </c>
      <c r="T11" s="19">
        <v>33.94</v>
      </c>
      <c r="U11" s="19">
        <v>329.91</v>
      </c>
      <c r="V11" s="19" t="s">
        <v>213</v>
      </c>
      <c r="W11" s="19"/>
      <c r="X11" s="20"/>
      <c r="Y11" s="5"/>
      <c r="Z11" s="5" t="s">
        <v>38</v>
      </c>
      <c r="AA11" s="5"/>
      <c r="AB11" s="5" t="str">
        <f>IF(LEN('List chi tiet'!$B$3)=0,"",'List chi tiet'!$B$3)</f>
        <v>10626-125</v>
      </c>
      <c r="AC11" s="5" t="s">
        <v>36</v>
      </c>
      <c r="AD11" s="5" t="s">
        <v>40</v>
      </c>
    </row>
    <row r="12" spans="1:30" hidden="1" x14ac:dyDescent="0.25">
      <c r="A12" s="5"/>
      <c r="B12" s="5"/>
      <c r="C12" s="5" t="s">
        <v>215</v>
      </c>
      <c r="D12" s="5">
        <v>12</v>
      </c>
      <c r="E12" s="5">
        <v>-329.91</v>
      </c>
      <c r="F12" s="5" t="s">
        <v>216</v>
      </c>
      <c r="G12" s="5"/>
      <c r="H12" s="5"/>
      <c r="I12" s="5"/>
      <c r="J12" s="5"/>
      <c r="K12" s="5" t="s">
        <v>217</v>
      </c>
      <c r="L12" s="5" t="s">
        <v>214</v>
      </c>
      <c r="M12" s="5" t="s">
        <v>204</v>
      </c>
      <c r="N12" s="24">
        <v>46063</v>
      </c>
      <c r="O12" s="19" t="s">
        <v>123</v>
      </c>
      <c r="P12" s="19" t="s">
        <v>38</v>
      </c>
      <c r="Q12" s="19"/>
      <c r="R12" s="19" t="s">
        <v>207</v>
      </c>
      <c r="S12" s="19"/>
      <c r="T12" s="19"/>
      <c r="U12" s="19"/>
      <c r="V12" s="19"/>
      <c r="W12" s="19"/>
      <c r="X12" s="20"/>
      <c r="Y12" s="5"/>
      <c r="Z12" s="5" t="s">
        <v>38</v>
      </c>
      <c r="AA12" s="5"/>
      <c r="AB12" s="5" t="str">
        <f>IF(LEN('List chi tiet'!$B$3)=0,"",'List chi tiet'!$B$3)</f>
        <v>10626-125</v>
      </c>
      <c r="AC12" s="5" t="s">
        <v>43</v>
      </c>
      <c r="AD12" s="5" t="s">
        <v>44</v>
      </c>
    </row>
    <row r="13" spans="1:30" hidden="1" x14ac:dyDescent="0.25">
      <c r="A13" s="5">
        <v>3</v>
      </c>
      <c r="B13" s="5" t="s">
        <v>46</v>
      </c>
      <c r="C13" s="5">
        <v>10</v>
      </c>
      <c r="D13" s="5">
        <v>75</v>
      </c>
      <c r="E13" s="5">
        <v>500</v>
      </c>
      <c r="F13" s="5" t="s">
        <v>33</v>
      </c>
      <c r="G13" s="5" t="s">
        <v>121</v>
      </c>
      <c r="H13" s="5">
        <v>5</v>
      </c>
      <c r="I13" s="5">
        <v>14.72</v>
      </c>
      <c r="J13" s="5" t="s">
        <v>203</v>
      </c>
      <c r="K13" s="5" t="s">
        <v>176</v>
      </c>
      <c r="L13" s="5"/>
      <c r="M13" s="5" t="s">
        <v>122</v>
      </c>
      <c r="N13" s="5"/>
      <c r="O13" s="19"/>
      <c r="P13" s="19" t="str">
        <f ca="1">IF(LEN('List chi tiet'!$B$4)=0,"",'List chi tiet'!$B$4)</f>
        <v>TEST MẪU HÀN</v>
      </c>
      <c r="Q13" s="19" t="s">
        <v>26</v>
      </c>
      <c r="R13" s="19"/>
      <c r="S13" s="19" t="s">
        <v>39</v>
      </c>
      <c r="T13" s="19"/>
      <c r="U13" s="19"/>
      <c r="V13" s="19"/>
      <c r="W13" s="19">
        <v>1</v>
      </c>
      <c r="X13" s="20" t="s">
        <v>37</v>
      </c>
      <c r="Y13" s="5"/>
      <c r="Z13" s="5" t="s">
        <v>38</v>
      </c>
      <c r="AA13" s="5"/>
      <c r="AB13" s="5" t="str">
        <f>IF(LEN('List chi tiet'!$B$3)=0,"",'List chi tiet'!$B$3)</f>
        <v>10626-125</v>
      </c>
      <c r="AC13" s="5" t="s">
        <v>49</v>
      </c>
      <c r="AD13" s="5" t="s">
        <v>50</v>
      </c>
    </row>
    <row r="14" spans="1:30" hidden="1" x14ac:dyDescent="0.25">
      <c r="A14" s="5">
        <v>4</v>
      </c>
      <c r="B14" s="5" t="s">
        <v>52</v>
      </c>
      <c r="C14" s="5">
        <v>12</v>
      </c>
      <c r="D14" s="5">
        <v>386</v>
      </c>
      <c r="E14" s="5">
        <v>722</v>
      </c>
      <c r="F14" s="5" t="s">
        <v>33</v>
      </c>
      <c r="G14" s="5" t="s">
        <v>121</v>
      </c>
      <c r="H14" s="5">
        <v>91</v>
      </c>
      <c r="I14" s="5">
        <v>21.43</v>
      </c>
      <c r="J14" s="5" t="s">
        <v>203</v>
      </c>
      <c r="K14" s="5" t="s">
        <v>176</v>
      </c>
      <c r="L14" s="5"/>
      <c r="M14" s="5" t="s">
        <v>122</v>
      </c>
      <c r="N14" s="5"/>
      <c r="O14" s="19"/>
      <c r="P14" s="19" t="str">
        <f ca="1">IF(LEN('List chi tiet'!$B$4)=0,"",'List chi tiet'!$B$4)</f>
        <v>TEST MẪU HÀN</v>
      </c>
      <c r="Q14" s="19" t="s">
        <v>26</v>
      </c>
      <c r="R14" s="19"/>
      <c r="S14" s="19" t="s">
        <v>39</v>
      </c>
      <c r="T14" s="19"/>
      <c r="U14" s="19"/>
      <c r="V14" s="19"/>
      <c r="W14" s="19">
        <v>1</v>
      </c>
      <c r="X14" s="20" t="s">
        <v>37</v>
      </c>
      <c r="Y14" s="5"/>
      <c r="Z14" s="5" t="s">
        <v>38</v>
      </c>
      <c r="AA14" s="5"/>
      <c r="AB14" s="5" t="str">
        <f>IF(LEN('List chi tiet'!$B$3)=0,"",'List chi tiet'!$B$3)</f>
        <v>10626-125</v>
      </c>
      <c r="AC14" s="5" t="s">
        <v>55</v>
      </c>
      <c r="AD14" s="5" t="s">
        <v>56</v>
      </c>
    </row>
    <row r="15" spans="1:30" hidden="1" x14ac:dyDescent="0.25">
      <c r="A15" s="5">
        <v>5</v>
      </c>
      <c r="B15" s="5" t="s">
        <v>52</v>
      </c>
      <c r="C15" s="5">
        <v>12</v>
      </c>
      <c r="D15" s="5">
        <v>50</v>
      </c>
      <c r="E15" s="5">
        <v>50</v>
      </c>
      <c r="F15" s="5" t="s">
        <v>33</v>
      </c>
      <c r="G15" s="5" t="s">
        <v>121</v>
      </c>
      <c r="H15" s="5">
        <v>39</v>
      </c>
      <c r="I15" s="5">
        <v>9.18</v>
      </c>
      <c r="J15" s="5" t="s">
        <v>203</v>
      </c>
      <c r="K15" s="5" t="s">
        <v>176</v>
      </c>
      <c r="L15" s="5"/>
      <c r="M15" s="5" t="s">
        <v>122</v>
      </c>
      <c r="N15" s="5"/>
      <c r="O15" s="19"/>
      <c r="P15" s="19" t="str">
        <f ca="1">IF(LEN('List chi tiet'!$B$4)=0,"",'List chi tiet'!$B$4)</f>
        <v>TEST MẪU HÀN</v>
      </c>
      <c r="Q15" s="19" t="s">
        <v>26</v>
      </c>
      <c r="R15" s="19"/>
      <c r="S15" s="19" t="s">
        <v>39</v>
      </c>
      <c r="T15" s="19"/>
      <c r="U15" s="19"/>
      <c r="V15" s="19"/>
      <c r="W15" s="19">
        <v>1</v>
      </c>
      <c r="X15" s="20" t="s">
        <v>37</v>
      </c>
      <c r="Y15" s="5"/>
      <c r="Z15" s="5" t="s">
        <v>38</v>
      </c>
      <c r="AA15" s="5"/>
      <c r="AB15" s="5" t="str">
        <f>IF(LEN('List chi tiet'!$B$3)=0,"",'List chi tiet'!$B$3)</f>
        <v>10626-125</v>
      </c>
      <c r="AC15" s="5" t="s">
        <v>60</v>
      </c>
      <c r="AD15" s="5" t="s">
        <v>61</v>
      </c>
    </row>
    <row r="16" spans="1:30" hidden="1" x14ac:dyDescent="0.25">
      <c r="A16" s="5">
        <v>6</v>
      </c>
      <c r="B16" s="5" t="s">
        <v>63</v>
      </c>
      <c r="C16" s="5">
        <v>25</v>
      </c>
      <c r="D16" s="5">
        <v>100</v>
      </c>
      <c r="E16" s="5">
        <v>250</v>
      </c>
      <c r="F16" s="5" t="s">
        <v>33</v>
      </c>
      <c r="G16" s="5" t="s">
        <v>121</v>
      </c>
      <c r="H16" s="5">
        <v>13</v>
      </c>
      <c r="I16" s="5">
        <v>63.78</v>
      </c>
      <c r="J16" s="5" t="s">
        <v>203</v>
      </c>
      <c r="K16" s="5" t="s">
        <v>176</v>
      </c>
      <c r="L16" s="5"/>
      <c r="M16" s="5" t="s">
        <v>122</v>
      </c>
      <c r="N16" s="5"/>
      <c r="O16" s="19"/>
      <c r="P16" s="19" t="str">
        <f ca="1">IF(LEN('List chi tiet'!$B$4)=0,"",'List chi tiet'!$B$4)</f>
        <v>TEST MẪU HÀN</v>
      </c>
      <c r="Q16" s="19" t="s">
        <v>26</v>
      </c>
      <c r="R16" s="19"/>
      <c r="S16" s="19" t="s">
        <v>39</v>
      </c>
      <c r="T16" s="19"/>
      <c r="U16" s="19"/>
      <c r="V16" s="19" t="s">
        <v>39</v>
      </c>
      <c r="W16" s="19">
        <v>1</v>
      </c>
      <c r="X16" s="20" t="s">
        <v>37</v>
      </c>
      <c r="Y16" s="5"/>
      <c r="Z16" s="5" t="s">
        <v>38</v>
      </c>
      <c r="AA16" s="5"/>
      <c r="AB16" s="5" t="str">
        <f>IF(LEN('List chi tiet'!$B$3)=0,"",'List chi tiet'!$B$3)</f>
        <v>10626-125</v>
      </c>
      <c r="AC16" s="5" t="s">
        <v>66</v>
      </c>
      <c r="AD16" s="5" t="s">
        <v>67</v>
      </c>
    </row>
    <row r="17" spans="1:30" hidden="1" x14ac:dyDescent="0.25">
      <c r="A17" s="5">
        <v>7</v>
      </c>
      <c r="B17" s="5" t="s">
        <v>69</v>
      </c>
      <c r="C17" s="5">
        <v>25</v>
      </c>
      <c r="D17" s="5">
        <v>200</v>
      </c>
      <c r="E17" s="5">
        <v>450</v>
      </c>
      <c r="F17" s="5" t="s">
        <v>33</v>
      </c>
      <c r="G17" s="5" t="s">
        <v>121</v>
      </c>
      <c r="H17" s="5">
        <v>2</v>
      </c>
      <c r="I17" s="5">
        <v>35.33</v>
      </c>
      <c r="J17" s="5" t="s">
        <v>203</v>
      </c>
      <c r="K17" s="5" t="s">
        <v>176</v>
      </c>
      <c r="L17" s="5"/>
      <c r="M17" s="5" t="s">
        <v>122</v>
      </c>
      <c r="N17" s="5"/>
      <c r="O17" s="19"/>
      <c r="P17" s="19" t="str">
        <f ca="1">IF(LEN('List chi tiet'!$B$4)=0,"",'List chi tiet'!$B$4)</f>
        <v>TEST MẪU HÀN</v>
      </c>
      <c r="Q17" s="19" t="s">
        <v>26</v>
      </c>
      <c r="R17" s="19"/>
      <c r="S17" s="19" t="s">
        <v>39</v>
      </c>
      <c r="T17" s="19"/>
      <c r="U17" s="19"/>
      <c r="V17" s="19" t="s">
        <v>39</v>
      </c>
      <c r="W17" s="19">
        <v>1</v>
      </c>
      <c r="X17" s="20" t="s">
        <v>37</v>
      </c>
      <c r="Y17" s="5"/>
      <c r="Z17" s="5" t="s">
        <v>38</v>
      </c>
      <c r="AA17" s="5"/>
      <c r="AB17" s="5" t="str">
        <f>IF(LEN('List chi tiet'!$B$3)=0,"",'List chi tiet'!$B$3)</f>
        <v>10626-125</v>
      </c>
      <c r="AC17" s="5" t="s">
        <v>66</v>
      </c>
      <c r="AD17" s="5" t="s">
        <v>67</v>
      </c>
    </row>
    <row r="18" spans="1:30" hidden="1" x14ac:dyDescent="0.25">
      <c r="A18" s="5">
        <v>8</v>
      </c>
      <c r="B18" s="5" t="s">
        <v>63</v>
      </c>
      <c r="C18" s="5">
        <v>25</v>
      </c>
      <c r="D18" s="5">
        <v>100</v>
      </c>
      <c r="E18" s="5">
        <v>250</v>
      </c>
      <c r="F18" s="5" t="s">
        <v>33</v>
      </c>
      <c r="G18" s="5" t="s">
        <v>121</v>
      </c>
      <c r="H18" s="5">
        <v>4</v>
      </c>
      <c r="I18" s="5">
        <v>19.63</v>
      </c>
      <c r="J18" s="5" t="s">
        <v>203</v>
      </c>
      <c r="K18" s="5" t="s">
        <v>176</v>
      </c>
      <c r="L18" s="5"/>
      <c r="M18" s="5" t="s">
        <v>122</v>
      </c>
      <c r="N18" s="5"/>
      <c r="O18" s="19"/>
      <c r="P18" s="19" t="str">
        <f ca="1">IF(LEN('List chi tiet'!$B$4)=0,"",'List chi tiet'!$B$4)</f>
        <v>TEST MẪU HÀN</v>
      </c>
      <c r="Q18" s="19" t="s">
        <v>26</v>
      </c>
      <c r="R18" s="19"/>
      <c r="S18" s="19" t="s">
        <v>39</v>
      </c>
      <c r="T18" s="19"/>
      <c r="U18" s="19"/>
      <c r="V18" s="19" t="s">
        <v>39</v>
      </c>
      <c r="W18" s="19">
        <v>1</v>
      </c>
      <c r="X18" s="20" t="s">
        <v>37</v>
      </c>
      <c r="Y18" s="5"/>
      <c r="Z18" s="5" t="s">
        <v>38</v>
      </c>
      <c r="AA18" s="5"/>
      <c r="AB18" s="5" t="str">
        <f>IF(LEN('List chi tiet'!$B$3)=0,"",'List chi tiet'!$B$3)</f>
        <v>10626-125</v>
      </c>
      <c r="AC18" s="5" t="s">
        <v>72</v>
      </c>
      <c r="AD18" s="5" t="s">
        <v>73</v>
      </c>
    </row>
    <row r="19" spans="1:30" hidden="1" x14ac:dyDescent="0.25">
      <c r="A19" s="5">
        <v>9</v>
      </c>
      <c r="B19" s="5" t="s">
        <v>75</v>
      </c>
      <c r="C19" s="5">
        <v>25</v>
      </c>
      <c r="D19" s="5">
        <v>100</v>
      </c>
      <c r="E19" s="5">
        <v>250</v>
      </c>
      <c r="F19" s="5" t="s">
        <v>33</v>
      </c>
      <c r="G19" s="5" t="s">
        <v>121</v>
      </c>
      <c r="H19" s="5">
        <v>11</v>
      </c>
      <c r="I19" s="5">
        <v>53.97</v>
      </c>
      <c r="J19" s="5" t="s">
        <v>203</v>
      </c>
      <c r="K19" s="5" t="s">
        <v>176</v>
      </c>
      <c r="L19" s="5"/>
      <c r="M19" s="5" t="s">
        <v>122</v>
      </c>
      <c r="N19" s="5"/>
      <c r="O19" s="19"/>
      <c r="P19" s="19" t="str">
        <f ca="1">IF(LEN('List chi tiet'!$B$4)=0,"",'List chi tiet'!$B$4)</f>
        <v>TEST MẪU HÀN</v>
      </c>
      <c r="Q19" s="19" t="s">
        <v>26</v>
      </c>
      <c r="R19" s="19"/>
      <c r="S19" s="19" t="s">
        <v>39</v>
      </c>
      <c r="T19" s="19"/>
      <c r="U19" s="19"/>
      <c r="V19" s="19" t="s">
        <v>39</v>
      </c>
      <c r="W19" s="19">
        <v>1</v>
      </c>
      <c r="X19" s="20" t="s">
        <v>37</v>
      </c>
      <c r="Y19" s="5"/>
      <c r="Z19" s="5" t="s">
        <v>38</v>
      </c>
      <c r="AA19" s="5"/>
      <c r="AB19" s="5" t="str">
        <f>IF(LEN('List chi tiet'!$B$3)=0,"",'List chi tiet'!$B$3)</f>
        <v>10626-125</v>
      </c>
      <c r="AC19" s="5" t="s">
        <v>72</v>
      </c>
      <c r="AD19" s="5" t="s">
        <v>73</v>
      </c>
    </row>
    <row r="20" spans="1:30" hidden="1" x14ac:dyDescent="0.25">
      <c r="A20" s="5">
        <v>10</v>
      </c>
      <c r="B20" s="5" t="s">
        <v>63</v>
      </c>
      <c r="C20" s="5">
        <v>25</v>
      </c>
      <c r="D20" s="5">
        <v>100</v>
      </c>
      <c r="E20" s="5">
        <v>250</v>
      </c>
      <c r="F20" s="5" t="s">
        <v>33</v>
      </c>
      <c r="G20" s="5" t="s">
        <v>121</v>
      </c>
      <c r="H20" s="5">
        <v>23</v>
      </c>
      <c r="I20" s="5">
        <v>112.84</v>
      </c>
      <c r="J20" s="5" t="s">
        <v>203</v>
      </c>
      <c r="K20" s="5" t="s">
        <v>176</v>
      </c>
      <c r="L20" s="5"/>
      <c r="M20" s="5" t="s">
        <v>122</v>
      </c>
      <c r="N20" s="5"/>
      <c r="O20" s="19"/>
      <c r="P20" s="19" t="str">
        <f ca="1">IF(LEN('List chi tiet'!$B$4)=0,"",'List chi tiet'!$B$4)</f>
        <v>TEST MẪU HÀN</v>
      </c>
      <c r="Q20" s="19" t="s">
        <v>26</v>
      </c>
      <c r="R20" s="19"/>
      <c r="S20" s="19" t="s">
        <v>39</v>
      </c>
      <c r="T20" s="19"/>
      <c r="U20" s="19"/>
      <c r="V20" s="19" t="s">
        <v>39</v>
      </c>
      <c r="W20" s="19">
        <v>1</v>
      </c>
      <c r="X20" s="20" t="s">
        <v>37</v>
      </c>
      <c r="Y20" s="5"/>
      <c r="Z20" s="5" t="s">
        <v>38</v>
      </c>
      <c r="AA20" s="5"/>
      <c r="AB20" s="5" t="str">
        <f>IF(LEN('List chi tiet'!$B$3)=0,"",'List chi tiet'!$B$3)</f>
        <v>10626-125</v>
      </c>
      <c r="AC20" s="5" t="s">
        <v>77</v>
      </c>
      <c r="AD20" s="5" t="s">
        <v>78</v>
      </c>
    </row>
    <row r="21" spans="1:30" hidden="1" x14ac:dyDescent="0.25">
      <c r="A21" s="5">
        <v>11</v>
      </c>
      <c r="B21" s="5" t="s">
        <v>69</v>
      </c>
      <c r="C21" s="5">
        <v>25</v>
      </c>
      <c r="D21" s="5">
        <v>200</v>
      </c>
      <c r="E21" s="5">
        <v>450</v>
      </c>
      <c r="F21" s="5" t="s">
        <v>33</v>
      </c>
      <c r="G21" s="5" t="s">
        <v>121</v>
      </c>
      <c r="H21" s="5">
        <v>3</v>
      </c>
      <c r="I21" s="5">
        <v>52.99</v>
      </c>
      <c r="J21" s="5" t="s">
        <v>203</v>
      </c>
      <c r="K21" s="5" t="s">
        <v>176</v>
      </c>
      <c r="L21" s="5"/>
      <c r="M21" s="5" t="s">
        <v>122</v>
      </c>
      <c r="N21" s="5"/>
      <c r="O21" s="19"/>
      <c r="P21" s="19" t="str">
        <f ca="1">IF(LEN('List chi tiet'!$B$4)=0,"",'List chi tiet'!$B$4)</f>
        <v>TEST MẪU HÀN</v>
      </c>
      <c r="Q21" s="19" t="s">
        <v>26</v>
      </c>
      <c r="R21" s="19"/>
      <c r="S21" s="19" t="s">
        <v>39</v>
      </c>
      <c r="T21" s="19"/>
      <c r="U21" s="19"/>
      <c r="V21" s="19" t="s">
        <v>39</v>
      </c>
      <c r="W21" s="19">
        <v>1</v>
      </c>
      <c r="X21" s="20" t="s">
        <v>37</v>
      </c>
      <c r="Y21" s="5"/>
      <c r="Z21" s="5" t="s">
        <v>38</v>
      </c>
      <c r="AA21" s="5"/>
      <c r="AB21" s="5" t="str">
        <f>IF(LEN('List chi tiet'!$B$3)=0,"",'List chi tiet'!$B$3)</f>
        <v>10626-125</v>
      </c>
      <c r="AC21" s="5" t="s">
        <v>77</v>
      </c>
      <c r="AD21" s="5" t="s">
        <v>78</v>
      </c>
    </row>
    <row r="22" spans="1:30" hidden="1" x14ac:dyDescent="0.25">
      <c r="A22" s="5">
        <v>12</v>
      </c>
      <c r="B22" s="5" t="s">
        <v>80</v>
      </c>
      <c r="C22" s="5">
        <v>25</v>
      </c>
      <c r="D22" s="5">
        <v>200</v>
      </c>
      <c r="E22" s="5">
        <v>450</v>
      </c>
      <c r="F22" s="5" t="s">
        <v>33</v>
      </c>
      <c r="G22" s="5" t="s">
        <v>121</v>
      </c>
      <c r="H22" s="5">
        <v>1</v>
      </c>
      <c r="I22" s="5">
        <v>17.66</v>
      </c>
      <c r="J22" s="5" t="s">
        <v>203</v>
      </c>
      <c r="K22" s="5" t="s">
        <v>176</v>
      </c>
      <c r="L22" s="5"/>
      <c r="M22" s="5" t="s">
        <v>122</v>
      </c>
      <c r="N22" s="5"/>
      <c r="O22" s="19"/>
      <c r="P22" s="19" t="str">
        <f ca="1">IF(LEN('List chi tiet'!$B$4)=0,"",'List chi tiet'!$B$4)</f>
        <v>TEST MẪU HÀN</v>
      </c>
      <c r="Q22" s="19" t="s">
        <v>26</v>
      </c>
      <c r="R22" s="19"/>
      <c r="S22" s="19" t="s">
        <v>39</v>
      </c>
      <c r="T22" s="19"/>
      <c r="U22" s="19"/>
      <c r="V22" s="19" t="s">
        <v>39</v>
      </c>
      <c r="W22" s="19">
        <v>1</v>
      </c>
      <c r="X22" s="20" t="s">
        <v>37</v>
      </c>
      <c r="Y22" s="5"/>
      <c r="Z22" s="5" t="s">
        <v>38</v>
      </c>
      <c r="AA22" s="5"/>
      <c r="AB22" s="5" t="str">
        <f>IF(LEN('List chi tiet'!$B$3)=0,"",'List chi tiet'!$B$3)</f>
        <v>10626-125</v>
      </c>
      <c r="AC22" s="5" t="s">
        <v>77</v>
      </c>
      <c r="AD22" s="5" t="s">
        <v>78</v>
      </c>
    </row>
    <row r="23" spans="1:30" hidden="1" x14ac:dyDescent="0.25">
      <c r="A23" s="5">
        <v>13</v>
      </c>
      <c r="B23" s="5" t="s">
        <v>75</v>
      </c>
      <c r="C23" s="5">
        <v>25</v>
      </c>
      <c r="D23" s="5">
        <v>100</v>
      </c>
      <c r="E23" s="5">
        <v>250</v>
      </c>
      <c r="F23" s="5" t="s">
        <v>33</v>
      </c>
      <c r="G23" s="5" t="s">
        <v>121</v>
      </c>
      <c r="H23" s="5">
        <v>15</v>
      </c>
      <c r="I23" s="5">
        <v>73.59</v>
      </c>
      <c r="J23" s="5" t="s">
        <v>203</v>
      </c>
      <c r="K23" s="5" t="s">
        <v>176</v>
      </c>
      <c r="L23" s="5"/>
      <c r="M23" s="5" t="s">
        <v>122</v>
      </c>
      <c r="N23" s="5"/>
      <c r="O23" s="19"/>
      <c r="P23" s="19" t="str">
        <f ca="1">IF(LEN('List chi tiet'!$B$4)=0,"",'List chi tiet'!$B$4)</f>
        <v>TEST MẪU HÀN</v>
      </c>
      <c r="Q23" s="19" t="s">
        <v>26</v>
      </c>
      <c r="R23" s="19"/>
      <c r="S23" s="19" t="s">
        <v>39</v>
      </c>
      <c r="T23" s="19"/>
      <c r="U23" s="19"/>
      <c r="V23" s="19" t="s">
        <v>39</v>
      </c>
      <c r="W23" s="19">
        <v>1</v>
      </c>
      <c r="X23" s="20" t="s">
        <v>37</v>
      </c>
      <c r="Y23" s="5"/>
      <c r="Z23" s="5" t="s">
        <v>38</v>
      </c>
      <c r="AA23" s="5"/>
      <c r="AB23" s="5" t="str">
        <f>IF(LEN('List chi tiet'!$B$3)=0,"",'List chi tiet'!$B$3)</f>
        <v>10626-125</v>
      </c>
      <c r="AC23" s="5" t="s">
        <v>82</v>
      </c>
      <c r="AD23" s="5" t="s">
        <v>83</v>
      </c>
    </row>
    <row r="24" spans="1:30" hidden="1" x14ac:dyDescent="0.25">
      <c r="A24" s="5">
        <v>14</v>
      </c>
      <c r="B24" s="5" t="s">
        <v>80</v>
      </c>
      <c r="C24" s="5">
        <v>25</v>
      </c>
      <c r="D24" s="5">
        <v>200</v>
      </c>
      <c r="E24" s="5">
        <v>450</v>
      </c>
      <c r="F24" s="5" t="s">
        <v>33</v>
      </c>
      <c r="G24" s="5" t="s">
        <v>121</v>
      </c>
      <c r="H24" s="5">
        <v>4</v>
      </c>
      <c r="I24" s="5">
        <v>70.650000000000006</v>
      </c>
      <c r="J24" s="5" t="s">
        <v>203</v>
      </c>
      <c r="K24" s="5" t="s">
        <v>176</v>
      </c>
      <c r="L24" s="5"/>
      <c r="M24" s="5" t="s">
        <v>122</v>
      </c>
      <c r="N24" s="5"/>
      <c r="O24" s="19"/>
      <c r="P24" s="19" t="str">
        <f ca="1">IF(LEN('List chi tiet'!$B$4)=0,"",'List chi tiet'!$B$4)</f>
        <v>TEST MẪU HÀN</v>
      </c>
      <c r="Q24" s="19" t="s">
        <v>26</v>
      </c>
      <c r="R24" s="19"/>
      <c r="S24" s="19" t="s">
        <v>39</v>
      </c>
      <c r="T24" s="19"/>
      <c r="U24" s="19"/>
      <c r="V24" s="19" t="s">
        <v>39</v>
      </c>
      <c r="W24" s="19">
        <v>1</v>
      </c>
      <c r="X24" s="20" t="s">
        <v>37</v>
      </c>
      <c r="Y24" s="5"/>
      <c r="Z24" s="5" t="s">
        <v>38</v>
      </c>
      <c r="AA24" s="5"/>
      <c r="AB24" s="5" t="str">
        <f>IF(LEN('List chi tiet'!$B$3)=0,"",'List chi tiet'!$B$3)</f>
        <v>10626-125</v>
      </c>
      <c r="AC24" s="5" t="s">
        <v>82</v>
      </c>
      <c r="AD24" s="5" t="s">
        <v>83</v>
      </c>
    </row>
    <row r="25" spans="1:30" hidden="1" x14ac:dyDescent="0.25">
      <c r="A25" s="5">
        <v>15</v>
      </c>
      <c r="B25" s="5" t="s">
        <v>75</v>
      </c>
      <c r="C25" s="5">
        <v>25</v>
      </c>
      <c r="D25" s="5">
        <v>100</v>
      </c>
      <c r="E25" s="5">
        <v>250</v>
      </c>
      <c r="F25" s="5" t="s">
        <v>33</v>
      </c>
      <c r="G25" s="5" t="s">
        <v>121</v>
      </c>
      <c r="H25" s="5">
        <v>8</v>
      </c>
      <c r="I25" s="5">
        <v>39.25</v>
      </c>
      <c r="J25" s="5" t="s">
        <v>203</v>
      </c>
      <c r="K25" s="5" t="s">
        <v>176</v>
      </c>
      <c r="L25" s="5"/>
      <c r="M25" s="5" t="s">
        <v>122</v>
      </c>
      <c r="N25" s="5"/>
      <c r="O25" s="19"/>
      <c r="P25" s="19" t="str">
        <f ca="1">IF(LEN('List chi tiet'!$B$4)=0,"",'List chi tiet'!$B$4)</f>
        <v>TEST MẪU HÀN</v>
      </c>
      <c r="Q25" s="19" t="s">
        <v>26</v>
      </c>
      <c r="R25" s="19"/>
      <c r="S25" s="19" t="s">
        <v>39</v>
      </c>
      <c r="T25" s="19"/>
      <c r="U25" s="19"/>
      <c r="V25" s="19" t="s">
        <v>39</v>
      </c>
      <c r="W25" s="19">
        <v>1</v>
      </c>
      <c r="X25" s="20" t="s">
        <v>37</v>
      </c>
      <c r="Y25" s="5"/>
      <c r="Z25" s="5" t="s">
        <v>38</v>
      </c>
      <c r="AA25" s="5"/>
      <c r="AB25" s="5" t="str">
        <f>IF(LEN('List chi tiet'!$B$3)=0,"",'List chi tiet'!$B$3)</f>
        <v>10626-125</v>
      </c>
      <c r="AC25" s="5" t="s">
        <v>86</v>
      </c>
      <c r="AD25" s="5" t="s">
        <v>87</v>
      </c>
    </row>
    <row r="26" spans="1:30" hidden="1" x14ac:dyDescent="0.25">
      <c r="A26" s="5">
        <v>16</v>
      </c>
      <c r="B26" s="5" t="s">
        <v>75</v>
      </c>
      <c r="C26" s="5">
        <v>25</v>
      </c>
      <c r="D26" s="5">
        <v>100</v>
      </c>
      <c r="E26" s="5">
        <v>250</v>
      </c>
      <c r="F26" s="5" t="s">
        <v>33</v>
      </c>
      <c r="G26" s="5" t="s">
        <v>121</v>
      </c>
      <c r="H26" s="5">
        <v>6</v>
      </c>
      <c r="I26" s="5">
        <v>29.44</v>
      </c>
      <c r="J26" s="5" t="s">
        <v>203</v>
      </c>
      <c r="K26" s="5" t="s">
        <v>176</v>
      </c>
      <c r="L26" s="5"/>
      <c r="M26" s="5" t="s">
        <v>122</v>
      </c>
      <c r="N26" s="5"/>
      <c r="O26" s="19"/>
      <c r="P26" s="19" t="str">
        <f ca="1">IF(LEN('List chi tiet'!$B$4)=0,"",'List chi tiet'!$B$4)</f>
        <v>TEST MẪU HÀN</v>
      </c>
      <c r="Q26" s="19" t="s">
        <v>26</v>
      </c>
      <c r="R26" s="19"/>
      <c r="S26" s="19" t="s">
        <v>39</v>
      </c>
      <c r="T26" s="19"/>
      <c r="U26" s="19"/>
      <c r="V26" s="19" t="s">
        <v>39</v>
      </c>
      <c r="W26" s="19">
        <v>1</v>
      </c>
      <c r="X26" s="20" t="s">
        <v>37</v>
      </c>
      <c r="Y26" s="5"/>
      <c r="Z26" s="5" t="s">
        <v>38</v>
      </c>
      <c r="AA26" s="5"/>
      <c r="AB26" s="5" t="str">
        <f>IF(LEN('List chi tiet'!$B$3)=0,"",'List chi tiet'!$B$3)</f>
        <v>10626-125</v>
      </c>
      <c r="AC26" s="5" t="s">
        <v>90</v>
      </c>
      <c r="AD26" s="5" t="s">
        <v>91</v>
      </c>
    </row>
    <row r="27" spans="1:30" x14ac:dyDescent="0.25">
      <c r="A27">
        <v>1</v>
      </c>
      <c r="B27" t="s">
        <v>52</v>
      </c>
      <c r="C27">
        <v>12</v>
      </c>
      <c r="D27">
        <v>80.430000000000007</v>
      </c>
      <c r="E27">
        <v>300</v>
      </c>
      <c r="F27" t="s">
        <v>207</v>
      </c>
      <c r="G27" t="s">
        <v>121</v>
      </c>
      <c r="H27">
        <v>50</v>
      </c>
      <c r="I27">
        <v>95.1</v>
      </c>
      <c r="J27" t="s">
        <v>203</v>
      </c>
      <c r="K27" t="s">
        <v>176</v>
      </c>
      <c r="M27" t="s">
        <v>214</v>
      </c>
      <c r="P27" t="s">
        <v>206</v>
      </c>
      <c r="Q27" t="s">
        <v>26</v>
      </c>
      <c r="S27" t="s">
        <v>39</v>
      </c>
      <c r="W27">
        <v>2</v>
      </c>
      <c r="X27" s="22">
        <v>46063</v>
      </c>
      <c r="Z27" t="s">
        <v>38</v>
      </c>
      <c r="AB27" t="s">
        <v>205</v>
      </c>
      <c r="AC27" t="s">
        <v>210</v>
      </c>
      <c r="AD27" t="s">
        <v>211</v>
      </c>
    </row>
  </sheetData>
  <autoFilter ref="A10:AD27" xr:uid="{6C63ADCD-723C-403B-B061-25295F20DB30}">
    <filterColumn colId="22">
      <filters>
        <filter val="2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List chi tiet</vt:lpstr>
      <vt:lpstr>Phieu vat tu</vt:lpstr>
      <vt:lpstr>Hao hut vat tu</vt:lpstr>
      <vt:lpstr>LSX-VT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Huong, Nguyen Song - BienPhap</dc:creator>
  <cp:lastModifiedBy>Huy, Vo Le - Nesting</cp:lastModifiedBy>
  <dcterms:created xsi:type="dcterms:W3CDTF">2026-09-22T02:31:12Z</dcterms:created>
  <dcterms:modified xsi:type="dcterms:W3CDTF">2026-10-03T00:45:17Z</dcterms:modified>
</cp:coreProperties>
</file>