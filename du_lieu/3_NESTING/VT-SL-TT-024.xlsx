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2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drawings/drawing3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drawings/drawing4.xml" ContentType="application/vnd.openxmlformats-officedocument.drawing+xml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drawings/drawing5.xml" ContentType="application/vnd.openxmlformats-officedocument.drawing+xml"/>
  <Override PartName="/xl/activeX/activeX14.xml" ContentType="application/vnd.ms-office.activeX+xml"/>
  <Override PartName="/xl/activeX/activeX1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13-KTSX-BPGC\.NESTING-CNC-DDC\15-10726-141 DG XK SHIPLIFT ÚC\24-VT-SL-TT-024-PLATFORM-MAIN STRUCTURE-BEAM(3.KC5-2.KME-1.KC6)\"/>
    </mc:Choice>
  </mc:AlternateContent>
  <xr:revisionPtr revIDLastSave="0" documentId="13_ncr:1_{FB2BAE00-0A40-42A1-98F7-15322DC98F4F}" xr6:coauthVersionLast="47" xr6:coauthVersionMax="47" xr10:uidLastSave="{00000000-0000-0000-0000-000000000000}"/>
  <bookViews>
    <workbookView xWindow="28680" yWindow="-720" windowWidth="29040" windowHeight="15720" xr2:uid="{6EF8A414-9971-46A9-B45E-8065A2A16DD8}"/>
  </bookViews>
  <sheets>
    <sheet name="List chi tiet" sheetId="1" r:id="rId1"/>
    <sheet name="Phieu vat tu" sheetId="2" r:id="rId2"/>
    <sheet name="Hao hut vat tu" sheetId="3" r:id="rId3"/>
    <sheet name="LSX-VT" sheetId="4" r:id="rId4"/>
    <sheet name=" " sheetId="5" state="hidden" r:id="rId5"/>
  </sheets>
  <externalReferences>
    <externalReference r:id="rId6"/>
    <externalReference r:id="rId7"/>
  </externalReferences>
  <definedNames>
    <definedName name="_xlnm._FilterDatabase" localSheetId="4" hidden="1">' '!$A$10:$AD$10</definedName>
    <definedName name="_xlnm._FilterDatabase" localSheetId="2" hidden="1">'Hao hut vat tu'!$A$12:$O$330</definedName>
    <definedName name="_xlnm._FilterDatabase" localSheetId="0" hidden="1">'List chi tiet'!$A$5:$AB$2386</definedName>
    <definedName name="_xlnm._FilterDatabase" localSheetId="3" hidden="1">'LSX-VT'!$A$10:$AE$2344</definedName>
    <definedName name="_xlnm._FilterDatabase" localSheetId="1" hidden="1">'Phieu vat tu'!$A$4:$X$299</definedName>
    <definedName name="_xlnm.Print_Area" localSheetId="4">' '!$A$1:$X$117</definedName>
    <definedName name="_xlnm.Print_Area" localSheetId="2">'Hao hut vat tu'!$A$1:$O$330</definedName>
    <definedName name="_xlnm.Print_Area" localSheetId="0">'List chi tiet'!$A$1:$AB$2386</definedName>
    <definedName name="_xlnm.Print_Area" localSheetId="3">'LSX-VT'!$A$1:$AE$2344</definedName>
    <definedName name="_xlnm.Print_Area" localSheetId="1">'Phieu vat tu'!$A$1:$X$299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24" i="2" l="1"/>
  <c r="U124" i="2"/>
  <c r="T124" i="2" s="1"/>
  <c r="R124" i="2"/>
  <c r="Q124" i="2"/>
  <c r="D124" i="2"/>
  <c r="B124" i="2"/>
  <c r="I211" i="3"/>
  <c r="J211" i="3" s="1"/>
  <c r="H211" i="3"/>
  <c r="X187" i="2"/>
  <c r="U187" i="2"/>
  <c r="T187" i="2" s="1"/>
  <c r="R187" i="2"/>
  <c r="Q187" i="2"/>
  <c r="D187" i="2"/>
  <c r="B187" i="2"/>
  <c r="B4" i="1" a="1"/>
  <c r="I56" i="3"/>
  <c r="J56" i="3" s="1"/>
  <c r="H56" i="3"/>
  <c r="U44" i="2"/>
  <c r="T44" i="2" s="1"/>
  <c r="R44" i="2"/>
  <c r="Q44" i="2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K211" i="3" l="1"/>
  <c r="L211" i="3"/>
  <c r="K56" i="3"/>
  <c r="L56" i="3"/>
  <c r="G4" i="1"/>
  <c r="AE10" i="4" l="1"/>
  <c r="AB5" i="1"/>
  <c r="K11" i="3"/>
  <c r="K10" i="3"/>
  <c r="K9" i="3"/>
  <c r="K8" i="3"/>
  <c r="K7" i="3"/>
  <c r="K6" i="3"/>
  <c r="K5" i="3"/>
  <c r="K4" i="3"/>
  <c r="K3" i="3"/>
  <c r="K2" i="3"/>
  <c r="U3" i="2"/>
  <c r="T3" i="2"/>
  <c r="S3" i="2"/>
  <c r="R3" i="2"/>
  <c r="Q3" i="2"/>
  <c r="P3" i="2"/>
  <c r="N3" i="2"/>
  <c r="M3" i="2"/>
  <c r="L4" i="1"/>
  <c r="J4" i="1"/>
  <c r="H4" i="1"/>
  <c r="W3" i="2" l="1"/>
  <c r="X4" i="2" l="1"/>
  <c r="W2" i="2" l="1"/>
  <c r="O11" i="3" l="1"/>
  <c r="AD11" i="5"/>
  <c r="AC11" i="5"/>
  <c r="AB11" i="5"/>
  <c r="X11" i="5"/>
  <c r="W11" i="5"/>
  <c r="P11" i="5"/>
  <c r="N11" i="5"/>
  <c r="M11" i="5"/>
  <c r="I11" i="5"/>
  <c r="I8" i="5" s="1"/>
  <c r="H11" i="5"/>
  <c r="H8" i="5" s="1"/>
  <c r="F11" i="5"/>
  <c r="E11" i="5"/>
  <c r="D11" i="5"/>
  <c r="C11" i="5"/>
  <c r="B11" i="5"/>
  <c r="A11" i="5"/>
  <c r="J11" i="5" s="1"/>
  <c r="AC9" i="5"/>
  <c r="P8" i="5"/>
  <c r="C5" i="5"/>
  <c r="C4" i="5"/>
  <c r="AD11" i="4"/>
  <c r="AC11" i="4"/>
  <c r="AB11" i="4"/>
  <c r="X11" i="4"/>
  <c r="W11" i="4"/>
  <c r="P11" i="4"/>
  <c r="N11" i="4"/>
  <c r="M11" i="4"/>
  <c r="I11" i="4"/>
  <c r="H11" i="4"/>
  <c r="F11" i="4"/>
  <c r="E11" i="4"/>
  <c r="D11" i="4"/>
  <c r="C11" i="4"/>
  <c r="B11" i="4"/>
  <c r="A11" i="4"/>
  <c r="J11" i="4" s="1"/>
  <c r="AC9" i="4"/>
  <c r="O10" i="3"/>
  <c r="O12" i="3"/>
  <c r="Q1" i="2"/>
  <c r="N12" i="3"/>
  <c r="M12" i="3"/>
  <c r="L12" i="3"/>
  <c r="K12" i="3"/>
  <c r="J12" i="3"/>
  <c r="I12" i="3"/>
  <c r="H12" i="3"/>
  <c r="M11" i="3"/>
  <c r="L11" i="3"/>
  <c r="J11" i="3"/>
  <c r="I11" i="3"/>
  <c r="H11" i="3"/>
  <c r="G11" i="3"/>
  <c r="F11" i="3"/>
  <c r="E11" i="3"/>
  <c r="D11" i="3"/>
  <c r="I8" i="4" l="1"/>
  <c r="P8" i="4"/>
  <c r="H8" i="4"/>
  <c r="G11" i="5"/>
  <c r="G11" i="4"/>
  <c r="N11" i="3"/>
  <c r="P1" i="2"/>
  <c r="U1" i="2" s="1"/>
  <c r="N1" i="2"/>
  <c r="T1" i="2" l="1"/>
  <c r="R1" i="2"/>
  <c r="C6" i="3"/>
  <c r="C3" i="3"/>
  <c r="W1" i="2"/>
  <c r="W4" i="2"/>
  <c r="G2" i="2"/>
  <c r="C4" i="4" l="1"/>
  <c r="C5" i="4"/>
  <c r="B3" i="1" l="1"/>
  <c r="K1" i="3" l="1"/>
  <c r="C3" i="4"/>
  <c r="C1" i="3"/>
  <c r="O1" i="3" s="1"/>
  <c r="C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<sst xmlns="http://schemas.openxmlformats.org/spreadsheetml/2006/main" count="66239" uniqueCount="3160">
  <si>
    <t>LIST CHI TIẾT CẤU KIỆN</t>
  </si>
  <si>
    <t>Mã Dự Án:</t>
  </si>
  <si>
    <t>Building No. :</t>
  </si>
  <si>
    <t>STT</t>
  </si>
  <si>
    <t>Tên chi tiết</t>
  </si>
  <si>
    <t>Mác thép</t>
  </si>
  <si>
    <t>Quy.Cách.Part</t>
  </si>
  <si>
    <t>Dày</t>
  </si>
  <si>
    <t>Rộng</t>
  </si>
  <si>
    <t>Dài</t>
  </si>
  <si>
    <t>Qty</t>
  </si>
  <si>
    <t>KL chi tiết</t>
  </si>
  <si>
    <t>KL Tổng</t>
  </si>
  <si>
    <t>Quy Cách Vật Tư</t>
  </si>
  <si>
    <t>Số Nesting</t>
  </si>
  <si>
    <t>Cutting</t>
  </si>
  <si>
    <t>Khoan</t>
  </si>
  <si>
    <t>Chấn</t>
  </si>
  <si>
    <t>Vát mép</t>
  </si>
  <si>
    <t>Lần-BH</t>
  </si>
  <si>
    <t>Ngày B.Hành</t>
  </si>
  <si>
    <t>Note</t>
  </si>
  <si>
    <t>REV01</t>
  </si>
  <si>
    <t>REV02</t>
  </si>
  <si>
    <t>Mã Dự Án</t>
  </si>
  <si>
    <t>TC</t>
  </si>
  <si>
    <t>BM</t>
  </si>
  <si>
    <t>CB</t>
  </si>
  <si>
    <t>Hạng Mục</t>
  </si>
  <si>
    <t>Nguồn Gốc Vật Tư</t>
  </si>
  <si>
    <t>Project name
Dự Án</t>
  </si>
  <si>
    <t>NESTING NO</t>
  </si>
  <si>
    <t>Phase
Hạng Mục</t>
  </si>
  <si>
    <t>Type
PCS</t>
  </si>
  <si>
    <t>Material
Mác Thép</t>
  </si>
  <si>
    <t>Size
Quy Cách</t>
  </si>
  <si>
    <t>Thickness
(mm)</t>
  </si>
  <si>
    <t>Width
(mm)</t>
  </si>
  <si>
    <t>Length
(mm)</t>
  </si>
  <si>
    <t>Unit
ĐVT</t>
  </si>
  <si>
    <t>KLR
(Kg/m3)</t>
  </si>
  <si>
    <t>Qty
S.Lượng</t>
  </si>
  <si>
    <t>Weight
(kg)</t>
  </si>
  <si>
    <t>Khối Lượng
Thành Phẩm</t>
  </si>
  <si>
    <t>Thông Tin Dự Án</t>
  </si>
  <si>
    <t>Số Liệu Trung Bình Cho Dự Án</t>
  </si>
  <si>
    <t>Project:</t>
  </si>
  <si>
    <t>Phase:</t>
  </si>
  <si>
    <t>OMS:</t>
  </si>
  <si>
    <t>Nesting:</t>
  </si>
  <si>
    <t>Rev:</t>
  </si>
  <si>
    <t>Date:</t>
  </si>
  <si>
    <t>I. Số Liệu Chi Tiết Thép Tấm (Plate)</t>
  </si>
  <si>
    <t>DÀY</t>
  </si>
  <si>
    <t>Nesting No</t>
  </si>
  <si>
    <t>Tấm mới (New Plate)</t>
  </si>
  <si>
    <t>Remain Sử Dụng(In)</t>
  </si>
  <si>
    <t>Thành Phẩm</t>
  </si>
  <si>
    <t>Remain Sinh Ra(Out)</t>
  </si>
  <si>
    <t>LSX</t>
  </si>
  <si>
    <t>Tổng Thành Phẩm (Total Nesting) :</t>
  </si>
  <si>
    <t>Tổng Tấm Mới Cấp Vào (New Plate) :</t>
  </si>
  <si>
    <t>Tổng Remain Cấp Vào (Remain In) :</t>
  </si>
  <si>
    <t>Tổng Remain Sinh Ra (Remain Out):</t>
  </si>
  <si>
    <t>% Remain:</t>
  </si>
  <si>
    <t>Tổng tiêu hao:</t>
  </si>
  <si>
    <t>Tổng Phế Liệu (Waste) :</t>
  </si>
  <si>
    <t>% Phế Liệu (% Waste) :</t>
  </si>
  <si>
    <t>Hao Hụt:</t>
  </si>
  <si>
    <t>LỆNH SẢN XUẤT/ PRODUCTION ORDER</t>
  </si>
  <si>
    <t>CÔNG TRÌNH/ CONSTRUCTION:</t>
  </si>
  <si>
    <t>LSX/ PRODUCTION ORDER :</t>
  </si>
  <si>
    <t>Hạng mục/ Items:</t>
  </si>
  <si>
    <t>Đơn vị gia công/ Processing unit:</t>
  </si>
  <si>
    <t>SC-VT1</t>
  </si>
  <si>
    <t>Lệnh xuất:</t>
  </si>
  <si>
    <t>Lệnh thu lỡ cỡ:</t>
  </si>
  <si>
    <t>Lệnh Thu phế liệu:</t>
  </si>
  <si>
    <t>STT/
No.</t>
  </si>
  <si>
    <t>Tên/ mã số
Name/code</t>
  </si>
  <si>
    <t>Dày/
Thickness</t>
  </si>
  <si>
    <t>Rộng/
Width</t>
  </si>
  <si>
    <t>Dài/
Length</t>
  </si>
  <si>
    <t>Mác thép/ Steel mark</t>
  </si>
  <si>
    <t>ĐVT/ Unit</t>
  </si>
  <si>
    <t>SL / Qty</t>
  </si>
  <si>
    <t>Khối lượng/
Weight (kg)</t>
  </si>
  <si>
    <t>ĐV CẮT</t>
  </si>
  <si>
    <t>Đơn Vị
Gia Công</t>
  </si>
  <si>
    <t>Đơn Vị Nhận</t>
  </si>
  <si>
    <t>Lưu ý</t>
  </si>
  <si>
    <t>Có Lỗ</t>
  </si>
  <si>
    <t>Cánh Bụng
bản mã</t>
  </si>
  <si>
    <t>Nguyên Khổ</t>
  </si>
  <si>
    <t>Lỡ Cỡ</t>
  </si>
  <si>
    <t>Tận Dụng</t>
  </si>
  <si>
    <t>Chấn
Bend</t>
  </si>
  <si>
    <t>Vát
Mép</t>
  </si>
  <si>
    <t>Ngày B.hành</t>
  </si>
  <si>
    <t>NESTING</t>
  </si>
  <si>
    <t>Lần
Ban
Hành</t>
  </si>
  <si>
    <t>Lệnh Xuất Vật Tư
Nguyên Khổ (kg)</t>
  </si>
  <si>
    <t>Lệnh Xuất 
Remain (kg)</t>
  </si>
  <si>
    <t>Lệnh Thu
Remain (kg)</t>
  </si>
  <si>
    <t>Lệnh Thu
Phế Liệu (kg)</t>
  </si>
  <si>
    <t>Lần Ban
Hành</t>
  </si>
  <si>
    <t>No
STT</t>
  </si>
  <si>
    <t>Nguồn Gốc
Vật Tư</t>
  </si>
  <si>
    <t>ĐVT</t>
  </si>
  <si>
    <t>kg</t>
  </si>
  <si>
    <t>%</t>
  </si>
  <si>
    <t>Phế Liệu Tiêu Hao
(Không Thu Hồi) (kg)</t>
  </si>
  <si>
    <t>Tên Công Trình:</t>
  </si>
  <si>
    <t>10726-141 DG XK SHIPLIFT ÚC</t>
  </si>
  <si>
    <t>600X50X6</t>
  </si>
  <si>
    <t>Q355</t>
  </si>
  <si>
    <t>PL6x50x600</t>
  </si>
  <si>
    <t>PL6x462x2988</t>
  </si>
  <si>
    <t>VT-SL-TT-001-MAUTESTTHO-Q355-SP6-001</t>
  </si>
  <si>
    <t>04/08/2026</t>
  </si>
  <si>
    <t>XKNN.D0.24.026</t>
  </si>
  <si>
    <t>MẪU TEST THỢ</t>
  </si>
  <si>
    <t>TAN DUNG</t>
  </si>
  <si>
    <t>350X50X6</t>
  </si>
  <si>
    <t>PL6x50x350</t>
  </si>
  <si>
    <t>300X50X10XR30</t>
  </si>
  <si>
    <t>SS400</t>
  </si>
  <si>
    <t>PL10x50x300</t>
  </si>
  <si>
    <t>PL10x1500x2994</t>
  </si>
  <si>
    <t>VT-SL-TT-001-MAUTESTTHO-SS400-SP10-001</t>
  </si>
  <si>
    <t>VT-CTNB-TT-011-CONGHAN-SS400-SP10-006</t>
  </si>
  <si>
    <t>50X50X10</t>
  </si>
  <si>
    <t>PL10x50x50</t>
  </si>
  <si>
    <t>350x150x12-V</t>
  </si>
  <si>
    <t>S355JR</t>
  </si>
  <si>
    <t>PL12x150x350</t>
  </si>
  <si>
    <t>PL12x587x12000</t>
  </si>
  <si>
    <t>VT-SL-TT-001-MAUTESTTHO-S355JR-SP12-001</t>
  </si>
  <si>
    <t>X</t>
  </si>
  <si>
    <t>VT-PQ-TT-020-C200-S355JR-SP12-001</t>
  </si>
  <si>
    <t>100x50x16</t>
  </si>
  <si>
    <t>S355J2</t>
  </si>
  <si>
    <t>PL16x50x100</t>
  </si>
  <si>
    <t>PL16x416x4452</t>
  </si>
  <si>
    <t>VT-SL-TT-001-MAUTESTTHO-S355J2-SP16-001</t>
  </si>
  <si>
    <t>VT-NCC-TT-013-S355J2-SP16-047_A</t>
  </si>
  <si>
    <t>600x200x16-V</t>
  </si>
  <si>
    <t>PL16x200x600</t>
  </si>
  <si>
    <t>PL16x834x928</t>
  </si>
  <si>
    <t>VT-SL-TT-001-MAUTESTTHO-S355J2-SP16-002</t>
  </si>
  <si>
    <t>VT-NCC-TT-013-S355J2-SP16-022_C</t>
  </si>
  <si>
    <t>PL16x211x2500</t>
  </si>
  <si>
    <t>VT-SL-TT-001-MAUTESTTHO-S355J2-SP16-003</t>
  </si>
  <si>
    <t>VT-NCC-TT-013-S355J2-SP16-007_A</t>
  </si>
  <si>
    <t>PLATE</t>
  </si>
  <si>
    <t>6x462x2988</t>
  </si>
  <si>
    <t>Pcs</t>
  </si>
  <si>
    <t/>
  </si>
  <si>
    <t>VT-SL-TT-001</t>
  </si>
  <si>
    <t>XKNN.D0.24.026 SHIPLIFT PLATFORM</t>
  </si>
  <si>
    <t>10x1500x2994</t>
  </si>
  <si>
    <t>12x587x12000</t>
  </si>
  <si>
    <t>16x416x4452</t>
  </si>
  <si>
    <t>16x834x928</t>
  </si>
  <si>
    <t>16x211x2500</t>
  </si>
  <si>
    <t>PL6</t>
  </si>
  <si>
    <t>PL10</t>
  </si>
  <si>
    <t>PL12</t>
  </si>
  <si>
    <t>PL16</t>
  </si>
  <si>
    <t>Total</t>
  </si>
  <si>
    <t>SC</t>
  </si>
  <si>
    <t>1C001-PH019-K</t>
  </si>
  <si>
    <t>AS3678GR350L0</t>
  </si>
  <si>
    <t>PL10x30x50</t>
  </si>
  <si>
    <t>PL10x2000x6000</t>
  </si>
  <si>
    <t>VT-SL-TT-002-CRANEBEAM(1C001.5-1D001.1)-AS3678GR350L0-SP10-001</t>
  </si>
  <si>
    <t>K</t>
  </si>
  <si>
    <t>15/08/2026</t>
  </si>
  <si>
    <t>10726-141</t>
  </si>
  <si>
    <t>CRANEBEAM(1C001.5-1D001.1)</t>
  </si>
  <si>
    <t>NEWPLATE</t>
  </si>
  <si>
    <t>1D001-PH019-K</t>
  </si>
  <si>
    <t>1C001-PL063</t>
  </si>
  <si>
    <t>PL12x295x335</t>
  </si>
  <si>
    <t>PL12x2438x10000</t>
  </si>
  <si>
    <t>VT-SL-TT-002-CRANEBEAM(1C001.5-1D001.1)-AS3678GR350L0-SP12-001</t>
  </si>
  <si>
    <t>1C001-PL064</t>
  </si>
  <si>
    <t>PL12x295x300</t>
  </si>
  <si>
    <t>1C001-PL066</t>
  </si>
  <si>
    <t>PL12x75x75</t>
  </si>
  <si>
    <t>1D001-PL063</t>
  </si>
  <si>
    <t>1D001-PL064</t>
  </si>
  <si>
    <t>1D001-PL066</t>
  </si>
  <si>
    <t>1C001-PH015-K-TARO</t>
  </si>
  <si>
    <t>PL20x30x90</t>
  </si>
  <si>
    <t>PL20x2550x11050</t>
  </si>
  <si>
    <t>VT-SL-TT-002-CRANEBEAM(1C001.5-1D001.1)-AS3678GR350L0-SP20-001</t>
  </si>
  <si>
    <t>1C001-PH025-K-TARO</t>
  </si>
  <si>
    <t>PL20x30x30</t>
  </si>
  <si>
    <t>1C001-PL062</t>
  </si>
  <si>
    <t>PL20x250x2658</t>
  </si>
  <si>
    <t>1C001-PL065</t>
  </si>
  <si>
    <t>PL20x250x2638</t>
  </si>
  <si>
    <t>1C001-PL105</t>
  </si>
  <si>
    <t>PL20x250x1218</t>
  </si>
  <si>
    <t>1D001-PH015-K-TARO</t>
  </si>
  <si>
    <t>1D001-PL062</t>
  </si>
  <si>
    <t>1D001-PL065</t>
  </si>
  <si>
    <t>1D001-PL105</t>
  </si>
  <si>
    <t>1C001-PH018</t>
  </si>
  <si>
    <t>PL25x350x1030</t>
  </si>
  <si>
    <t>PL25x3000x12000</t>
  </si>
  <si>
    <t>VT-SL-TT-002-CRANEBEAM(1C001.5-1D001.1)-AS3678GR350L0-SP25-001</t>
  </si>
  <si>
    <t>1C001-PL059</t>
  </si>
  <si>
    <t>PL25x65x346</t>
  </si>
  <si>
    <t>1C001-PL060</t>
  </si>
  <si>
    <t>PL25x65x188</t>
  </si>
  <si>
    <t>1C001-PL061</t>
  </si>
  <si>
    <t>1C001-PL068</t>
  </si>
  <si>
    <t>PL25x330x1218</t>
  </si>
  <si>
    <t>1D001-PH018</t>
  </si>
  <si>
    <t>1D001-PL059</t>
  </si>
  <si>
    <t>1D001-PL060</t>
  </si>
  <si>
    <t>1D001-PL061</t>
  </si>
  <si>
    <t>1D001-PL068</t>
  </si>
  <si>
    <t>1C001-W024</t>
  </si>
  <si>
    <t>PL32x2660x14135</t>
  </si>
  <si>
    <t>PL32x2700x14150</t>
  </si>
  <si>
    <t>VT-SL-TT-002-CRANEBEAM(1C001.5-1D001.1)-AS3678GR350L0-SP32-001</t>
  </si>
  <si>
    <t>1D001-W024</t>
  </si>
  <si>
    <t>VT-SL-TT-002-CRANEBEAM(1C001.5-1D001.1)-AS3678GR350L0-SP32-002</t>
  </si>
  <si>
    <t>1C001-W025</t>
  </si>
  <si>
    <t>PL32x2680x13705</t>
  </si>
  <si>
    <t>PL32x2700x13700</t>
  </si>
  <si>
    <t>VT-SL-TT-002-CRANEBEAM(1C001.5-1D001.1)-AS3678GR350L0-SP32-003</t>
  </si>
  <si>
    <t>1D001-W025</t>
  </si>
  <si>
    <t>PL32x2660x13685</t>
  </si>
  <si>
    <t>VT-SL-TT-002-CRANEBEAM(1C001.5-1D001.1)-AS3678GR350L0-SP32-004</t>
  </si>
  <si>
    <t>1C001-PH026-K</t>
  </si>
  <si>
    <t>PL40x846x2672</t>
  </si>
  <si>
    <t>PL40x2250x8050</t>
  </si>
  <si>
    <t>VT-SL-TT-002-CRANEBEAM(1C001.5-1D001.1)-AS3678GR350L0-SP40-001</t>
  </si>
  <si>
    <t>1C001-PH016</t>
  </si>
  <si>
    <t>PL50x1130x1990</t>
  </si>
  <si>
    <t>PL50x2380x12100</t>
  </si>
  <si>
    <t>VT-SL-TT-002-CRANEBEAM(1C001.5-1D001.1)-AS3678GR350L0-SP50-001</t>
  </si>
  <si>
    <t>1D001-PH016</t>
  </si>
  <si>
    <t>1C001-PH017-K-TARO</t>
  </si>
  <si>
    <t>PL50x1160x1210</t>
  </si>
  <si>
    <t>PL50x2380x11300</t>
  </si>
  <si>
    <t>VT-SL-TT-002-CRANEBEAM(1C001.5-1D001.1)-AS3678GR350L0-SP50-002</t>
  </si>
  <si>
    <t>1D001-PH017-K-TARO</t>
  </si>
  <si>
    <t>1C001-PH024-K</t>
  </si>
  <si>
    <t>PL50x964x2638</t>
  </si>
  <si>
    <t>PL50x2550x10700</t>
  </si>
  <si>
    <t>VT-SL-TT-002-CRANEBEAM(1C001.5-1D001.1)-AS3678GR350L0-SP50-003</t>
  </si>
  <si>
    <t>1C001-PH020-K</t>
  </si>
  <si>
    <t>S690QL1</t>
  </si>
  <si>
    <t>PL50x1158x1940</t>
  </si>
  <si>
    <t>PL50x2000x6000</t>
  </si>
  <si>
    <t>VT-SL-TT-002-CRANEBEAM(1C001.5-1D001.1)-S690QL1-SP50-004</t>
  </si>
  <si>
    <t>1D001-PH007-K</t>
  </si>
  <si>
    <t>VT-SL-TT-002-CRANEBEAM(1C001.5-1D001.1)-S690QL1-SP50-005</t>
  </si>
  <si>
    <t>1C001-FL040</t>
  </si>
  <si>
    <t>PL60x1080x4910</t>
  </si>
  <si>
    <t>PL60x2200x10100</t>
  </si>
  <si>
    <t>VT-SL-TT-002-CRANEBEAM(1C001.5-1D001.1)-AS3678GR350L0-SP60-001</t>
  </si>
  <si>
    <t>1C001-FL042</t>
  </si>
  <si>
    <t>PL60x1080x2810</t>
  </si>
  <si>
    <t>1D001-FL040</t>
  </si>
  <si>
    <t>VT-SL-TT-002-CRANEBEAM(1C001.5-1D001.1)-AS3678GR350L0-SP60-002</t>
  </si>
  <si>
    <t>1D001-FL042</t>
  </si>
  <si>
    <t>1C001-FL038-V</t>
  </si>
  <si>
    <t>AS3678Gr350L0</t>
  </si>
  <si>
    <t>PL80x1200x18000</t>
  </si>
  <si>
    <t>PL80x1450x18050</t>
  </si>
  <si>
    <t>VT-SL-TT-002-CRANEBEAM(1C001.5-1D001.1)-AS3678Gr350L0-SP80-001</t>
  </si>
  <si>
    <t>VT-SL-TT-002-CRANEBEAM(1C001.5-1D001.1)-AS3678Gr350L0-SP80-002</t>
  </si>
  <si>
    <t>1D001-FL038-V</t>
  </si>
  <si>
    <t>VT-SL-TT-002-CRANEBEAM(1C001.5-1D001.1)-AS3678Gr350L0-SP80-003</t>
  </si>
  <si>
    <t>VT-SL-TT-002-CRANEBEAM(1C001.5-1D001.1)-AS3678Gr350L0-SP80-004</t>
  </si>
  <si>
    <t>10x2000x6000</t>
  </si>
  <si>
    <t>VT-SL-TT-002</t>
  </si>
  <si>
    <t>12x2438x10000</t>
  </si>
  <si>
    <t>20x2550x11050</t>
  </si>
  <si>
    <t>25x3000x12000</t>
  </si>
  <si>
    <t>32x2700x14150</t>
  </si>
  <si>
    <t>32x2700x13700</t>
  </si>
  <si>
    <t>40x2250x8050</t>
  </si>
  <si>
    <t>50x2380x12100</t>
  </si>
  <si>
    <t>50x2380x11300</t>
  </si>
  <si>
    <t>50x2550x10700</t>
  </si>
  <si>
    <t>50x2000x6000</t>
  </si>
  <si>
    <t>60x2200x10100</t>
  </si>
  <si>
    <t>80x1450x18050</t>
  </si>
  <si>
    <t>PL20</t>
  </si>
  <si>
    <t>PL25</t>
  </si>
  <si>
    <t>PL32</t>
  </si>
  <si>
    <t>PL40</t>
  </si>
  <si>
    <t>PL50</t>
  </si>
  <si>
    <t>PL60</t>
  </si>
  <si>
    <t>PL80</t>
  </si>
  <si>
    <t>PL026 PL026_1</t>
  </si>
  <si>
    <t>PL30x670x720</t>
  </si>
  <si>
    <t>PL30x925x6000</t>
  </si>
  <si>
    <t>VT-SL-TT-003-BPGC_DB-S355JR-SP30-001</t>
  </si>
  <si>
    <t>18/08/2026</t>
  </si>
  <si>
    <t>REV0</t>
  </si>
  <si>
    <t>BPGC_ĐB</t>
  </si>
  <si>
    <t>VT-HV-TT-029-BPGC-S355JR-SP30-001</t>
  </si>
  <si>
    <t>PL025 PL025_1</t>
  </si>
  <si>
    <t>PL30x580x650</t>
  </si>
  <si>
    <t>BG004-PH011_1A-V-K</t>
  </si>
  <si>
    <t>PL35x1570x1990</t>
  </si>
  <si>
    <t>PL35x2000x4524</t>
  </si>
  <si>
    <t>VT-SL-TT-003-BPGC_DB-S355JR-SP35-001</t>
  </si>
  <si>
    <t>VT-FD-TT-008-ZONE2(2.11)-S355JR-SP35-005</t>
  </si>
  <si>
    <t>BG004-PH011_1B-V</t>
  </si>
  <si>
    <t>PL35x400x1570</t>
  </si>
  <si>
    <t>BG004-PH011_1-V-K</t>
  </si>
  <si>
    <t>PL35x1570x2390</t>
  </si>
  <si>
    <t>30x925x6000</t>
  </si>
  <si>
    <t>VT-SL-TT-003</t>
  </si>
  <si>
    <t>PHAN THANH TRUNG</t>
  </si>
  <si>
    <t>35x2000x4524</t>
  </si>
  <si>
    <t>PL30</t>
  </si>
  <si>
    <t>PL35</t>
  </si>
  <si>
    <t>SX1-1A001-1-PL063</t>
  </si>
  <si>
    <t>PL12x275x300</t>
  </si>
  <si>
    <t>VT-SL-TT-004-CRANEBEAM(1A001.1-1B001.1-1C001.2-1B001.3)-AS3678GR350L0-SP12-001</t>
  </si>
  <si>
    <t>CRANEBEAM(1A001.1-1B001.1-1C001.2-1B001.3)</t>
  </si>
  <si>
    <t>SX1-1A001-1-PL064</t>
  </si>
  <si>
    <t>SX1-1B001-1-PL063</t>
  </si>
  <si>
    <t>SX1-1B001-1-PL064</t>
  </si>
  <si>
    <t>SX1-1B001-3-PL064</t>
  </si>
  <si>
    <t>VT-SL-TT-004-CRANEBEAM(1A001.1-1B001.1-1C001.2-1B001.3)-AS3678GR350L0-SP12-002</t>
  </si>
  <si>
    <t>SX1-1C001-2-PL063</t>
  </si>
  <si>
    <t>SX1-1C001-2-PL064</t>
  </si>
  <si>
    <t>SX1-1C001-2-PL066</t>
  </si>
  <si>
    <t>SX1-1B001-3-PL063</t>
  </si>
  <si>
    <t>VT-SL-TT-004-CRANEBEAM(1A001.1-1B001.1-1C001.2-1B001.3)-AS3678GR350L0-SP12-003</t>
  </si>
  <si>
    <t>SX1-1B001-1-PH025-K-TARO</t>
  </si>
  <si>
    <t>VT-SL-TT-004-CRANEBEAM(1A001.1-1B001.1-1C001.2-1B001.3)-AS3678GR350L0-SP20-001</t>
  </si>
  <si>
    <t>SX3-1C001-1-PH025-K-TARO</t>
  </si>
  <si>
    <t>SX3-1C001-1-PL062</t>
  </si>
  <si>
    <t>SX3-1C001-1-PL065</t>
  </si>
  <si>
    <t>SX3-1C001-1-PL105</t>
  </si>
  <si>
    <t>SX1-1C001-2-PH025-K-TARO</t>
  </si>
  <si>
    <t>SX1-1C001-2-PL065</t>
  </si>
  <si>
    <t>SX1-1A001-1-PH018</t>
  </si>
  <si>
    <t>VT-SL-TT-004-CRANEBEAM(1A001.1-1B001.1-1C001.2-1B001.3)-AS3678GR350L0-SP25-001</t>
  </si>
  <si>
    <t>SX1-1A001-1-PL059</t>
  </si>
  <si>
    <t>SX1-1A001-1-PL060</t>
  </si>
  <si>
    <t>SX1-1A001-1-PL061</t>
  </si>
  <si>
    <t>SX1-1B001-1-PH018</t>
  </si>
  <si>
    <t>SX1-1B001-1-PL059</t>
  </si>
  <si>
    <t>SX1-1B001-1-PL060</t>
  </si>
  <si>
    <t>SX1-1B001-1-PL061</t>
  </si>
  <si>
    <t>SX1-1C001-2-PL060</t>
  </si>
  <si>
    <t>SX1-1C001-2-PL061</t>
  </si>
  <si>
    <t>SX1-1A001-1-PH016</t>
  </si>
  <si>
    <t>VT-SL-TT-004-CRANEBEAM(1A001.1-1B001.1-1C001.2-1B001.3)-AS3678GR350L0-SP50-001</t>
  </si>
  <si>
    <t>SX1-1B001-1-PH016</t>
  </si>
  <si>
    <t>SX1-1A001-1-PH008-K</t>
  </si>
  <si>
    <t>STRENX700E</t>
  </si>
  <si>
    <t>PL50x1160x1940</t>
  </si>
  <si>
    <t>VT-SL-TT-004-CRANEBEAM(1A001.1-1B001.1-1C001.2-1B001.3)-STRENX700E-SP50-002</t>
  </si>
  <si>
    <t>SX1-1B001-1-PH020-K</t>
  </si>
  <si>
    <t>TEST MAU-QA-QC</t>
  </si>
  <si>
    <t>PL50x150x400</t>
  </si>
  <si>
    <t>SX1-1A001-1-PH017-K-TARO</t>
  </si>
  <si>
    <t>VT-SL-TT-004-CRANEBEAM(1A001.1-1B001.1-1C001.2-1B001.3)-AS3678GR350L0-SP50-003</t>
  </si>
  <si>
    <t>SX1-1B001-1-PH017-K-TARO</t>
  </si>
  <si>
    <t>SX1-1B001-3-PH024-K</t>
  </si>
  <si>
    <t>VT-SL-TT-004-CRANEBEAM(1A001.1-1B001.1-1C001.2-1B001.3)-AS3678GR350L0-SP50-004</t>
  </si>
  <si>
    <t>SX1-1C001-2-PH024-K</t>
  </si>
  <si>
    <t>VT-SL-TT-004</t>
  </si>
  <si>
    <t>PL003</t>
  </si>
  <si>
    <t>A572</t>
  </si>
  <si>
    <t>PL10x150x400</t>
  </si>
  <si>
    <t>PL10x549x1500</t>
  </si>
  <si>
    <t>VT-SL-TT-005-TEST_MAU-A572-SP10-001</t>
  </si>
  <si>
    <t>19/08/2026</t>
  </si>
  <si>
    <t>TEST MẪU QUY TRÌNH HÀN</t>
  </si>
  <si>
    <t>VT-NCC-TT-011-CHANDON15TRU-A572-SP10-001</t>
  </si>
  <si>
    <t>PL001</t>
  </si>
  <si>
    <t>PL20x50x300</t>
  </si>
  <si>
    <t>PL20x610x1998</t>
  </si>
  <si>
    <t>VT-SL-TT-005-TEST_MAU-Q355-SP20-001</t>
  </si>
  <si>
    <t>PL002</t>
  </si>
  <si>
    <t>PL20x50x50</t>
  </si>
  <si>
    <t>PL01</t>
  </si>
  <si>
    <t>PL02</t>
  </si>
  <si>
    <t>PL25-V</t>
  </si>
  <si>
    <t>PL25x300x1200</t>
  </si>
  <si>
    <t>VT-SL-TT-005-TEST_MAU-AS3678GR350L0-SP25-001</t>
  </si>
  <si>
    <t>PL03-V</t>
  </si>
  <si>
    <t>PL32x150x400</t>
  </si>
  <si>
    <t>PL32x2250x8500</t>
  </si>
  <si>
    <t>VT-SL-TT-005-TEST_MAU-AS3678Gr350L0-SP32-001</t>
  </si>
  <si>
    <t>PL04</t>
  </si>
  <si>
    <t>PL32x300x350</t>
  </si>
  <si>
    <t>10x549x1500</t>
  </si>
  <si>
    <t>VT-SL-TT-005</t>
  </si>
  <si>
    <t>BUI THI UT</t>
  </si>
  <si>
    <t>20x610x1998</t>
  </si>
  <si>
    <t>32x2250x8500</t>
  </si>
  <si>
    <t>1B001-1-PL063</t>
  </si>
  <si>
    <t>VT-SL-TT-006-CRANEBEAM(1B001_2-1CO001_1)-AS3678Gr350L0-SP12-001</t>
  </si>
  <si>
    <t>CRANEBEAM(1B001.2-1C001.1)</t>
  </si>
  <si>
    <t>1B001-1-PL064</t>
  </si>
  <si>
    <t>1B001-1-PL066</t>
  </si>
  <si>
    <t>1B001-2-PL063</t>
  </si>
  <si>
    <t>1B001-2-PL064</t>
  </si>
  <si>
    <t>VT-SL-TT-006-CRANEBEAM(1B001_2-1CO001_1)-AS3678Gr350L0-SP12-002</t>
  </si>
  <si>
    <t>1B001-1-PL060</t>
  </si>
  <si>
    <t>VT-SL-TT-006-CRANEBEAM(1B001_2-1CO001_1)-AS3678Gr350L0-SP25-001</t>
  </si>
  <si>
    <t>1B001-1-PL061</t>
  </si>
  <si>
    <t>1B001-1-PL068</t>
  </si>
  <si>
    <t>1B001-1-PH026-K</t>
  </si>
  <si>
    <t>PL40x834x2658</t>
  </si>
  <si>
    <t>VT-SL-TT-006-CRANEBEAM(1B001_2-1CO001_1)-AS3678Gr350L0-SP40-001</t>
  </si>
  <si>
    <t>1B001-1-PH024-K</t>
  </si>
  <si>
    <t>PL50x1984x10700</t>
  </si>
  <si>
    <t>VT-SL-TT-006-CRANEBEAM(1B001_2-1CO001_1)-AS3678Gr350L0-SP50-001</t>
  </si>
  <si>
    <t>1B001-1-FL037-V</t>
  </si>
  <si>
    <t>AS3678Gr350L15</t>
  </si>
  <si>
    <t>PL60x1080x2260</t>
  </si>
  <si>
    <t>VT-SL-TT-006-CRANEBEAM(1B001_2-1CO001_1)-AS3678Gr350L15 -SP60-001</t>
  </si>
  <si>
    <t>VT-SL-TT-006</t>
  </si>
  <si>
    <t>VÕ LÊ HUY</t>
  </si>
  <si>
    <t>50x1984x10700</t>
  </si>
  <si>
    <t>20/08/2026</t>
  </si>
  <si>
    <t>PL50x2500x6000</t>
  </si>
  <si>
    <t>REV1</t>
  </si>
  <si>
    <t>50x2500x6000</t>
  </si>
  <si>
    <t>PL25x3000x16050</t>
  </si>
  <si>
    <t>25x3000x16050</t>
  </si>
  <si>
    <t>1B001-3-PH018</t>
  </si>
  <si>
    <t>VT-SL-TT-007-CRANEBEAMDAUBO(1B001.3-1B001.5-1C001.4)-AS3678GR350L0-SP25-001</t>
  </si>
  <si>
    <t>CRANEBEAM(1B001.3-1B001.5-1C001.4)-ĐẦU BÒ</t>
  </si>
  <si>
    <t>1B001-3-PL059</t>
  </si>
  <si>
    <t>1B001-3-PL060</t>
  </si>
  <si>
    <t>1B001-3-PL061</t>
  </si>
  <si>
    <t>1B001-5-PH018</t>
  </si>
  <si>
    <t>1B001-5-PL059</t>
  </si>
  <si>
    <t>1B001-5-PL060</t>
  </si>
  <si>
    <t>1B001-5-PL061</t>
  </si>
  <si>
    <t>1C001-4-PH018</t>
  </si>
  <si>
    <t>1C001-4-PL059</t>
  </si>
  <si>
    <t>1C001-4-PL060</t>
  </si>
  <si>
    <t>1C001-4-PL061</t>
  </si>
  <si>
    <t>1B001-3-PH020</t>
  </si>
  <si>
    <t>VT-SL-TT-007-CRANEBEAMDAUBO(1B001.3-1B001.5-1C001.4)-S690QL1-SP50-001</t>
  </si>
  <si>
    <t>1B001-5-PH020</t>
  </si>
  <si>
    <t>TESTMAUQAQC400x150x50-V</t>
  </si>
  <si>
    <t>TESTMAUQAQC50x1200x250-V</t>
  </si>
  <si>
    <t>PL50x250x1200</t>
  </si>
  <si>
    <t>TESTMAUQAQCL350xW300xT50</t>
  </si>
  <si>
    <t>PL50x300x350</t>
  </si>
  <si>
    <t>VT-SL-TT-007-CRANEBEAMDAUBO(1B001.3-1B001.5-1C001.4)-S690QL1-SP50-002</t>
  </si>
  <si>
    <t>1C001-4-PH020</t>
  </si>
  <si>
    <t>VT-SL-TT-007-CRANEBEAMDAUBO(1B001.3-1B001.5-1C001.4)-S690QL1-SP50-003</t>
  </si>
  <si>
    <t>1B001-3-PH017-K-TARO</t>
  </si>
  <si>
    <t>PL50x2380x6840</t>
  </si>
  <si>
    <t>VT-SL-TT-007-CRANEBEAMDAUBO(1B001.3-1B001.5-1C001.4)-AS3678GR350L0-SP50-004</t>
  </si>
  <si>
    <t>1B001-5-PH017-K-TARO</t>
  </si>
  <si>
    <t>1C001-4-PH017-K-TARO</t>
  </si>
  <si>
    <t>1B001-3-PH016</t>
  </si>
  <si>
    <t>PL50x2380x8100</t>
  </si>
  <si>
    <t>VT-SL-TT-007-CRANEBEAMDAUBO(1B001.3-1B001.5-1C001.4)-AS3678GR350L0-SP50-005</t>
  </si>
  <si>
    <t>1B001-5-PH016</t>
  </si>
  <si>
    <t>1C001-4-PH016</t>
  </si>
  <si>
    <t>PL50x623x760</t>
  </si>
  <si>
    <t>VT-SL-TT-007-CRANEBEAMDAUBO(1B001.3-1B001.5-1C001.4)-STRENX700E-SP50-006</t>
  </si>
  <si>
    <t>VT-SL-TT-004-CRANEBEAM(1A001.1-1B001.1-1C001.2-1B001.3)-STRENX700E-SP50-002_B</t>
  </si>
  <si>
    <t>VT-SL-TT-007-CRANEBEAMDAUBO(1B001.3-1B001.5-1C001.4)-STRENX700E-SP50-007</t>
  </si>
  <si>
    <t>VT-SL-TT-004-CRANEBEAM(1A001.1-1B001.1-1C001.2-1B001.3)-STRENX700E-SP50-002_C</t>
  </si>
  <si>
    <t>VT-SL-TT-007</t>
  </si>
  <si>
    <t>50x2380x6840</t>
  </si>
  <si>
    <t>50x2380x8100</t>
  </si>
  <si>
    <t>50x623x760</t>
  </si>
  <si>
    <t>1B001-4-PH018</t>
  </si>
  <si>
    <t>VT-SL-TT-008-CRANEBEAM(1B001-4-1C001-3-1C001-5-1D001-1)-DAUBO-AS3678GR350L0-SP25-001</t>
  </si>
  <si>
    <t>22/08/2026</t>
  </si>
  <si>
    <t>PLATFORM-MAINSTRUCTURE-CRANEBEAM(1B001.4-1C001.3-1C001.5-1D001.1)-ĐẦU BÒ</t>
  </si>
  <si>
    <t>1C001-3-PL060</t>
  </si>
  <si>
    <t>1C001-3-PL061</t>
  </si>
  <si>
    <t>1C001-5-PH018</t>
  </si>
  <si>
    <t>1C001-5-PL060</t>
  </si>
  <si>
    <t>1C001-3-PH016</t>
  </si>
  <si>
    <t>PL50x2112x2380</t>
  </si>
  <si>
    <t>VT-SL-TT-008-CRANEBEAM(1B001-4-1C001-3-1C001-5-1D001-1)-DAUBO-AS3678GR350L0-SP50-001</t>
  </si>
  <si>
    <t>1D001-1-PH007</t>
  </si>
  <si>
    <t>VT-SL-TT-008-CRANEBEAM(1B001-4-1C001-3-1C001-5-1D001-1)-DAUBO-S690QL1-SP50-002</t>
  </si>
  <si>
    <t>1C001-5-PH020</t>
  </si>
  <si>
    <t>VT-SL-TT-008-CRANEBEAM(1B001-4-1C001-3-1C001-5-1D001-1)-DAUBO-S690QL1-SP50-003</t>
  </si>
  <si>
    <t>1B001-4-PH020</t>
  </si>
  <si>
    <t>VT-SL-TT-008-CRANEBEAM(1B001-4-1C001-3-1C001-5-1D001-1)-DAUBO-S690QL1-SP50-004</t>
  </si>
  <si>
    <t>1C001-3-PH020</t>
  </si>
  <si>
    <t>VT-SL-TT-008-CRANEBEAM(1B001-4-1C001-3-1C001-5-1D001-1)-DAUBO-S690QL1-SP50-005</t>
  </si>
  <si>
    <t>1C001-3-PH017-K-TARO</t>
  </si>
  <si>
    <t>VT-SL-TT-008-CRANEBEAM(1B001-4-1C001-3-1C001-5-1D001-1)-DAUBO-AS3678GR350L0-SP50-006</t>
  </si>
  <si>
    <t>VT-SL-TT-008</t>
  </si>
  <si>
    <t>50x2112x2380</t>
  </si>
  <si>
    <t>SX3-1C001-3-PL063</t>
  </si>
  <si>
    <t>VT-SL-TT-009-CRANEBEAM(1C001-3)-AS3678Gr350L0-SP12-001</t>
  </si>
  <si>
    <t>CRANEBEAM(1C001.3)</t>
  </si>
  <si>
    <t>SX3-1C001-3-PL064</t>
  </si>
  <si>
    <t>SX3-1C001-3-PL066</t>
  </si>
  <si>
    <t>SX3-1C001-3-PH025-K-TARRO</t>
  </si>
  <si>
    <t>PL20x2550x8407</t>
  </si>
  <si>
    <t>VT-SL-TT-009-CRANEBEAM(1C001-3)-AS3678GR350L0-SP20-001</t>
  </si>
  <si>
    <t>SX3-1C001-3-PL062</t>
  </si>
  <si>
    <t>SX3-1C001-3-PL065</t>
  </si>
  <si>
    <t>SX3-1C001-3-PL001</t>
  </si>
  <si>
    <t>VT-SL-TT-009-CRANEBEAM(1C001-3)-AS3678GR350L0-SP25-001</t>
  </si>
  <si>
    <t>SX3-1C001-3-PL007</t>
  </si>
  <si>
    <t>SX3-1C001-3-PL013</t>
  </si>
  <si>
    <t>SX3-1C001-3-PL068</t>
  </si>
  <si>
    <t>SX3-1C001-3-W024-V</t>
  </si>
  <si>
    <t>PL32x2660x14134</t>
  </si>
  <si>
    <t>VT-SL-TT-009-CRANEBEAM(1C001-3)-AS3678GR350L0-SP32-001</t>
  </si>
  <si>
    <t>SX3-1C001-3-W025-V</t>
  </si>
  <si>
    <t>PL32x2660x13686</t>
  </si>
  <si>
    <t>VT-SL-TT-009-CRANEBEAM(1C001-3)-AS3678GR350L0-SP32-002</t>
  </si>
  <si>
    <t>SX3-1C001-3-PH026-K</t>
  </si>
  <si>
    <t>VT-SL-TT-009-CRANEBEAM(1C001-3)-AS3678Gr350L0-SP40-001</t>
  </si>
  <si>
    <t>SX3-1C001-3-PH024-K</t>
  </si>
  <si>
    <t>PL50x1029x10700</t>
  </si>
  <si>
    <t>VT-SL-TT-009-CRANEBEAM(1C001-3)-AS3678GR350L0-SP50-001</t>
  </si>
  <si>
    <t>VT-SL-TT-009-CRANEBEAM(1C001-3)-AS3678GR350L0-SP50-002</t>
  </si>
  <si>
    <t>SX3-1C001-3-FL040</t>
  </si>
  <si>
    <t>PL60x2200x7834</t>
  </si>
  <si>
    <t>VT-SL-TT-009-CRANEBEAM(1C001-3)-AS3678GR350L0-SP60-001</t>
  </si>
  <si>
    <t>SX3-1C001-3-FL042</t>
  </si>
  <si>
    <t>SX3-1C001-3-FL038-V</t>
  </si>
  <si>
    <t>PL80x1200x17998</t>
  </si>
  <si>
    <t>VT-SL-TT-009-CRANEBEAM(1C001-3)-AS3678Gr350L0-SP80-001</t>
  </si>
  <si>
    <t>VT-SL-TT-009-CRANEBEAM(1C001-3)-AS3678Gr350L0-SP80-002</t>
  </si>
  <si>
    <t>VT-SL-TT-009</t>
  </si>
  <si>
    <t>PHAN THANH BAO</t>
  </si>
  <si>
    <t>20x2550x8407</t>
  </si>
  <si>
    <t>50x1029x10700</t>
  </si>
  <si>
    <t>60x2200x7834</t>
  </si>
  <si>
    <t>PH089-K</t>
  </si>
  <si>
    <t>PL20x260x660</t>
  </si>
  <si>
    <t>PL20x491x12000</t>
  </si>
  <si>
    <t>VT-SL-TT-010-BPGC(BOLATMAINBEAM)-Q355-SP20-001</t>
  </si>
  <si>
    <t>24/08/2026</t>
  </si>
  <si>
    <t xml:space="preserve">10726-141 </t>
  </si>
  <si>
    <t>BPGC(BO LAT MAIN BEAM)</t>
  </si>
  <si>
    <t>VT-HV-TT-009-GN-Q355-SP20-009</t>
  </si>
  <si>
    <t>PH091-K</t>
  </si>
  <si>
    <t>PL20x180x180</t>
  </si>
  <si>
    <t>PH092-K</t>
  </si>
  <si>
    <t>PH093-K</t>
  </si>
  <si>
    <t>PH094-K</t>
  </si>
  <si>
    <t>PL20x300x380</t>
  </si>
  <si>
    <t>PL153</t>
  </si>
  <si>
    <t>PL20x50x490</t>
  </si>
  <si>
    <t>PL154</t>
  </si>
  <si>
    <t>PL20x50x100</t>
  </si>
  <si>
    <t>PL155</t>
  </si>
  <si>
    <t>PL20x50x400</t>
  </si>
  <si>
    <t>PH087-K</t>
  </si>
  <si>
    <t>Q355B</t>
  </si>
  <si>
    <t>PL30x934x1000</t>
  </si>
  <si>
    <t>PL30x2000x12000</t>
  </si>
  <si>
    <t>VT-SL-TT-010-BPGC(BOLATMAINBEAM)-Q355B-SP30-001</t>
  </si>
  <si>
    <t>PH088-K</t>
  </si>
  <si>
    <t>PL30x934x995</t>
  </si>
  <si>
    <t>PH090-K</t>
  </si>
  <si>
    <t>PL30x811x945</t>
  </si>
  <si>
    <t>20x491x12000</t>
  </si>
  <si>
    <t>VT-SL-TT-010</t>
  </si>
  <si>
    <t>30x2000x12000</t>
  </si>
  <si>
    <t>SX3-1B001-4-PL063</t>
  </si>
  <si>
    <t>PL12x1965x7738</t>
  </si>
  <si>
    <t>VT-SL-TT-011-CRANEBEAM(1B001.4)-AS3678Gr350L0-SP12-001</t>
  </si>
  <si>
    <t>CRANEBEAM(1B001.4)</t>
  </si>
  <si>
    <t>PL12x2438x9349</t>
  </si>
  <si>
    <t>VT-SL-TT-011-CRANEBEAM(1B001.4)-AS3678Gr350L0-SP12-002</t>
  </si>
  <si>
    <t>PL12x2438x7415</t>
  </si>
  <si>
    <t>VT-SL-TT-011-CRANEBEAM(1B001.4)-AS3678GR350L0-SP12-003</t>
  </si>
  <si>
    <t>SX3-1B001-4-PL064</t>
  </si>
  <si>
    <t>SX3-1B001-4-PH015-K-TARO</t>
  </si>
  <si>
    <t>PL20x2550x5764</t>
  </si>
  <si>
    <t>VT-SL-TT-011-CRANEBEAM(1B001.4)-AS3678GR350L0-SP20-001</t>
  </si>
  <si>
    <t>SX3-1B001-4-PH025-K-TARO</t>
  </si>
  <si>
    <t>SX3-1B001-4-PL062</t>
  </si>
  <si>
    <t>SX3-1B001-4-PL065</t>
  </si>
  <si>
    <t>SX3-1B001-4-PL105</t>
  </si>
  <si>
    <t>VT-SL-TT-011-CRANEBEAM(1B001.4)-AS3678GR350L0-SP20-002</t>
  </si>
  <si>
    <t>SX3-1B001-4-PL001</t>
  </si>
  <si>
    <t>VT-SL-TT-011-CRANEBEAM(1B001.4)-AS3678GR350L0-SP25-001</t>
  </si>
  <si>
    <t>SX3-1B001-4-PL007</t>
  </si>
  <si>
    <t>SX3-1B001-4-PL013</t>
  </si>
  <si>
    <t>SX3-1B001-4-W024-V</t>
  </si>
  <si>
    <t>VT-SL-TT-011-CRANEBEAM(1B001.4)-AS3678GR350L0-SP32-001</t>
  </si>
  <si>
    <t>SX3-1B001-4-W025-V</t>
  </si>
  <si>
    <t>VT-SL-TT-011-CRANEBEAM(1B001.4)-AS3678GR350L0-SP32-002</t>
  </si>
  <si>
    <t>SX3-1B001-4-PH026-K</t>
  </si>
  <si>
    <t>PL40x898x8050</t>
  </si>
  <si>
    <t>VT-SL-TT-011-CRANEBEAM(1B001.4)-AS3678Gr350L0-SP40-001</t>
  </si>
  <si>
    <t>SX3-1B001-4-PH024-K</t>
  </si>
  <si>
    <t>VT-SL-TT-011-CRANEBEAM(1B001.4)-AS3678GR350L0-SP50-001</t>
  </si>
  <si>
    <t>SX3-1B001-4-FL037-V</t>
  </si>
  <si>
    <t>VT-SL-TT-011-CRANEBEAM(1B001.4)-AS3678GR350L0-SP60-001</t>
  </si>
  <si>
    <t>SX3-1B001-4-FL040-V</t>
  </si>
  <si>
    <t>PL60x1080x4909</t>
  </si>
  <si>
    <t>SX3-1B001-4-FL042-V</t>
  </si>
  <si>
    <t>PL60x1080x2809</t>
  </si>
  <si>
    <t>SX3-1B001-4-FL038-V</t>
  </si>
  <si>
    <t>VT-SL-TT-011-CRANEBEAM(1B001.4)-AS3678Gr350L0-SP80-001</t>
  </si>
  <si>
    <t>VT-SL-TT-011-CRANEBEAM(1B001.4)-AS3678Gr350L0-SP80-002</t>
  </si>
  <si>
    <t>12x1965x7738</t>
  </si>
  <si>
    <t>VT-SL-TT-011</t>
  </si>
  <si>
    <t>12x2438x9349</t>
  </si>
  <si>
    <t>12x2438x7415</t>
  </si>
  <si>
    <t>20x2550x5764</t>
  </si>
  <si>
    <t>40x898x8050</t>
  </si>
  <si>
    <t>SX1-1B001-5-PL064</t>
  </si>
  <si>
    <t>VT-SL-TT-012-CRANEBEAM(1C001.4-1B001.5)-AS3678GR350L0-SP12-001</t>
  </si>
  <si>
    <t>25/08/2026</t>
  </si>
  <si>
    <t>CRANEBEAM(1C001.4-1B001.5)</t>
  </si>
  <si>
    <t>SX1-1C001-4-PL063</t>
  </si>
  <si>
    <t>SX1-1C001-4-PL064</t>
  </si>
  <si>
    <t>SX1-1C001-4-PL066</t>
  </si>
  <si>
    <t>SX1-1B001-5-PL063</t>
  </si>
  <si>
    <t>VT-SL-TT-012-CRANEBEAM(1C001.4-1B001.5)-AS3678GR350L0-SP12-002</t>
  </si>
  <si>
    <t>SX1-1B001-5-PL062</t>
  </si>
  <si>
    <t>VT-SL-TT-012-CRANEBEAM(1C001.4-1B001.5)-AS3678GR350L0-SP20-001</t>
  </si>
  <si>
    <t>SX1-1B001-5-PL065</t>
  </si>
  <si>
    <t>SX1-1B001-5-PL105</t>
  </si>
  <si>
    <t>SX1-1C001-4-PH025-K-TARO</t>
  </si>
  <si>
    <t>SX1-1C001-4-PL062</t>
  </si>
  <si>
    <t>SX1-1C001-4-PL065</t>
  </si>
  <si>
    <t>SX1-1B001-5-PL001</t>
  </si>
  <si>
    <t>VT-SL-TT-012-CRANEBEAM(1C001.4-1B001.5)-AS3678GR350L0-SP25-001</t>
  </si>
  <si>
    <t>SX1-1B001-5-PL007</t>
  </si>
  <si>
    <t>SX1-1B001-5-PL013</t>
  </si>
  <si>
    <t>SX1-1C001-4-PL001</t>
  </si>
  <si>
    <t>SX1-1C001-4-PL007</t>
  </si>
  <si>
    <t>SX1-1C001-4-PL013</t>
  </si>
  <si>
    <t>SX1-1C001-4-PL068</t>
  </si>
  <si>
    <t>SX1-1B001-5-W024-V</t>
  </si>
  <si>
    <t>VT-SL-TT-012-CRANEBEAM(1C001.4-1B001.5)-AS3678GR350L0-SP32-001</t>
  </si>
  <si>
    <t>SX1-1C001-4-W024-V</t>
  </si>
  <si>
    <t>VT-SL-TT-012-CRANEBEAM(1C001.4-1B001.5)-AS3678GR350L0-SP32-002</t>
  </si>
  <si>
    <t>SX1-1B001-5-W025-V</t>
  </si>
  <si>
    <t>VT-SL-TT-012-CRANEBEAM(1C001.4-1B001.5)-AS3678GR350L0-SP32-003</t>
  </si>
  <si>
    <t>SX1-1C001-4-W025-V</t>
  </si>
  <si>
    <t>VT-SL-TT-012-CRANEBEAM(1C001.4-1B001.5)-AS3678GR350L0-SP32-004</t>
  </si>
  <si>
    <t>SX1-1B001-5-PH026-K</t>
  </si>
  <si>
    <t>VT-SL-TT-012-CRANEBEAM(1C001.4-1B001.5)-AS3678Gr350L0-SP40-001</t>
  </si>
  <si>
    <t>VT-SL-TT-012-CRANEBEAM(1C001.4-1B001.5)-AS3678Gr350L0-SP40-002</t>
  </si>
  <si>
    <t>SX1-1C001-4-PH026-k</t>
  </si>
  <si>
    <t>SX1-1B001-5-PH024-k</t>
  </si>
  <si>
    <t>VT-SL-TT-012-CRANEBEAM(1C001.4-1B001.5)-AS3678GR350L0-SP50-001</t>
  </si>
  <si>
    <t>SX1-1C001-4-PH024-K</t>
  </si>
  <si>
    <t>VT-SL-TT-012-CRANEBEAM(1C001.4-1B001.5)-AS3678GR350L0-SP50-002</t>
  </si>
  <si>
    <t>SX1-1B001-5-FL037-V</t>
  </si>
  <si>
    <t>VT-SL-TT-012-CRANEBEAM(1C001.4-1B001.5)-AS3678GR350L0-SP60-001</t>
  </si>
  <si>
    <t>SX1-1B001-5-FL040-V</t>
  </si>
  <si>
    <t>SX1-1B001-5-FL042-V</t>
  </si>
  <si>
    <t>SX1-1C001-4-FL037-V</t>
  </si>
  <si>
    <t>VT-SL-TT-012-CRANEBEAM(1C001.4-1B001.5)-AS3678GR350L0-SP60-002</t>
  </si>
  <si>
    <t>SX1-1C001-4-FL040-V</t>
  </si>
  <si>
    <t>SX1-1C001-4-FL042-V</t>
  </si>
  <si>
    <t>SX1-1B001-5-FL038-V</t>
  </si>
  <si>
    <t>VT-SL-TT-012-CRANEBEAM(1C001.4-1B001.5)-AS3678Gr350L0-SP80-001</t>
  </si>
  <si>
    <t>VT-SL-TT-012-CRANEBEAM(1C001.4-1B001.5)-AS3678Gr350L0-SP80-002</t>
  </si>
  <si>
    <t>SX1-1C001-4-FL038-V</t>
  </si>
  <si>
    <t>VT-SL-TT-012-CRANEBEAM(1C001.4-1B001.5)-AS3678Gr350L0-SP80-003</t>
  </si>
  <si>
    <t>VT-SL-TT-012-CRANEBEAM(1C001.4-1B001.5)-AS3678Gr350L0-SP80-004</t>
  </si>
  <si>
    <t>VT-SL-TT-012</t>
  </si>
  <si>
    <t>SX3-1D001-1-PH019-K</t>
  </si>
  <si>
    <t>VT-SL-TT-013-CRANEBEAM(1C001.5-1D001.1)-AS3678GR350L0-SP10-001</t>
  </si>
  <si>
    <t>27/08/2026</t>
  </si>
  <si>
    <t>SX3-1C001-5-PL063</t>
  </si>
  <si>
    <t>PL12x2438x7418</t>
  </si>
  <si>
    <t>VT-SL-TT-013-CRANEBEAM(1C001.5-1D001.1)-AS3678GR350L0-SP12-001</t>
  </si>
  <si>
    <t>SX3-1C001-5-PL064</t>
  </si>
  <si>
    <t>VT-SL-TT-013-CRANEBEAM(1C001.5-1D001.1)-AS3678GR350L0-SP12-002</t>
  </si>
  <si>
    <t>SX3-1C001-5-PL066</t>
  </si>
  <si>
    <t>SX3-1D001-1-PL063</t>
  </si>
  <si>
    <t>SX3-1D001-1-PL064</t>
  </si>
  <si>
    <t>SX3-1D001-1-PL066</t>
  </si>
  <si>
    <t>VT-SL-TT-013-CRANEBEAM(1C001.5-1D001.1)-AS3678GR350L0-SP12-003</t>
  </si>
  <si>
    <t>SX3-1C001-5-PH025-K-TARO</t>
  </si>
  <si>
    <t>PL20x2550x3315</t>
  </si>
  <si>
    <t>VT-SL-TT-013-CRANEBEAM(1C001.5-1D001.1)-AS3678GR350L0-SP20-001</t>
  </si>
  <si>
    <t>SX3-1C001-5-PL065</t>
  </si>
  <si>
    <t>SX3-1C001-5-PL105</t>
  </si>
  <si>
    <t>SX3-1D001-1-PH015-K-TARO</t>
  </si>
  <si>
    <t>SX3-1C001-5-PL062</t>
  </si>
  <si>
    <t>VT-SL-TT-013-CRANEBEAM(1C001.5-1D001.1)-AS3678GR350L0-SP20-002</t>
  </si>
  <si>
    <t>SX3-1D001-1-PL062</t>
  </si>
  <si>
    <t>SX3-1D001-1-PL065</t>
  </si>
  <si>
    <t>SX3-1D001-1-PL105</t>
  </si>
  <si>
    <t>SX3-1C001-5-PL001</t>
  </si>
  <si>
    <t>VT-SL-TT-013-CRANEBEAM(1C001.5-1D001.1)-AS3678GR350L0-SP25-001</t>
  </si>
  <si>
    <t>SX3-1C001-5-PL007</t>
  </si>
  <si>
    <t>SX3-1C001-5-PL013</t>
  </si>
  <si>
    <t>SX3-1C001-5-PL068</t>
  </si>
  <si>
    <t>SX3-1D001-1-PL001</t>
  </si>
  <si>
    <t>SX3-1D001-1-PL007</t>
  </si>
  <si>
    <t>SX3-1D001-1-PL013</t>
  </si>
  <si>
    <t>SX3-1D001-1-PL068</t>
  </si>
  <si>
    <t>VT-SL-TT-013-CRANEBEAM(1C001.5-1D001.1)-AS3678GR350L0-SP25-002</t>
  </si>
  <si>
    <t>SX3-1C001-5-W024-V</t>
  </si>
  <si>
    <t>VT-SL-TT-013-CRANEBEAM(1C001.5-1D001.1)-AS3678GR350L0-SP32-001</t>
  </si>
  <si>
    <t>SX3-1D001-1-W024-V</t>
  </si>
  <si>
    <t>VT-SL-TT-013-CRANEBEAM(1C001.5-1D001.1)-AS3678GR350L0-SP32-002</t>
  </si>
  <si>
    <t>SX3-1C001-5-W025-V</t>
  </si>
  <si>
    <t>VT-SL-TT-013-CRANEBEAM(1C001.5-1D001.1)-AS3678GR350L0-SP32-003</t>
  </si>
  <si>
    <t>SX3-1D001-1-W025-V</t>
  </si>
  <si>
    <t>VT-SL-TT-013-CRANEBEAM(1C001.5-1D001.1)-AS3678GR350L0-SP32-004</t>
  </si>
  <si>
    <t>SX3-1C001-5-PH026-K</t>
  </si>
  <si>
    <t>PL40x929x8050</t>
  </si>
  <si>
    <t>VT-SL-TT-013-CRANEBEAM(1C001.5-1D001.1)-AS3678Gr350L0-SP40-001</t>
  </si>
  <si>
    <t>VT-SL-TT-013-CRANEBEAM(1C001.5-1D001.1)-AS3678Gr350L0-SP40-002</t>
  </si>
  <si>
    <t>SX3-1C001-5-PH024</t>
  </si>
  <si>
    <t>VT-SL-TT-013-CRANEBEAM(1C001.5-1D001.1)-AS3678GR350L0-SP50-001</t>
  </si>
  <si>
    <t>SX3-1C001-5-FL037-V</t>
  </si>
  <si>
    <t>VT-SL-TT-013-CRANEBEAM(1C001.5-1D001.1)-AS3678GR350L0-SP60-001</t>
  </si>
  <si>
    <t>SX3-1C001-5-FL040-V</t>
  </si>
  <si>
    <t>SX3-1C001-5-FL042-V</t>
  </si>
  <si>
    <t>SX3-1D001-1-FL037-V</t>
  </si>
  <si>
    <t>VT-SL-TT-013-CRANEBEAM(1C001.5-1D001.1)-AS3678GR350L0-SP60-002</t>
  </si>
  <si>
    <t>SX3-1D001-1-FL040-V</t>
  </si>
  <si>
    <t>SX3-1D001-1-FL042-V</t>
  </si>
  <si>
    <t>SX3-1C001-5-FL038-V</t>
  </si>
  <si>
    <t>VT-SL-TT-013-CRANEBEAM(1C001.5-1D001.1)-AS3678Gr350L0-SP80-001</t>
  </si>
  <si>
    <t>VT-SL-TT-013-CRANEBEAM(1C001.5-1D001.1)-AS3678Gr350L0-SP80-002</t>
  </si>
  <si>
    <t>SX3-1D001-1-FL038-V</t>
  </si>
  <si>
    <t>VT-SL-TT-013-CRANEBEAM(1C001.5-1D001.1)-AS3678Gr350L0-SP80-003</t>
  </si>
  <si>
    <t>VT-SL-TT-013-CRANEBEAM(1C001.5-1D001.1)-AS3678Gr350L0-SP80-004</t>
  </si>
  <si>
    <t>VT-SL-TT-013</t>
  </si>
  <si>
    <t>12x2438x7418</t>
  </si>
  <si>
    <t>20x2550x3315</t>
  </si>
  <si>
    <t>40x929x8050</t>
  </si>
  <si>
    <t>PL50x2380x9379</t>
  </si>
  <si>
    <t>28/08/2026</t>
  </si>
  <si>
    <t>50x2380x9379</t>
  </si>
  <si>
    <t>PLATE_03-V</t>
  </si>
  <si>
    <t>TEST MAU HAN</t>
  </si>
  <si>
    <t>PLATE_01-V</t>
  </si>
  <si>
    <t>PL12x50x100</t>
  </si>
  <si>
    <t>PLATE_04-V</t>
  </si>
  <si>
    <t>PL16x200x650</t>
  </si>
  <si>
    <t>PL16x1020x2480</t>
  </si>
  <si>
    <t>VT-NCC-TT-013-S355J2-SP16-026_B</t>
  </si>
  <si>
    <t>PLATE_02-V</t>
  </si>
  <si>
    <t>VT-SL-TT-014</t>
  </si>
  <si>
    <t>16x1020x2480</t>
  </si>
  <si>
    <t>VT-SL-TT-014-TESTMAU-SS400-SP12-001</t>
  </si>
  <si>
    <t>30/08/2026</t>
  </si>
  <si>
    <t>VT-CTNB-TT-019-BANMA-SS400-SP12-001</t>
  </si>
  <si>
    <t>VT-SL-TT-014-TESTMAU-S355J2-SP16-001</t>
  </si>
  <si>
    <t>NGUYEN SONG HUONG</t>
  </si>
  <si>
    <t>BL003-PH100-K</t>
  </si>
  <si>
    <t>PL20x170x2562</t>
  </si>
  <si>
    <t>PL20x928x5178</t>
  </si>
  <si>
    <t>VT-SL-TT-015-S355JR-SP20-001</t>
  </si>
  <si>
    <t>31/08/2026</t>
  </si>
  <si>
    <t>BIỆN PHÁP GIA CÔNG</t>
  </si>
  <si>
    <t>VT-HV-TT-029-BPGC-S355JR-SP20-001</t>
  </si>
  <si>
    <t>BL004-PH100-K</t>
  </si>
  <si>
    <t>PL20x376x7732</t>
  </si>
  <si>
    <t>VT-SL-TT-015-Q355-SP20-002</t>
  </si>
  <si>
    <t>VT-HV-TT-038-SUPPERTRUSS-Q355-SP20-005_1</t>
  </si>
  <si>
    <t>BL001-PH104-K</t>
  </si>
  <si>
    <t>PL20x170x982</t>
  </si>
  <si>
    <t>PL20x188x12000</t>
  </si>
  <si>
    <t>VT-SL-TT-015-Q355-SP20-003</t>
  </si>
  <si>
    <t>VT-HV-TT-034-GIANNANG-Q355-SP20-007_1</t>
  </si>
  <si>
    <t>BL002-PH104-K</t>
  </si>
  <si>
    <t>S355</t>
  </si>
  <si>
    <t>PL20x216x8451</t>
  </si>
  <si>
    <t>VT-SL-TT-015-S355-SP20-004</t>
  </si>
  <si>
    <t>VT-HV-TT-021-BPCHANPIN-S355-SP20-001</t>
  </si>
  <si>
    <t>BL001-PH105-K</t>
  </si>
  <si>
    <t>PL30x432x461</t>
  </si>
  <si>
    <t>PL30x1360x12000</t>
  </si>
  <si>
    <t>VT-SL-TT-015-Q355-SP30-001</t>
  </si>
  <si>
    <t>VT-HV-TT-034-GIANNANG-Q355-SP30-002</t>
  </si>
  <si>
    <t>BL001-PH106-K</t>
  </si>
  <si>
    <t>PL30x420x432</t>
  </si>
  <si>
    <t>BL002-PH102-K</t>
  </si>
  <si>
    <t>BL002-PH103-K</t>
  </si>
  <si>
    <t>BL003-PH098-K</t>
  </si>
  <si>
    <t>BL003-PH099-K</t>
  </si>
  <si>
    <t>BL004-PH099-K</t>
  </si>
  <si>
    <t>BL004-PH101-K</t>
  </si>
  <si>
    <t>20x928x5178</t>
  </si>
  <si>
    <t>VT-SL-TT-015</t>
  </si>
  <si>
    <t>20x376x7732</t>
  </si>
  <si>
    <t>20x188x12000</t>
  </si>
  <si>
    <t>20x216x8451</t>
  </si>
  <si>
    <t>30x1360x12000</t>
  </si>
  <si>
    <t>KMA-2G001-41-PL009</t>
  </si>
  <si>
    <t>PL12x135x488</t>
  </si>
  <si>
    <t>PL12x1957x7054</t>
  </si>
  <si>
    <t>VT-SL-TT-016-BEAM(10KMA-11KC1)-AS3678GR350L0-SP12-001</t>
  </si>
  <si>
    <t>03/09/2026</t>
  </si>
  <si>
    <t>PLATFORM-MAIN STRUCTURE-BEAM(10.KMA-11.KC1)</t>
  </si>
  <si>
    <t>KMA-2G001-42-PL009</t>
  </si>
  <si>
    <t>KMA-2G001-43-PL009</t>
  </si>
  <si>
    <t>KMA-2G001-44-PL009</t>
  </si>
  <si>
    <t>KMA-2G001-48-W004</t>
  </si>
  <si>
    <t>PL12x490x6464</t>
  </si>
  <si>
    <t>KMA-3H001-3-W008-V</t>
  </si>
  <si>
    <t>PL12x1460x6688</t>
  </si>
  <si>
    <t>KMA-2F001-11-PL009</t>
  </si>
  <si>
    <t>VT-SL-TT-016-BEAM(10KMA-11KC1)-AS3678GR350L0-SP12-002</t>
  </si>
  <si>
    <t>KMA-2F001-12-PL009</t>
  </si>
  <si>
    <t>KMA-2G001-47-W004</t>
  </si>
  <si>
    <t>KMA-3F001-3-W008-V</t>
  </si>
  <si>
    <t>KC1-2B001-2-PL009</t>
  </si>
  <si>
    <t>VT-SL-TT-016-BEAM(10KMA-11KC1)-AS3678GR350L0-SP12-003</t>
  </si>
  <si>
    <t>KC1-2E001-2-PL009</t>
  </si>
  <si>
    <t>KC1-2F001-10-PL009</t>
  </si>
  <si>
    <t>KC1-2F001-9-PL009</t>
  </si>
  <si>
    <t>KC1-2H001-10-PL009</t>
  </si>
  <si>
    <t>KC1-2H001-9-PL009</t>
  </si>
  <si>
    <t>KC1-2H001-9-W005</t>
  </si>
  <si>
    <t>PL12x490x9980</t>
  </si>
  <si>
    <t>KC1-2K001-36-PL009</t>
  </si>
  <si>
    <t>KC1-2K001-37-PL009</t>
  </si>
  <si>
    <t>KC1-2K001-38-PL009</t>
  </si>
  <si>
    <t>KC1-2K001-39-PL009</t>
  </si>
  <si>
    <t>KC1-2K001-40-PL009</t>
  </si>
  <si>
    <t>KC1-3E001-3-W010</t>
  </si>
  <si>
    <t>PL12x1460x9068</t>
  </si>
  <si>
    <t>KC1-2C001-2-PL009</t>
  </si>
  <si>
    <t>VT-SL-TT-016-BEAM(10KMA-11KC1)-AS3678GR350L0-SP12-004</t>
  </si>
  <si>
    <t>KC1-2F001-10-PL010</t>
  </si>
  <si>
    <t>PL12x120x129</t>
  </si>
  <si>
    <t>KC1-2F001-9-PL010</t>
  </si>
  <si>
    <t>KC1-2G001-33-PL010</t>
  </si>
  <si>
    <t>KC1-2G001-34-PL010</t>
  </si>
  <si>
    <t>KC1-2G001-35-PL010</t>
  </si>
  <si>
    <t>KC1-2G001-36-PL010</t>
  </si>
  <si>
    <t>KC1-2G001-37-PL010</t>
  </si>
  <si>
    <t>KC1-2G001-38-PL010</t>
  </si>
  <si>
    <t>KC1-2G001-39-PL010</t>
  </si>
  <si>
    <t>KC1-2G001-40-PL010</t>
  </si>
  <si>
    <t>KC1-2H001-10-PL010</t>
  </si>
  <si>
    <t>KC1-2H001-10-W005</t>
  </si>
  <si>
    <t>KC1-2H001-9-PL010</t>
  </si>
  <si>
    <t>KC1-2J001-13-PL010</t>
  </si>
  <si>
    <t>KC1-2J001-15-PL010</t>
  </si>
  <si>
    <t>KC1-3C001-3-W010</t>
  </si>
  <si>
    <t>KC1-2C001-2-W005</t>
  </si>
  <si>
    <t>VT-SL-TT-016-BEAM(10KMA-11KC1)-AS3678GR350L0-SP12-005</t>
  </si>
  <si>
    <t>KMA-2F001-11-W011</t>
  </si>
  <si>
    <t>KMA-2H001-11-W005</t>
  </si>
  <si>
    <t>KMA-2H001-12-W005</t>
  </si>
  <si>
    <t>KMA-2J001-17-PL009</t>
  </si>
  <si>
    <t>KMA-2J001-18-PL009</t>
  </si>
  <si>
    <t>KMA-2K001-41-PL009</t>
  </si>
  <si>
    <t>KMA-2K001-42-PL009</t>
  </si>
  <si>
    <t>KMA-2K001-43-PL009</t>
  </si>
  <si>
    <t>KMA-2K001-44-PL009</t>
  </si>
  <si>
    <t>KMA-2K001-45-PL009</t>
  </si>
  <si>
    <t>KMA-2K001-46-PL009</t>
  </si>
  <si>
    <t>KMA-2K001-46-W003</t>
  </si>
  <si>
    <t>PL12x490x1514</t>
  </si>
  <si>
    <t>KMA-2K001-47-PL009</t>
  </si>
  <si>
    <t>KMA-2K001-48-PL009</t>
  </si>
  <si>
    <t>KMA-2K001-48-PL010</t>
  </si>
  <si>
    <t>KMA-2K001-48-PL011</t>
  </si>
  <si>
    <t>PL12x100x150</t>
  </si>
  <si>
    <t>KMA-2K001-48-W003</t>
  </si>
  <si>
    <t>KMA-3F001-3-PL004</t>
  </si>
  <si>
    <t>PL12x130x1458</t>
  </si>
  <si>
    <t>KMA-3F001-3-PL025</t>
  </si>
  <si>
    <t>PL12x130x263</t>
  </si>
  <si>
    <t>KMA-3H001-3-PL004</t>
  </si>
  <si>
    <t>KMA-3H001-3-PL025</t>
  </si>
  <si>
    <t>KC1-2A001-2-PL009</t>
  </si>
  <si>
    <t>VT-SL-TT-016-BEAM(10KMA-11KC1)-AS3678GR350L0-SP12-006</t>
  </si>
  <si>
    <t>KC1-2A001-2-W003</t>
  </si>
  <si>
    <t>KC1-2B001-2-W004</t>
  </si>
  <si>
    <t>KC1-2E001-2-W003</t>
  </si>
  <si>
    <t>KC1-2F001-10-W011</t>
  </si>
  <si>
    <t>KC1-2F001-9-W011</t>
  </si>
  <si>
    <t>KC1-2K001-33-PL009</t>
  </si>
  <si>
    <t>KC1-2K001-34-PL009</t>
  </si>
  <si>
    <t>KMA-2G001-42-W004</t>
  </si>
  <si>
    <t>KMA-2G001-47-PL009</t>
  </si>
  <si>
    <t>KMA-2G001-48-PL009</t>
  </si>
  <si>
    <t>KMA-2H001-11-PL009</t>
  </si>
  <si>
    <t>KMA-2H001-12-PL009</t>
  </si>
  <si>
    <t>KMA-2J001-16-PL009</t>
  </si>
  <si>
    <t>KMA-2K001-41-W003</t>
  </si>
  <si>
    <t>KMA-2K001-42-W003</t>
  </si>
  <si>
    <t>KMA-2K001-43-W003</t>
  </si>
  <si>
    <t>KMA-2K001-44-W003</t>
  </si>
  <si>
    <t>KMA-2K001-45-W003</t>
  </si>
  <si>
    <t>KMA-2K001-47-W003</t>
  </si>
  <si>
    <t>VT-SL-TT-016-BEAM(10KMA-11KC1)-AS3678GR350L0-SP12-007</t>
  </si>
  <si>
    <t>KMA-2G001-43-W004</t>
  </si>
  <si>
    <t>KMA-2G001-44-W004</t>
  </si>
  <si>
    <t>KMA-2G001-45-PL009</t>
  </si>
  <si>
    <t>KMA-2G001-45-W004</t>
  </si>
  <si>
    <t>KMA-2G001-46-PL009</t>
  </si>
  <si>
    <t>KMA-2G001-46-W004</t>
  </si>
  <si>
    <t>VT-SL-TT-016-BEAM(10KMA-11KC1)-AS3678GR350L0-SP12-008</t>
  </si>
  <si>
    <t>KMA-2F001-12-W011</t>
  </si>
  <si>
    <t>KMA-2G001-41-W004</t>
  </si>
  <si>
    <t>KC1-3A001-1-PL002</t>
  </si>
  <si>
    <t>PL12x95x263</t>
  </si>
  <si>
    <t>VT-SL-TT-016-BEAM(10KMA-11KC1)-AS3678GR350L0-SP12-009</t>
  </si>
  <si>
    <t>KC1-3A001-1-W009</t>
  </si>
  <si>
    <t>PL12x1434x1460</t>
  </si>
  <si>
    <t>KC1-3A001-2-PL002</t>
  </si>
  <si>
    <t>KC1-3A001-2-W009</t>
  </si>
  <si>
    <t>KC1-3C001-3-PL002</t>
  </si>
  <si>
    <t>KC1-3C001-3-PL025</t>
  </si>
  <si>
    <t>KC1-3E001-3-PL002</t>
  </si>
  <si>
    <t>KC1-3E001-3-PL025</t>
  </si>
  <si>
    <t>KMA-3F001-3-PL002</t>
  </si>
  <si>
    <t>KMA-3H001-3-PL002</t>
  </si>
  <si>
    <t>KC1-2K001-35-PL011</t>
  </si>
  <si>
    <t>VT-SL-TT-016-BEAM(10KMA-11KC1)-AS3678GR350L0-SP12-010</t>
  </si>
  <si>
    <t>KC1-2A001-2-PL011</t>
  </si>
  <si>
    <t>KC1-2A001-2-PL015</t>
  </si>
  <si>
    <t>PL12x128x145</t>
  </si>
  <si>
    <t>KC1-2A001-2-PL021</t>
  </si>
  <si>
    <t>PL12x130x1315</t>
  </si>
  <si>
    <t>KC1-2B001-2-PL011</t>
  </si>
  <si>
    <t>KC1-2B001-2-PL015</t>
  </si>
  <si>
    <t>KC1-2C001-2-PL011</t>
  </si>
  <si>
    <t>KC1-2C001-2-PL015</t>
  </si>
  <si>
    <t>KC1-2D001-2-PL015</t>
  </si>
  <si>
    <t>KC1-2E001-2-PL011</t>
  </si>
  <si>
    <t>KC1-2E001-2-PL015</t>
  </si>
  <si>
    <t>KC1-2E001-2-PL021</t>
  </si>
  <si>
    <t>KC1-2J001-14-PL010</t>
  </si>
  <si>
    <t>KC1-2K001-33-PL010</t>
  </si>
  <si>
    <t>KC1-2K001-33-PL011</t>
  </si>
  <si>
    <t>KC1-2K001-34-PL010</t>
  </si>
  <si>
    <t>KC1-2K001-34-PL011</t>
  </si>
  <si>
    <t>KC1-2K001-35-PL010</t>
  </si>
  <si>
    <t>KC1-2K001-36-PL010</t>
  </si>
  <si>
    <t>KC1-2K001-36-PL011</t>
  </si>
  <si>
    <t>KC1-2K001-37-PL010</t>
  </si>
  <si>
    <t>KC1-2K001-37-PL011</t>
  </si>
  <si>
    <t>KC1-2K001-38-PL010</t>
  </si>
  <si>
    <t>KC1-2K001-38-PL011</t>
  </si>
  <si>
    <t>KC1-2K001-39-PL010</t>
  </si>
  <si>
    <t>KC1-2K001-39-PL011</t>
  </si>
  <si>
    <t>KC1-2K001-40-PL010</t>
  </si>
  <si>
    <t>KC1-2K001-40-PL011</t>
  </si>
  <si>
    <t>KC1-3C001-3-PL004</t>
  </si>
  <si>
    <t>KC1-3E001-3-PL004</t>
  </si>
  <si>
    <t>KMA-12A001-1-PH004-K</t>
  </si>
  <si>
    <t>PL12x70x155</t>
  </si>
  <si>
    <t>KMA-12A001-2-PH004-K</t>
  </si>
  <si>
    <t>KMA-12A001-3-PH004-K</t>
  </si>
  <si>
    <t>KMA-12A001-4-PH004-K</t>
  </si>
  <si>
    <t>KMA-12B001-1-PH006-K</t>
  </si>
  <si>
    <t>PL12x70x165</t>
  </si>
  <si>
    <t>KMA-12B001-2-PH006-K</t>
  </si>
  <si>
    <t>KMA-12B001-3-PH006-K</t>
  </si>
  <si>
    <t>KMA-12B001-4-PH006-K</t>
  </si>
  <si>
    <t>KMA-2F001-11-PL010</t>
  </si>
  <si>
    <t>KMA-2F001-12-PL010</t>
  </si>
  <si>
    <t>KMA-2G001-41-PL010</t>
  </si>
  <si>
    <t>KMA-2G001-42-PL010</t>
  </si>
  <si>
    <t>KMA-2G001-43-PL010</t>
  </si>
  <si>
    <t>KMA-2G001-44-PL010</t>
  </si>
  <si>
    <t>KMA-2G001-45-PL010</t>
  </si>
  <si>
    <t>KMA-2G001-46-PL010</t>
  </si>
  <si>
    <t>KMA-2G001-47-PL010</t>
  </si>
  <si>
    <t>KMA-2G001-48-PL010</t>
  </si>
  <si>
    <t>KMA-2H001-11-PL010</t>
  </si>
  <si>
    <t>KMA-2H001-12-PL010</t>
  </si>
  <si>
    <t>KMA-2J001-16-PL010</t>
  </si>
  <si>
    <t>KMA-2J001-17-PL010</t>
  </si>
  <si>
    <t>KMA-2J001-18-PL010</t>
  </si>
  <si>
    <t>KMA-2K001-41-PL010</t>
  </si>
  <si>
    <t>KMA-2K001-41-PL011</t>
  </si>
  <si>
    <t>KMA-2K001-42-PL010</t>
  </si>
  <si>
    <t>KMA-2K001-42-PL011</t>
  </si>
  <si>
    <t>KMA-2K001-43-PL010</t>
  </si>
  <si>
    <t>KMA-2K001-43-PL011</t>
  </si>
  <si>
    <t>KMA-2K001-44-PL010</t>
  </si>
  <si>
    <t>KMA-2K001-44-PL011</t>
  </si>
  <si>
    <t>KMA-2K001-45-PL010</t>
  </si>
  <si>
    <t>KMA-2K001-45-PL011</t>
  </si>
  <si>
    <t>KMA-2K001-46-PL010</t>
  </si>
  <si>
    <t>KMA-2K001-46-PL011</t>
  </si>
  <si>
    <t>KMA-2K001-47-PL010</t>
  </si>
  <si>
    <t>KMA-2K001-47-PL011</t>
  </si>
  <si>
    <t>KMA-12A001-1-PH003-C</t>
  </si>
  <si>
    <t>PL16x340x369</t>
  </si>
  <si>
    <t>PL16x2438x12000</t>
  </si>
  <si>
    <t>VT-SL-TT-016-BEAM(10KMA-11KC1)-AS3678GR350L0-SP16-001</t>
  </si>
  <si>
    <t>KMA-12A001-2-PH003-C</t>
  </si>
  <si>
    <t>KMA-12A001-3-PH003-C</t>
  </si>
  <si>
    <t>KMA-12A001-4-PH003-C</t>
  </si>
  <si>
    <t>KMA-12B001-1-PH005-C</t>
  </si>
  <si>
    <t>PL16x300x369</t>
  </si>
  <si>
    <t>KMA-12B001-2-PH005-C</t>
  </si>
  <si>
    <t>KMA-12B001-3-PH005-C</t>
  </si>
  <si>
    <t>KMA-12B001-4-PH005-C</t>
  </si>
  <si>
    <t>KC1-2C001-2-FL011</t>
  </si>
  <si>
    <t>PL20x300x9980</t>
  </si>
  <si>
    <t>VT-SL-TT-016-BEAM(10KMA-11KC1)-AS3678GR350L0-SP20-001</t>
  </si>
  <si>
    <t>KC1-2H001-10-FL011</t>
  </si>
  <si>
    <t>KC1-2H001-9-FL011</t>
  </si>
  <si>
    <t>KC1-3A001-2-FL016</t>
  </si>
  <si>
    <t>PL20x300x1434</t>
  </si>
  <si>
    <t>KC1-3B001-2-W013</t>
  </si>
  <si>
    <t>PL20x1434x1436</t>
  </si>
  <si>
    <t>KC1-3D001-5-W002</t>
  </si>
  <si>
    <t>PL20x1436x9068</t>
  </si>
  <si>
    <t>KC1-4A001-17-FL012-V</t>
  </si>
  <si>
    <t>PL20x300x1096</t>
  </si>
  <si>
    <t>KC1-4A001-18-FL012-V</t>
  </si>
  <si>
    <t>KC1-2A001-2-FL006</t>
  </si>
  <si>
    <t>PL20x300x1514</t>
  </si>
  <si>
    <t>VT-SL-TT-016-BEAM(10KMA-11KC1)-AS3678GR350L0-SP20-002</t>
  </si>
  <si>
    <t>KC1-2C001-2-FL010-V</t>
  </si>
  <si>
    <t>PL20x300x9516</t>
  </si>
  <si>
    <t>KC1-2C001-2-PL018</t>
  </si>
  <si>
    <t>PL20x330x9400</t>
  </si>
  <si>
    <t>KC1-2E001-2-FL006</t>
  </si>
  <si>
    <t>KC1-2E001-2-PL020</t>
  </si>
  <si>
    <t>PL20x330x1345</t>
  </si>
  <si>
    <t>KC1-2H001-10-FL010-V</t>
  </si>
  <si>
    <t>KC1-3A001-1-FL016</t>
  </si>
  <si>
    <t>KC1-3B001-1-W013</t>
  </si>
  <si>
    <t>KC1-3D001-6-W002</t>
  </si>
  <si>
    <t>KC1-2A001-2-PL020</t>
  </si>
  <si>
    <t>VT-SL-TT-016-BEAM(10KMA-11KC1)-AS3678GR350L0-SP20-003</t>
  </si>
  <si>
    <t>KC1-2D001-2-FL007-V</t>
  </si>
  <si>
    <t>PL20x300x6101</t>
  </si>
  <si>
    <t>KC1-2K001-40-FL006</t>
  </si>
  <si>
    <t>KC1-3C001-3-FL001-V</t>
  </si>
  <si>
    <t>PL20x300x8016</t>
  </si>
  <si>
    <t>KC1-3E001-3-FL001-V</t>
  </si>
  <si>
    <t>KMA-2J001-17-FL010-V</t>
  </si>
  <si>
    <t>KMA-2K001-41-FL006</t>
  </si>
  <si>
    <t>KMA-2K001-42-FL006</t>
  </si>
  <si>
    <t>KMA-2K001-43-FL005-V</t>
  </si>
  <si>
    <t>PL20x300x1383</t>
  </si>
  <si>
    <t>KMA-2K001-43-FL006</t>
  </si>
  <si>
    <t>KMA-2K001-44-FL005-V</t>
  </si>
  <si>
    <t>KMA-2K001-44-FL006</t>
  </si>
  <si>
    <t>KMA-2K001-45-FL005-V</t>
  </si>
  <si>
    <t>KMA-2K001-45-FL006</t>
  </si>
  <si>
    <t>KMA-2K001-46-FL006</t>
  </si>
  <si>
    <t>KMA-2K001-47-FL005-V</t>
  </si>
  <si>
    <t>KMA-2K001-47-FL006</t>
  </si>
  <si>
    <t>KMA-2K001-48-FL006</t>
  </si>
  <si>
    <t>KMA-3F001-3-FL014</t>
  </si>
  <si>
    <t>PL20x300x7800</t>
  </si>
  <si>
    <t>KMA-3H001-3-FL014</t>
  </si>
  <si>
    <t>KMA-4A001-21-FL012-V</t>
  </si>
  <si>
    <t>KMA-4A001-24-FL012-V</t>
  </si>
  <si>
    <t>KC1-2B001-2-FL008</t>
  </si>
  <si>
    <t>PL20x300x6464</t>
  </si>
  <si>
    <t>PL20x2550x13000</t>
  </si>
  <si>
    <t>VT-SL-TT-016-BEAM(10KMA-11KC1)-AS3678GR350L0-SP20-004</t>
  </si>
  <si>
    <t>KC1-2B001-2-PL016</t>
  </si>
  <si>
    <t>PL20x330x6005</t>
  </si>
  <si>
    <t>KC1-2D001-2-FL008</t>
  </si>
  <si>
    <t>KC1-2D001-2-PL016</t>
  </si>
  <si>
    <t>KC1-2F001-10-FL008</t>
  </si>
  <si>
    <t>KC1-2F001-9-FL008</t>
  </si>
  <si>
    <t>KC1-3A001-1-FL015-V</t>
  </si>
  <si>
    <t>PL20x300x908</t>
  </si>
  <si>
    <t>KC1-3A001-2-FL015-V</t>
  </si>
  <si>
    <t>KMA-3G001-5-W007-V</t>
  </si>
  <si>
    <t>PL20x1436x6298</t>
  </si>
  <si>
    <t>KMA-3G001-6-W007-V</t>
  </si>
  <si>
    <t>KC1-2A001-2-FL005-V</t>
  </si>
  <si>
    <t>VT-SL-TT-016-BEAM(10KMA-11KC1)-AS3678GR350L0-SP20-005</t>
  </si>
  <si>
    <t>KC1-2B001-2-FL007-V</t>
  </si>
  <si>
    <t>KC1-2E001-2-FL005-V</t>
  </si>
  <si>
    <t>KC1-2F001-10-FL009</t>
  </si>
  <si>
    <t>PL20x300x6232</t>
  </si>
  <si>
    <t>KC1-2F001-9-FL009</t>
  </si>
  <si>
    <t>KC1-4A001-19-FL012-V</t>
  </si>
  <si>
    <t>KC1-4A001-20-FL012-V</t>
  </si>
  <si>
    <t>KMA-2F001-11-FL009</t>
  </si>
  <si>
    <t>KMA-2F001-12-FL009</t>
  </si>
  <si>
    <t>KMA-2K001-41-FL005-V</t>
  </si>
  <si>
    <t>KMA-2K001-46-FL005-V</t>
  </si>
  <si>
    <t>KMA-2K001-48-FL005-V</t>
  </si>
  <si>
    <t>KMA-4A001-22-FL012-V</t>
  </si>
  <si>
    <t>KMA-4A001-23-FL012-V</t>
  </si>
  <si>
    <t>KC1-2K001-33-FL006</t>
  </si>
  <si>
    <t>VT-SL-TT-016-BEAM(10KMA-11KC1)-AS3678GR350L0-SP20-006</t>
  </si>
  <si>
    <t>KC1-2K001-34-FL006</t>
  </si>
  <si>
    <t>KC1-2K001-35-FL006</t>
  </si>
  <si>
    <t>KC1-2K001-36-FL006</t>
  </si>
  <si>
    <t>KC1-2K001-37-FL006</t>
  </si>
  <si>
    <t>KC1-2K001-38-FL006</t>
  </si>
  <si>
    <t>KC1-2K001-39-FL006</t>
  </si>
  <si>
    <t>KC1-3C001-3-FL002</t>
  </si>
  <si>
    <t>PL20x300x9068</t>
  </si>
  <si>
    <t>KC1-3E001-3-FL002</t>
  </si>
  <si>
    <t>KMA-2K001-42-FL005-V</t>
  </si>
  <si>
    <t>KC1-3B001-1-FL017-V</t>
  </si>
  <si>
    <t>PL32x550x848</t>
  </si>
  <si>
    <t>PL32x2250x9100</t>
  </si>
  <si>
    <t>VT-SL-TT-016-BEAM(10KMA-11KC1)-AS3678GR350L0-SP32-001</t>
  </si>
  <si>
    <t>KC1-3B001-1-FL018</t>
  </si>
  <si>
    <t>PL32x550x1434</t>
  </si>
  <si>
    <t>KC1-3B001-2-FL018</t>
  </si>
  <si>
    <t>KC1-3D001-5-FL003-V</t>
  </si>
  <si>
    <t>PL32x550x7896</t>
  </si>
  <si>
    <t>KC1-3D001-6-FL003-V</t>
  </si>
  <si>
    <t>KC1-3B001-2-FL017-V</t>
  </si>
  <si>
    <t>VT-SL-TT-016-BEAM(10KMA-11KC1)-AS3678GR350L0-SP32-002</t>
  </si>
  <si>
    <t>KMA-3G001-5-FL013</t>
  </si>
  <si>
    <t>PL32x550x7660</t>
  </si>
  <si>
    <t>PL32x2250x7800</t>
  </si>
  <si>
    <t>VT-SL-TT-016-BEAM(10KMA-11KC1)-AS3678GR350L0-SP32-003</t>
  </si>
  <si>
    <t>KMA-3G001-6-FL013</t>
  </si>
  <si>
    <t>KMA-3G001-5-PL012-V</t>
  </si>
  <si>
    <t>PL50x1089x1436</t>
  </si>
  <si>
    <t>PL50x2000x5608</t>
  </si>
  <si>
    <t>VT-SL-TT-016-BEAM(10KMA-11KC1)-S690QL1-SP50-001</t>
  </si>
  <si>
    <t>KMA-3G001-6-PL012-V</t>
  </si>
  <si>
    <t>12x1957x7054</t>
  </si>
  <si>
    <t>VT-SL-TT-016</t>
  </si>
  <si>
    <t>16x2438x12000</t>
  </si>
  <si>
    <t>20x2550x13000</t>
  </si>
  <si>
    <t>32x2250x9100</t>
  </si>
  <si>
    <t>32x2250x7800</t>
  </si>
  <si>
    <t>50x2000x5608</t>
  </si>
  <si>
    <t>KC2-2K001-53-W003</t>
  </si>
  <si>
    <t>PL12x2438x3530</t>
  </si>
  <si>
    <t>VT-SL-TT-017-BEAM(8KMB-9KC2)-AS3678GR350L0-SP12-001</t>
  </si>
  <si>
    <t>05/09/2026</t>
  </si>
  <si>
    <t>PLATFORM-MAIN STRUCTURE-BEAM(9.KC2-8.KMB)</t>
  </si>
  <si>
    <t>KC2-2K001-54-W003</t>
  </si>
  <si>
    <t>KMB-2F001-15-PL009</t>
  </si>
  <si>
    <t>KMB-2F001-16-PL009</t>
  </si>
  <si>
    <t>KMB-2G001-57-PL009</t>
  </si>
  <si>
    <t>KMB-2G001-60-PL009</t>
  </si>
  <si>
    <t>KMB-2G001-61-PL009</t>
  </si>
  <si>
    <t>KMB-2K001-58-W003</t>
  </si>
  <si>
    <t>KMB-2K001-59-W003</t>
  </si>
  <si>
    <t>KMB-2K001-60-W003</t>
  </si>
  <si>
    <t>KMB-2K001-61-W003</t>
  </si>
  <si>
    <t>KMB-2K001-63-W003</t>
  </si>
  <si>
    <t>KMB-2K001-64-W003</t>
  </si>
  <si>
    <t>KMB-2F001-15-W011</t>
  </si>
  <si>
    <t>VT-SL-TT-017-BEAM(8KMB-9KC2)-AS3678GR350L0-SP12-002</t>
  </si>
  <si>
    <t>KMB-2G001-62-PL009</t>
  </si>
  <si>
    <t>KMB-2G001-63-PL009</t>
  </si>
  <si>
    <t>KMB-2H001-15-PL009</t>
  </si>
  <si>
    <t>KMB-3F001-4-W008-V</t>
  </si>
  <si>
    <t>KC2-2K001-49-W003</t>
  </si>
  <si>
    <t>VT-SL-TT-017-BEAM(8KMB-9KC2)-AS3678GR350L0-SP12-003</t>
  </si>
  <si>
    <t>KC2-2K001-50-W003</t>
  </si>
  <si>
    <t>KC2-2K001-51-W003</t>
  </si>
  <si>
    <t>KC2-2K001-52-W003</t>
  </si>
  <si>
    <t>KC2-2K001-55-W003</t>
  </si>
  <si>
    <t>KC2-2K001-56-W003</t>
  </si>
  <si>
    <t>KMB-2G001-58-PL009</t>
  </si>
  <si>
    <t>KMB-2G001-59-PL009</t>
  </si>
  <si>
    <t>KMB-2G001-61-W004</t>
  </si>
  <si>
    <t>KMB-2G001-62-W004</t>
  </si>
  <si>
    <t>KMB-2K001-57-W003</t>
  </si>
  <si>
    <t>KMB-2K001-62-W003</t>
  </si>
  <si>
    <t>KC2-2K001-49-PL011</t>
  </si>
  <si>
    <t>VT-SL-TT-017-BEAM(8KMB-9KC2)-AS3678GR350L0-SP12-004</t>
  </si>
  <si>
    <t>KC2-2K001-50-PL011</t>
  </si>
  <si>
    <t>KC2-2K001-51-PL011</t>
  </si>
  <si>
    <t>KC2-2K001-52-PL011</t>
  </si>
  <si>
    <t>KC2-2K001-53-PL011</t>
  </si>
  <si>
    <t>KC2-2K001-54-PL011</t>
  </si>
  <si>
    <t>KC2-2K001-55-PL011</t>
  </si>
  <si>
    <t>KMB-2G001-64-PL009</t>
  </si>
  <si>
    <t>KMB-2G001-64-W004</t>
  </si>
  <si>
    <t>KMB-2K001-57-PL011</t>
  </si>
  <si>
    <t>KMB-2K001-58-PL011</t>
  </si>
  <si>
    <t>KMB-2K001-59-PL011</t>
  </si>
  <si>
    <t>KMB-2K001-60-PL011</t>
  </si>
  <si>
    <t>KMB-2K001-61-PL011</t>
  </si>
  <si>
    <t>KMB-2K001-62-PL011</t>
  </si>
  <si>
    <t>KMB-2K001-64-PL011</t>
  </si>
  <si>
    <t>KMB-3F001-4-PL002</t>
  </si>
  <si>
    <t>KMB-3H001-4-PL002</t>
  </si>
  <si>
    <t>KMB-3H001-4-W008-V</t>
  </si>
  <si>
    <t>KC2-2F001-13-PL010</t>
  </si>
  <si>
    <t>PL12x2438x7837</t>
  </si>
  <si>
    <t>VT-SL-TT-017-BEAM(8KMB-9KC2)-AS3678GR350L0-SP12-005</t>
  </si>
  <si>
    <t>KC2-2F001-14-PL010</t>
  </si>
  <si>
    <t>KC2-2G001-49-PL010</t>
  </si>
  <si>
    <t>KC2-2G001-49-W004</t>
  </si>
  <si>
    <t>KC2-2G001-50-PL010</t>
  </si>
  <si>
    <t>KC2-2H001-13-PL009</t>
  </si>
  <si>
    <t>KC2-2K001-56-PL011</t>
  </si>
  <si>
    <t>KMB-2K001-63-PL011</t>
  </si>
  <si>
    <t>KC2-2G001-53-PL009</t>
  </si>
  <si>
    <t>VT-SL-TT-017-BEAM(8KMB-9KC2)-AS3678GR350L0-SP12-006</t>
  </si>
  <si>
    <t>KC2-2G001-54-PL009</t>
  </si>
  <si>
    <t>KC2-2G001-55-PL009</t>
  </si>
  <si>
    <t>KC2-3C001-4-PL002</t>
  </si>
  <si>
    <t>KC2-3E001-4-PL002</t>
  </si>
  <si>
    <t>KC2-4A001-25-W006</t>
  </si>
  <si>
    <t>PL12x490x1388</t>
  </si>
  <si>
    <t>KC2-4A001-26-W006</t>
  </si>
  <si>
    <t>KC2-4A001-27-W006</t>
  </si>
  <si>
    <t>KC2-4A001-28-W006</t>
  </si>
  <si>
    <t>KMB-2G001-57-W004</t>
  </si>
  <si>
    <t>KMB-2G001-58-W004</t>
  </si>
  <si>
    <t>KMB-2G001-59-W004</t>
  </si>
  <si>
    <t>KMB-2G001-60-W004</t>
  </si>
  <si>
    <t>KMB-2H001-16-PL009</t>
  </si>
  <si>
    <t>KMB-2J001-22-PL009</t>
  </si>
  <si>
    <t>KMB-2J001-23-PL009</t>
  </si>
  <si>
    <t>KMB-2J001-24-PL009</t>
  </si>
  <si>
    <t>KMB-3F001-4-PL004</t>
  </si>
  <si>
    <t>KMB-4A001-29-W006</t>
  </si>
  <si>
    <t>KMB-4A001-30-W006</t>
  </si>
  <si>
    <t>KMB-4A001-31-W006</t>
  </si>
  <si>
    <t>KMB-4A001-32-W006</t>
  </si>
  <si>
    <t>KC2-2K001-49-PL009</t>
  </si>
  <si>
    <t>VT-SL-TT-017-BEAM(8KMB-9KC2)-AS3678GR350L0-SP12-007</t>
  </si>
  <si>
    <t>KC2-2K001-50-PL009</t>
  </si>
  <si>
    <t>KC2-2K001-51-PL009</t>
  </si>
  <si>
    <t>KC2-2K001-52-PL009</t>
  </si>
  <si>
    <t>KC2-2K001-53-PL009</t>
  </si>
  <si>
    <t>KC2-2K001-54-PL009</t>
  </si>
  <si>
    <t>KC2-2K001-55-PL009</t>
  </si>
  <si>
    <t>KC2-2K001-56-PL009</t>
  </si>
  <si>
    <t>KC2-3C001-4-PL004</t>
  </si>
  <si>
    <t>KC2-3C001-4-PL023</t>
  </si>
  <si>
    <t>PL12x130x663</t>
  </si>
  <si>
    <t>KC2-3E001-4-PL004</t>
  </si>
  <si>
    <t>KC2-3E001-4-PL023</t>
  </si>
  <si>
    <t>KC2-3E001-4-W010</t>
  </si>
  <si>
    <t>KMB-2H001-16-W005</t>
  </si>
  <si>
    <t>KMB-3F001-4-PL023</t>
  </si>
  <si>
    <t>KMB-3H001-4-PL023</t>
  </si>
  <si>
    <t>VT-SL-TT-017-BEAM(8KMB-9KC2)-AS3678GR350L0-SP12-008</t>
  </si>
  <si>
    <t>KC2-2H001-14-PL009</t>
  </si>
  <si>
    <t>KC2-2J001-19-PL009</t>
  </si>
  <si>
    <t>KC2-2J001-20-PL009</t>
  </si>
  <si>
    <t>KC2-2J001-21-PL009</t>
  </si>
  <si>
    <t>KC2-3C001-4-PL025</t>
  </si>
  <si>
    <t>KC2-3C001-4-W010</t>
  </si>
  <si>
    <t>KC2-3E001-4-PL025</t>
  </si>
  <si>
    <t>KMB-2H001-15-W005</t>
  </si>
  <si>
    <t>KMB-3H001-4-PL004</t>
  </si>
  <si>
    <t>KMB-3H001-4-PL025</t>
  </si>
  <si>
    <t>KC2-2F001-13-PL009</t>
  </si>
  <si>
    <t>VT-SL-TT-017-BEAM(8KMB-9KC2)-AS3678GR350L0-SP12-009</t>
  </si>
  <si>
    <t>KC2-2F001-13-W011</t>
  </si>
  <si>
    <t>KC2-2F001-14-PL009</t>
  </si>
  <si>
    <t>KC2-2F001-14-W011</t>
  </si>
  <si>
    <t>KC2-2G001-49-PL009</t>
  </si>
  <si>
    <t>KC2-2G001-50-PL009</t>
  </si>
  <si>
    <t>KC2-2G001-51-PL009</t>
  </si>
  <si>
    <t>KC2-2G001-52-PL009</t>
  </si>
  <si>
    <t>KC2-2G001-56-PL009</t>
  </si>
  <si>
    <t>KMB-2F001-16-W011</t>
  </si>
  <si>
    <t>KMB-2G001-63-W004</t>
  </si>
  <si>
    <t>KMB-2K001-57-PL009</t>
  </si>
  <si>
    <t>KMB-2K001-58-PL009</t>
  </si>
  <si>
    <t>KMB-2K001-59-PL009</t>
  </si>
  <si>
    <t>KMB-2K001-60-PL009</t>
  </si>
  <si>
    <t>KMB-2K001-61-PL009</t>
  </si>
  <si>
    <t>KMB-2K001-62-PL009</t>
  </si>
  <si>
    <t>KMB-2K001-63-PL009</t>
  </si>
  <si>
    <t>KMB-2K001-64-PL009</t>
  </si>
  <si>
    <t>VT-SL-TT-017-BEAM(8KMB-9KC2)-AS3678GR350L0-SP12-010</t>
  </si>
  <si>
    <t>KC2-2G001-50-W004</t>
  </si>
  <si>
    <t>KC2-2G001-51-PL010</t>
  </si>
  <si>
    <t>KC2-2G001-52-PL010</t>
  </si>
  <si>
    <t>KC2-2G001-53-PL010</t>
  </si>
  <si>
    <t>KC2-2G001-54-PL010</t>
  </si>
  <si>
    <t>KC2-2G001-55-PL010</t>
  </si>
  <si>
    <t>KC2-2G001-56-PL010</t>
  </si>
  <si>
    <t>KC2-2H001-13-PL010</t>
  </si>
  <si>
    <t>KC2-2H001-14-PL010</t>
  </si>
  <si>
    <t>KC2-2J001-19-PL010</t>
  </si>
  <si>
    <t>KC2-2J001-20-PL010</t>
  </si>
  <si>
    <t>KC2-2J001-21-PL010</t>
  </si>
  <si>
    <t>KC2-2K001-49-PL010</t>
  </si>
  <si>
    <t>KC2-2K001-50-PL010</t>
  </si>
  <si>
    <t>KC2-2K001-51-PL010</t>
  </si>
  <si>
    <t>KC2-2K001-52-PL010</t>
  </si>
  <si>
    <t>KC2-2K001-53-PL010</t>
  </si>
  <si>
    <t>KC2-2K001-54-PL010</t>
  </si>
  <si>
    <t>KC2-2K001-55-PL010</t>
  </si>
  <si>
    <t>KC2-2K001-56-PL010</t>
  </si>
  <si>
    <t>KMB-2F001-15-PL010</t>
  </si>
  <si>
    <t>KMB-2F001-16-PL010</t>
  </si>
  <si>
    <t>KMB-2G001-57-PL010</t>
  </si>
  <si>
    <t>KMB-2G001-58-PL010</t>
  </si>
  <si>
    <t>KMB-2G001-59-PL010</t>
  </si>
  <si>
    <t>KMB-2G001-60-PL010</t>
  </si>
  <si>
    <t>KMB-2G001-61-PL010</t>
  </si>
  <si>
    <t>KMB-2G001-62-PL010</t>
  </si>
  <si>
    <t>KMB-2G001-63-PL010</t>
  </si>
  <si>
    <t>KMB-2G001-64-PL010</t>
  </si>
  <si>
    <t>KMB-2H001-15-PL010</t>
  </si>
  <si>
    <t>KMB-2H001-16-PL010</t>
  </si>
  <si>
    <t>KMB-2J001-22-PL010</t>
  </si>
  <si>
    <t>KMB-2J001-23-PL010</t>
  </si>
  <si>
    <t>KMB-2J001-24-PL010</t>
  </si>
  <si>
    <t>KMB-2K001-57-PL010</t>
  </si>
  <si>
    <t>KMB-2K001-58-PL010</t>
  </si>
  <si>
    <t>KMB-2K001-59-PL010</t>
  </si>
  <si>
    <t>KMB-2K001-60-PL010</t>
  </si>
  <si>
    <t>KMB-2K001-61-PL010</t>
  </si>
  <si>
    <t>KMB-2K001-62-PL010</t>
  </si>
  <si>
    <t>KMB-2K001-63-PL010</t>
  </si>
  <si>
    <t>KMB-2K001-64-PL010</t>
  </si>
  <si>
    <t>KMB-3F001-4-PL025</t>
  </si>
  <si>
    <t>KMB-2J001-22-W005</t>
  </si>
  <si>
    <t>VT-SL-TT-017-BEAM(8KMB-9KC2)-AS3678GR350L0-SP12-011</t>
  </si>
  <si>
    <t>KMB-2J001-23-W005</t>
  </si>
  <si>
    <t>KC2-2G001-51-W004</t>
  </si>
  <si>
    <t>VT-SL-TT-017-BEAM(8KMB-9KC2)-AS3678GR350L0-SP12-012</t>
  </si>
  <si>
    <t>KC2-2G001-52-W004</t>
  </si>
  <si>
    <t>KC2-2G001-53-W004</t>
  </si>
  <si>
    <t>VT-SL-TT-017-BEAM(8KMB-9KC2)-AS3678GR350L0-SP12-013</t>
  </si>
  <si>
    <t>KC2-2G001-54-W004</t>
  </si>
  <si>
    <t>KC2-2G001-55-W004</t>
  </si>
  <si>
    <t>KC2-2G001-56-W004</t>
  </si>
  <si>
    <t>KC2-3D001-7-PL005</t>
  </si>
  <si>
    <t>PL16x210x750</t>
  </si>
  <si>
    <t>VT-SL-TT-017-BEAM(8KMB-9KC2)-AS3678GR350L0-SP16-001</t>
  </si>
  <si>
    <t>KMB-3G001-7-PL005</t>
  </si>
  <si>
    <t>KMB-3G001-7-PL026</t>
  </si>
  <si>
    <t>PL16x210x651</t>
  </si>
  <si>
    <t>KMB-3G001-8-PL005</t>
  </si>
  <si>
    <t>KMB-3G001-8-PL026</t>
  </si>
  <si>
    <t>KC2-2K001-51-FL005-V</t>
  </si>
  <si>
    <t>PL20x1632x11050</t>
  </si>
  <si>
    <t>VT-SL-TT-017-BEAM(8KMB-9KC2)-AS3678GR350L0-SP20-001</t>
  </si>
  <si>
    <t>KC2-2K001-53-FL005-V</t>
  </si>
  <si>
    <t>KC2-4A001-25-FL012-V</t>
  </si>
  <si>
    <t>KC2-4A001-26-FL012-V</t>
  </si>
  <si>
    <t>KC2-4A001-27-FL012-V</t>
  </si>
  <si>
    <t>KC2-4A001-28-FL012-V</t>
  </si>
  <si>
    <t>KMB-2G001-60-FL007-V</t>
  </si>
  <si>
    <t>KMB-2G001-62-FL007-V</t>
  </si>
  <si>
    <t>KMB-2G001-64-FL007-V</t>
  </si>
  <si>
    <t>KMB-2K001-63-FL005-V</t>
  </si>
  <si>
    <t>KMB-4A001-29-FL012-V</t>
  </si>
  <si>
    <t>KMB-4A001-30-FL012-V</t>
  </si>
  <si>
    <t>KMB-4A001-31-FL012-V</t>
  </si>
  <si>
    <t>KMB-4A001-32-FL012-V</t>
  </si>
  <si>
    <t>KC2-3D001-8-W002</t>
  </si>
  <si>
    <t>PL20x1938x10744</t>
  </si>
  <si>
    <t>VT-SL-TT-017-BEAM(8KMB-9KC2)-AS3678GR350L0-SP20-002</t>
  </si>
  <si>
    <t>KC2-3E001-4-FL002</t>
  </si>
  <si>
    <t>KMB-2K001-59-FL005-V</t>
  </si>
  <si>
    <t>KMB-3H001-4-PL003</t>
  </si>
  <si>
    <t>PL20x270x300</t>
  </si>
  <si>
    <t>KC2-2K001-49-FL006</t>
  </si>
  <si>
    <t>VT-SL-TT-017-BEAM(8KMB-9KC2)-AS3678GR350L0-SP20-003</t>
  </si>
  <si>
    <t>KC2-2K001-50-FL006</t>
  </si>
  <si>
    <t>KC2-2K001-56-FL006</t>
  </si>
  <si>
    <t>KC2-3C001-4-FL001-V</t>
  </si>
  <si>
    <t>KC2-3D001-7-PL008</t>
  </si>
  <si>
    <t>PL20x300x480</t>
  </si>
  <si>
    <t>KC2-3D001-7-W002</t>
  </si>
  <si>
    <t>KC2-3D001-8-PL008</t>
  </si>
  <si>
    <t>KMB-2H001-15-FL011</t>
  </si>
  <si>
    <t>KMB-2H001-16-FL011</t>
  </si>
  <si>
    <t>KMB-2K001-59-FL006</t>
  </si>
  <si>
    <t>KMB-2K001-60-FL006</t>
  </si>
  <si>
    <t>KMB-2K001-61-FL006</t>
  </si>
  <si>
    <t>KMB-2K001-62-FL006</t>
  </si>
  <si>
    <t>KC2-2H001-14-FL010-V</t>
  </si>
  <si>
    <t>VT-SL-TT-017-BEAM(8KMB-9KC2)-AS3678GR350L0-SP20-004</t>
  </si>
  <si>
    <t>KC2-2J001-19-FL010-V</t>
  </si>
  <si>
    <t>KC2-2J001-20-FL010-V</t>
  </si>
  <si>
    <t>KC2-2J001-21-FL010-V</t>
  </si>
  <si>
    <t>KC2-2K001-51-FL006</t>
  </si>
  <si>
    <t>KC2-2K001-52-FL006</t>
  </si>
  <si>
    <t>KC2-2K001-53-FL006</t>
  </si>
  <si>
    <t>KC2-2K001-54-FL006</t>
  </si>
  <si>
    <t>KC2-2K001-55-FL006</t>
  </si>
  <si>
    <t>KMB-2H001-15-FL010-V</t>
  </si>
  <si>
    <t>KMB-2H001-16-FL010-V</t>
  </si>
  <si>
    <t>KMB-2J001-22-FL010-V</t>
  </si>
  <si>
    <t>KMB-2J001-23-FL010-V</t>
  </si>
  <si>
    <t>KMB-2K001-57-FL006</t>
  </si>
  <si>
    <t>KMB-2K001-58-FL006</t>
  </si>
  <si>
    <t>KMB-2K001-64-FL006</t>
  </si>
  <si>
    <t>KC2-2H001-13-FL010-V</t>
  </si>
  <si>
    <t>VT-SL-TT-017-BEAM(8KMB-9KC2)-AS3678GR350L0-SP20-005</t>
  </si>
  <si>
    <t>KC2-2K001-49-FL005-V</t>
  </si>
  <si>
    <t>KC2-2K001-50-FL005-V</t>
  </si>
  <si>
    <t>KC2-2K001-52-FL005-V</t>
  </si>
  <si>
    <t>KC2-2K001-54-FL005-V</t>
  </si>
  <si>
    <t>KC2-2K001-55-FL005-V</t>
  </si>
  <si>
    <t>KC2-2K001-56-FL005-V</t>
  </si>
  <si>
    <t>KC2-3C001-4-FL002</t>
  </si>
  <si>
    <t>KC2-3E001-4-FL001-V</t>
  </si>
  <si>
    <t>KMB-2J001-24-FL010-V</t>
  </si>
  <si>
    <t>KMB-2K001-57-FL005-V</t>
  </si>
  <si>
    <t>KMB-2K001-58-FL005-V</t>
  </si>
  <si>
    <t>KMB-2K001-60-FL005-V</t>
  </si>
  <si>
    <t>KMB-2K001-61-FL005-V</t>
  </si>
  <si>
    <t>KMB-2K001-62-FL005-V</t>
  </si>
  <si>
    <t>KMB-2K001-63-FL006</t>
  </si>
  <si>
    <t>KMB-2K001-64-FL005-V</t>
  </si>
  <si>
    <t>KMB-3F001-4-FL014</t>
  </si>
  <si>
    <t>KMB-3F001-4-PL003</t>
  </si>
  <si>
    <t>KMB-3G001-8-PL008</t>
  </si>
  <si>
    <t>KMB-3H001-4-FL014</t>
  </si>
  <si>
    <t>KMB-2G001-57-FL007-V</t>
  </si>
  <si>
    <t>VT-SL-TT-017-BEAM(8KMB-9KC2)-AS3678GR350L0-SP20-006</t>
  </si>
  <si>
    <t>KC2-3E001-4-PL003</t>
  </si>
  <si>
    <t>VT-SL-TT-017-BEAM(8KMB-9KC2)-AS3678GR350L0-SP20-007</t>
  </si>
  <si>
    <t>KMB-2F001-15-FL008</t>
  </si>
  <si>
    <t>KMB-2F001-16-FL008</t>
  </si>
  <si>
    <t>KMB-2G001-60-FL008</t>
  </si>
  <si>
    <t>KMB-2G001-61-FL008</t>
  </si>
  <si>
    <t>KMB-2G001-62-FL008</t>
  </si>
  <si>
    <t>KMB-2G001-63-FL008</t>
  </si>
  <si>
    <t>KMB-3G001-7-W007-V</t>
  </si>
  <si>
    <t>KMB-3G001-8-W007-V</t>
  </si>
  <si>
    <t>KC2-2F001-13-FL009</t>
  </si>
  <si>
    <t>VT-SL-TT-017-BEAM(8KMB-9KC2)-AS3678GR350L0-SP20-008</t>
  </si>
  <si>
    <t>KC2-2F001-14-FL009</t>
  </si>
  <si>
    <t>KC2-2G001-49-FL007-V</t>
  </si>
  <si>
    <t>KC2-2G001-50-FL007-V</t>
  </si>
  <si>
    <t>KC2-2G001-51-FL007-V</t>
  </si>
  <si>
    <t>KC2-2G001-52-FL007-V</t>
  </si>
  <si>
    <t>KC2-2G001-53-FL007-V</t>
  </si>
  <si>
    <t>KC2-2G001-54-FL007-V</t>
  </si>
  <si>
    <t>KC2-2G001-55-FL007-V</t>
  </si>
  <si>
    <t>KC2-2G001-56-FL007-V</t>
  </si>
  <si>
    <t>KMB-2F001-15-FL009</t>
  </si>
  <si>
    <t>KMB-2F001-16-FL009</t>
  </si>
  <si>
    <t>KMB-2G001-58-FL007-V</t>
  </si>
  <si>
    <t>KMB-2G001-59-FL007-V</t>
  </si>
  <si>
    <t>KMB-2G001-61-FL007-V</t>
  </si>
  <si>
    <t>KMB-2G001-63-FL007-V</t>
  </si>
  <si>
    <t>KMB-3G001-7-PL008</t>
  </si>
  <si>
    <t>KC2-3D001-7-FL003-V</t>
  </si>
  <si>
    <t>PL32x1138x9100</t>
  </si>
  <si>
    <t>VT-SL-TT-017-BEAM(8KMB-9KC2)-AS3678GR350L0-SP32-001</t>
  </si>
  <si>
    <t>KC2-3D001-8-FL003-V</t>
  </si>
  <si>
    <t>KMB-3G001-7-FL013</t>
  </si>
  <si>
    <t>VT-SL-TT-017-BEAM(8KMB-9KC2)-AS3678GR350L0-SP32-002</t>
  </si>
  <si>
    <t>KMB-3G001-8-FL013</t>
  </si>
  <si>
    <t>KMC-3H001-5-PL014-V</t>
  </si>
  <si>
    <t>PL40x899x1460</t>
  </si>
  <si>
    <t>PL40x2400x8100</t>
  </si>
  <si>
    <t>VT-SL-TT-017-BEAM(8KMB-9KC2)-AS3678Gr350L0-SP40-001</t>
  </si>
  <si>
    <t>KMD-3F001-1-PL014-V</t>
  </si>
  <si>
    <t>KMD-3H001-1-PL014-V</t>
  </si>
  <si>
    <t>KME-3F001-2-PL014-V</t>
  </si>
  <si>
    <t>KME-3H001-2-PL014-V</t>
  </si>
  <si>
    <t>KMB-3G001-7-PL012-V</t>
  </si>
  <si>
    <t>PL50x2000x3678</t>
  </si>
  <si>
    <t>VT-SL-TT-017-BEAM(8KMB-9KC2)-S690QL1-SP50-001</t>
  </si>
  <si>
    <t>VT-SL-TT-016-BEAM(10KMA-11KC1)-S690QL1-SP50-001_A</t>
  </si>
  <si>
    <t>KMB-3G001-8-PL012-V</t>
  </si>
  <si>
    <t>VT-SL-TT-017-BEAM(8KMB-9KC2)-S690QL1-SP50-002</t>
  </si>
  <si>
    <t>KMC-3G001-10-PL012-V</t>
  </si>
  <si>
    <t>KMC-3G001-9-PL012-V</t>
  </si>
  <si>
    <t>KMD-3G001-1-PL012-V</t>
  </si>
  <si>
    <t>KMD-3G001-2-PL012-V</t>
  </si>
  <si>
    <t>VT-SL-TT-017-BEAM(8KMB-9KC2)-S690QL1-SP50-003</t>
  </si>
  <si>
    <t>KME-3G001-3-PL012-V</t>
  </si>
  <si>
    <t>KME-3G001-4-PL012-V</t>
  </si>
  <si>
    <t>12x2438x3530</t>
  </si>
  <si>
    <t>VT-SL-TT-017</t>
  </si>
  <si>
    <t>12x2438x7837</t>
  </si>
  <si>
    <t>20x1632x11050</t>
  </si>
  <si>
    <t>20x1938x10744</t>
  </si>
  <si>
    <t>32x1138x9100</t>
  </si>
  <si>
    <t>40x2400x8100</t>
  </si>
  <si>
    <t>50x2000x3678</t>
  </si>
  <si>
    <t>50x2500x5000</t>
  </si>
  <si>
    <t>PL50x2500x5000</t>
  </si>
  <si>
    <t>40X400X350</t>
  </si>
  <si>
    <t>PL40x350x400</t>
  </si>
  <si>
    <t>VT-SL-TT-018-TESTMAU-AS3678Gr350L0-SP40-001</t>
  </si>
  <si>
    <t>09/09/2026</t>
  </si>
  <si>
    <t>TEST MẪU HÀN</t>
  </si>
  <si>
    <t>VT-SL-TT-018</t>
  </si>
  <si>
    <t>KC1-4B001-65-SS005-C</t>
  </si>
  <si>
    <t>PL12x238x1280</t>
  </si>
  <si>
    <t>VT-SL-TT-020-BEAM(11.KC1-10.KMA)-AS3678Gr350L0-SP12-001</t>
  </si>
  <si>
    <t>11/09/2026</t>
  </si>
  <si>
    <t>PLATFORM-MAIN STRUCTURE-BEAM(KC1-KMA)</t>
  </si>
  <si>
    <t>VT-10726-141-Z001-185</t>
  </si>
  <si>
    <t>KC1-4B001-66-SS005-C</t>
  </si>
  <si>
    <t>KC1-4B001-67-SS005-C</t>
  </si>
  <si>
    <t>KC1-4B001-68-SS005-C</t>
  </si>
  <si>
    <t>KC1-4B001-69-SS005-C</t>
  </si>
  <si>
    <t>KC1-4B001-70-SS005-C</t>
  </si>
  <si>
    <t>KC1-4B001-71-SS005-C</t>
  </si>
  <si>
    <t>KC1-4B001-72-SS005-C</t>
  </si>
  <si>
    <t>KC1-4B001-73-SS005-C</t>
  </si>
  <si>
    <t>KC1-4B001-74-SS005-C</t>
  </si>
  <si>
    <t>KC1-4B001-75-SS005-C</t>
  </si>
  <si>
    <t>KC1-4B001-76-SS005-C</t>
  </si>
  <si>
    <t>KC1-4B001-77-SS005-C</t>
  </si>
  <si>
    <t>KC1-4B001-78-SS005-C</t>
  </si>
  <si>
    <t>KC1-4B001-79-SS005-C</t>
  </si>
  <si>
    <t>KC1-4B001-80-SS005-C</t>
  </si>
  <si>
    <t>KMA-4B001-81-SS005-C</t>
  </si>
  <si>
    <t>KMA-4B001-82-SS005-C</t>
  </si>
  <si>
    <t>KMA-4B001-83-SS005-C</t>
  </si>
  <si>
    <t>KMA-4B001-84-SS005-C</t>
  </si>
  <si>
    <t>KMA-4B001-85-SS005-C</t>
  </si>
  <si>
    <t>KMA-4B001-86-SS005-C</t>
  </si>
  <si>
    <t>KMA-4B001-87-SS005-C</t>
  </si>
  <si>
    <t>KMA-4B001-88-SS005-C</t>
  </si>
  <si>
    <t>KMA-4B001-89-SS005-C</t>
  </si>
  <si>
    <t>KMA-4B001-90-SS005-C</t>
  </si>
  <si>
    <t>KMA-4B001-91-SS005-C</t>
  </si>
  <si>
    <t>KMA-4B001-92-SS005-C</t>
  </si>
  <si>
    <t>KMA-4B001-93-SS005-C</t>
  </si>
  <si>
    <t>KMA-4B001-94-SS005-C</t>
  </si>
  <si>
    <t>KMA-4B001-95-SS005-C</t>
  </si>
  <si>
    <t>KMA-4B001-96-SS005-C</t>
  </si>
  <si>
    <t>VT-SL-TT-020</t>
  </si>
  <si>
    <t>KC2-4B001-100-SS005-C</t>
  </si>
  <si>
    <t>PL12x2438x6148</t>
  </si>
  <si>
    <t>VT-SL-TT-021-BEAM(9.KC2-8.KMB)-AS3678Gr350L0-SP12-001</t>
  </si>
  <si>
    <t>VT-SL-TT-020-BEAM(11.KC1- 10.KMA)-AS3678Gr350L0-SP12-001</t>
  </si>
  <si>
    <t>VT-10726-141-Z001-186</t>
  </si>
  <si>
    <t>KC2-4B001-101-SS005-C</t>
  </si>
  <si>
    <t>KC2-4B001-102-SS005-C</t>
  </si>
  <si>
    <t>KC2-4B001-103-SS005-C</t>
  </si>
  <si>
    <t>KC2-4B001-104-SS005-C</t>
  </si>
  <si>
    <t>KC2-4B001-105-SS005-C</t>
  </si>
  <si>
    <t>KC2-4B001-106-SS005-C</t>
  </si>
  <si>
    <t>KC2-4B001-107-SS005-C</t>
  </si>
  <si>
    <t>KC2-4B001-108-SS005-C</t>
  </si>
  <si>
    <t>KC2-4B001-109-SS005-C</t>
  </si>
  <si>
    <t>KC2-4B001-110-SS005-C</t>
  </si>
  <si>
    <t>KC2-4B001-111-SS005-C</t>
  </si>
  <si>
    <t>KC2-4B001-112-SS005-C</t>
  </si>
  <si>
    <t>KC2-4B001-97-SS005-C</t>
  </si>
  <si>
    <t>KC2-4B001-98-SS005-C</t>
  </si>
  <si>
    <t>KC2-4B001-99-SS005-C</t>
  </si>
  <si>
    <t>KMB-4B001-113-SS005-C</t>
  </si>
  <si>
    <t>KMB-4B001-114-SS005-C</t>
  </si>
  <si>
    <t>KMB-4B001-115-SS005-C</t>
  </si>
  <si>
    <t>KMB-4B001-116-SS005-C</t>
  </si>
  <si>
    <t>KMB-4B001-117-SS005-C</t>
  </si>
  <si>
    <t>KMB-4B001-118-SS005-C</t>
  </si>
  <si>
    <t>KMB-4B001-119-SS005-C</t>
  </si>
  <si>
    <t>KMB-4B001-120-SS005-C</t>
  </si>
  <si>
    <t>KMB-4B001-121-SS005-C</t>
  </si>
  <si>
    <t>KMB-4B001-122-SS005-C</t>
  </si>
  <si>
    <t>KMB-4B001-123-SS005-C</t>
  </si>
  <si>
    <t>KMB-4B001-124-SS005-C</t>
  </si>
  <si>
    <t>KMB-4B001-125-SS005-C</t>
  </si>
  <si>
    <t>KMB-4B001-126-SS005-C</t>
  </si>
  <si>
    <t>KMB-4B001-127-SS005-C</t>
  </si>
  <si>
    <t>KMB-4B001-128-SS005-C</t>
  </si>
  <si>
    <t>12x2438x6148</t>
  </si>
  <si>
    <t>VT-SL-TT-021</t>
  </si>
  <si>
    <t>2250X8050</t>
  </si>
  <si>
    <t>KC3-4B001-129-SS005-C</t>
  </si>
  <si>
    <t>PL12x1965x6772</t>
  </si>
  <si>
    <t>VT-SL-TT-022-BEAM(7.KC3-6.KMC)-AS3678Gr350L0-SP12-001</t>
  </si>
  <si>
    <t>15/09/2026</t>
  </si>
  <si>
    <t>PLATFORM-MAIN STRUCTURE-BEAM(7.KC3-6.KMC)</t>
  </si>
  <si>
    <t>VT-SL-TT-011-CRANEBEAM(1B001.4) -AS3678Gr350L0-SP12-001</t>
  </si>
  <si>
    <t>VT-10726-141-Z001-187</t>
  </si>
  <si>
    <t>KC3-4B001-130-SS005-C</t>
  </si>
  <si>
    <t>KC3-4B001-131-SS005-C</t>
  </si>
  <si>
    <t>KC3-4B001-132-SS005-C</t>
  </si>
  <si>
    <t>KC3-4B001-133-SS005-C</t>
  </si>
  <si>
    <t>KC3-4B001-134-SS005-C</t>
  </si>
  <si>
    <t>KC3-4B001-135-SS005-C</t>
  </si>
  <si>
    <t>KC3-4B001-136-SS005-C</t>
  </si>
  <si>
    <t>KC3-4B001-137-SS005-C</t>
  </si>
  <si>
    <t>KC3-4B001-138-SS005-C</t>
  </si>
  <si>
    <t>KMC-3F001-5-PL025</t>
  </si>
  <si>
    <t>KMC-3H001-5-W008-V</t>
  </si>
  <si>
    <t>KC3-4B001-139-SS005-C</t>
  </si>
  <si>
    <t>PL12x1961x6714</t>
  </si>
  <si>
    <t>VT-SL-TT-022-BEAM(7.KC3-6.KMC)-AS3678Gr350L0-SP12-002</t>
  </si>
  <si>
    <t>VT-SL-TT-011-CRANEBEAM(1B001.4 )-AS3678Gr350L0-SP12-002</t>
  </si>
  <si>
    <t>VT-10726-141-Z001-188</t>
  </si>
  <si>
    <t>KC3-4B001-140-SS005-C</t>
  </si>
  <si>
    <t>KC3-4B001-141-SS005-C</t>
  </si>
  <si>
    <t>KC3-4B001-142-SS005-C</t>
  </si>
  <si>
    <t>KC3-4B001-143-SS005-C</t>
  </si>
  <si>
    <t>KC3-4B001-144-SS005-C</t>
  </si>
  <si>
    <t>KMC-3F001-5-W008-V</t>
  </si>
  <si>
    <t>KMC-4B001-145-SS005-C</t>
  </si>
  <si>
    <t>KMC-4B001-146-SS005-C</t>
  </si>
  <si>
    <t>KMC-4B001-147-SS005-C</t>
  </si>
  <si>
    <t>KMC-4B001-148-SS005-C</t>
  </si>
  <si>
    <t>KC3-2F001-17-PL009</t>
  </si>
  <si>
    <t>PL12x2438x6714</t>
  </si>
  <si>
    <t>VT-SL-TT-022-BEAM(7.KC3-6.KMC)-AS3678Gr350L0-SP12-003</t>
  </si>
  <si>
    <t>VT-SL-TT-011-CRANEBEAM(1B001.4 )-AS3678GR350L0-SP12-003</t>
  </si>
  <si>
    <t>VT-10726-141-Z001-189</t>
  </si>
  <si>
    <t>KC3-2F001-17-PL010</t>
  </si>
  <si>
    <t>PL12x116x144</t>
  </si>
  <si>
    <t>KC3-2F001-17-W011</t>
  </si>
  <si>
    <t>KC3-2K001-65-PL011</t>
  </si>
  <si>
    <t>KC3-2K001-66-PL011</t>
  </si>
  <si>
    <t>KC3-2K001-68-W003</t>
  </si>
  <si>
    <t>KC3-3C001-5-PL004</t>
  </si>
  <si>
    <t>KC3-3C001-5-PL023</t>
  </si>
  <si>
    <t>KC3-3E001-5-PL002</t>
  </si>
  <si>
    <t>KC3-3E001-5-PL004</t>
  </si>
  <si>
    <t>KMC-2F001-19-W011</t>
  </si>
  <si>
    <t>KMC-2F001-20-W011</t>
  </si>
  <si>
    <t>KMC-3F001-5-PL004</t>
  </si>
  <si>
    <t>KMC-3H001-5-PL004</t>
  </si>
  <si>
    <t>KMC-3H001-5-PL025</t>
  </si>
  <si>
    <t>KMC-4B001-149-SS005-C</t>
  </si>
  <si>
    <t>KMC-4B001-150-SS005-C</t>
  </si>
  <si>
    <t>KMC-4B001-151-SS005-C</t>
  </si>
  <si>
    <t>KMC-4B001-153-SS005-C</t>
  </si>
  <si>
    <t>KMC-4B001-154-SS005-C</t>
  </si>
  <si>
    <t>KC3-3C001-5-PL002</t>
  </si>
  <si>
    <t>PL12x2295x2438</t>
  </si>
  <si>
    <t>VT-SL-TT-022-BEAM(7.KC3-6.KMC)-AS3678Gr350L0-SP12-004</t>
  </si>
  <si>
    <t>VT-SL-TT-021-BEAM(9.KC2-8.KMB )-AS3678Gr350L0-SP12-001</t>
  </si>
  <si>
    <t>VT-10726-141-Z001-190</t>
  </si>
  <si>
    <t>KC3-3C001-5-PL025</t>
  </si>
  <si>
    <t>KC3-4A001-33-W006</t>
  </si>
  <si>
    <t>KC3-4A001-34-W006</t>
  </si>
  <si>
    <t>KMC-4A001-37-W006</t>
  </si>
  <si>
    <t>KMC-4A001-38-W006</t>
  </si>
  <si>
    <t>KMC-4B001-152-SS005-C</t>
  </si>
  <si>
    <t>KMC-4B001-155-SS005-C</t>
  </si>
  <si>
    <t>KMC-4B001-156-SS005-C</t>
  </si>
  <si>
    <t>KMC-4B001-157-SS005-C</t>
  </si>
  <si>
    <t>VT-SL-TT-022-BEAM(7.KC3-6.KMC)-AS3678Gr350L0-SP12-005</t>
  </si>
  <si>
    <t>VT-SL-TT-017-BEAM(8KMB- 9KC2)-AS3678GR350L0-SP12-013</t>
  </si>
  <si>
    <t>VT-10726-141-Z001-191</t>
  </si>
  <si>
    <t>KC3-2F001-18-PL009</t>
  </si>
  <si>
    <t>KC3-2G001-65-PL009</t>
  </si>
  <si>
    <t>KC3-2G001-66-PL009</t>
  </si>
  <si>
    <t>KC3-2K001-71-W003</t>
  </si>
  <si>
    <t>KC3-2K001-72-W003</t>
  </si>
  <si>
    <t>KC3-3E001-5-PL023</t>
  </si>
  <si>
    <t>KC3-3E001-5-PL025</t>
  </si>
  <si>
    <t>KMC-2K001-73-W003</t>
  </si>
  <si>
    <t>KMC-2K001-74-W003</t>
  </si>
  <si>
    <t>KMC-2K001-75-W003</t>
  </si>
  <si>
    <t>KMC-2K001-76-W003</t>
  </si>
  <si>
    <t>KMC-2K001-77-W003</t>
  </si>
  <si>
    <t>KMC-2K001-78-W003</t>
  </si>
  <si>
    <t>KMC-3F001-5-PL002</t>
  </si>
  <si>
    <t>KMC-4B001-158-SS005-C</t>
  </si>
  <si>
    <t>KMC-4B001-159-SS005-C</t>
  </si>
  <si>
    <t>KMC-4B001-160-SS005-C</t>
  </si>
  <si>
    <t>VT-SL-TT-022-BEAM(7.KC3-6.KMC)-AS3678Gr350L0-SP12-006</t>
  </si>
  <si>
    <t>VT-SL-TT-017-BEAM(8KMB-9KC2) -AS3678GR350L0-SP12-012</t>
  </si>
  <si>
    <t>VT-10726-141-Z001-192</t>
  </si>
  <si>
    <t>KC3-2G001-67-PL009</t>
  </si>
  <si>
    <t>KC3-2G001-68-PL009</t>
  </si>
  <si>
    <t>KC3-2G001-69-PL009</t>
  </si>
  <si>
    <t>KC3-2J001-27-W005</t>
  </si>
  <si>
    <t>KC3-2K001-65-W003</t>
  </si>
  <si>
    <t>KC3-2K001-66-W003</t>
  </si>
  <si>
    <t>KC3-2K001-67-W003</t>
  </si>
  <si>
    <t>KC3-2K001-70-W003</t>
  </si>
  <si>
    <t>KMC-2H001-20-W005</t>
  </si>
  <si>
    <t>KMC-3F001-5-PL023</t>
  </si>
  <si>
    <t>KMC-3H001-5-PL002</t>
  </si>
  <si>
    <t>KMC-3H001-5-PL023</t>
  </si>
  <si>
    <t>PL12x1971x7837</t>
  </si>
  <si>
    <t>VT-SL-TT-022-BEAM(7.KC3-6.KMC)-AS3678Gr350L0-SP12-007</t>
  </si>
  <si>
    <t>VT-SL-TT-017-BEAM(8KMB-9KC2) -AS3678GR350L0-SP12-005</t>
  </si>
  <si>
    <t>VT-10726-141-Z001-193</t>
  </si>
  <si>
    <t>KC3-2F001-18-W011</t>
  </si>
  <si>
    <t>KC3-2G001-65-W004</t>
  </si>
  <si>
    <t>KC3-2G001-70-PL009</t>
  </si>
  <si>
    <t>KC3-2G001-71-PL009</t>
  </si>
  <si>
    <t>KC3-2G001-72-PL009</t>
  </si>
  <si>
    <t>KC3-2K001-67-PL011</t>
  </si>
  <si>
    <t>KC3-2K001-68-PL011</t>
  </si>
  <si>
    <t>KC3-2K001-69-PL011</t>
  </si>
  <si>
    <t>VT-SL-TT-022-BEAM(7.KC3-6.KMC)-AS3678Gr350L0-SP12-008</t>
  </si>
  <si>
    <t>VT-SL-TT-013-CRANEBEAM(1C001.5- 1D001.1)-AS3678GR350L0-SP12-003</t>
  </si>
  <si>
    <t>VT-10726-141-Z001-194</t>
  </si>
  <si>
    <t>KC3-2F001-18-PL010</t>
  </si>
  <si>
    <t>KC3-2H001-17-PL009</t>
  </si>
  <si>
    <t>KC3-2H001-18-PL009</t>
  </si>
  <si>
    <t>KC3-2J001-25-PL009</t>
  </si>
  <si>
    <t>KC3-2J001-26-PL009</t>
  </si>
  <si>
    <t>KC3-2J001-27-PL009</t>
  </si>
  <si>
    <t>KC3-2K001-65-PL009</t>
  </si>
  <si>
    <t>KC3-2K001-69-W003</t>
  </si>
  <si>
    <t>KC3-2K001-70-PL011</t>
  </si>
  <si>
    <t>KC3-2K001-71-PL011</t>
  </si>
  <si>
    <t>KC3-2K001-72-PL011</t>
  </si>
  <si>
    <t>KC3-3C001-5-W010</t>
  </si>
  <si>
    <t>KMC-2K001-73-PL011</t>
  </si>
  <si>
    <t>KMC-2K001-79-W003</t>
  </si>
  <si>
    <t>KMC-2K001-80-W003</t>
  </si>
  <si>
    <t>PL12x1961x6713</t>
  </si>
  <si>
    <t>VT-SL-TT-022-BEAM(7.KC3-6.KMC)-AS3678Gr350L0-SP12-009</t>
  </si>
  <si>
    <t>VT-SL-TT-012-CRANEBEAM(1C001.4- 1B001.5)-AS3678GR350L0-SP12-001</t>
  </si>
  <si>
    <t>VT-10726-141-Z001-195</t>
  </si>
  <si>
    <t>KC3-2G001-66-W004</t>
  </si>
  <si>
    <t>KC3-2G001-67-W004</t>
  </si>
  <si>
    <t>KC3-2G001-68-PL010</t>
  </si>
  <si>
    <t>KC3-2G001-68-W004</t>
  </si>
  <si>
    <t>KC3-2K001-66-PL009</t>
  </si>
  <si>
    <t>KC3-2K001-67-PL009</t>
  </si>
  <si>
    <t>KC3-2K001-68-PL009</t>
  </si>
  <si>
    <t>KC3-2K001-68-PL010</t>
  </si>
  <si>
    <t>KC3-2K001-69-PL009</t>
  </si>
  <si>
    <t>KC3-2K001-70-PL009</t>
  </si>
  <si>
    <t>KC3-2K001-71-PL009</t>
  </si>
  <si>
    <t>KC3-2K001-72-PL009</t>
  </si>
  <si>
    <t>PL12x1961x6773</t>
  </si>
  <si>
    <t>VT-SL-TT-022-BEAM(7.KC3-6.KMC)-AS3678Gr350L0-SP12-010</t>
  </si>
  <si>
    <t>VT-SL-TT-013-CRANEBEAM(1C001.5- 1D001.1)-AS3678GR350L0-SP12-001</t>
  </si>
  <si>
    <t>VT-10726-141-Z001-196</t>
  </si>
  <si>
    <t>KMC-2F001-19-PL009</t>
  </si>
  <si>
    <t>KMC-2F001-20-PL009</t>
  </si>
  <si>
    <t>KMC-2G001-73-PL009</t>
  </si>
  <si>
    <t>KMC-2G001-74-PL009</t>
  </si>
  <si>
    <t>KMC-2G001-74-W004</t>
  </si>
  <si>
    <t>KMC-2G001-75-W004</t>
  </si>
  <si>
    <t>KMC-2G001-76-W004</t>
  </si>
  <si>
    <t>VT-SL-TT-022-BEAM(7.KC3-6.KMC)-AS3678Gr350L0-SP12-011</t>
  </si>
  <si>
    <t>VT-SL-TT-013-CRANEBEAM(1C001.5- 1D001.1)-AS3678GR350L0-SP12-002</t>
  </si>
  <si>
    <t>VT-10726-141-Z001-197</t>
  </si>
  <si>
    <t>KC3-2G001-69-PL010</t>
  </si>
  <si>
    <t>KC3-2G001-69-W004</t>
  </si>
  <si>
    <t>KC3-2G001-70-W004</t>
  </si>
  <si>
    <t>KMC-2G001-75-PL009</t>
  </si>
  <si>
    <t>KMC-2G001-76-PL009</t>
  </si>
  <si>
    <t>KMC-2G001-77-PL009</t>
  </si>
  <si>
    <t>KMC-2G001-77-W004</t>
  </si>
  <si>
    <t>KMC-2K001-74-PL011</t>
  </si>
  <si>
    <t>VT-SL-TT-022-BEAM(7.KC3-6.KMC)-AS3678Gr350L0-SP12-012</t>
  </si>
  <si>
    <t>VT-10726-141-Z001-198</t>
  </si>
  <si>
    <t>KC3-2H001-17-W005</t>
  </si>
  <si>
    <t>KC3-2H001-18-W005</t>
  </si>
  <si>
    <t>KMC-2G001-78-PL009</t>
  </si>
  <si>
    <t>KMC-2G001-79-PL009</t>
  </si>
  <si>
    <t>KMC-2G001-80-PL009</t>
  </si>
  <si>
    <t>KMC-2H001-19-PL009</t>
  </si>
  <si>
    <t>KMC-2H001-19-W005</t>
  </si>
  <si>
    <t>KMC-2H001-20-PL009</t>
  </si>
  <si>
    <t>KMC-2J001-29-W005</t>
  </si>
  <si>
    <t>KMC-2K001-75-PL011</t>
  </si>
  <si>
    <t>KMC-2K001-76-PL011</t>
  </si>
  <si>
    <t>VT-SL-TT-022-BEAM(7.KC3-6.KMC)-AS3678Gr350L0-SP12-013</t>
  </si>
  <si>
    <t>VT-10726-141-Z001-199</t>
  </si>
  <si>
    <t>KC3-2J001-25-W005</t>
  </si>
  <si>
    <t>KC3-2J001-26-W005</t>
  </si>
  <si>
    <t>KMC-2J001-28-PL009</t>
  </si>
  <si>
    <t>KMC-2J001-28-W005</t>
  </si>
  <si>
    <t>KMC-2J001-29-PL009</t>
  </si>
  <si>
    <t>KMC-2J001-30-PL009</t>
  </si>
  <si>
    <t>KMC-2J001-30-W005</t>
  </si>
  <si>
    <t>KMC-2K001-74-PL009</t>
  </si>
  <si>
    <t>KMC-2K001-77-PL011</t>
  </si>
  <si>
    <t>KMC-2K001-78-PL011</t>
  </si>
  <si>
    <t>KC3-2G001-65-PL010</t>
  </si>
  <si>
    <t>VT-SL-TT-022-BEAM(7.KC3-6.KMC)-AS3678Gr350L0-SP12-014</t>
  </si>
  <si>
    <t>VT-10726-141-Z001-200</t>
  </si>
  <si>
    <t>KC3-2G001-67-PL010</t>
  </si>
  <si>
    <t>KC3-2G001-70-PL010</t>
  </si>
  <si>
    <t>KC3-2G001-71-PL010</t>
  </si>
  <si>
    <t>KC3-2G001-72-PL010</t>
  </si>
  <si>
    <t>KC3-2H001-17-PL010</t>
  </si>
  <si>
    <t>KC3-2H001-18-PL010</t>
  </si>
  <si>
    <t>KC3-2J001-25-PL010</t>
  </si>
  <si>
    <t>KC3-2J001-26-PL010</t>
  </si>
  <si>
    <t>KC3-2J001-27-PL010</t>
  </si>
  <si>
    <t>KC3-2K001-65-PL010</t>
  </si>
  <si>
    <t>KC3-2K001-67-PL010</t>
  </si>
  <si>
    <t>KC3-2K001-69-PL010</t>
  </si>
  <si>
    <t>KC3-2K001-70-PL010</t>
  </si>
  <si>
    <t>KC3-2K001-71-PL010</t>
  </si>
  <si>
    <t>KC3-3E001-5-W010</t>
  </si>
  <si>
    <t>KMC-2F001-19-PL010</t>
  </si>
  <si>
    <t>KMC-2F001-20-PL010</t>
  </si>
  <si>
    <t>KMC-2G001-73-PL010</t>
  </si>
  <si>
    <t>KMC-2G001-74-PL010</t>
  </si>
  <si>
    <t>KMC-2G001-75-PL010</t>
  </si>
  <si>
    <t>KMC-2G001-76-PL010</t>
  </si>
  <si>
    <t>KMC-2G001-77-PL010</t>
  </si>
  <si>
    <t>KMC-2G001-78-PL010</t>
  </si>
  <si>
    <t>KMC-2G001-79-PL010</t>
  </si>
  <si>
    <t>KMC-2G001-80-PL010</t>
  </si>
  <si>
    <t>KMC-2H001-19-PL010</t>
  </si>
  <si>
    <t>KMC-2H001-20-PL010</t>
  </si>
  <si>
    <t>KMC-2J001-28-PL010</t>
  </si>
  <si>
    <t>KMC-2J001-29-PL010</t>
  </si>
  <si>
    <t>KMC-2J001-30-PL010</t>
  </si>
  <si>
    <t>KMC-2K001-73-PL009</t>
  </si>
  <si>
    <t>KMC-2K001-73-PL010</t>
  </si>
  <si>
    <t>KMC-2K001-75-PL009</t>
  </si>
  <si>
    <t>KMC-2K001-76-PL009</t>
  </si>
  <si>
    <t>KMC-2K001-77-PL009</t>
  </si>
  <si>
    <t>KMC-2K001-78-PL009</t>
  </si>
  <si>
    <t>KMC-2K001-79-PL009</t>
  </si>
  <si>
    <t>KMC-2K001-79-PL010</t>
  </si>
  <si>
    <t>KMC-2K001-79-PL011</t>
  </si>
  <si>
    <t>KMC-2K001-80-PL009</t>
  </si>
  <si>
    <t>KMC-2K001-80-PL010</t>
  </si>
  <si>
    <t>KMC-2K001-80-PL011</t>
  </si>
  <si>
    <t>VT-SL-TT-022-BEAM(7.KC3-6.KMC)-AS3678Gr350L0-SP12-015</t>
  </si>
  <si>
    <t>VT-10726-141-Z001-201</t>
  </si>
  <si>
    <t>KC3-2G001-66-PL010</t>
  </si>
  <si>
    <t>KC3-2G001-71-W004</t>
  </si>
  <si>
    <t>KC3-2G001-72-W004</t>
  </si>
  <si>
    <t>KC3-2K001-66-PL010</t>
  </si>
  <si>
    <t>KC3-2K001-72-PL010</t>
  </si>
  <si>
    <t>KC3-4A001-35-W006</t>
  </si>
  <si>
    <t>KC3-4A001-36-W006</t>
  </si>
  <si>
    <t>KMC-2G001-73-W004</t>
  </si>
  <si>
    <t>KMC-2G001-78-W004</t>
  </si>
  <si>
    <t>KMC-2K001-74-PL010</t>
  </si>
  <si>
    <t>KMC-2K001-75-PL010</t>
  </si>
  <si>
    <t>KMC-2K001-76-PL010</t>
  </si>
  <si>
    <t>KMC-2K001-77-PL010</t>
  </si>
  <si>
    <t>KMC-2K001-78-PL010</t>
  </si>
  <si>
    <t>KMC-4A001-39-W006</t>
  </si>
  <si>
    <t>KMC-4A001-40-W006</t>
  </si>
  <si>
    <t>KMC-2G001-79-W004</t>
  </si>
  <si>
    <t>VT-SL-TT-022-BEAM(7.KC3-6.KMC)-AS3678Gr350L0-SP12-016</t>
  </si>
  <si>
    <t>VT-10726-141-Z001-202</t>
  </si>
  <si>
    <t>KMC-2G001-80-W004</t>
  </si>
  <si>
    <t>KC3-3D001-10-PL005</t>
  </si>
  <si>
    <t>PL16x2438x9630</t>
  </si>
  <si>
    <t>VT-SL-TT-022-BEAM(7.KC3-6.KMC)-AS3678GR350L0-SP16-001</t>
  </si>
  <si>
    <t>VT-SL-TT-017-BEAM(8KMB-9KC2) -AS3678GR350L0-SP16-001</t>
  </si>
  <si>
    <t>VT-10726-141-Z001-203</t>
  </si>
  <si>
    <t>KC3-3D001-10-PL026</t>
  </si>
  <si>
    <t>KC3-3D001-9-PL005</t>
  </si>
  <si>
    <t>KC3-3D001-9-PL026</t>
  </si>
  <si>
    <t>KMC-3G001-10-PL005</t>
  </si>
  <si>
    <t>KMC-3G001-10-PL026</t>
  </si>
  <si>
    <t>KMC-3G001-9-PL005</t>
  </si>
  <si>
    <t>KMC-3G001-9-PL026</t>
  </si>
  <si>
    <t>KC3-2H001-17-FL011</t>
  </si>
  <si>
    <t>VT-SL-TT-022-BEAM(7.KC3-6.KMC)-AS3678Gr350L0-SP20-001</t>
  </si>
  <si>
    <t>VT-SL-TT-017-BEAM(8KMB-9KC2) -AS3678GR350L0-SP20-006</t>
  </si>
  <si>
    <t>VT-10726-141-Z001-204</t>
  </si>
  <si>
    <t>KC3-2H001-18-FL011</t>
  </si>
  <si>
    <t>KC3-2J001-25-FL011</t>
  </si>
  <si>
    <t>KC3-2J001-26-FL011</t>
  </si>
  <si>
    <t>KC3-2J001-27-FL011</t>
  </si>
  <si>
    <t>KC3-2K001-65-FL005-V</t>
  </si>
  <si>
    <t>KC3-2K001-66-FL005-V</t>
  </si>
  <si>
    <t>KC3-2K001-67-FL005-V</t>
  </si>
  <si>
    <t>KC3-2K001-68-FL005-V</t>
  </si>
  <si>
    <t>KC3-2K001-69-FL005-V</t>
  </si>
  <si>
    <t>KC3-2K001-70-FL005-V</t>
  </si>
  <si>
    <t>KC3-3C001-5-PL003</t>
  </si>
  <si>
    <t>KC3-3D001-10-PL008</t>
  </si>
  <si>
    <t>KC3-3D001-9-PL008</t>
  </si>
  <si>
    <t>KMC-2H001-19-FL011</t>
  </si>
  <si>
    <t>KMC-2H001-20-FL011</t>
  </si>
  <si>
    <t>KC3-2K001-65-FL006</t>
  </si>
  <si>
    <t>PL20x2550x5959</t>
  </si>
  <si>
    <t>VT-SL-TT-022-BEAM(7.KC3-6.KMC)-AS3678Gr350L0-SP20-002</t>
  </si>
  <si>
    <t>VT-SL-TT-013-CRANEBEAM(1C001.5- 1D001.1)-AS3678GR350L0-SP20-002</t>
  </si>
  <si>
    <t>VT-10726-141-Z001-205</t>
  </si>
  <si>
    <t>KC3-2K001-66-FL006</t>
  </si>
  <si>
    <t>KC3-2K001-67-FL006</t>
  </si>
  <si>
    <t>KC3-2K001-68-FL006</t>
  </si>
  <si>
    <t>KC3-2K001-69-FL006</t>
  </si>
  <si>
    <t>KC3-2K001-70-FL006</t>
  </si>
  <si>
    <t>KC3-2K001-71-FL006</t>
  </si>
  <si>
    <t>KC3-2K001-72-FL006</t>
  </si>
  <si>
    <t>KC3-4A001-33-FL012-V</t>
  </si>
  <si>
    <t>KC3-4A001-34-FL012-V</t>
  </si>
  <si>
    <t>KC3-4A001-35-FL012-V</t>
  </si>
  <si>
    <t>KC3-4A001-36-FL012-V</t>
  </si>
  <si>
    <t>KMC-2K001-73-FL006</t>
  </si>
  <si>
    <t>KMC-2K001-74-FL006</t>
  </si>
  <si>
    <t>KMC-2K001-75-FL006</t>
  </si>
  <si>
    <t>KMC-2K001-76-FL006</t>
  </si>
  <si>
    <t>KMC-2K001-77-FL006</t>
  </si>
  <si>
    <t>KMC-2K001-78-FL006</t>
  </si>
  <si>
    <t>KMC-2K001-79-FL006</t>
  </si>
  <si>
    <t>KMC-2K001-80-FL006</t>
  </si>
  <si>
    <t>KMC-3G001-10-PL008</t>
  </si>
  <si>
    <t>KMC-4A001-37-FL012-V</t>
  </si>
  <si>
    <t>KMC-4A001-38-FL012-V</t>
  </si>
  <si>
    <t>KMC-4A001-39-FL012-V</t>
  </si>
  <si>
    <t>KMC-4A001-40-FL012-V</t>
  </si>
  <si>
    <t>KC3-2G001-65-FL007-V</t>
  </si>
  <si>
    <t>VT-SL-TT-022-BEAM(7.KC3-6.KMC)-AS3678Gr350L0-SP20-003</t>
  </si>
  <si>
    <t>VT-10726-141-Z001-206</t>
  </si>
  <si>
    <t>KC3-2G001-66-FL007-V</t>
  </si>
  <si>
    <t>KC3-2G001-67-FL007-V</t>
  </si>
  <si>
    <t>KC3-2G001-68-FL007-V</t>
  </si>
  <si>
    <t>KC3-2G001-69-FL007-V</t>
  </si>
  <si>
    <t>KC3-2G001-70-FL007-V</t>
  </si>
  <si>
    <t>KC3-2G001-71-FL007-V</t>
  </si>
  <si>
    <t>KC3-2G001-72-FL007-V</t>
  </si>
  <si>
    <t>KC3-3E001-5-PL003</t>
  </si>
  <si>
    <t>KMC-2G001-73-FL007-V</t>
  </si>
  <si>
    <t>KMC-2G001-74-FL007-V</t>
  </si>
  <si>
    <t>KMC-2G001-75-FL007-V</t>
  </si>
  <si>
    <t>KMC-2G001-76-FL007-V</t>
  </si>
  <si>
    <t>KMC-2G001-77-FL007-V</t>
  </si>
  <si>
    <t>KMC-2G001-78-FL007-V</t>
  </si>
  <si>
    <t>KMC-2G001-79-FL007-V</t>
  </si>
  <si>
    <t>KMC-2G001-80-FL007-V</t>
  </si>
  <si>
    <t>KMC-3F001-5-PL003</t>
  </si>
  <si>
    <t>KMC-3G001-9-PL008</t>
  </si>
  <si>
    <t>KMC-3H001-5-PL003</t>
  </si>
  <si>
    <t>KC3-2F001-18-FL009</t>
  </si>
  <si>
    <t>VT-SL-TT-022-BEAM(7.KC3-6.KMC)-AS3678Gr350L0-SP20-004</t>
  </si>
  <si>
    <t>VT-10726-141-Z001-207</t>
  </si>
  <si>
    <t>KC3-2G001-66-FL008</t>
  </si>
  <si>
    <t>KC3-2G001-67-FL008</t>
  </si>
  <si>
    <t>KC3-2G001-68-FL008</t>
  </si>
  <si>
    <t>KC3-2G001-69-FL008</t>
  </si>
  <si>
    <t>KMC-2F001-20-FL009</t>
  </si>
  <si>
    <t>KMC-3G001-10-W007-V</t>
  </si>
  <si>
    <t>KMC-3G001-9-W007-V</t>
  </si>
  <si>
    <t>KC3-2F001-17-FL008</t>
  </si>
  <si>
    <t>VT-SL-TT-022-BEAM(7.KC3-6.KMC)-AS3678Gr350L0-SP20-005</t>
  </si>
  <si>
    <t>VT-10726-141-Z001-208</t>
  </si>
  <si>
    <t>KC3-2F001-18-FL008</t>
  </si>
  <si>
    <t>KC3-2G001-65-FL008</t>
  </si>
  <si>
    <t>KC3-2G001-70-FL008</t>
  </si>
  <si>
    <t>KC3-2G001-71-FL008</t>
  </si>
  <si>
    <t>KC3-2G001-72-FL008</t>
  </si>
  <si>
    <t>KMC-2F001-19-FL008</t>
  </si>
  <si>
    <t>KMC-2F001-20-FL008</t>
  </si>
  <si>
    <t>KMC-2G001-73-FL008</t>
  </si>
  <si>
    <t>KMC-2G001-74-FL008</t>
  </si>
  <si>
    <t>KMC-2G001-75-FL008</t>
  </si>
  <si>
    <t>KMC-2G001-76-FL008</t>
  </si>
  <si>
    <t>KMC-2G001-77-FL008</t>
  </si>
  <si>
    <t>KMC-2G001-78-FL008</t>
  </si>
  <si>
    <t>KMC-2G001-79-FL008</t>
  </si>
  <si>
    <t>KMC-2G001-80-FL008</t>
  </si>
  <si>
    <t>KC3-2H001-17-FL010-V</t>
  </si>
  <si>
    <t>VT-SL-TT-022-BEAM(7.KC3-6.KMC)-AS3678Gr350L0-SP20-006</t>
  </si>
  <si>
    <t>VT-10726-141-Z001-209</t>
  </si>
  <si>
    <t>KC3-2H001-18-FL010-V</t>
  </si>
  <si>
    <t>KC3-2J001-25-FL010-V</t>
  </si>
  <si>
    <t>KC3-2J001-26-FL010-V</t>
  </si>
  <si>
    <t>KC3-2J001-27-FL010-V</t>
  </si>
  <si>
    <t>KC3-2K001-71-FL005-V</t>
  </si>
  <si>
    <t>KC3-2K001-72-FL005-V</t>
  </si>
  <si>
    <t>KMC-2J001-28-FL011</t>
  </si>
  <si>
    <t>KMC-2J001-29-FL011</t>
  </si>
  <si>
    <t>KMC-2J001-30-FL011</t>
  </si>
  <si>
    <t>KMC-2K001-73-FL005-V</t>
  </si>
  <si>
    <t>KMC-2K001-74-FL005-V</t>
  </si>
  <si>
    <t>KMC-2K001-75-FL005-V</t>
  </si>
  <si>
    <t>KMC-2H001-19-FL010-V</t>
  </si>
  <si>
    <t>VT-SL-TT-022-BEAM(7.KC3-6.KMC)-AS3678Gr350L0-SP20-007</t>
  </si>
  <si>
    <t>VT-10726-141-Z001-210</t>
  </si>
  <si>
    <t>KMC-2H001-20-FL010-V</t>
  </si>
  <si>
    <t>KMC-2J001-28-FL010-V</t>
  </si>
  <si>
    <t>KMC-2J001-29-FL010-V</t>
  </si>
  <si>
    <t>KMC-2J001-30-FL010-V</t>
  </si>
  <si>
    <t>KMC-2K001-76-FL005-V</t>
  </si>
  <si>
    <t>KMC-2K001-77-FL005-V</t>
  </si>
  <si>
    <t>KMC-2K001-78-FL005-V</t>
  </si>
  <si>
    <t>KMC-2K001-79-FL005-V</t>
  </si>
  <si>
    <t>KMC-2K001-80-FL005-V</t>
  </si>
  <si>
    <t>KC3-2F001-17-FL009</t>
  </si>
  <si>
    <t>VT-SL-TT-022-BEAM(7.KC3-6.KMC)-AS3678Gr350L0-SP20-008</t>
  </si>
  <si>
    <t>VT-10726-141-Z001-211</t>
  </si>
  <si>
    <t>KC3-3C001-5-FL002</t>
  </si>
  <si>
    <t>KC3-3D001-10-W002</t>
  </si>
  <si>
    <t>KC3-3E001-5-FL002</t>
  </si>
  <si>
    <t>KC3-3C001-5-FL001-V</t>
  </si>
  <si>
    <t>VT-SL-TT-022-BEAM(7.KC3-6.KMC)-AS3678Gr350L0-SP20-009</t>
  </si>
  <si>
    <t>VT-10726-141-Z001-212</t>
  </si>
  <si>
    <t>KC3-3D001-9-W002</t>
  </si>
  <si>
    <t>KC3-3E001-5-FL001-V</t>
  </si>
  <si>
    <t>KMC-2F001-19-FL009</t>
  </si>
  <si>
    <t>KMC-3F001-5-FL014</t>
  </si>
  <si>
    <t>VT-SL-TT-022-BEAM(7.KC3-6.KMC)-AS3678Gr350L0-SP20-010</t>
  </si>
  <si>
    <t>VT-10726-141-Z001-213</t>
  </si>
  <si>
    <t>KMC-3H001-5-FL014</t>
  </si>
  <si>
    <t>KC3-3D001-10-FL003-V</t>
  </si>
  <si>
    <t>VT-SL-TT-022-BEAM(7.KC3-6.KMC)-AS3678Gr350L0-SP32-001</t>
  </si>
  <si>
    <t>VT-SL-TT-016-BEAM(10KMA-11KC1) -AS3678GR350L0-SP32-002</t>
  </si>
  <si>
    <t>VT-10726-141-Z001-214</t>
  </si>
  <si>
    <t>KC3-3D001-9-FL003-V</t>
  </si>
  <si>
    <t>KMC-3G001-10-FL013</t>
  </si>
  <si>
    <t>VT-SL-TT-022-BEAM(7.KC3-6.KMC)-AS3678Gr350L0-SP32-002</t>
  </si>
  <si>
    <t>VT-10726-141-Z001-215</t>
  </si>
  <si>
    <t>KMC-3G001-9-FL013</t>
  </si>
  <si>
    <t>12x1965x6772</t>
  </si>
  <si>
    <t>VT-SL-TT-022</t>
  </si>
  <si>
    <t>12x1961x6714</t>
  </si>
  <si>
    <t>12x2438x6714</t>
  </si>
  <si>
    <t>12x2295x2438</t>
  </si>
  <si>
    <t>12x1971x7837</t>
  </si>
  <si>
    <t>12x1961x6713</t>
  </si>
  <si>
    <t>12x1961x6773</t>
  </si>
  <si>
    <t>16x2438x9630</t>
  </si>
  <si>
    <t>20x2550x5959</t>
  </si>
  <si>
    <t>KC4-2F001-21-PL009</t>
  </si>
  <si>
    <t>VT-SL-TT-023-BEAM(5.KC4-4.KMD)-AS3678Gr350L0-SP12-001</t>
  </si>
  <si>
    <t>18/09/2026</t>
  </si>
  <si>
    <t>PLATFORM-MAIN STRUCTURE-BEAM(5.KC4-4.KMD)</t>
  </si>
  <si>
    <t>VT-SL-TT-022-BEAM(7.KC3-6.KMC) -AS3678Gr350L0-SP12-016</t>
  </si>
  <si>
    <t>VT-10726-141-Z001-216</t>
  </si>
  <si>
    <t>KC4-2F001-21-PL010</t>
  </si>
  <si>
    <t>KC4-2J001-33-W005</t>
  </si>
  <si>
    <t>KC4-2K001-81-PL011</t>
  </si>
  <si>
    <t>KC4-2K001-82-PL011</t>
  </si>
  <si>
    <t>KC4-3C001-6-PL002</t>
  </si>
  <si>
    <t>KC4-3C001-6-PL004</t>
  </si>
  <si>
    <t>KC4-3C001-6-PL023</t>
  </si>
  <si>
    <t>KC4-3E001-6-PL004</t>
  </si>
  <si>
    <t>KC4-4A001-41-W006</t>
  </si>
  <si>
    <t>KC4-4A001-42-W006</t>
  </si>
  <si>
    <t>KC4-4B001-161-SS005-C</t>
  </si>
  <si>
    <t>KC4-4B001-162-SS005-C</t>
  </si>
  <si>
    <t>KC4-4B001-164-SS005-C</t>
  </si>
  <si>
    <t>KC4-4B001-165-SS005-C</t>
  </si>
  <si>
    <t>KC4-4B001-166-SS005-C</t>
  </si>
  <si>
    <t>KC4-4B001-167-SS005-C</t>
  </si>
  <si>
    <t>KMD-2J001-2-W005</t>
  </si>
  <si>
    <t>KMD-2K001-7-W003</t>
  </si>
  <si>
    <t>KMD-2K001-8-W003</t>
  </si>
  <si>
    <t>KMD-3F001-1-PL004</t>
  </si>
  <si>
    <t>KMD-3H001-1-PL004</t>
  </si>
  <si>
    <t>KMD-4A001-2-W006</t>
  </si>
  <si>
    <t>KMD-4A001-4-W006</t>
  </si>
  <si>
    <t>PL12x2438x7578</t>
  </si>
  <si>
    <t>VT-SL-TT-023-BEAM(5.KC4-4.KMD)-AS3678Gr350L0-SP12-002</t>
  </si>
  <si>
    <t>VT-SL-TT-022-BEAM(7.KC3-6.KMC) -AS3678Gr350L0-SP12-015</t>
  </si>
  <si>
    <t>VT-10726-141-Z001-217</t>
  </si>
  <si>
    <t>KC4-2K001-81-W003</t>
  </si>
  <si>
    <t>KC4-2K001-83-PL011</t>
  </si>
  <si>
    <t>KC4-2K001-84-PL011</t>
  </si>
  <si>
    <t>KC4-2K001-86-PL011</t>
  </si>
  <si>
    <t>KC4-2K001-86-W003</t>
  </si>
  <si>
    <t>KC4-3C001-6-PL025</t>
  </si>
  <si>
    <t>KC4-3E001-6-PL002</t>
  </si>
  <si>
    <t>KC4-4B001-163-SS005-C</t>
  </si>
  <si>
    <t>KC4-4B001-168-SS005-C</t>
  </si>
  <si>
    <t>KC4-4B001-169-SS005-C</t>
  </si>
  <si>
    <t>KC4-4B001-172-SS005-C</t>
  </si>
  <si>
    <t>KC4-4B001-173-SS005-C</t>
  </si>
  <si>
    <t>KMD-2K001-4-W003</t>
  </si>
  <si>
    <t>KMD-2K001-5-W003</t>
  </si>
  <si>
    <t>KMD-2K001-6-W003</t>
  </si>
  <si>
    <t>KMD-3F001-1-PL002</t>
  </si>
  <si>
    <t>VT-SL-TT-023-BEAM(5.KC4-4.KMD)-AS3678Gr350L0-SP12-003</t>
  </si>
  <si>
    <t>VT-10726-141-Z001-218</t>
  </si>
  <si>
    <t>KC4-2F001-22-PL009</t>
  </si>
  <si>
    <t>KC4-2H001-21-W005</t>
  </si>
  <si>
    <t>KC4-2J001-31-W005</t>
  </si>
  <si>
    <t>KC4-3E001-6-PL023</t>
  </si>
  <si>
    <t>KC4-4B001-170-SS005-C</t>
  </si>
  <si>
    <t>KC4-4B001-171-SS005-C</t>
  </si>
  <si>
    <t>KC4-4B001-174-SS005-C</t>
  </si>
  <si>
    <t>KC4-4B001-175-SS005-C</t>
  </si>
  <si>
    <t>KC4-4B001-176-SS005-C</t>
  </si>
  <si>
    <t>KMD-2H001-1-W005</t>
  </si>
  <si>
    <t>KMD-2H001-2-W005</t>
  </si>
  <si>
    <t>KMD-4B001-10-SS005-C</t>
  </si>
  <si>
    <t>KMD-4B001-1-SS005-C</t>
  </si>
  <si>
    <t>VT-SL-TT-023-BEAM(5.KC4-4.KMD)-AS3678Gr350L0-SP12-004</t>
  </si>
  <si>
    <t>VT-10726-141-Z001-219</t>
  </si>
  <si>
    <t>KC4-2G001-81-PL009</t>
  </si>
  <si>
    <t>KC4-2H001-22-W005</t>
  </si>
  <si>
    <t>KC4-2J001-32-W005</t>
  </si>
  <si>
    <t>KMD-2J001-1-W005</t>
  </si>
  <si>
    <t>KMD-2J001-3-W005</t>
  </si>
  <si>
    <t>KMD-3F001-1-PL023</t>
  </si>
  <si>
    <t>KMD-4B001-11-SS005-C</t>
  </si>
  <si>
    <t>KMD-4B001-12-SS005-C</t>
  </si>
  <si>
    <t>KMD-4B001-13-SS005-C</t>
  </si>
  <si>
    <t>KMD-4B001-15-SS005-C</t>
  </si>
  <si>
    <t>KMD-4B001-16-SS005-C</t>
  </si>
  <si>
    <t>KMD-4B001-2-SS005-C</t>
  </si>
  <si>
    <t>KMD-4B001-3-SS005-C</t>
  </si>
  <si>
    <t>VT-SL-TT-023-BEAM(5.KC4-4.KMD)-AS3678Gr350L0-SP12-005</t>
  </si>
  <si>
    <t>VT-10726-141-Z001-220</t>
  </si>
  <si>
    <t>KC4-2F001-22-PL010</t>
  </si>
  <si>
    <t>KC4-2G001-81-PL010</t>
  </si>
  <si>
    <t>KC4-2G001-81-W004</t>
  </si>
  <si>
    <t>KC4-2G001-82-PL009</t>
  </si>
  <si>
    <t>KC4-2G001-82-PL010</t>
  </si>
  <si>
    <t>KC4-2G001-83-PL010</t>
  </si>
  <si>
    <t>KC4-2G001-84-PL010</t>
  </si>
  <si>
    <t>KC4-2G001-85-PL010</t>
  </si>
  <si>
    <t>KC4-2K001-82-W003</t>
  </si>
  <si>
    <t>KC4-2K001-83-W003</t>
  </si>
  <si>
    <t>KC4-2K001-85-PL011</t>
  </si>
  <si>
    <t>KC4-3E001-6-W010</t>
  </si>
  <si>
    <t>KMD-3H001-1-PL002</t>
  </si>
  <si>
    <t>KMD-3H001-1-PL023</t>
  </si>
  <si>
    <t>KMD-4A001-3-W006</t>
  </si>
  <si>
    <t>KMD-4B001-14-SS005-C</t>
  </si>
  <si>
    <t>KMD-4B001-4-SS005-C</t>
  </si>
  <si>
    <t>KMD-4B001-5-SS005-C</t>
  </si>
  <si>
    <t>KMD-4B001-6-SS005-C</t>
  </si>
  <si>
    <t>KMD-4B001-7-SS005-C</t>
  </si>
  <si>
    <t>KMD-4B001-8-SS005-C</t>
  </si>
  <si>
    <t>KMD-4B001-9-SS005-C</t>
  </si>
  <si>
    <t>VT-SL-TT-023-BEAM(5.KC4-4.KMD)-AS3678Gr350L0-SP12-006</t>
  </si>
  <si>
    <t>VT-10726-141-Z001-221</t>
  </si>
  <si>
    <t>KC4-2G001-82-W004</t>
  </si>
  <si>
    <t>KC4-2G001-83-PL009</t>
  </si>
  <si>
    <t>KC4-2G001-84-PL009</t>
  </si>
  <si>
    <t>KC4-2G001-85-PL009</t>
  </si>
  <si>
    <t>KC4-2K001-84-W003</t>
  </si>
  <si>
    <t>KC4-2K001-85-W003</t>
  </si>
  <si>
    <t>KC4-2K001-87-W003</t>
  </si>
  <si>
    <t>KC4-2K001-88-PL009</t>
  </si>
  <si>
    <t>KC4-2K001-88-PL011</t>
  </si>
  <si>
    <t>KC4-3C001-6-W010</t>
  </si>
  <si>
    <t>KC4-3E001-6-PL025</t>
  </si>
  <si>
    <t>KMD-2F001-1-PL009</t>
  </si>
  <si>
    <t>KMD-3F001-1-PL025</t>
  </si>
  <si>
    <t>KMD-3H001-1-PL025</t>
  </si>
  <si>
    <t>KC4-2G001-83-W004</t>
  </si>
  <si>
    <t>VT-SL-TT-023-BEAM(5.KC4-4.KMD)-AS3678Gr350L0-SP12-007</t>
  </si>
  <si>
    <t>VT-10726-141-Z001-222</t>
  </si>
  <si>
    <t>KC4-2G001-84-W004</t>
  </si>
  <si>
    <t>KC4-2G001-85-W004</t>
  </si>
  <si>
    <t>KC4-2G001-86-W004</t>
  </si>
  <si>
    <t>KC4-2H001-22-PL009</t>
  </si>
  <si>
    <t>KC4-2J001-31-PL009</t>
  </si>
  <si>
    <t>KC4-2J001-32-PL009</t>
  </si>
  <si>
    <t>KC4-2J001-33-PL009</t>
  </si>
  <si>
    <t>KC4-2K001-81-PL009</t>
  </si>
  <si>
    <t>KC4-2K001-82-PL009</t>
  </si>
  <si>
    <t>KC4-2K001-83-PL009</t>
  </si>
  <si>
    <t>KC4-2K001-84-PL009</t>
  </si>
  <si>
    <t>KC4-2K001-85-PL009</t>
  </si>
  <si>
    <t>KC4-2K001-86-PL009</t>
  </si>
  <si>
    <t>KC4-2K001-87-PL009</t>
  </si>
  <si>
    <t>KC4-2K001-87-PL011</t>
  </si>
  <si>
    <t>KC4-2K001-88-W003</t>
  </si>
  <si>
    <t>KC4-4A001-43-W006</t>
  </si>
  <si>
    <t>KC4-4A001-44-W006</t>
  </si>
  <si>
    <t>KMD-2K001-1-W003</t>
  </si>
  <si>
    <t>KMD-2K001-2-W003</t>
  </si>
  <si>
    <t>KMD-2K001-3-W003</t>
  </si>
  <si>
    <t>KMD-4A001-1-W006</t>
  </si>
  <si>
    <t>KC4-2G001-86-PL009</t>
  </si>
  <si>
    <t>VT-SL-TT-023-BEAM(5.KC4-4.KMD)-AS3678Gr350L0-SP12-008</t>
  </si>
  <si>
    <t>VT-10726-141-Z001-223</t>
  </si>
  <si>
    <t>KC4-2G001-87-PL009</t>
  </si>
  <si>
    <t>KC4-2G001-87-W004</t>
  </si>
  <si>
    <t>KC4-2G001-88-PL009</t>
  </si>
  <si>
    <t>KC4-2G001-88-W004</t>
  </si>
  <si>
    <t>KC4-2H001-21-PL009</t>
  </si>
  <si>
    <t>KMD-2G001-1-W004</t>
  </si>
  <si>
    <t>KMD-2G001-2-W004</t>
  </si>
  <si>
    <t>KMD-2G001-3-PL009</t>
  </si>
  <si>
    <t>KMD-2G001-4-PL009</t>
  </si>
  <si>
    <t>KMD-2G001-5-PL009</t>
  </si>
  <si>
    <t>KMD-2G001-6-PL009</t>
  </si>
  <si>
    <t>KMD-2G001-7-PL009</t>
  </si>
  <si>
    <t>KMD-2G001-8-PL009</t>
  </si>
  <si>
    <t>KMD-2H001-1-PL009</t>
  </si>
  <si>
    <t>KMD-2H001-2-PL009</t>
  </si>
  <si>
    <t>KMD-2K001-1-PL011</t>
  </si>
  <si>
    <t>KMD-2K001-7-PL011</t>
  </si>
  <si>
    <t>VT-SL-TT-023-BEAM(5.KC4-4.KMD)-AS3678Gr350L0-SP12-009</t>
  </si>
  <si>
    <t>VT-10726-141-Z001-224</t>
  </si>
  <si>
    <t>KC4-2G001-86-PL010</t>
  </si>
  <si>
    <t>KC4-2G001-87-PL010</t>
  </si>
  <si>
    <t>KC4-2G001-88-PL010</t>
  </si>
  <si>
    <t>KC4-2H001-21-PL010</t>
  </si>
  <si>
    <t>KC4-2H001-22-PL010</t>
  </si>
  <si>
    <t>KC4-2J001-31-PL010</t>
  </si>
  <si>
    <t>KC4-2K001-83-PL010</t>
  </si>
  <si>
    <t>KC4-2K001-84-PL010</t>
  </si>
  <si>
    <t>KC4-2K001-86-PL010</t>
  </si>
  <si>
    <t>KC4-2K001-87-PL010</t>
  </si>
  <si>
    <t>KC4-2K001-88-PL010</t>
  </si>
  <si>
    <t>KMD-2F001-1-W011</t>
  </si>
  <si>
    <t>KMD-2F001-2-PL009</t>
  </si>
  <si>
    <t>KMD-2G001-1-PL009</t>
  </si>
  <si>
    <t>KMD-2G001-2-PL009</t>
  </si>
  <si>
    <t>KMD-2J001-1-PL009</t>
  </si>
  <si>
    <t>KMD-2J001-2-PL009</t>
  </si>
  <si>
    <t>KMD-2J001-3-PL009</t>
  </si>
  <si>
    <t>KMD-2K001-1-PL009</t>
  </si>
  <si>
    <t>KMD-2K001-2-PL009</t>
  </si>
  <si>
    <t>KMD-2K001-2-PL011</t>
  </si>
  <si>
    <t>KMD-2K001-3-PL009</t>
  </si>
  <si>
    <t>KMD-2K001-3-PL011</t>
  </si>
  <si>
    <t>KMD-2K001-4-PL009</t>
  </si>
  <si>
    <t>KMD-2K001-4-PL011</t>
  </si>
  <si>
    <t>KMD-2K001-5-PL009</t>
  </si>
  <si>
    <t>KMD-2K001-5-PL011</t>
  </si>
  <si>
    <t>KMD-2K001-6-PL009</t>
  </si>
  <si>
    <t>KMD-2K001-6-PL011</t>
  </si>
  <si>
    <t>KMD-2K001-7-PL009</t>
  </si>
  <si>
    <t>KMD-2K001-8-PL009</t>
  </si>
  <si>
    <t>KMD-2K001-8-PL011</t>
  </si>
  <si>
    <t>KMD-3F001-1-W008-V</t>
  </si>
  <si>
    <t>VT-SL-TT-023-BEAM(5.KC4-4.KMD)-AS3678Gr350L0-SP12-010</t>
  </si>
  <si>
    <t>VT-10726-141-Z001-225</t>
  </si>
  <si>
    <t>KC4-2J001-32-PL010</t>
  </si>
  <si>
    <t>KC4-2J001-33-PL010</t>
  </si>
  <si>
    <t>KC4-2K001-81-PL010</t>
  </si>
  <si>
    <t>KC4-2K001-85-PL010</t>
  </si>
  <si>
    <t>KMD-2F001-1-PL010</t>
  </si>
  <si>
    <t>KMD-2F001-2-PL010</t>
  </si>
  <si>
    <t>KMD-2F001-2-W011</t>
  </si>
  <si>
    <t>KMD-2G001-1-PL010</t>
  </si>
  <si>
    <t>KMD-2G001-2-PL010</t>
  </si>
  <si>
    <t>KMD-2G001-3-PL010</t>
  </si>
  <si>
    <t>KMD-2G001-4-PL010</t>
  </si>
  <si>
    <t>KMD-2K001-2-PL010</t>
  </si>
  <si>
    <t>KMD-2K001-3-PL010</t>
  </si>
  <si>
    <t>KMD-2K001-6-PL010</t>
  </si>
  <si>
    <t>KMD-2K001-7-PL010</t>
  </si>
  <si>
    <t>KMD-3H001-1-W008-V</t>
  </si>
  <si>
    <t>KC4-2F001-21-W011</t>
  </si>
  <si>
    <t>VT-SL-TT-023-BEAM(5.KC4-4.KMD)-AS3678Gr350L0-SP12-011</t>
  </si>
  <si>
    <t>VT-10726-141-Z001-226</t>
  </si>
  <si>
    <t>KC4-2F001-22-W011</t>
  </si>
  <si>
    <t>KMD-2G001-5-PL010</t>
  </si>
  <si>
    <t>KMD-2G001-5-W004</t>
  </si>
  <si>
    <t>KMD-2G001-6-PL010</t>
  </si>
  <si>
    <t>KMD-2G001-6-W004</t>
  </si>
  <si>
    <t>KMD-2G001-7-PL010</t>
  </si>
  <si>
    <t>KMD-2G001-8-PL010</t>
  </si>
  <si>
    <t>KMD-2H001-1-PL010</t>
  </si>
  <si>
    <t>KMD-2H001-2-PL010</t>
  </si>
  <si>
    <t>KC4-2K001-82-PL010</t>
  </si>
  <si>
    <t>VT-SL-TT-023-BEAM(5.KC4-4.KMD)-AS3678Gr350L0-SP12-012</t>
  </si>
  <si>
    <t>VT-10726-141-Z001-227</t>
  </si>
  <si>
    <t>KMD-2G001-3-W004</t>
  </si>
  <si>
    <t>KMD-2G001-4-W004</t>
  </si>
  <si>
    <t>KMD-2G001-7-W004</t>
  </si>
  <si>
    <t>KMD-2G001-8-W004</t>
  </si>
  <si>
    <t>KMD-2J001-1-PL010</t>
  </si>
  <si>
    <t>KMD-2J001-2-PL010</t>
  </si>
  <si>
    <t>KMD-2J001-3-PL010</t>
  </si>
  <si>
    <t>KMD-2K001-1-PL010</t>
  </si>
  <si>
    <t>KMD-2K001-4-PL010</t>
  </si>
  <si>
    <t>KMD-2K001-5-PL010</t>
  </si>
  <si>
    <t>KMD-2K001-8-PL010</t>
  </si>
  <si>
    <t>KC4-3D001-11-PL005</t>
  </si>
  <si>
    <t>PL16x2235x3592</t>
  </si>
  <si>
    <t>VT-SL-TT-023-BEAM(5.KC4-4.KMD)-AS3678Gr350L0-SP16-001</t>
  </si>
  <si>
    <t>VT-SL-TT-022-BEAM(7.KC3-6.KMC) -AS3678GR350L0-SP16-001</t>
  </si>
  <si>
    <t>VT-10726-141-Z001-228</t>
  </si>
  <si>
    <t>KC4-3D001-11-PL026</t>
  </si>
  <si>
    <t>KC4-3D001-12-PL026</t>
  </si>
  <si>
    <t>KMD-3G001-1-PL005</t>
  </si>
  <si>
    <t>KMD-3G001-1-PL026</t>
  </si>
  <si>
    <t>KMD-3G001-2-PL026</t>
  </si>
  <si>
    <t>VT-SL-TT-023-BEAM(5.KC4-4.KMD)-AS3678Gr350L0-SP16-002</t>
  </si>
  <si>
    <t>VT-10726-141-Z001-229</t>
  </si>
  <si>
    <t>KC4-3D001-11-PL006</t>
  </si>
  <si>
    <t>KC4-3D001-12-PL005</t>
  </si>
  <si>
    <t>KC4-3D001-12-PL006</t>
  </si>
  <si>
    <t>PL16x190x251</t>
  </si>
  <si>
    <t>KMD-3G001-1-PL006</t>
  </si>
  <si>
    <t>KMD-3G001-2-PL005</t>
  </si>
  <si>
    <t>KMD-3G001-2-PL006</t>
  </si>
  <si>
    <t>KC4-3C001-6-PL003</t>
  </si>
  <si>
    <t>PL20x1938x13000</t>
  </si>
  <si>
    <t>VT-SL-TT-023-BEAM(5.KC4-4.KMD)-AS3678Gr350L0-SP20-001</t>
  </si>
  <si>
    <t>VT-SL-TT-022-BEAM(7.KC3- 6.KMC)-AS3678Gr350L0-SP20-004</t>
  </si>
  <si>
    <t>VT-10726-141-Z001-230</t>
  </si>
  <si>
    <t>KC4-3D001-12-PL008</t>
  </si>
  <si>
    <t>KC4-3E001-6-PL003</t>
  </si>
  <si>
    <t>KMD-3F001-1-PL003</t>
  </si>
  <si>
    <t>KMD-3H001-1-PL003</t>
  </si>
  <si>
    <t>PL20x481x1632</t>
  </si>
  <si>
    <t>VT-SL-TT-023-BEAM(5.KC4-4.KMD)-AS3678Gr350L0-SP20-002</t>
  </si>
  <si>
    <t>VT-SL-TT-022-BEAM(7.KC3-6.KMC) -AS3678Gr350L0-SP20-003</t>
  </si>
  <si>
    <t>VT-10726-141-Z001-231</t>
  </si>
  <si>
    <t>KMD-3G001-1-PL008</t>
  </si>
  <si>
    <t>KMD-3G001-2-PL008</t>
  </si>
  <si>
    <t>KC4-2K001-84-FL006</t>
  </si>
  <si>
    <t>PL20x1020x11050</t>
  </si>
  <si>
    <t>VT-SL-TT-023-BEAM(5.KC4-4.KMD)-AS3678Gr350L0-SP20-003</t>
  </si>
  <si>
    <t>VT-SL-TT-022-BEAM(7.KC3-6.KMC) -AS3678Gr350L0-SP20-007</t>
  </si>
  <si>
    <t>VT-10726-141-Z001-232</t>
  </si>
  <si>
    <t>KC4-2K001-85-FL006</t>
  </si>
  <si>
    <t>KMD-2J001-1-FL010-V</t>
  </si>
  <si>
    <t>KMD-2J001-2-FL010-V</t>
  </si>
  <si>
    <t>KMD-2J001-3-FL010-V</t>
  </si>
  <si>
    <t>KMD-2K001-6-FL006</t>
  </si>
  <si>
    <t>KMD-3F001-1-FL014</t>
  </si>
  <si>
    <t>VT-SL-TT-023-BEAM(5.KC4-4.KMD)-AS3678Gr350L0-SP20-004</t>
  </si>
  <si>
    <t>VT-SL-TT-022-BEAM(7.KC3-6.KMC) -AS3678Gr350L0-SP20-010</t>
  </si>
  <si>
    <t>VT-10726-141-Z001-233</t>
  </si>
  <si>
    <t>KMD-3H001-1-FL014</t>
  </si>
  <si>
    <t>KC4-2K001-83-FL005-V</t>
  </si>
  <si>
    <t>VT-SL-TT-023-BEAM(5.KC4-4.KMD)-AS3678Gr350L0-SP20-005</t>
  </si>
  <si>
    <t>VT-SL-TT-022-BEAM(7.KC3-6.KMC) -AS3678Gr350L0-SP20-008</t>
  </si>
  <si>
    <t>VT-10726-141-Z001-234</t>
  </si>
  <si>
    <t>KC4-2K001-85-FL005-V</t>
  </si>
  <si>
    <t>KC4-3D001-11-PL008</t>
  </si>
  <si>
    <t>KC4-4A001-41-FL012-V</t>
  </si>
  <si>
    <t>KC4-4A001-42-FL012-V</t>
  </si>
  <si>
    <t>KC4-4A001-43-FL012-V</t>
  </si>
  <si>
    <t>KC4-4A001-44-FL012-V</t>
  </si>
  <si>
    <t>KMD-2K001-6-FL005-V</t>
  </si>
  <si>
    <t>KMD-4A001-1-FL012-V</t>
  </si>
  <si>
    <t>KMD-4A001-3-FL012-V</t>
  </si>
  <si>
    <t>KC4-2K001-84-FL005-V</t>
  </si>
  <si>
    <t>VT-SL-TT-023-BEAM(5.KC4-4.KMD)-AS3678Gr350L0-SP20-006</t>
  </si>
  <si>
    <t>VT-SL-TT-022-BEAM(7.KC3-6.KMC) -AS3678Gr350L0-SP20-009</t>
  </si>
  <si>
    <t>VT-10726-141-Z001-235</t>
  </si>
  <si>
    <t>KC4-2K001-87-FL005-V</t>
  </si>
  <si>
    <t>KMD-2K001-3-FL005-V</t>
  </si>
  <si>
    <t>KMD-4A001-2-FL012-V</t>
  </si>
  <si>
    <t>KMD-4A001-4-FL012-V</t>
  </si>
  <si>
    <t>KC4-2G001-81-FL008</t>
  </si>
  <si>
    <t>VT-SL-TT-023-BEAM(5.KC4-4.KMD)-AS3678Gr350L0-SP20-007</t>
  </si>
  <si>
    <t>VT-10726-141-Z001-236</t>
  </si>
  <si>
    <t>KC4-2G001-85-FL008</t>
  </si>
  <si>
    <t>KC4-2G001-86-FL008</t>
  </si>
  <si>
    <t>KMD-2F001-2-FL008</t>
  </si>
  <si>
    <t>KC4-2F001-21-FL008</t>
  </si>
  <si>
    <t>VT-SL-TT-023-BEAM(5.KC4-4.KMD)-AS3678Gr350L0-SP20-008</t>
  </si>
  <si>
    <t>VT-10726-141-Z001-237</t>
  </si>
  <si>
    <t>KC4-2F001-22-FL008</t>
  </si>
  <si>
    <t>KC4-2G001-82-FL008</t>
  </si>
  <si>
    <t>KC4-2G001-83-FL008</t>
  </si>
  <si>
    <t>KC4-2G001-84-FL008</t>
  </si>
  <si>
    <t>KC4-2G001-87-FL008</t>
  </si>
  <si>
    <t>KC4-2G001-88-FL008</t>
  </si>
  <si>
    <t>KMD-2F001-1-FL008</t>
  </si>
  <si>
    <t>KMD-2G001-1-FL008</t>
  </si>
  <si>
    <t>KMD-2G001-2-FL008</t>
  </si>
  <si>
    <t>KMD-2G001-3-FL008</t>
  </si>
  <si>
    <t>KMD-2G001-4-FL008</t>
  </si>
  <si>
    <t>KMD-2G001-5-FL008</t>
  </si>
  <si>
    <t>KMD-2G001-6-FL008</t>
  </si>
  <si>
    <t>KMD-2G001-7-FL008</t>
  </si>
  <si>
    <t>KMD-2G001-8-FL008</t>
  </si>
  <si>
    <t>KC4-2H001-22-FL011</t>
  </si>
  <si>
    <t>VT-SL-TT-023-BEAM(5.KC4-4.KMD)-AS3678Gr350L0-SP20-009</t>
  </si>
  <si>
    <t>VT-10726-141-Z001-238</t>
  </si>
  <si>
    <t>KC4-2J001-32-FL011</t>
  </si>
  <si>
    <t>KC4-2K001-82-FL006</t>
  </si>
  <si>
    <t>KC4-3D001-11-W002</t>
  </si>
  <si>
    <t>KMD-2J001-3-FL011</t>
  </si>
  <si>
    <t>KMD-2K001-3-FL006</t>
  </si>
  <si>
    <t>KMD-2K001-4-FL006</t>
  </si>
  <si>
    <t>KMD-2K001-5-FL006</t>
  </si>
  <si>
    <t>KMD-2K001-7-FL006</t>
  </si>
  <si>
    <t>KMD-2K001-8-FL006</t>
  </si>
  <si>
    <t>KC4-2K001-83-FL006</t>
  </si>
  <si>
    <t>VT-SL-TT-023-BEAM(5.KC4-4.KMD)-AS3678Gr350L0-SP20-010</t>
  </si>
  <si>
    <t>VT-10726-141-Z001-239</t>
  </si>
  <si>
    <t>KC4-2K001-86-FL006</t>
  </si>
  <si>
    <t>KC4-2K001-87-FL006</t>
  </si>
  <si>
    <t>KC4-2K001-88-FL006</t>
  </si>
  <si>
    <t>KC4-3D001-12-W002</t>
  </si>
  <si>
    <t>KMD-2H001-1-FL011</t>
  </si>
  <si>
    <t>KMD-2J001-1-FL011</t>
  </si>
  <si>
    <t>KMD-2J001-2-FL011</t>
  </si>
  <si>
    <t>KMD-2K001-1-FL006</t>
  </si>
  <si>
    <t>KMD-2K001-2-FL006</t>
  </si>
  <si>
    <t>KC4-2H001-21-FL011</t>
  </si>
  <si>
    <t>VT-SL-TT-023-BEAM(5.KC4-4.KMD)-AS3678Gr350L0-SP20-011</t>
  </si>
  <si>
    <t>VT-10726-141-Z001-240</t>
  </si>
  <si>
    <t>KC4-2J001-31-FL011</t>
  </si>
  <si>
    <t>KC4-2J001-33-FL011</t>
  </si>
  <si>
    <t>KMD-2H001-2-FL011</t>
  </si>
  <si>
    <t>KC4-2J001-33-FL010-V</t>
  </si>
  <si>
    <t>VT-SL-TT-023-BEAM(5.KC4-4.KMD)-AS3678Gr350L0-SP20-012</t>
  </si>
  <si>
    <t>VT-10726-141-Z001-241</t>
  </si>
  <si>
    <t>KC4-2K001-81-FL005-V</t>
  </si>
  <si>
    <t>KC4-2K001-82-FL005-V</t>
  </si>
  <si>
    <t>KC4-2K001-88-FL005-V</t>
  </si>
  <si>
    <t>KMD-2H001-1-FL010-V</t>
  </si>
  <si>
    <t>KMD-2H001-2-FL010-V</t>
  </si>
  <si>
    <t>KMD-2K001-1-FL005-V</t>
  </si>
  <si>
    <t>KMD-2K001-2-FL005-V</t>
  </si>
  <si>
    <t>KMD-3G001-1-W007-V</t>
  </si>
  <si>
    <t>KC4-2H001-22-FL010-V</t>
  </si>
  <si>
    <t>VT-SL-TT-023-BEAM(5.KC4-4.KMD)-AS3678Gr350L0-SP20-013</t>
  </si>
  <si>
    <t>VT-10726-141-Z001-242</t>
  </si>
  <si>
    <t>KC4-2J001-31-FL010-V</t>
  </si>
  <si>
    <t>KC4-2J001-32-FL010-V</t>
  </si>
  <si>
    <t>KC4-2K001-81-FL006</t>
  </si>
  <si>
    <t>KC4-2K001-86-FL005-V</t>
  </si>
  <si>
    <t>KMD-2K001-4-FL005-V</t>
  </si>
  <si>
    <t>KMD-2K001-5-FL005-V</t>
  </si>
  <si>
    <t>KMD-2K001-7-FL005-V</t>
  </si>
  <si>
    <t>KMD-2K001-8-FL005-V</t>
  </si>
  <si>
    <t>KMD-3G001-2-W007-V</t>
  </si>
  <si>
    <t>KC4-2F001-21-FL009</t>
  </si>
  <si>
    <t>VT-SL-TT-023-BEAM(5.KC4-4.KMD)-AS3678Gr350L0-SP20-014</t>
  </si>
  <si>
    <t>VT-10726-141-Z001-243</t>
  </si>
  <si>
    <t>KC4-2F001-22-FL009</t>
  </si>
  <si>
    <t>KC4-2H001-21-FL010-V</t>
  </si>
  <si>
    <t>KC4-3C001-6-FL001-V</t>
  </si>
  <si>
    <t>KC4-3C001-6-FL002</t>
  </si>
  <si>
    <t>KC4-3E001-6-FL001-V</t>
  </si>
  <si>
    <t>KC4-3E001-6-FL002</t>
  </si>
  <si>
    <t>KMD-2F001-1-FL009</t>
  </si>
  <si>
    <t>KC4-2G001-81-FL007-V</t>
  </si>
  <si>
    <t>VT-SL-TT-023-BEAM(5.KC4-4.KMD)-AS3678Gr350L0-SP20-015</t>
  </si>
  <si>
    <t>VT-10726-141-Z001-244</t>
  </si>
  <si>
    <t>KC4-2G001-82-FL007-V</t>
  </si>
  <si>
    <t>KC4-2G001-83-FL007-V</t>
  </si>
  <si>
    <t>KC4-2G001-84-FL007-V</t>
  </si>
  <si>
    <t>KC4-2G001-85-FL007-V</t>
  </si>
  <si>
    <t>KC4-2G001-86-FL007-V</t>
  </si>
  <si>
    <t>KC4-2G001-87-FL007-V</t>
  </si>
  <si>
    <t>KMD-2F001-2-FL009</t>
  </si>
  <si>
    <t>KC4-2G001-88-FL007-V</t>
  </si>
  <si>
    <t>VT-SL-TT-023-BEAM(5.KC4-4.KMD)-AS3678Gr350L0-SP20-016</t>
  </si>
  <si>
    <t>VT-10726-141-Z001-245</t>
  </si>
  <si>
    <t>KMD-2G001-1-FL007-V</t>
  </si>
  <si>
    <t>KMD-2G001-2-FL007-V</t>
  </si>
  <si>
    <t>KMD-2G001-3-FL007-V</t>
  </si>
  <si>
    <t>KMD-2G001-4-FL007-V</t>
  </si>
  <si>
    <t>KMD-2G001-5-FL007-V</t>
  </si>
  <si>
    <t>KMD-2G001-6-FL007-V</t>
  </si>
  <si>
    <t>KMD-2G001-7-FL007-V</t>
  </si>
  <si>
    <t>KMD-2G001-8-FL007-V</t>
  </si>
  <si>
    <t>VT-SL-TT-023-BEAM(5.KC4-4.KMD)-AS3678Gr350L0-SP20-017</t>
  </si>
  <si>
    <t>VT-10726-141-Z001-246</t>
  </si>
  <si>
    <t>KC4-3D001-11-FL003-V</t>
  </si>
  <si>
    <t>VT-SL-TT-023-BEAM(5.KC4-4.KMD)-AS3678Gr350L0-SP32-001</t>
  </si>
  <si>
    <t>VT-SL-TT-022-BEAM(7.KC3-6.KMC) -AS3678Gr350L0-SP32-001</t>
  </si>
  <si>
    <t>VT-10726-141-Z001-247</t>
  </si>
  <si>
    <t>KC4-3D001-12-FL003-V</t>
  </si>
  <si>
    <t>KMD-3G001-1-FL013</t>
  </si>
  <si>
    <t>VT-SL-TT-023-BEAM(5.KC4-4.KMD)-AS3678Gr350L0-SP32-002</t>
  </si>
  <si>
    <t>VT-10726-141-Z001-248</t>
  </si>
  <si>
    <t>KMD-3G001-2-FL013</t>
  </si>
  <si>
    <t>VT-SL-TT-023</t>
  </si>
  <si>
    <t>12x2438x7578</t>
  </si>
  <si>
    <t>16x2235x3592</t>
  </si>
  <si>
    <t>20x1938x13000</t>
  </si>
  <si>
    <t>20x481x1632</t>
  </si>
  <si>
    <t>20x1020x11050</t>
  </si>
  <si>
    <t>KC5-2F001-3-PL009</t>
  </si>
  <si>
    <t>PL12x2438x3541</t>
  </si>
  <si>
    <t>VT-SL-TT-024-BEAM(3.KC5-2.KME-1.KC6)-AS3678Gr350L0-SP12-001</t>
  </si>
  <si>
    <t>PLATFORM-MAIN STRUCTURE-BEAM(3.KC5-2.KME-1.KC6)</t>
  </si>
  <si>
    <t>VT-SL-TT-023-BEAM(5.KC4-4.KMD) -AS3678Gr350L0-SP12-011</t>
  </si>
  <si>
    <t>VT-10726-141-Z001-249</t>
  </si>
  <si>
    <t>KC5-2F001-3-PL010</t>
  </si>
  <si>
    <t>KC5-2K001-15-W003</t>
  </si>
  <si>
    <t>KC5-2K001-16-W003</t>
  </si>
  <si>
    <t>KC5-3C001-1-PL002</t>
  </si>
  <si>
    <t>KC5-3C001-1-PL023</t>
  </si>
  <si>
    <t>KC5-4B001-17-SS005-C</t>
  </si>
  <si>
    <t>KC5-4B001-19-SS005-C</t>
  </si>
  <si>
    <t>KC6-2A001-1-W003</t>
  </si>
  <si>
    <t>KC6-2K001-26-W003</t>
  </si>
  <si>
    <t>KC6-2K001-27-W003</t>
  </si>
  <si>
    <t>KC6-2K001-29-W003</t>
  </si>
  <si>
    <t>KC6-2K001-32-W003</t>
  </si>
  <si>
    <t>KC6-3C001-2-PL025</t>
  </si>
  <si>
    <t>KME-2K001-17-W003</t>
  </si>
  <si>
    <t>KME-2K001-19-W003</t>
  </si>
  <si>
    <t>PL12x2438x3532</t>
  </si>
  <si>
    <t>VT-SL-TT-024-BEAM(3.KC5-2.KME-1.KC6)-AS3678Gr350L0-SP12-002</t>
  </si>
  <si>
    <t>VT-SL-TT-023-BEAM(5.KC4-4.KMD) -AS3678Gr350L0-SP12-010</t>
  </si>
  <si>
    <t>VT-10726-141-Z001-250</t>
  </si>
  <si>
    <t>KC5-2K001-10-W003</t>
  </si>
  <si>
    <t>KC5-2K001-11-W003</t>
  </si>
  <si>
    <t>KC5-2K001-12-W003</t>
  </si>
  <si>
    <t>KC5-2K001-13-W003</t>
  </si>
  <si>
    <t>KC5-2K001-14-W003</t>
  </si>
  <si>
    <t>KC5-2K001-9-PL011</t>
  </si>
  <si>
    <t>KC5-4B001-18-SS005-C</t>
  </si>
  <si>
    <t>KC5-4B001-22-SS005-C</t>
  </si>
  <si>
    <t>KC5-4B001-23-SS005-C</t>
  </si>
  <si>
    <t>KC6-2A001-1-PL021</t>
  </si>
  <si>
    <t>KC6-2B001-1-PL015</t>
  </si>
  <si>
    <t>KC6-2E001-1-PL021</t>
  </si>
  <si>
    <t>KC6-3A001-3-PL023</t>
  </si>
  <si>
    <t>KME-2K001-20-W003</t>
  </si>
  <si>
    <t>KME-2K001-22-W003</t>
  </si>
  <si>
    <t>KME-2K001-24-W003</t>
  </si>
  <si>
    <t>KME-3F001-2-PL025</t>
  </si>
  <si>
    <t>PL12x2438x7110</t>
  </si>
  <si>
    <t>VT-SL-TT-024-BEAM(3.KC5-2.KME-1.KC6)-AS3678Gr350L0-SP12-003</t>
  </si>
  <si>
    <t>VT-SL-TT-023-BEAM(5.KC4-4.KMD) -AS3678Gr350L0-SP12-012</t>
  </si>
  <si>
    <t>VT-10726-141-Z001-251</t>
  </si>
  <si>
    <t>KC5-2K001-9-W003</t>
  </si>
  <si>
    <t>KC5-3C001-1-PL004</t>
  </si>
  <si>
    <t>KC5-3E001-1-PL004</t>
  </si>
  <si>
    <t>KC5-3E001-1-PL023</t>
  </si>
  <si>
    <t>KC5-3E001-1-PL025</t>
  </si>
  <si>
    <t>KC5-4A001-6-W006</t>
  </si>
  <si>
    <t>KC6-2A001-1-PL011</t>
  </si>
  <si>
    <t>KC6-2E001-1-W003</t>
  </si>
  <si>
    <t>KC6-2K001-25-W003</t>
  </si>
  <si>
    <t>KC6-2K001-28-W003</t>
  </si>
  <si>
    <t>KC6-3A001-3-W009</t>
  </si>
  <si>
    <t>KC6-3A001-4-PL023</t>
  </si>
  <si>
    <t>KC6-3A001-4-W009</t>
  </si>
  <si>
    <t>KC6-3C001-2-PL004</t>
  </si>
  <si>
    <t>KC6-3E001-2-PL004</t>
  </si>
  <si>
    <t>KC6-3E001-2-PL025</t>
  </si>
  <si>
    <t>KME-3F001-2-PL004</t>
  </si>
  <si>
    <t>KME-3H001-2-PL004</t>
  </si>
  <si>
    <t>KME-3H001-2-PL025</t>
  </si>
  <si>
    <t>KC5-2H001-3-W005</t>
  </si>
  <si>
    <t>VT-SL-TT-024-BEAM(3.KC5-2.KME-1.KC6)-AS3678Gr350L0-SP12-004</t>
  </si>
  <si>
    <t>VT-10726-141-Z001-252</t>
  </si>
  <si>
    <t>KC5-2J001-6-W005</t>
  </si>
  <si>
    <t>KC5-3C001-1-PL025</t>
  </si>
  <si>
    <t>KC5-4B001-20-SS005-C</t>
  </si>
  <si>
    <t>KC5-4B001-21-SS005-C</t>
  </si>
  <si>
    <t>KC5-4B001-24-SS005-C</t>
  </si>
  <si>
    <t>KC5-4B001-25-SS005-C</t>
  </si>
  <si>
    <t>KC5-4B001-26-SS005-C</t>
  </si>
  <si>
    <t>KC5-4B001-27-SS005-C</t>
  </si>
  <si>
    <t>KC5-4B001-31-SS005-C</t>
  </si>
  <si>
    <t>KC6-2B001-1-PL011</t>
  </si>
  <si>
    <t>KC6-2H001-7-W005</t>
  </si>
  <si>
    <t>KC6-2J001-12-W005</t>
  </si>
  <si>
    <t>KC6-3C001-2-PL023</t>
  </si>
  <si>
    <t>KC5-2J001-4-W005</t>
  </si>
  <si>
    <t>VT-SL-TT-024-BEAM(3.KC5-2.KME-1.KC6)-AS3678Gr350L0-SP12-005</t>
  </si>
  <si>
    <t>VT-10726-141-Z001-253</t>
  </si>
  <si>
    <t>KC5-4B001-28-SS005-C</t>
  </si>
  <si>
    <t>KC5-4B001-29-SS005-C</t>
  </si>
  <si>
    <t>KC5-4B001-30-SS005-C</t>
  </si>
  <si>
    <t>KC5-4B001-32-SS005-C</t>
  </si>
  <si>
    <t>KC6-2J001-10-W005</t>
  </si>
  <si>
    <t>KC6-3E001-2-PL023</t>
  </si>
  <si>
    <t>KC6-4B001-49-SS005-C</t>
  </si>
  <si>
    <t>KC6-4B001-50-SS005-C</t>
  </si>
  <si>
    <t>KC6-4B001-51-SS005-C</t>
  </si>
  <si>
    <t>KME-2H001-6-W005</t>
  </si>
  <si>
    <t>KME-2J001-8-W005</t>
  </si>
  <si>
    <t>KME-3F001-2-PL023</t>
  </si>
  <si>
    <t>VT-SL-TT-024-BEAM(3.KC5-2.KME-1.KC6)-AS3678Gr350L0-SP12-006</t>
  </si>
  <si>
    <t>VT-10726-141-Z001-254</t>
  </si>
  <si>
    <t>KC5-2F001-4-PL009</t>
  </si>
  <si>
    <t>KC5-2H001-4-W005</t>
  </si>
  <si>
    <t>KC5-3E001-1-PL002</t>
  </si>
  <si>
    <t>KC6-2C001-1-W005</t>
  </si>
  <si>
    <t>KC6-2H001-8-W005</t>
  </si>
  <si>
    <t>KC6-4B001-52-SS005-C</t>
  </si>
  <si>
    <t>KC6-4B001-53-SS005-C</t>
  </si>
  <si>
    <t>KC6-4B001-54-SS005-C</t>
  </si>
  <si>
    <t>KC6-4B001-55-SS005-C</t>
  </si>
  <si>
    <t>KC6-4B001-56-SS005-C</t>
  </si>
  <si>
    <t>KC6-4B001-57-SS005-C</t>
  </si>
  <si>
    <t>KC6-4B001-60-SS005-C</t>
  </si>
  <si>
    <t>KME-2H001-5-W005</t>
  </si>
  <si>
    <t>KME-3H001-2-PL023</t>
  </si>
  <si>
    <t>VT-SL-TT-024-BEAM(3.KC5-2.KME-1.KC6)-AS3678Gr350L0-SP12-007</t>
  </si>
  <si>
    <t>VT-10726-141-Z001-255</t>
  </si>
  <si>
    <t>KC5-2G001-10-PL009</t>
  </si>
  <si>
    <t>KC5-2G001-11-PL009</t>
  </si>
  <si>
    <t>KC5-2J001-5-W005</t>
  </si>
  <si>
    <t>KC6-2J001-11-W005</t>
  </si>
  <si>
    <t>KC6-4B001-58-SS005-C</t>
  </si>
  <si>
    <t>KC6-4B001-59-SS005-C</t>
  </si>
  <si>
    <t>KC6-4B001-61-SS005-C</t>
  </si>
  <si>
    <t>KC6-4B001-62-SS005-C</t>
  </si>
  <si>
    <t>KC6-4B001-63-SS005-C</t>
  </si>
  <si>
    <t>KC6-4B001-64-SS005-C</t>
  </si>
  <si>
    <t>KME-2J001-7-W005</t>
  </si>
  <si>
    <t>KME-2J001-9-W005</t>
  </si>
  <si>
    <t>KME-4B001-36-SS005-C</t>
  </si>
  <si>
    <t>KC5-2F001-3-W011</t>
  </si>
  <si>
    <t>VT-SL-TT-024-BEAM(3.KC5-2.KME-1.KC6)-AS3678Gr350L0-SP12-008</t>
  </si>
  <si>
    <t>VT-10726-141-Z001-256</t>
  </si>
  <si>
    <t>KC5-2G001-12-PL009</t>
  </si>
  <si>
    <t>KC5-2G001-13-PL009</t>
  </si>
  <si>
    <t>KC5-2K001-10-PL011</t>
  </si>
  <si>
    <t>KC5-2K001-11-PL011</t>
  </si>
  <si>
    <t>KC5-2K001-12-PL011</t>
  </si>
  <si>
    <t>KC5-2K001-13-PL011</t>
  </si>
  <si>
    <t>KC5-2K001-14-PL011</t>
  </si>
  <si>
    <t>KC5-2K001-15-PL011</t>
  </si>
  <si>
    <t>KC5-3C001-1-W010</t>
  </si>
  <si>
    <t>KC5-4A001-7-W006</t>
  </si>
  <si>
    <t>KC6-2K001-30-W003</t>
  </si>
  <si>
    <t>KC6-4A001-13-W006</t>
  </si>
  <si>
    <t>KME-4A001-10-W006</t>
  </si>
  <si>
    <t>KME-4B001-33-SS005-C</t>
  </si>
  <si>
    <t>KME-4B001-34-SS005-C</t>
  </si>
  <si>
    <t>KME-4B001-35-SS005-C</t>
  </si>
  <si>
    <t>KME-4B001-37-SS005-C</t>
  </si>
  <si>
    <t>KME-4B001-38-SS005-C</t>
  </si>
  <si>
    <t>KME-4B001-39-SS005-C</t>
  </si>
  <si>
    <t>KME-4B001-40-SS005-C</t>
  </si>
  <si>
    <t>VT-SL-TT-024-BEAM(3.KC5-2.KME-1.KC6)-AS3678Gr350L0-SP12-009</t>
  </si>
  <si>
    <t>VT-10726-141-Z001-257</t>
  </si>
  <si>
    <t>KC5-2F001-4-W011</t>
  </si>
  <si>
    <t>KC5-2G001-10-PL010</t>
  </si>
  <si>
    <t>KC5-2G001-11-PL010</t>
  </si>
  <si>
    <t>KC5-2G001-12-PL010</t>
  </si>
  <si>
    <t>KC5-2G001-13-PL010</t>
  </si>
  <si>
    <t>KC5-2G001-14-PL009</t>
  </si>
  <si>
    <t>KC5-2K001-16-PL011</t>
  </si>
  <si>
    <t>KC5-3E001-1-W010</t>
  </si>
  <si>
    <t>KC6-2C001-1-PL011</t>
  </si>
  <si>
    <t>KC6-2D001-1-PL011</t>
  </si>
  <si>
    <t>KC6-2E001-1-PL011</t>
  </si>
  <si>
    <t>KC6-2K001-31-W003</t>
  </si>
  <si>
    <t>KC6-3A001-3-PL002</t>
  </si>
  <si>
    <t>KC6-3A001-4-PL002</t>
  </si>
  <si>
    <t>KC6-3C001-2-PL002</t>
  </si>
  <si>
    <t>KC6-3E001-2-PL002</t>
  </si>
  <si>
    <t>KME-2K001-18-W003</t>
  </si>
  <si>
    <t>KME-2K001-21-W003</t>
  </si>
  <si>
    <t>KME-3F001-2-PL002</t>
  </si>
  <si>
    <t>KME-3H001-2-PL002</t>
  </si>
  <si>
    <t>KME-4B001-41-SS005-C</t>
  </si>
  <si>
    <t>KME-4B001-42-SS005-C</t>
  </si>
  <si>
    <t>KME-4B001-43-SS005-C</t>
  </si>
  <si>
    <t>KME-4B001-44-SS005-C</t>
  </si>
  <si>
    <t>KME-4B001-45-SS005-C</t>
  </si>
  <si>
    <t>KME-4B001-46-SS005-C</t>
  </si>
  <si>
    <t>VT-SL-TT-024-BEAM(3.KC5-2.KME-1.KC6)-AS3678Gr350L0-SP12-010</t>
  </si>
  <si>
    <t>VT-10726-141-Z001-258</t>
  </si>
  <si>
    <t>KC5-2G001-15-PL009</t>
  </si>
  <si>
    <t>KC5-2G001-16-PL009</t>
  </si>
  <si>
    <t>KC5-2G001-9-PL009</t>
  </si>
  <si>
    <t>KC6-2B001-1-PL009</t>
  </si>
  <si>
    <t>KC6-2C001-1-PL009</t>
  </si>
  <si>
    <t>KC6-2F001-7-W011</t>
  </si>
  <si>
    <t>KC6-2K001-25-PL011</t>
  </si>
  <si>
    <t>KC6-2K001-26-PL011</t>
  </si>
  <si>
    <t>KC6-3C001-2-W010</t>
  </si>
  <si>
    <t>KC6-4A001-14-W006</t>
  </si>
  <si>
    <t>KME-2K001-23-W003</t>
  </si>
  <si>
    <t>KME-4A001-12-W006</t>
  </si>
  <si>
    <t>KME-4A001-9-W006</t>
  </si>
  <si>
    <t>VT-SL-TT-024-BEAM(3.KC5-2.KME-1.KC6)-AS3678Gr350L0-SP12-011</t>
  </si>
  <si>
    <t>VT-10726-141-Z001-259</t>
  </si>
  <si>
    <t>KC5-2G001-16-PL010</t>
  </si>
  <si>
    <t>KC5-2J001-6-PL009</t>
  </si>
  <si>
    <t>KC5-2K001-10-PL009</t>
  </si>
  <si>
    <t>KC5-2K001-11-PL009</t>
  </si>
  <si>
    <t>KC5-2K001-12-PL009</t>
  </si>
  <si>
    <t>KC5-2K001-13-PL009</t>
  </si>
  <si>
    <t>KC5-2K001-14-PL009</t>
  </si>
  <si>
    <t>KC5-2K001-15-PL009</t>
  </si>
  <si>
    <t>KC5-2K001-16-PL009</t>
  </si>
  <si>
    <t>KC5-2K001-9-PL009</t>
  </si>
  <si>
    <t>KC5-4A001-8-W006</t>
  </si>
  <si>
    <t>KC6-2A001-1-PL009</t>
  </si>
  <si>
    <t>KC6-2F001-8-W011</t>
  </si>
  <si>
    <t>KC6-3E001-2-W010</t>
  </si>
  <si>
    <t>KC6-4A001-15-W006</t>
  </si>
  <si>
    <t>KC6-4A001-16-W006</t>
  </si>
  <si>
    <t>KME-4A001-11-W006</t>
  </si>
  <si>
    <t>KC5-2H001-3-PL009</t>
  </si>
  <si>
    <t>VT-SL-TT-024-BEAM(3.KC5-2.KME-1.KC6)-AS3678Gr350L0-SP12-012</t>
  </si>
  <si>
    <t>VT-10726-141-Z001-260</t>
  </si>
  <si>
    <t>KC5-2H001-4-PL009</t>
  </si>
  <si>
    <t>KC5-2J001-4-PL009</t>
  </si>
  <si>
    <t>KC5-2J001-5-PL009</t>
  </si>
  <si>
    <t>KC5-4A001-5-W006</t>
  </si>
  <si>
    <t>KC6-2G001-27-PL009</t>
  </si>
  <si>
    <t>KC6-2G001-28-PL009</t>
  </si>
  <si>
    <t>KC6-2G001-29-PL009</t>
  </si>
  <si>
    <t>KC6-2G001-30-PL009</t>
  </si>
  <si>
    <t>KC6-2G001-31-PL009</t>
  </si>
  <si>
    <t>KC6-2G001-32-PL009</t>
  </si>
  <si>
    <t>KC6-2H001-7-PL009</t>
  </si>
  <si>
    <t>KC6-2K001-27-PL011</t>
  </si>
  <si>
    <t>KC6-2K001-28-PL011</t>
  </si>
  <si>
    <t>KME-2G001-19-W004</t>
  </si>
  <si>
    <t>KME-2G001-20-W004</t>
  </si>
  <si>
    <t>KME-2G001-23-W004</t>
  </si>
  <si>
    <t>KME-2G001-24-W004</t>
  </si>
  <si>
    <t>KC5-2G001-10-W004</t>
  </si>
  <si>
    <t>VT-SL-TT-024-BEAM(3.KC5-2.KME-1.KC6)-AS3678Gr350L0-SP12-013</t>
  </si>
  <si>
    <t>VT-10726-141-Z001-261</t>
  </si>
  <si>
    <t>KC5-2G001-11-W004</t>
  </si>
  <si>
    <t>KC5-2G001-14-W004</t>
  </si>
  <si>
    <t>KC5-2G001-15-W004</t>
  </si>
  <si>
    <t>KC6-2D001-1-PL009</t>
  </si>
  <si>
    <t>KC6-2E001-1-PL009</t>
  </si>
  <si>
    <t>KC6-2F001-7-PL009</t>
  </si>
  <si>
    <t>KC6-2F001-8-PL009</t>
  </si>
  <si>
    <t>KC6-2G001-25-PL009</t>
  </si>
  <si>
    <t>KC6-2G001-26-PL009</t>
  </si>
  <si>
    <t>KC6-2K001-28-PL009</t>
  </si>
  <si>
    <t>KC6-2K001-29-PL009</t>
  </si>
  <si>
    <t>KC6-2K001-29-PL011</t>
  </si>
  <si>
    <t>KC6-2K001-30-PL009</t>
  </si>
  <si>
    <t>KC6-2K001-30-PL011</t>
  </si>
  <si>
    <t>KC6-2K001-31-PL009</t>
  </si>
  <si>
    <t>KC6-2K001-32-PL009</t>
  </si>
  <si>
    <t>KME-2F001-5-PL009</t>
  </si>
  <si>
    <t>KME-2F001-6-PL009</t>
  </si>
  <si>
    <t>KME-2G001-17-PL009</t>
  </si>
  <si>
    <t>KME-2G001-18-PL009</t>
  </si>
  <si>
    <t>KME-2G001-19-PL009</t>
  </si>
  <si>
    <t>KME-2G001-20-PL009</t>
  </si>
  <si>
    <t>KC5-2G001-12-W004</t>
  </si>
  <si>
    <t>VT-SL-TT-024-BEAM(3.KC5-2.KME-1.KC6)-AS3678Gr350L0-SP12-014</t>
  </si>
  <si>
    <t>VT-10726-141-Z001-262</t>
  </si>
  <si>
    <t>KC5-2G001-13-W004</t>
  </si>
  <si>
    <t>KC6-2B001-1-W004</t>
  </si>
  <si>
    <t>KC6-2D001-1-W004</t>
  </si>
  <si>
    <t>KC6-2H001-8-PL009</t>
  </si>
  <si>
    <t>KC6-2J001-10-PL009</t>
  </si>
  <si>
    <t>KC6-2J001-11-PL009</t>
  </si>
  <si>
    <t>KC6-2J001-12-PL009</t>
  </si>
  <si>
    <t>KC6-2K001-25-PL009</t>
  </si>
  <si>
    <t>KC6-2K001-26-PL009</t>
  </si>
  <si>
    <t>KC6-2K001-27-PL009</t>
  </si>
  <si>
    <t>KC6-2K001-31-PL011</t>
  </si>
  <si>
    <t>KC6-2K001-32-PL011</t>
  </si>
  <si>
    <t>KME-2G001-21-PL009</t>
  </si>
  <si>
    <t>KME-2G001-22-PL009</t>
  </si>
  <si>
    <t>KME-2G001-23-PL009</t>
  </si>
  <si>
    <t>KME-2G001-24-PL009</t>
  </si>
  <si>
    <t>KME-2H001-5-PL009</t>
  </si>
  <si>
    <t>KME-2H001-6-PL009</t>
  </si>
  <si>
    <t>VT-SL-TT-024-BEAM(3.KC5-2.KME-1.KC6)-AS3678Gr350L0-SP12-015</t>
  </si>
  <si>
    <t>VT-10726-141-Z001-263</t>
  </si>
  <si>
    <t>KC5-2G001-16-W004</t>
  </si>
  <si>
    <t>KC5-2G001-9-PL010</t>
  </si>
  <si>
    <t>KC5-2H001-3-PL010</t>
  </si>
  <si>
    <t>KC5-2H001-4-PL010</t>
  </si>
  <si>
    <t>KC5-2J001-4-PL010</t>
  </si>
  <si>
    <t>KC5-2J001-5-PL010</t>
  </si>
  <si>
    <t>KC5-2J001-6-PL010</t>
  </si>
  <si>
    <t>KC5-2K001-11-PL010</t>
  </si>
  <si>
    <t>KC5-2K001-12-PL010</t>
  </si>
  <si>
    <t>KC5-2K001-13-PL010</t>
  </si>
  <si>
    <t>KC5-2K001-15-PL010</t>
  </si>
  <si>
    <t>KC5-2K001-16-PL010</t>
  </si>
  <si>
    <t>KC5-2K001-9-PL010</t>
  </si>
  <si>
    <t>KC6-2A001-1-PL015</t>
  </si>
  <si>
    <t>KC6-2C001-1-PL015</t>
  </si>
  <si>
    <t>KC6-2D001-1-PL015</t>
  </si>
  <si>
    <t>KC6-2F001-7-PL010</t>
  </si>
  <si>
    <t>KC6-2F001-8-PL010</t>
  </si>
  <si>
    <t>KC6-2G001-25-PL010</t>
  </si>
  <si>
    <t>KC6-2G001-26-PL010</t>
  </si>
  <si>
    <t>KME-2J001-7-PL009</t>
  </si>
  <si>
    <t>KME-2J001-8-PL009</t>
  </si>
  <si>
    <t>KME-2J001-9-PL009</t>
  </si>
  <si>
    <t>KME-2K001-17-PL009</t>
  </si>
  <si>
    <t>KME-2K001-17-PL011</t>
  </si>
  <si>
    <t>KME-2K001-18-PL009</t>
  </si>
  <si>
    <t>KME-2K001-18-PL011</t>
  </si>
  <si>
    <t>KME-2K001-19-PL009</t>
  </si>
  <si>
    <t>KME-2K001-19-PL011</t>
  </si>
  <si>
    <t>KME-2K001-20-PL009</t>
  </si>
  <si>
    <t>KME-2K001-20-PL011</t>
  </si>
  <si>
    <t>KME-2K001-21-PL009</t>
  </si>
  <si>
    <t>KME-2K001-21-PL011</t>
  </si>
  <si>
    <t>KME-2K001-22-PL009</t>
  </si>
  <si>
    <t>KME-2K001-22-PL011</t>
  </si>
  <si>
    <t>KME-2K001-23-PL009</t>
  </si>
  <si>
    <t>KME-2K001-23-PL011</t>
  </si>
  <si>
    <t>KME-2K001-24-PL009</t>
  </si>
  <si>
    <t>KME-2K001-24-PL011</t>
  </si>
  <si>
    <t>KME-3F001-2-W008-V</t>
  </si>
  <si>
    <t>KME-4B001-47-SS005-C</t>
  </si>
  <si>
    <t>KME-4B001-48-SS005-C</t>
  </si>
  <si>
    <t>KC5-2F001-4-PL010</t>
  </si>
  <si>
    <t>VT-SL-TT-024-BEAM(3.KC5-2.KME-1.KC6)-AS3678Gr350L0-SP12-016</t>
  </si>
  <si>
    <t>VT-10726-141-Z001-264</t>
  </si>
  <si>
    <t>KC5-2G001-14-PL010</t>
  </si>
  <si>
    <t>KC5-2G001-15-PL010</t>
  </si>
  <si>
    <t>KC5-2G001-9-W004</t>
  </si>
  <si>
    <t>KC6-2E001-1-PL015</t>
  </si>
  <si>
    <t>KC6-2G001-27-PL010</t>
  </si>
  <si>
    <t>KC6-2G001-28-PL010</t>
  </si>
  <si>
    <t>KC6-2G001-29-PL010</t>
  </si>
  <si>
    <t>KC6-2G001-30-PL010</t>
  </si>
  <si>
    <t>KC6-2G001-31-PL010</t>
  </si>
  <si>
    <t>KC6-2G001-32-PL010</t>
  </si>
  <si>
    <t>KC6-2H001-7-PL010</t>
  </si>
  <si>
    <t>KC6-2H001-8-PL010</t>
  </si>
  <si>
    <t>KC6-2J001-10-PL010</t>
  </si>
  <si>
    <t>KC6-2J001-11-PL010</t>
  </si>
  <si>
    <t>KC6-2J001-12-PL010</t>
  </si>
  <si>
    <t>KC6-2K001-25-PL010</t>
  </si>
  <si>
    <t>KC6-2K001-26-PL010</t>
  </si>
  <si>
    <t>KC6-2K001-27-PL010</t>
  </si>
  <si>
    <t>KC6-2K001-29-PL010</t>
  </si>
  <si>
    <t>KC6-2K001-30-PL010</t>
  </si>
  <si>
    <t>KC6-2K001-32-PL010</t>
  </si>
  <si>
    <t>KME-2F001-5-PL010</t>
  </si>
  <si>
    <t>KME-2F001-6-PL010</t>
  </si>
  <si>
    <t>KME-2G001-17-PL010</t>
  </si>
  <si>
    <t>KME-2G001-18-PL010</t>
  </si>
  <si>
    <t>KME-2G001-19-PL010</t>
  </si>
  <si>
    <t>KME-2G001-20-PL010</t>
  </si>
  <si>
    <t>KME-2G001-21-PL010</t>
  </si>
  <si>
    <t>KME-2G001-22-PL010</t>
  </si>
  <si>
    <t>KME-2G001-23-PL010</t>
  </si>
  <si>
    <t>KME-2G001-24-PL010</t>
  </si>
  <si>
    <t>KME-2H001-5-PL010</t>
  </si>
  <si>
    <t>KME-2H001-6-PL010</t>
  </si>
  <si>
    <t>KME-2J001-7-PL010</t>
  </si>
  <si>
    <t>KME-2J001-8-PL010</t>
  </si>
  <si>
    <t>KME-2J001-9-PL010</t>
  </si>
  <si>
    <t>KME-2K001-17-PL010</t>
  </si>
  <si>
    <t>KME-2K001-18-PL010</t>
  </si>
  <si>
    <t>KME-2K001-20-PL010</t>
  </si>
  <si>
    <t>KME-2K001-21-PL010</t>
  </si>
  <si>
    <t>KME-2K001-22-PL010</t>
  </si>
  <si>
    <t>KME-2K001-24-PL010</t>
  </si>
  <si>
    <t>KME-3H001-2-W008-V</t>
  </si>
  <si>
    <t>VT-SL-TT-024-BEAM(3.KC5-2.KME-1.KC6)-AS3678Gr350L0-SP12-017</t>
  </si>
  <si>
    <t>VT-10726-141-Z001-265</t>
  </si>
  <si>
    <t>KC5-2K001-10-PL010</t>
  </si>
  <si>
    <t>KC5-2K001-14-PL010</t>
  </si>
  <si>
    <t>KC6-2G001-25-W004</t>
  </si>
  <si>
    <t>KC6-2G001-26-W004</t>
  </si>
  <si>
    <t>KC6-2G001-27-W004</t>
  </si>
  <si>
    <t>KC6-2G001-28-W004</t>
  </si>
  <si>
    <t>KC6-2K001-28-PL010</t>
  </si>
  <si>
    <t>KC6-2K001-31-PL010</t>
  </si>
  <si>
    <t>KME-2K001-19-PL010</t>
  </si>
  <si>
    <t>KME-2K001-23-PL010</t>
  </si>
  <si>
    <t>KC6-2G001-29-W004</t>
  </si>
  <si>
    <t>VT-SL-TT-024-BEAM(3.KC5-2.KME-1.KC6)-AS3678Gr350L0-SP12-018</t>
  </si>
  <si>
    <t>VT-10726-141-Z001-266</t>
  </si>
  <si>
    <t>KC6-2G001-30-W004</t>
  </si>
  <si>
    <t>KC6-2G001-31-W004</t>
  </si>
  <si>
    <t>KC6-2G001-32-W004</t>
  </si>
  <si>
    <t>KME-2G001-17-W004</t>
  </si>
  <si>
    <t>VT-SL-TT-024-BEAM(3.KC5-2.KME-1.KC6)-AS3678Gr350L0-SP12-019</t>
  </si>
  <si>
    <t>VT-10726-141-Z001-267</t>
  </si>
  <si>
    <t>KME-2G001-18-W004</t>
  </si>
  <si>
    <t>KME-2G001-21-W004</t>
  </si>
  <si>
    <t>KME-2G001-22-W004</t>
  </si>
  <si>
    <t>KME-2F001-5-W011</t>
  </si>
  <si>
    <t>VT-SL-TT-024-BEAM(3.KC5-2.KME-1.KC6)-AS3678Gr350L0-SP12-020</t>
  </si>
  <si>
    <t>VT-10726-141-Z001-268</t>
  </si>
  <si>
    <t>KME-2F001-6-W011</t>
  </si>
  <si>
    <t>KC5-3D001-1-PL005</t>
  </si>
  <si>
    <t>PL16x2438x8760</t>
  </si>
  <si>
    <t>VT-SL-TT-024-BEAM(3.KC5-2.KME-1.KC6)-AS3678Gr350L0-SP16-001</t>
  </si>
  <si>
    <t>VT-SL-TT-023-BEAM(5.KC4-4.KMD) -AS3678Gr350L0-SP16-002</t>
  </si>
  <si>
    <t>VT-10726-141-Z001-269</t>
  </si>
  <si>
    <t>KC5-3D001-1-PL006</t>
  </si>
  <si>
    <t>KC5-3D001-1-PL026</t>
  </si>
  <si>
    <t>KC5-3D001-2-PL005</t>
  </si>
  <si>
    <t>KC5-3D001-2-PL006</t>
  </si>
  <si>
    <t>KC5-3D001-2-PL026</t>
  </si>
  <si>
    <t>KC6-3B001-3-PL026</t>
  </si>
  <si>
    <t>KC6-3B001-4-PL026</t>
  </si>
  <si>
    <t>KC6-3D001-3-PL005</t>
  </si>
  <si>
    <t>KC6-3D001-3-PL006</t>
  </si>
  <si>
    <t>KC6-3D001-3-PL026</t>
  </si>
  <si>
    <t>KC6-3D001-4-PL005</t>
  </si>
  <si>
    <t>KC6-3D001-4-PL006</t>
  </si>
  <si>
    <t>KC6-3D001-4-PL026</t>
  </si>
  <si>
    <t>KME-3G001-3-PL005</t>
  </si>
  <si>
    <t>KME-3G001-3-PL026</t>
  </si>
  <si>
    <t>KME-3G001-4-PL005</t>
  </si>
  <si>
    <t>KC6-3B001-3-PL006</t>
  </si>
  <si>
    <t>VT-SL-TT-024-BEAM(3.KC5-2.KME-1.KC6)-AS3678Gr350L0-SP16-002</t>
  </si>
  <si>
    <t>VT-10726-141-Z001-270</t>
  </si>
  <si>
    <t>KC6-3B001-4-PL006</t>
  </si>
  <si>
    <t>KME-3G001-3-PL006</t>
  </si>
  <si>
    <t>KME-3G001-4-PL006</t>
  </si>
  <si>
    <t>KME-3G001-4-PL026</t>
  </si>
  <si>
    <t>KC5-2K001-10-FL005-V</t>
  </si>
  <si>
    <t>PL20x2550x3244</t>
  </si>
  <si>
    <t>VT-SL-TT-024-BEAM(3.KC5-2.KME-1.KC6)-AS3678Gr350L0-SP20-001</t>
  </si>
  <si>
    <t>VT-SL-TT-023-BEAM(5.KC4-4.KMD) -AS3678Gr350L0-SP20-004</t>
  </si>
  <si>
    <t>VT-10726-141-Z001-271</t>
  </si>
  <si>
    <t>KC5-2K001-11-FL005-V</t>
  </si>
  <si>
    <t>KC5-2K001-12-FL005-V</t>
  </si>
  <si>
    <t>KC5-2K001-13-FL005-V</t>
  </si>
  <si>
    <t>KC5-2K001-14-FL005-V</t>
  </si>
  <si>
    <t>KC5-2K001-15-FL005-V</t>
  </si>
  <si>
    <t>KC5-2K001-16-FL005-V</t>
  </si>
  <si>
    <t>KC5-2K001-9-FL005-V</t>
  </si>
  <si>
    <t>KC5-4A001-5-FL012-V</t>
  </si>
  <si>
    <t>KC5-4A001-6-FL012-V</t>
  </si>
  <si>
    <t>KC6-2A001-1-FL005-V</t>
  </si>
  <si>
    <t>KC6-2E001-1-FL005-V</t>
  </si>
  <si>
    <t>KC6-2K001-28-FL005-V</t>
  </si>
  <si>
    <t>KC6-2K001-30-FL005-V</t>
  </si>
  <si>
    <t>KC6-2K001-31-FL005-V</t>
  </si>
  <si>
    <t>KC6-4A001-15-FL012-V</t>
  </si>
  <si>
    <t>KME-2K001-19-FL005-V</t>
  </si>
  <si>
    <t>KC5-3C001-1-PL003</t>
  </si>
  <si>
    <t>PL20x2550x10130</t>
  </si>
  <si>
    <t>VT-SL-TT-024-BEAM(3.KC5-2.KME-1.KC6)-AS3678Gr350L0-SP20-002</t>
  </si>
  <si>
    <t>VT-SL-TT-023-BEAM(5.KC4-4.KMD) -AS3678Gr350L0-SP20-006</t>
  </si>
  <si>
    <t>VT-10726-141-Z001-272</t>
  </si>
  <si>
    <t>KC5-3D001-1-PL008</t>
  </si>
  <si>
    <t>KC5-4A001-7-FL012-V</t>
  </si>
  <si>
    <t>KC5-4A001-8-FL012-V</t>
  </si>
  <si>
    <t>KC6-3A001-4-PL003</t>
  </si>
  <si>
    <t>KC6-4A001-13-FL012-V</t>
  </si>
  <si>
    <t>KC6-3B001-3-W013</t>
  </si>
  <si>
    <t>VT-SL-TT-024-BEAM(3.KC5-2.KME-1.KC6)-AS3678Gr350L0-SP20-003</t>
  </si>
  <si>
    <t>VT-SL-TT-023-BEAM(5.KC4-4.KMD) -AS3678Gr350L0-SP20-012</t>
  </si>
  <si>
    <t>VT-10726-141-Z001-273</t>
  </si>
  <si>
    <t>KC6-3B001-4-W013</t>
  </si>
  <si>
    <t>KC6-2A001-1-PL020</t>
  </si>
  <si>
    <t>PL20x1632x4143</t>
  </si>
  <si>
    <t>VT-SL-TT-024-BEAM(3.KC5-2.KME-1.KC6)-AS3678Gr350L0-SP20-004</t>
  </si>
  <si>
    <t>VT-SL-TT-023-BEAM(5.KC4-4.KMD) -AS3678Gr350L0-SP20-013</t>
  </si>
  <si>
    <t>VT-10726-141-Z001-274</t>
  </si>
  <si>
    <t>KC6-2E001-1-PL020</t>
  </si>
  <si>
    <t>KC6-3D001-4-PL008</t>
  </si>
  <si>
    <t>KC6-4A001-14-FL012-V</t>
  </si>
  <si>
    <t>KC6-4A001-16-FL012-V</t>
  </si>
  <si>
    <t>KME-2K001-18-FL005-V</t>
  </si>
  <si>
    <t>KME-3G001-3-PL008</t>
  </si>
  <si>
    <t>KME-3G001-4-PL008</t>
  </si>
  <si>
    <t>KME-4A001-10-FL012-V</t>
  </si>
  <si>
    <t>KME-4A001-11-FL012-V</t>
  </si>
  <si>
    <t>KME-4A001-9-FL012-V</t>
  </si>
  <si>
    <t>KC5-2K001-10-FL006</t>
  </si>
  <si>
    <t>PL20x2550x4810</t>
  </si>
  <si>
    <t>VT-SL-TT-024-BEAM(3.KC5-2.KME-1.KC6)-AS3678Gr350L0-SP20-005</t>
  </si>
  <si>
    <t>VT-SL-TT-023-BEAM(5.KC4-4.KMD) -AS3678Gr350L0-SP20-014</t>
  </si>
  <si>
    <t>VT-10726-141-Z001-275</t>
  </si>
  <si>
    <t>KC5-2K001-11-FL006</t>
  </si>
  <si>
    <t>KC5-2K001-13-FL006</t>
  </si>
  <si>
    <t>KC6-2K001-25-FL005-V</t>
  </si>
  <si>
    <t>KC6-2K001-26-FL005-V</t>
  </si>
  <si>
    <t>KC6-2K001-27-FL005-V</t>
  </si>
  <si>
    <t>KC6-2K001-29-FL005-V</t>
  </si>
  <si>
    <t>KC6-2K001-32-FL005-V</t>
  </si>
  <si>
    <t>KC6-3A001-3-FL015-V</t>
  </si>
  <si>
    <t>KC6-3A001-3-FL016</t>
  </si>
  <si>
    <t>KC6-3A001-4-FL015-V</t>
  </si>
  <si>
    <t>KC6-3A001-4-FL016</t>
  </si>
  <si>
    <t>KME-2K001-17-FL005-V</t>
  </si>
  <si>
    <t>KME-2K001-20-FL005-V</t>
  </si>
  <si>
    <t>KME-2K001-21-FL005-V</t>
  </si>
  <si>
    <t>KME-2K001-23-FL005-V</t>
  </si>
  <si>
    <t>KC5-2K001-12-FL006</t>
  </si>
  <si>
    <t>PL20x2550x4943</t>
  </si>
  <si>
    <t>VT-SL-TT-024-BEAM(3.KC5-2.KME-1.KC6)-AS3678Gr350L0-SP20-006</t>
  </si>
  <si>
    <t>VT-SL-TT-023-BEAM(5.KC4-4.KMD) -AS3678Gr350L0-SP20-015</t>
  </si>
  <si>
    <t>VT-10726-141-Z001-276</t>
  </si>
  <si>
    <t>KC5-2K001-14-FL006</t>
  </si>
  <si>
    <t>KC5-2K001-15-FL006</t>
  </si>
  <si>
    <t>KC5-2K001-16-FL006</t>
  </si>
  <si>
    <t>KC5-2K001-9-FL006</t>
  </si>
  <si>
    <t>KC6-2A001-1-FL006</t>
  </si>
  <si>
    <t>KC6-2E001-1-FL006</t>
  </si>
  <si>
    <t>KC6-2K001-25-FL006</t>
  </si>
  <si>
    <t>KC6-2K001-26-FL006</t>
  </si>
  <si>
    <t>KC6-2K001-27-FL006</t>
  </si>
  <si>
    <t>KC6-2K001-28-FL006</t>
  </si>
  <si>
    <t>KC6-2K001-29-FL006</t>
  </si>
  <si>
    <t>KC6-2K001-30-FL006</t>
  </si>
  <si>
    <t>KC6-2K001-31-FL006</t>
  </si>
  <si>
    <t>KC6-2K001-32-FL006</t>
  </si>
  <si>
    <t>KC6-3C001-2-PL003</t>
  </si>
  <si>
    <t>KME-2K001-17-FL006</t>
  </si>
  <si>
    <t>KME-2K001-18-FL006</t>
  </si>
  <si>
    <t>KME-2K001-19-FL006</t>
  </si>
  <si>
    <t>KME-2K001-20-FL006</t>
  </si>
  <si>
    <t>KME-2K001-21-FL006</t>
  </si>
  <si>
    <t>KME-2K001-22-FL005-V</t>
  </si>
  <si>
    <t>KME-2K001-22-FL006</t>
  </si>
  <si>
    <t>KME-2K001-23-FL006</t>
  </si>
  <si>
    <t>KME-2K001-24-FL005-V</t>
  </si>
  <si>
    <t>KME-2K001-24-FL006</t>
  </si>
  <si>
    <t>KC5-2H001-3-FL011</t>
  </si>
  <si>
    <t>VT-SL-TT-024-BEAM(3.KC5-2.KME-1.KC6)-AS3678Gr350L0-SP20-007</t>
  </si>
  <si>
    <t>VT-SL-TT-023-BEAM(5.KC4-4.KMD) -AS3678Gr350L0-SP20-011</t>
  </si>
  <si>
    <t>VT-10726-141-Z001-277</t>
  </si>
  <si>
    <t>KC5-2H001-4-FL011</t>
  </si>
  <si>
    <t>KC5-2J001-4-FL011</t>
  </si>
  <si>
    <t>KC5-2J001-5-FL011</t>
  </si>
  <si>
    <t>KC5-3D001-2-PL008</t>
  </si>
  <si>
    <t>KC6-3B001-3-PL008</t>
  </si>
  <si>
    <t>KC6-3B001-4-PL008</t>
  </si>
  <si>
    <t>KC6-3D001-3-PL008</t>
  </si>
  <si>
    <t>KC6-2C001-1-PL018</t>
  </si>
  <si>
    <t>VT-SL-TT-024-BEAM(3.KC5-2.KME-1.KC6)-AS3678Gr350L0-SP20-008</t>
  </si>
  <si>
    <t>VT-SL-TT-023-BEAM(5.KC4-4.KMD) -AS3678Gr350L0-SP20-017</t>
  </si>
  <si>
    <t>VT-10726-141-Z001-278</t>
  </si>
  <si>
    <t>KC6-3E001-2-PL003</t>
  </si>
  <si>
    <t>KME-2H001-6-FL011</t>
  </si>
  <si>
    <t>KME-2J001-7-FL011</t>
  </si>
  <si>
    <t>KME-2J001-8-FL010-V</t>
  </si>
  <si>
    <t>KME-2J001-8-FL011</t>
  </si>
  <si>
    <t>KME-2J001-9-FL010-V</t>
  </si>
  <si>
    <t>KME-2J001-9-FL011</t>
  </si>
  <si>
    <t>KME-3F001-2-PL003</t>
  </si>
  <si>
    <t>KME-3H001-2-PL003</t>
  </si>
  <si>
    <t>KME-4A001-12-FL012-V</t>
  </si>
  <si>
    <t>KC5-2F001-3-FL008</t>
  </si>
  <si>
    <t>VT-SL-TT-024-BEAM(3.KC5-2.KME-1.KC6)-AS3678Gr350L0-SP20-009</t>
  </si>
  <si>
    <t>VT-10726-141-Z001-279</t>
  </si>
  <si>
    <t>KC5-2F001-3-FL009</t>
  </si>
  <si>
    <t>KC5-2F001-4-FL008</t>
  </si>
  <si>
    <t>KC5-2F001-4-FL009</t>
  </si>
  <si>
    <t>KC5-2G001-10-FL008</t>
  </si>
  <si>
    <t>KC5-2G001-11-FL008</t>
  </si>
  <si>
    <t>KC5-3E001-1-PL003</t>
  </si>
  <si>
    <t>KC6-3A001-3-PL003</t>
  </si>
  <si>
    <t>KME-3G001-3-W007-V</t>
  </si>
  <si>
    <t>KME-3G001-4-W007-V</t>
  </si>
  <si>
    <t>KC5-2G001-12-FL008</t>
  </si>
  <si>
    <t>VT-SL-TT-024-BEAM(3.KC5-2.KME-1.KC6)-AS3678Gr350L0-SP20-010</t>
  </si>
  <si>
    <t>VT-10726-141-Z001-280</t>
  </si>
  <si>
    <t>KC5-2G001-13-FL008</t>
  </si>
  <si>
    <t>KC5-2G001-14-FL008</t>
  </si>
  <si>
    <t>KC5-2G001-15-FL008</t>
  </si>
  <si>
    <t>KC5-2G001-16-FL008</t>
  </si>
  <si>
    <t>KC5-2G001-9-FL008</t>
  </si>
  <si>
    <t>KC6-2B001-1-FL008</t>
  </si>
  <si>
    <t>KC6-2D001-1-FL008</t>
  </si>
  <si>
    <t>KC6-2F001-7-FL008</t>
  </si>
  <si>
    <t>KC6-2F001-8-FL008</t>
  </si>
  <si>
    <t>KC6-2G001-25-FL008</t>
  </si>
  <si>
    <t>KC6-2G001-26-FL008</t>
  </si>
  <si>
    <t>KC6-2G001-27-FL008</t>
  </si>
  <si>
    <t>KC6-2G001-28-FL008</t>
  </si>
  <si>
    <t>KC6-2G001-29-FL008</t>
  </si>
  <si>
    <t>KC6-2G001-30-FL008</t>
  </si>
  <si>
    <t>KC6-2G001-31-FL008</t>
  </si>
  <si>
    <t>VT-SL-TT-024-BEAM(3.KC5-2.KME-1.KC6)-AS3678Gr350L0-SP20-011</t>
  </si>
  <si>
    <t>VT-SL-TT-023-BEAM(5.KC4-4.KMD) -AS3678Gr350L0-SP20-007</t>
  </si>
  <si>
    <t>VT-10726-141-Z001-281</t>
  </si>
  <si>
    <t>KC6-2G001-32-FL008</t>
  </si>
  <si>
    <t>KME-2F001-5-FL008</t>
  </si>
  <si>
    <t>KME-2F001-6-FL008</t>
  </si>
  <si>
    <t>KME-2G001-17-FL008</t>
  </si>
  <si>
    <t>KME-2G001-18-FL008</t>
  </si>
  <si>
    <t>KME-2G001-19-FL008</t>
  </si>
  <si>
    <t>KME-2G001-20-FL008</t>
  </si>
  <si>
    <t>KME-2G001-21-FL008</t>
  </si>
  <si>
    <t>KME-2G001-22-FL008</t>
  </si>
  <si>
    <t>KME-2G001-23-FL008</t>
  </si>
  <si>
    <t>KME-2G001-24-FL008</t>
  </si>
  <si>
    <t>KC5-2J001-6-FL011</t>
  </si>
  <si>
    <t>VT-SL-TT-024-BEAM(3.KC5-2.KME-1.KC6)-AS3678Gr350L0-SP20-012</t>
  </si>
  <si>
    <t>VT-10726-141-Z001-282</t>
  </si>
  <si>
    <t>KC6-2C001-1-FL011</t>
  </si>
  <si>
    <t>KC6-2H001-7-FL011</t>
  </si>
  <si>
    <t>KC6-2H001-8-FL011</t>
  </si>
  <si>
    <t>KC6-2J001-10-FL011</t>
  </si>
  <si>
    <t>KC6-2J001-11-FL011</t>
  </si>
  <si>
    <t>KC6-2J001-12-FL011</t>
  </si>
  <si>
    <t>KME-2H001-5-FL011</t>
  </si>
  <si>
    <t>KC5-2H001-3-FL010-V</t>
  </si>
  <si>
    <t>VT-SL-TT-024-BEAM(3.KC5-2.KME-1.KC6)-AS3678Gr350L0-SP20-013</t>
  </si>
  <si>
    <t>VT-10726-141-Z001-283</t>
  </si>
  <si>
    <t>KC5-2H001-4-FL010-V</t>
  </si>
  <si>
    <t>KC5-2J001-4-FL010-V</t>
  </si>
  <si>
    <t>KC5-2J001-5-FL010-V</t>
  </si>
  <si>
    <t>KC5-2J001-6-FL010-V</t>
  </si>
  <si>
    <t>KC6-2C001-1-FL010-V</t>
  </si>
  <si>
    <t>KC6-2H001-7-FL010-V</t>
  </si>
  <si>
    <t>KC6-2H001-8-FL010-V</t>
  </si>
  <si>
    <t>KC5-3C001-1-FL002</t>
  </si>
  <si>
    <t>VT-SL-TT-024-BEAM(3.KC5-2.KME-1.KC6)-AS3678Gr350L0-SP20-014</t>
  </si>
  <si>
    <t>VT-10726-141-Z001-284</t>
  </si>
  <si>
    <t>KC5-3E001-1-FL002</t>
  </si>
  <si>
    <t>KC6-2J001-10-FL010-V</t>
  </si>
  <si>
    <t>KC6-2J001-11-FL010-V</t>
  </si>
  <si>
    <t>KC6-2J001-12-FL010-V</t>
  </si>
  <si>
    <t>KME-2H001-5-FL010-V</t>
  </si>
  <si>
    <t>KME-2H001-6-FL010-V</t>
  </si>
  <si>
    <t>KME-2J001-7-FL010-V</t>
  </si>
  <si>
    <t>KC5-3C001-1-FL001-V</t>
  </si>
  <si>
    <t>VT-SL-TT-024-BEAM(3.KC5-2.KME-1.KC6)-AS3678Gr350L0-SP20-015</t>
  </si>
  <si>
    <t>VT-10726-141-Z001-285</t>
  </si>
  <si>
    <t>KC5-3E001-1-FL001-V</t>
  </si>
  <si>
    <t>KC6-3C001-2-FL001-V</t>
  </si>
  <si>
    <t>KC6-3C001-2-FL002</t>
  </si>
  <si>
    <t>KC6-3E001-2-FL001-V</t>
  </si>
  <si>
    <t>KC6-3E001-2-FL002</t>
  </si>
  <si>
    <t>KME-3F001-2-FL014</t>
  </si>
  <si>
    <t>KC5-3D001-2-W002</t>
  </si>
  <si>
    <t>VT-SL-TT-024-BEAM(3.KC5-2.KME-1.KC6)-AS3678Gr350L0-SP20-016</t>
  </si>
  <si>
    <t>VT-10726-141-Z001-286</t>
  </si>
  <si>
    <t>KC6-2F001-7-FL009</t>
  </si>
  <si>
    <t>KME-3H001-2-FL014</t>
  </si>
  <si>
    <t>KC6-2F001-8-FL009</t>
  </si>
  <si>
    <t>VT-SL-TT-024-BEAM(3.KC5-2.KME-1.KC6)-AS3678Gr350L0-SP20-017</t>
  </si>
  <si>
    <t>VT-10726-141-Z001-287</t>
  </si>
  <si>
    <t>KC6-3D001-3-W002</t>
  </si>
  <si>
    <t>KME-2F001-5-FL009</t>
  </si>
  <si>
    <t>KME-2F001-6-FL009</t>
  </si>
  <si>
    <t>KC5-2G001-10-FL007-V</t>
  </si>
  <si>
    <t>VT-SL-TT-024-BEAM(3.KC5-2.KME-1.KC6)-AS3678Gr350L0-SP20-018</t>
  </si>
  <si>
    <t>VT-10726-141-Z001-288</t>
  </si>
  <si>
    <t>KC6-2B001-1-PL016</t>
  </si>
  <si>
    <t>KC6-2D001-1-PL016</t>
  </si>
  <si>
    <t>KC6-3D001-4-W002</t>
  </si>
  <si>
    <t>KC5-2G001-11-FL007-V</t>
  </si>
  <si>
    <t>VT-SL-TT-024-BEAM(3.KC5-2.KME-1.KC6)-AS3678Gr350L0-SP20-019</t>
  </si>
  <si>
    <t>VT-10726-141-Z001-289</t>
  </si>
  <si>
    <t>KC5-2G001-12-FL007-V</t>
  </si>
  <si>
    <t>KC5-2G001-13-FL007-V</t>
  </si>
  <si>
    <t>KC5-3D001-1-W002</t>
  </si>
  <si>
    <t>KC5-2G001-14-FL007-V</t>
  </si>
  <si>
    <t>VT-SL-TT-024-BEAM(3.KC5-2.KME-1.KC6)-AS3678Gr350L0-SP20-020</t>
  </si>
  <si>
    <t>VT-10726-141-Z001-290</t>
  </si>
  <si>
    <t>KC5-2G001-15-FL007-V</t>
  </si>
  <si>
    <t>KC5-2G001-16-FL007-V</t>
  </si>
  <si>
    <t>KC5-2G001-9-FL007-V</t>
  </si>
  <si>
    <t>KC6-2B001-1-FL007-V</t>
  </si>
  <si>
    <t>KC6-2D001-1-FL007-V</t>
  </si>
  <si>
    <t>KC6-2G001-25-FL007-V</t>
  </si>
  <si>
    <t>KC6-2G001-26-FL007-V</t>
  </si>
  <si>
    <t>KC6-2G001-27-FL007-V</t>
  </si>
  <si>
    <t>VT-SL-TT-024-BEAM(3.KC5-2.KME-1.KC6)-AS3678Gr350L0-SP20-021</t>
  </si>
  <si>
    <t>VT-10726-141-Z001-291</t>
  </si>
  <si>
    <t>KC6-2G001-28-FL007-V</t>
  </si>
  <si>
    <t>KC6-2G001-29-FL007-V</t>
  </si>
  <si>
    <t>KC6-2G001-30-FL007-V</t>
  </si>
  <si>
    <t>KC6-2G001-31-FL007-V</t>
  </si>
  <si>
    <t>KC6-2G001-32-FL007-V</t>
  </si>
  <si>
    <t>KME-2G001-17-FL007-V</t>
  </si>
  <si>
    <t>KME-2G001-18-FL007-V</t>
  </si>
  <si>
    <t>KME-2G001-19-FL007-V</t>
  </si>
  <si>
    <t>VT-SL-TT-024-BEAM(3.KC5-2.KME-1.KC6)-AS3678Gr350L0-SP20-022</t>
  </si>
  <si>
    <t>VT-10726-141-Z001-292</t>
  </si>
  <si>
    <t>KME-2G001-20-FL007-V</t>
  </si>
  <si>
    <t>KME-2G001-21-FL007-V</t>
  </si>
  <si>
    <t>KME-2G001-22-FL007-V</t>
  </si>
  <si>
    <t>KME-2G001-23-FL007-V</t>
  </si>
  <si>
    <t>KME-2G001-24-FL007-V</t>
  </si>
  <si>
    <t>KC6-3B001-3-FL018</t>
  </si>
  <si>
    <t>PL32x1198x2250</t>
  </si>
  <si>
    <t>VT-SL-TT-024-BEAM(3.KC5-2.KME-1.KC6)-AS3678Gr350L0-SP32-001</t>
  </si>
  <si>
    <t>VT-SL-TT-023-BEAM(5.KC4-4.KMD) -AS3678Gr350L0-SP32-001</t>
  </si>
  <si>
    <t>VT-10726-141-Z001-293</t>
  </si>
  <si>
    <t>KC6-3B001-4-FL018</t>
  </si>
  <si>
    <t>KME-3G001-3-FL013</t>
  </si>
  <si>
    <t>VT-SL-TT-024-BEAM(3.KC5-2.KME-1.KC6)-AS3678Gr350L0-SP32-002</t>
  </si>
  <si>
    <t>VT-10726-141-Z001-294</t>
  </si>
  <si>
    <t>KME-3G001-4-FL013</t>
  </si>
  <si>
    <t>KC5-3D001-1-FL003-V</t>
  </si>
  <si>
    <t>VT-SL-TT-024-BEAM(3.KC5-2.KME-1.KC6)-AS3678Gr350L0-SP32-003</t>
  </si>
  <si>
    <t>VT-10726-141-Z001-295</t>
  </si>
  <si>
    <t>KC5-3D001-2-FL003-V</t>
  </si>
  <si>
    <t>KC6-3B001-3-FL017-V</t>
  </si>
  <si>
    <t>KC6-3B001-4-FL017-V</t>
  </si>
  <si>
    <t>KC6-3D001-3-FL003-V</t>
  </si>
  <si>
    <t>KC6-3D001-4-FL003-V</t>
  </si>
  <si>
    <t>12x2438x3541</t>
  </si>
  <si>
    <t>VT-SL-TT-024</t>
  </si>
  <si>
    <t>12x2438x3532</t>
  </si>
  <si>
    <t>12x2438x7110</t>
  </si>
  <si>
    <t>16x2438x8760</t>
  </si>
  <si>
    <t>20x2550x3244</t>
  </si>
  <si>
    <t>20x2550x10130</t>
  </si>
  <si>
    <t>20x1632x4143</t>
  </si>
  <si>
    <t>20x2550x4810</t>
  </si>
  <si>
    <t>20x2550x4943</t>
  </si>
  <si>
    <t>32x1198x2250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</si>
</sst>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;\-0.00;&quot;-&quot;"/>
    <numFmt numFmtId="165" formatCode="_(* #,##0_);_(* \(#,##0\);_(* &quot;-&quot;??_);_(@_)"/>
    <numFmt numFmtId="166" formatCode="0&quot;-Part Name&quot;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color indexed="10"/>
      <name val="Calibri"/>
      <family val="2"/>
      <scheme val="minor"/>
    </font>
    <font>
      <b/>
      <i/>
      <sz val="16"/>
      <color indexed="1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6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01">
    <xf numFmtId="0" fontId="0" fillId="0" borderId="0" xfId="0"/>
    <xf numFmtId="0" fontId="16" fillId="0" borderId="0" xfId="0" applyFont="1" applyAlignment="1">
      <alignment vertical="top"/>
    </xf>
    <xf numFmtId="0" fontId="0" fillId="0" borderId="0" xfId="0" applyAlignment="1">
      <alignment horizontal="center"/>
    </xf>
    <xf numFmtId="10" fontId="0" fillId="0" borderId="0" xfId="0" applyNumberForma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43" fontId="6" fillId="0" borderId="0" xfId="1" applyFont="1" applyBorder="1"/>
    <xf numFmtId="0" fontId="4" fillId="0" borderId="0" xfId="0" applyFont="1"/>
    <xf numFmtId="10" fontId="4" fillId="0" borderId="0" xfId="0" applyNumberFormat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5" fillId="0" borderId="0" xfId="0" applyFont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0" fontId="13" fillId="0" borderId="0" xfId="0" applyFont="1" applyAlignment="1">
      <alignment horizontal="centerContinuous" vertical="center"/>
    </xf>
    <xf numFmtId="0" fontId="1" fillId="0" borderId="0" xfId="0" applyFont="1" applyAlignment="1">
      <alignment horizontal="left"/>
    </xf>
    <xf numFmtId="0" fontId="11" fillId="0" borderId="0" xfId="0" applyFont="1"/>
    <xf numFmtId="0" fontId="7" fillId="0" borderId="0" xfId="0" applyFont="1"/>
    <xf numFmtId="43" fontId="1" fillId="0" borderId="0" xfId="1" applyFont="1" applyBorder="1"/>
    <xf numFmtId="0" fontId="9" fillId="3" borderId="0" xfId="0" applyFont="1" applyFill="1" applyAlignment="1">
      <alignment horizontal="center" vertical="top" wrapText="1"/>
    </xf>
    <xf numFmtId="0" fontId="15" fillId="3" borderId="0" xfId="0" applyFont="1" applyFill="1" applyAlignment="1">
      <alignment horizontal="center" vertical="top" wrapText="1"/>
    </xf>
    <xf numFmtId="0" fontId="10" fillId="3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3" fontId="1" fillId="4" borderId="0" xfId="1" applyFont="1" applyFill="1" applyBorder="1"/>
    <xf numFmtId="0" fontId="2" fillId="0" borderId="0" xfId="0" applyFont="1" applyAlignment="1">
      <alignment horizontal="centerContinuous" vertic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Continuous" vertical="center"/>
    </xf>
    <xf numFmtId="0" fontId="8" fillId="3" borderId="0" xfId="0" applyFont="1" applyFill="1"/>
    <xf numFmtId="0" fontId="7" fillId="0" borderId="0" xfId="0" applyFont="1" applyAlignment="1">
      <alignment horizontal="center"/>
    </xf>
    <xf numFmtId="0" fontId="18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/>
    </xf>
    <xf numFmtId="166" fontId="0" fillId="0" borderId="0" xfId="0" applyNumberFormat="1" applyAlignment="1">
      <alignment horizontal="center" vertical="top"/>
    </xf>
    <xf numFmtId="0" fontId="9" fillId="5" borderId="0" xfId="0" applyFont="1" applyFill="1" applyAlignment="1">
      <alignment horizontal="center" vertical="top" wrapText="1"/>
    </xf>
    <xf numFmtId="0" fontId="10" fillId="5" borderId="0" xfId="0" applyFont="1" applyFill="1" applyAlignment="1">
      <alignment horizontal="center" vertical="top" wrapText="1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top"/>
    </xf>
    <xf numFmtId="0" fontId="1" fillId="6" borderId="0" xfId="0" applyFont="1" applyFill="1" applyAlignment="1">
      <alignment vertical="top"/>
    </xf>
    <xf numFmtId="10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64" fontId="11" fillId="0" borderId="0" xfId="0" applyNumberFormat="1" applyFont="1"/>
    <xf numFmtId="10" fontId="11" fillId="0" borderId="0" xfId="0" applyNumberFormat="1" applyFont="1"/>
    <xf numFmtId="10" fontId="3" fillId="0" borderId="0" xfId="0" applyNumberFormat="1" applyFont="1"/>
    <xf numFmtId="0" fontId="16" fillId="8" borderId="0" xfId="0" applyFont="1" applyFill="1" applyAlignment="1">
      <alignment horizontal="center" vertical="top" wrapText="1"/>
    </xf>
    <xf numFmtId="43" fontId="6" fillId="4" borderId="0" xfId="1" applyFont="1" applyFill="1" applyBorder="1"/>
    <xf numFmtId="14" fontId="2" fillId="0" borderId="0" xfId="0" applyNumberFormat="1" applyFont="1" applyAlignment="1">
      <alignment vertical="center"/>
    </xf>
    <xf numFmtId="14" fontId="0" fillId="0" borderId="0" xfId="0" applyNumberFormat="1"/>
    <xf numFmtId="14" fontId="1" fillId="3" borderId="0" xfId="0" applyNumberFormat="1" applyFont="1" applyFill="1"/>
    <xf numFmtId="14" fontId="11" fillId="0" borderId="0" xfId="0" quotePrefix="1" applyNumberFormat="1" applyFont="1" applyAlignment="1">
      <alignment horizontal="center"/>
    </xf>
    <xf numFmtId="14" fontId="11" fillId="0" borderId="0" xfId="0" applyNumberFormat="1" applyFont="1"/>
    <xf numFmtId="14" fontId="14" fillId="0" borderId="0" xfId="0" applyNumberFormat="1" applyFont="1" applyAlignment="1">
      <alignment vertical="center"/>
    </xf>
    <xf numFmtId="14" fontId="14" fillId="0" borderId="0" xfId="0" applyNumberFormat="1" applyFont="1" applyAlignment="1">
      <alignment horizontal="centerContinuous" vertical="center"/>
    </xf>
    <xf numFmtId="14" fontId="15" fillId="3" borderId="0" xfId="0" applyNumberFormat="1" applyFont="1" applyFill="1" applyAlignment="1">
      <alignment horizontal="center" vertical="top" wrapText="1"/>
    </xf>
    <xf numFmtId="0" fontId="0" fillId="0" borderId="0" xfId="0" applyAlignment="1">
      <alignment horizontal="right"/>
    </xf>
    <xf numFmtId="43" fontId="0" fillId="0" borderId="0" xfId="1" applyFont="1"/>
    <xf numFmtId="43" fontId="2" fillId="0" borderId="0" xfId="1" applyFont="1" applyAlignment="1">
      <alignment vertical="center"/>
    </xf>
    <xf numFmtId="43" fontId="2" fillId="0" borderId="0" xfId="1" applyFont="1" applyAlignment="1">
      <alignment horizontal="center" vertical="center"/>
    </xf>
    <xf numFmtId="43" fontId="7" fillId="0" borderId="0" xfId="1" applyFont="1"/>
    <xf numFmtId="43" fontId="1" fillId="4" borderId="0" xfId="1" applyFont="1" applyFill="1"/>
    <xf numFmtId="43" fontId="0" fillId="0" borderId="0" xfId="1" applyFont="1" applyAlignment="1">
      <alignment horizontal="center"/>
    </xf>
    <xf numFmtId="43" fontId="9" fillId="5" borderId="0" xfId="1" applyFont="1" applyFill="1" applyAlignment="1">
      <alignment horizontal="center" vertical="top" wrapText="1"/>
    </xf>
    <xf numFmtId="43" fontId="10" fillId="5" borderId="0" xfId="1" applyFont="1" applyFill="1" applyAlignment="1">
      <alignment horizontal="center" vertical="top" wrapText="1"/>
    </xf>
    <xf numFmtId="43" fontId="2" fillId="0" borderId="0" xfId="1" applyFont="1" applyAlignment="1">
      <alignment horizontal="centerContinuous" vertical="center"/>
    </xf>
    <xf numFmtId="43" fontId="1" fillId="3" borderId="0" xfId="1" applyFont="1" applyFill="1"/>
    <xf numFmtId="43" fontId="11" fillId="0" borderId="0" xfId="1" applyFont="1"/>
    <xf numFmtId="165" fontId="1" fillId="0" borderId="0" xfId="1" applyNumberFormat="1" applyFont="1"/>
    <xf numFmtId="0" fontId="1" fillId="4" borderId="0" xfId="0" applyFont="1" applyFill="1"/>
    <xf numFmtId="43" fontId="8" fillId="4" borderId="0" xfId="1" applyFont="1" applyFill="1"/>
    <xf numFmtId="0" fontId="16" fillId="3" borderId="0" xfId="0" applyFont="1" applyFill="1" applyAlignment="1">
      <alignment horizontal="left" vertical="top"/>
    </xf>
    <xf numFmtId="0" fontId="11" fillId="3" borderId="0" xfId="0" applyFont="1" applyFill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43" fontId="11" fillId="0" borderId="1" xfId="1" applyFont="1" applyBorder="1"/>
    <xf numFmtId="0" fontId="1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0" xfId="0" quotePrefix="1" applyAlignment="1">
      <alignment horizontal="center"/>
    </xf>
    <xf numFmtId="14" fontId="11" fillId="0" borderId="1" xfId="0" quotePrefix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applyBorder="1"/>
  </cellXfs>
  <cellStyles count="2">
    <cellStyle name="Comma" xfId="1" builtinId="3"/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FF33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4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9.emf"/><Relationship Id="rId1" Type="http://schemas.openxmlformats.org/officeDocument/2006/relationships/image" Target="../media/image10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9.emf"/><Relationship Id="rId1" Type="http://schemas.openxmlformats.org/officeDocument/2006/relationships/image" Target="../media/image10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152400</xdr:colOff>
          <xdr:row>1</xdr:row>
          <xdr:rowOff>190500</xdr:rowOff>
        </xdr:from>
        <xdr:to>
          <xdr:col>19</xdr:col>
          <xdr:colOff>95250</xdr:colOff>
          <xdr:row>3</xdr:row>
          <xdr:rowOff>38100</xdr:rowOff>
        </xdr:to>
        <xdr:sp macro="" textlink="">
          <xdr:nvSpPr>
            <xdr:cNvPr id="4098" name="CommandButton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419100</xdr:colOff>
          <xdr:row>1</xdr:row>
          <xdr:rowOff>190500</xdr:rowOff>
        </xdr:from>
        <xdr:to>
          <xdr:col>20</xdr:col>
          <xdr:colOff>295275</xdr:colOff>
          <xdr:row>3</xdr:row>
          <xdr:rowOff>38100</xdr:rowOff>
        </xdr:to>
        <xdr:sp macro="" textlink="">
          <xdr:nvSpPr>
            <xdr:cNvPr id="4099" name="CommandButton1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295275</xdr:colOff>
          <xdr:row>1</xdr:row>
          <xdr:rowOff>200025</xdr:rowOff>
        </xdr:from>
        <xdr:to>
          <xdr:col>21</xdr:col>
          <xdr:colOff>742950</xdr:colOff>
          <xdr:row>3</xdr:row>
          <xdr:rowOff>47625</xdr:rowOff>
        </xdr:to>
        <xdr:sp macro="" textlink="">
          <xdr:nvSpPr>
            <xdr:cNvPr id="4100" name="CommandButton3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657225</xdr:colOff>
          <xdr:row>0</xdr:row>
          <xdr:rowOff>123825</xdr:rowOff>
        </xdr:from>
        <xdr:to>
          <xdr:col>22</xdr:col>
          <xdr:colOff>1114425</xdr:colOff>
          <xdr:row>1</xdr:row>
          <xdr:rowOff>219075</xdr:rowOff>
        </xdr:to>
        <xdr:sp macro="" textlink="">
          <xdr:nvSpPr>
            <xdr:cNvPr id="3073" name="CommandButton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304800</xdr:colOff>
          <xdr:row>0</xdr:row>
          <xdr:rowOff>123825</xdr:rowOff>
        </xdr:from>
        <xdr:to>
          <xdr:col>23</xdr:col>
          <xdr:colOff>762000</xdr:colOff>
          <xdr:row>1</xdr:row>
          <xdr:rowOff>219075</xdr:rowOff>
        </xdr:to>
        <xdr:sp macro="" textlink="">
          <xdr:nvSpPr>
            <xdr:cNvPr id="3074" name="CommandButton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933450</xdr:colOff>
          <xdr:row>0</xdr:row>
          <xdr:rowOff>123825</xdr:rowOff>
        </xdr:from>
        <xdr:to>
          <xdr:col>23</xdr:col>
          <xdr:colOff>1381125</xdr:colOff>
          <xdr:row>1</xdr:row>
          <xdr:rowOff>219075</xdr:rowOff>
        </xdr:to>
        <xdr:sp macro="" textlink="">
          <xdr:nvSpPr>
            <xdr:cNvPr id="3075" name="CommandButton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</xdr:colOff>
          <xdr:row>1</xdr:row>
          <xdr:rowOff>295275</xdr:rowOff>
        </xdr:from>
        <xdr:to>
          <xdr:col>14</xdr:col>
          <xdr:colOff>1143000</xdr:colOff>
          <xdr:row>3</xdr:row>
          <xdr:rowOff>0</xdr:rowOff>
        </xdr:to>
        <xdr:sp macro="" textlink="">
          <xdr:nvSpPr>
            <xdr:cNvPr id="3077" name="CommandButton4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1</xdr:row>
          <xdr:rowOff>95250</xdr:rowOff>
        </xdr:from>
        <xdr:to>
          <xdr:col>15</xdr:col>
          <xdr:colOff>495300</xdr:colOff>
          <xdr:row>2</xdr:row>
          <xdr:rowOff>171450</xdr:rowOff>
        </xdr:to>
        <xdr:sp macro="" textlink="">
          <xdr:nvSpPr>
            <xdr:cNvPr id="2056" name="CommandButton1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2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180975</xdr:colOff>
          <xdr:row>1</xdr:row>
          <xdr:rowOff>95250</xdr:rowOff>
        </xdr:from>
        <xdr:to>
          <xdr:col>17</xdr:col>
          <xdr:colOff>28575</xdr:colOff>
          <xdr:row>2</xdr:row>
          <xdr:rowOff>171450</xdr:rowOff>
        </xdr:to>
        <xdr:sp macro="" textlink="">
          <xdr:nvSpPr>
            <xdr:cNvPr id="2057" name="CommandButton2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2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304800</xdr:colOff>
          <xdr:row>1</xdr:row>
          <xdr:rowOff>95250</xdr:rowOff>
        </xdr:from>
        <xdr:to>
          <xdr:col>18</xdr:col>
          <xdr:colOff>133350</xdr:colOff>
          <xdr:row>2</xdr:row>
          <xdr:rowOff>171450</xdr:rowOff>
        </xdr:to>
        <xdr:sp macro="" textlink="">
          <xdr:nvSpPr>
            <xdr:cNvPr id="2058" name="CommandButton3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2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95250</xdr:colOff>
          <xdr:row>6</xdr:row>
          <xdr:rowOff>47625</xdr:rowOff>
        </xdr:from>
        <xdr:to>
          <xdr:col>25</xdr:col>
          <xdr:colOff>542925</xdr:colOff>
          <xdr:row>7</xdr:row>
          <xdr:rowOff>123825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409575</xdr:colOff>
          <xdr:row>6</xdr:row>
          <xdr:rowOff>47625</xdr:rowOff>
        </xdr:from>
        <xdr:to>
          <xdr:col>27</xdr:col>
          <xdr:colOff>9525</xdr:colOff>
          <xdr:row>7</xdr:row>
          <xdr:rowOff>123825</xdr:rowOff>
        </xdr:to>
        <xdr:sp macro="" textlink="">
          <xdr:nvSpPr>
            <xdr:cNvPr id="1027" name="CommandButton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3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714375</xdr:colOff>
          <xdr:row>6</xdr:row>
          <xdr:rowOff>47625</xdr:rowOff>
        </xdr:from>
        <xdr:to>
          <xdr:col>27</xdr:col>
          <xdr:colOff>1152525</xdr:colOff>
          <xdr:row>7</xdr:row>
          <xdr:rowOff>123825</xdr:rowOff>
        </xdr:to>
        <xdr:sp macro="" textlink="">
          <xdr:nvSpPr>
            <xdr:cNvPr id="1028" name="Command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3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323850</xdr:colOff>
          <xdr:row>0</xdr:row>
          <xdr:rowOff>47625</xdr:rowOff>
        </xdr:from>
        <xdr:to>
          <xdr:col>25</xdr:col>
          <xdr:colOff>409575</xdr:colOff>
          <xdr:row>1</xdr:row>
          <xdr:rowOff>123825</xdr:rowOff>
        </xdr:to>
        <xdr:sp macro="" textlink="">
          <xdr:nvSpPr>
            <xdr:cNvPr id="8193" name="CommandButton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02-KH_DPSX/.NESTING-CNC-DDC/15-10726-141%20DG%20XK%20SHIPLIFT%20&#218;C/13-VT-SL-TT-013-CRANEBEAM(1C001.5-1D001.1)/REV02/VT-SL-TT-013-REV02.xlsx" TargetMode="External"/><Relationship Id="rId2" Type="http://schemas.openxmlformats.org/officeDocument/2006/relationships/externalLinkPath" Target="file:///Y:\02-KH_DPSX\.NESTING-CNC-DDC\15-10726-141%20DG%20XK%20SHIPLIFT%20&#218;C\13-VT-SL-TT-013-CRANEBEAM(1C001.5-1D001.1)\REV02\VT-SL-TT-013-REV02.xlsx" TargetMode="External"/><Relationship Id="rId1" Type="http://schemas.openxmlformats.org/officeDocument/2006/relationships/externalLinkPath" Target="/02-KH_DPSX/.NESTING-CNC-DDC/15-10726-141%20DG%20XK%20SHIPLIFT%20&#218;C/13-VT-SL-TT-013-CRANEBEAM(1C001.5-1D001.1)/REV02/VT-SL-TT-013-REV02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02-KH_DPSX/.NESTING-CNC-DDC/15-10726-141%20DG%20XK%20SHIPLIFT%20&#218;C/17-VT-SL-TT-017/REV1/VT-SL-TT-017-REV01.xlsx" TargetMode="External"/><Relationship Id="rId2" Type="http://schemas.openxmlformats.org/officeDocument/2006/relationships/externalLinkPath" Target="file:///Y:\02-KH_DPSX\.NESTING-CNC-DDC\15-10726-141%20DG%20XK%20SHIPLIFT%20&#218;C\17-VT-SL-TT-017\REV1\VT-SL-TT-017-REV01.xlsx" TargetMode="External"/><Relationship Id="rId1" Type="http://schemas.openxmlformats.org/officeDocument/2006/relationships/externalLinkPath" Target="/02-KH_DPSX/.NESTING-CNC-DDC/15-10726-141%20DG%20XK%20SHIPLIFT%20&#218;C/17-VT-SL-TT-017/REV1/VT-SL-TT-017-RE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st chi tiet"/>
      <sheetName val="Phieu vat tu"/>
      <sheetName val="Hao hut vat tu"/>
      <sheetName val="LSX-VT"/>
    </sheetNames>
    <sheetDataSet>
      <sheetData sheetId="0">
        <row r="2">
          <cell r="B2" t="str">
            <v>10726-141 DG XK SHIPLIFT ÚC</v>
          </cell>
        </row>
        <row r="3">
          <cell r="B3" t="str">
            <v>10726-141</v>
          </cell>
        </row>
        <row r="4">
          <cell r="B4" t="str">
            <v>CRANEBEAM(1C001.5-1D001.1)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st chi tiet"/>
      <sheetName val="Phieu vat tu"/>
      <sheetName val="Hao hut vat tu"/>
      <sheetName val="LSX-VT"/>
    </sheetNames>
    <sheetDataSet>
      <sheetData sheetId="0">
        <row r="2">
          <cell r="B2" t="str">
            <v xml:space="preserve"> 10726-141 DG XK SHIPLIFT ÚC</v>
          </cell>
        </row>
        <row r="3">
          <cell r="B3" t="str">
            <v xml:space="preserve"> 10726-141</v>
          </cell>
        </row>
        <row r="4">
          <cell r="B4" t="str">
            <v>PLATFORM-MAIN STRUCTURE-BEAM(9.KC2-8.KMB)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5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5.xml"/><Relationship Id="rId11" Type="http://schemas.openxmlformats.org/officeDocument/2006/relationships/image" Target="../media/image7.emf"/><Relationship Id="rId5" Type="http://schemas.openxmlformats.org/officeDocument/2006/relationships/image" Target="../media/image4.emf"/><Relationship Id="rId10" Type="http://schemas.openxmlformats.org/officeDocument/2006/relationships/control" Target="../activeX/activeX7.xml"/><Relationship Id="rId4" Type="http://schemas.openxmlformats.org/officeDocument/2006/relationships/control" Target="../activeX/activeX4.xml"/><Relationship Id="rId9" Type="http://schemas.openxmlformats.org/officeDocument/2006/relationships/image" Target="../media/image6.emf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0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9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9.xml"/><Relationship Id="rId5" Type="http://schemas.openxmlformats.org/officeDocument/2006/relationships/image" Target="../media/image8.emf"/><Relationship Id="rId4" Type="http://schemas.openxmlformats.org/officeDocument/2006/relationships/control" Target="../activeX/activeX8.xml"/><Relationship Id="rId9" Type="http://schemas.openxmlformats.org/officeDocument/2006/relationships/image" Target="../media/image10.emf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3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9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2.xml"/><Relationship Id="rId5" Type="http://schemas.openxmlformats.org/officeDocument/2006/relationships/image" Target="../media/image11.emf"/><Relationship Id="rId4" Type="http://schemas.openxmlformats.org/officeDocument/2006/relationships/control" Target="../activeX/activeX11.xml"/><Relationship Id="rId9" Type="http://schemas.openxmlformats.org/officeDocument/2006/relationships/image" Target="../media/image10.emf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0.emf"/><Relationship Id="rId4" Type="http://schemas.openxmlformats.org/officeDocument/2006/relationships/control" Target="../activeX/activeX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690D-782B-420E-9262-0373E5AE9827}">
  <sheetPr codeName="Sheet1" filterMode="1">
    <pageSetUpPr fitToPage="1"/>
  </sheetPr>
  <dimension ref="A1:AC2386"/>
  <sheetViews>
    <sheetView tabSelected="1" zoomScale="70" zoomScaleNormal="70" zoomScaleSheetLayoutView="85" workbookViewId="0">
      <pane ySplit="5" topLeftCell="A981" activePane="bottomLeft" state="frozenSplit"/>
      <selection pane="bottomLeft" activeCell="L1767" sqref="L1767"/>
    </sheetView>
  </sheetViews>
  <sheetFormatPr defaultRowHeight="15" x14ac:dyDescent="0.25"/>
  <cols>
    <col min="1" max="1" width="8.5703125" style="26" bestFit="1" customWidth="1"/>
    <col min="2" max="2" width="26" style="19" bestFit="1" customWidth="1"/>
    <col min="3" max="3" width="15.28515625" style="44" bestFit="1" customWidth="1"/>
    <col min="4" max="4" width="16.140625" style="19" bestFit="1" customWidth="1"/>
    <col min="5" max="5" width="6.5703125" style="19" bestFit="1" customWidth="1"/>
    <col min="6" max="6" width="7.7109375" style="19" bestFit="1" customWidth="1"/>
    <col min="7" max="7" width="10" style="19" bestFit="1" customWidth="1"/>
    <col min="8" max="8" width="9.5703125" style="19" bestFit="1" customWidth="1"/>
    <col min="9" max="9" width="13.28515625" style="80" bestFit="1" customWidth="1"/>
    <col min="10" max="10" width="15.42578125" style="80" bestFit="1" customWidth="1"/>
    <col min="11" max="11" width="17.85546875" style="19" bestFit="1" customWidth="1"/>
    <col min="12" max="12" width="65.5703125" style="19" customWidth="1"/>
    <col min="13" max="13" width="9.7109375" style="19" bestFit="1" customWidth="1"/>
    <col min="14" max="14" width="8.85546875" style="19" bestFit="1" customWidth="1"/>
    <col min="15" max="15" width="7.7109375" style="19" bestFit="1" customWidth="1"/>
    <col min="16" max="16" width="10.7109375" style="19" bestFit="1" customWidth="1"/>
    <col min="17" max="17" width="9.42578125" style="20" bestFit="1" customWidth="1"/>
    <col min="18" max="18" width="14.42578125" style="65" bestFit="1" customWidth="1"/>
    <col min="19" max="19" width="7.7109375" style="19" bestFit="1" customWidth="1"/>
    <col min="20" max="21" width="8.7109375" style="19" bestFit="1" customWidth="1"/>
    <col min="22" max="22" width="15.28515625" style="19" bestFit="1" customWidth="1"/>
    <col min="23" max="23" width="5.42578125" style="19" bestFit="1" customWidth="1"/>
    <col min="24" max="24" width="6.28515625" style="19" bestFit="1" customWidth="1"/>
    <col min="25" max="25" width="5.5703125" style="19" bestFit="1" customWidth="1"/>
    <col min="26" max="26" width="43.85546875" style="44" bestFit="1" customWidth="1"/>
    <col min="27" max="27" width="88" style="44" bestFit="1" customWidth="1"/>
    <col min="28" max="28" width="29" style="44" bestFit="1" customWidth="1"/>
    <col min="29" max="16384" width="9.140625" style="19"/>
  </cols>
  <sheetData>
    <row r="1" spans="1:28" customFormat="1" ht="15" customHeight="1" x14ac:dyDescent="0.25">
      <c r="A1" s="2"/>
      <c r="B1" s="29"/>
      <c r="C1" s="28"/>
      <c r="D1" s="29"/>
      <c r="E1" s="29"/>
      <c r="F1" s="29"/>
      <c r="G1" s="29"/>
      <c r="H1" s="29"/>
      <c r="I1" s="71"/>
      <c r="J1" s="71"/>
      <c r="K1" s="32"/>
      <c r="L1" s="29"/>
      <c r="M1" s="29"/>
      <c r="N1" s="29"/>
      <c r="O1" s="29"/>
      <c r="P1" s="29"/>
      <c r="Q1" s="39"/>
      <c r="R1" s="61"/>
      <c r="S1" s="29"/>
      <c r="T1" s="29"/>
      <c r="U1" s="29"/>
      <c r="V1" s="29"/>
      <c r="W1" s="29"/>
      <c r="X1" s="29"/>
      <c r="Y1" s="29"/>
      <c r="Z1" s="28"/>
      <c r="AA1" s="43"/>
      <c r="AB1" s="43"/>
    </row>
    <row r="2" spans="1:28" customFormat="1" ht="18.75" customHeight="1" x14ac:dyDescent="0.25">
      <c r="A2" s="7" t="s">
        <v>112</v>
      </c>
      <c r="B2" s="33" t="s">
        <v>113</v>
      </c>
      <c r="C2" s="32"/>
      <c r="D2" s="32"/>
      <c r="E2" s="32"/>
      <c r="F2" s="32"/>
      <c r="G2" s="32"/>
      <c r="H2" s="32"/>
      <c r="I2" s="78"/>
      <c r="J2" s="78"/>
      <c r="L2" s="28" t="s">
        <v>0</v>
      </c>
      <c r="M2" s="32"/>
      <c r="N2" s="32"/>
      <c r="O2" s="32"/>
      <c r="P2" s="32"/>
      <c r="Q2" s="40"/>
      <c r="R2" s="62"/>
      <c r="S2" s="32"/>
      <c r="T2" s="32"/>
      <c r="U2" s="32"/>
      <c r="V2" s="32"/>
      <c r="W2" s="32"/>
      <c r="X2" s="32"/>
      <c r="Y2" s="32"/>
      <c r="Z2" s="28"/>
      <c r="AA2" s="43"/>
      <c r="AB2" s="43"/>
    </row>
    <row r="3" spans="1:28" customFormat="1" x14ac:dyDescent="0.25">
      <c r="A3" s="7" t="s">
        <v>1</v>
      </c>
      <c r="B3" s="33" t="str">
        <f ca="1">INDEX(V6:V99758, MATCH(1, INDEX(SUBTOTAL(3, OFFSET(V6, ROW(V6:V99758)-ROW(V6), 0)), 0), 0))</f>
        <v>10726-141</v>
      </c>
      <c r="C3" s="7"/>
      <c r="I3" s="70"/>
      <c r="J3" s="70"/>
      <c r="Q3" s="20"/>
      <c r="R3" s="62"/>
      <c r="Z3" s="7"/>
      <c r="AA3" s="44"/>
      <c r="AB3" s="44"/>
    </row>
    <row r="4" spans="1:28" customFormat="1" x14ac:dyDescent="0.25">
      <c r="A4" s="7" t="s">
        <v>2</v>
      </c>
      <c r="B4" s="33" t="str" cm="1">
        <f t="array" aca="1" ref="B4" ca="1">INDEX(Z6:Z99758, MATCH(1, INDEX(SUBTOTAL(3, OFFSET(Z6, ROW(Z6:Z99758)-ROW(Z6), 0)), 0), 0))</f>
        <v>PLATFORM-MAIN STRUCTURE-BEAM(3.KC5-2.KME-1.KC6)</v>
      </c>
      <c r="C4" s="7"/>
      <c r="G4">
        <f ca="1">SUMPRODUCT(G6:G99758, H6:H99758, SUBTOTAL(103, OFFSET(G6, ROW(G6:G99758)-ROW(G6), 0)))</f>
        <v>2320426</v>
      </c>
      <c r="H4" s="81">
        <f ca="1">SUMPRODUCT(SUBTOTAL(109, OFFSET(H6, ROW(H6:H99754)-ROW(H6), 0)), (B6:B99754&lt;&gt;"") * (B6:B99754&lt;&gt;0))</f>
        <v>2667</v>
      </c>
      <c r="I4" s="81"/>
      <c r="J4" s="81">
        <f ca="1">SUMPRODUCT(SUBTOTAL(109, OFFSET(J6, ROW(J6:J99754)-ROW(J6), 0)), (B6:B99754&lt;&gt;"") * (B6:B99754&lt;&gt;0))</f>
        <v>104405.20999999977</v>
      </c>
      <c r="L4" s="46">
        <f ca="1">SUMPRODUCT(SUBTOTAL(103, OFFSET(B6, ROW(B6:B99755)-ROW(B6), 0)))</f>
        <v>625</v>
      </c>
      <c r="Q4" s="20"/>
      <c r="R4" s="62"/>
      <c r="Z4" s="7"/>
      <c r="AA4" s="44"/>
      <c r="AB4" s="44"/>
    </row>
    <row r="5" spans="1:28" customFormat="1" x14ac:dyDescent="0.25">
      <c r="A5" s="34" t="s">
        <v>3</v>
      </c>
      <c r="B5" s="35" t="s">
        <v>4</v>
      </c>
      <c r="C5" s="36" t="s">
        <v>5</v>
      </c>
      <c r="D5" s="35" t="s">
        <v>6</v>
      </c>
      <c r="E5" s="35" t="s">
        <v>7</v>
      </c>
      <c r="F5" s="35" t="s">
        <v>8</v>
      </c>
      <c r="G5" s="35" t="s">
        <v>9</v>
      </c>
      <c r="H5" s="35" t="s">
        <v>10</v>
      </c>
      <c r="I5" s="79" t="s">
        <v>11</v>
      </c>
      <c r="J5" s="79" t="s">
        <v>12</v>
      </c>
      <c r="K5" s="35" t="s">
        <v>13</v>
      </c>
      <c r="L5" s="37" t="s">
        <v>14</v>
      </c>
      <c r="M5" s="35" t="s">
        <v>15</v>
      </c>
      <c r="N5" s="35" t="s">
        <v>16</v>
      </c>
      <c r="O5" s="35" t="s">
        <v>17</v>
      </c>
      <c r="P5" s="35" t="s">
        <v>18</v>
      </c>
      <c r="Q5" s="41" t="s">
        <v>19</v>
      </c>
      <c r="R5" s="63" t="s">
        <v>20</v>
      </c>
      <c r="S5" s="35" t="s">
        <v>21</v>
      </c>
      <c r="T5" s="35" t="s">
        <v>22</v>
      </c>
      <c r="U5" s="35" t="s">
        <v>23</v>
      </c>
      <c r="V5" s="35" t="s">
        <v>24</v>
      </c>
      <c r="W5" s="35" t="s">
        <v>25</v>
      </c>
      <c r="X5" s="35" t="s">
        <v>26</v>
      </c>
      <c r="Y5" s="35" t="s">
        <v>27</v>
      </c>
      <c r="Z5" s="34" t="s">
        <v>28</v>
      </c>
      <c r="AA5" s="45" t="s">
        <v>29</v>
      </c>
      <c r="AB5" s="85" t="str">
        <f>$B$2</f>
        <v>10726-141 DG XK SHIPLIFT ÚC</v>
      </c>
    </row>
    <row r="6" spans="1:28" hidden="1" x14ac:dyDescent="0.25">
      <c r="A6" s="26">
        <v>1</v>
      </c>
      <c r="B6" s="19" t="s">
        <v>302</v>
      </c>
      <c r="C6" s="44" t="s">
        <v>134</v>
      </c>
      <c r="D6" s="19" t="s">
        <v>303</v>
      </c>
      <c r="E6" s="19">
        <v>30</v>
      </c>
      <c r="F6" s="19">
        <v>670</v>
      </c>
      <c r="G6" s="19">
        <v>720</v>
      </c>
      <c r="H6" s="19">
        <v>4</v>
      </c>
      <c r="I6" s="80">
        <v>89.86</v>
      </c>
      <c r="J6" s="80">
        <v>359.45</v>
      </c>
      <c r="K6" s="19" t="s">
        <v>304</v>
      </c>
      <c r="L6" s="19" t="s">
        <v>305</v>
      </c>
      <c r="M6" s="26"/>
      <c r="N6" s="26"/>
      <c r="O6" s="26"/>
      <c r="P6" s="26"/>
      <c r="Q6" s="42">
        <v>3</v>
      </c>
      <c r="R6" s="64" t="s">
        <v>306</v>
      </c>
      <c r="S6" s="26"/>
      <c r="T6" s="26" t="s">
        <v>307</v>
      </c>
      <c r="U6" s="26"/>
      <c r="V6" s="26" t="s">
        <v>178</v>
      </c>
      <c r="W6" s="26" t="s">
        <v>138</v>
      </c>
      <c r="X6" s="26"/>
      <c r="Y6" s="26"/>
      <c r="Z6" s="44" t="s">
        <v>308</v>
      </c>
      <c r="AA6" s="44" t="s">
        <v>309</v>
      </c>
    </row>
    <row r="7" spans="1:28" hidden="1" x14ac:dyDescent="0.25">
      <c r="A7" s="26">
        <v>2</v>
      </c>
      <c r="B7" s="19" t="s">
        <v>310</v>
      </c>
      <c r="C7" s="44" t="s">
        <v>134</v>
      </c>
      <c r="D7" s="19" t="s">
        <v>311</v>
      </c>
      <c r="E7" s="19">
        <v>30</v>
      </c>
      <c r="F7" s="19">
        <v>580</v>
      </c>
      <c r="G7" s="19">
        <v>650</v>
      </c>
      <c r="H7" s="19">
        <v>4</v>
      </c>
      <c r="I7" s="80">
        <v>70.03</v>
      </c>
      <c r="J7" s="80">
        <v>280.13</v>
      </c>
      <c r="K7" s="19" t="s">
        <v>304</v>
      </c>
      <c r="L7" s="19" t="s">
        <v>305</v>
      </c>
      <c r="M7" s="26"/>
      <c r="N7" s="26"/>
      <c r="O7" s="26"/>
      <c r="P7" s="26"/>
      <c r="Q7" s="42">
        <v>3</v>
      </c>
      <c r="R7" s="64" t="s">
        <v>306</v>
      </c>
      <c r="S7" s="26"/>
      <c r="T7" s="26" t="s">
        <v>307</v>
      </c>
      <c r="U7" s="26"/>
      <c r="V7" s="26" t="s">
        <v>178</v>
      </c>
      <c r="W7" s="26" t="s">
        <v>138</v>
      </c>
      <c r="X7" s="26"/>
      <c r="Y7" s="26"/>
      <c r="Z7" s="44" t="s">
        <v>308</v>
      </c>
      <c r="AA7" s="44" t="s">
        <v>309</v>
      </c>
    </row>
    <row r="8" spans="1:28" hidden="1" x14ac:dyDescent="0.25">
      <c r="A8" s="26">
        <v>3</v>
      </c>
      <c r="B8" s="19" t="s">
        <v>312</v>
      </c>
      <c r="C8" s="44" t="s">
        <v>134</v>
      </c>
      <c r="D8" s="19" t="s">
        <v>313</v>
      </c>
      <c r="E8" s="19">
        <v>35</v>
      </c>
      <c r="F8" s="19">
        <v>1570</v>
      </c>
      <c r="G8" s="19">
        <v>1990</v>
      </c>
      <c r="H8" s="19">
        <v>1</v>
      </c>
      <c r="I8" s="80">
        <v>858.4</v>
      </c>
      <c r="J8" s="80">
        <v>858.4</v>
      </c>
      <c r="K8" s="19" t="s">
        <v>314</v>
      </c>
      <c r="L8" s="19" t="s">
        <v>315</v>
      </c>
      <c r="M8" s="26"/>
      <c r="N8" s="26" t="s">
        <v>176</v>
      </c>
      <c r="O8" s="26"/>
      <c r="P8" s="26" t="s">
        <v>138</v>
      </c>
      <c r="Q8" s="42">
        <v>3</v>
      </c>
      <c r="R8" s="64" t="s">
        <v>306</v>
      </c>
      <c r="S8" s="26"/>
      <c r="T8" s="26" t="s">
        <v>307</v>
      </c>
      <c r="U8" s="26"/>
      <c r="V8" s="26" t="s">
        <v>178</v>
      </c>
      <c r="W8" s="26"/>
      <c r="X8" s="26" t="s">
        <v>138</v>
      </c>
      <c r="Y8" s="26"/>
      <c r="Z8" s="44" t="s">
        <v>308</v>
      </c>
      <c r="AA8" s="44" t="s">
        <v>316</v>
      </c>
    </row>
    <row r="9" spans="1:28" hidden="1" x14ac:dyDescent="0.25">
      <c r="A9" s="26">
        <v>4</v>
      </c>
      <c r="B9" s="19" t="s">
        <v>317</v>
      </c>
      <c r="C9" s="44" t="s">
        <v>134</v>
      </c>
      <c r="D9" s="19" t="s">
        <v>318</v>
      </c>
      <c r="E9" s="19">
        <v>35</v>
      </c>
      <c r="F9" s="19">
        <v>400</v>
      </c>
      <c r="G9" s="19">
        <v>1570</v>
      </c>
      <c r="H9" s="19">
        <v>1</v>
      </c>
      <c r="I9" s="80">
        <v>172.54</v>
      </c>
      <c r="J9" s="80">
        <v>172.54</v>
      </c>
      <c r="K9" s="19" t="s">
        <v>314</v>
      </c>
      <c r="L9" s="19" t="s">
        <v>315</v>
      </c>
      <c r="M9" s="26"/>
      <c r="N9" s="26"/>
      <c r="O9" s="26"/>
      <c r="P9" s="26" t="s">
        <v>138</v>
      </c>
      <c r="Q9" s="42">
        <v>3</v>
      </c>
      <c r="R9" s="64" t="s">
        <v>306</v>
      </c>
      <c r="S9" s="26"/>
      <c r="T9" s="26" t="s">
        <v>307</v>
      </c>
      <c r="U9" s="26"/>
      <c r="V9" s="26" t="s">
        <v>178</v>
      </c>
      <c r="W9" s="26"/>
      <c r="X9" s="26" t="s">
        <v>138</v>
      </c>
      <c r="Y9" s="26"/>
      <c r="Z9" s="44" t="s">
        <v>308</v>
      </c>
      <c r="AA9" s="44" t="s">
        <v>316</v>
      </c>
    </row>
    <row r="10" spans="1:28" hidden="1" x14ac:dyDescent="0.25">
      <c r="A10" s="26">
        <v>5</v>
      </c>
      <c r="B10" s="19" t="s">
        <v>319</v>
      </c>
      <c r="C10" s="44" t="s">
        <v>134</v>
      </c>
      <c r="D10" s="19" t="s">
        <v>320</v>
      </c>
      <c r="E10" s="19">
        <v>35</v>
      </c>
      <c r="F10" s="19">
        <v>1570</v>
      </c>
      <c r="G10" s="19">
        <v>2390</v>
      </c>
      <c r="H10" s="19">
        <v>1</v>
      </c>
      <c r="I10" s="80">
        <v>1030.94</v>
      </c>
      <c r="J10" s="80">
        <v>1030.94</v>
      </c>
      <c r="K10" s="19" t="s">
        <v>314</v>
      </c>
      <c r="L10" s="19" t="s">
        <v>315</v>
      </c>
      <c r="M10" s="26"/>
      <c r="N10" s="26" t="s">
        <v>176</v>
      </c>
      <c r="O10" s="26"/>
      <c r="P10" s="26" t="s">
        <v>138</v>
      </c>
      <c r="Q10" s="42">
        <v>3</v>
      </c>
      <c r="R10" s="64" t="s">
        <v>306</v>
      </c>
      <c r="S10" s="26"/>
      <c r="T10" s="26" t="s">
        <v>307</v>
      </c>
      <c r="U10" s="26"/>
      <c r="V10" s="26" t="s">
        <v>178</v>
      </c>
      <c r="W10" s="26"/>
      <c r="X10" s="26" t="s">
        <v>138</v>
      </c>
      <c r="Y10" s="26"/>
      <c r="Z10" s="44" t="s">
        <v>308</v>
      </c>
      <c r="AA10" s="44" t="s">
        <v>316</v>
      </c>
    </row>
    <row r="11" spans="1:28" hidden="1" x14ac:dyDescent="0.25">
      <c r="A11" s="26">
        <v>1</v>
      </c>
      <c r="B11" s="19" t="s">
        <v>327</v>
      </c>
      <c r="C11" s="44" t="s">
        <v>172</v>
      </c>
      <c r="D11" s="19" t="s">
        <v>328</v>
      </c>
      <c r="E11" s="19">
        <v>12</v>
      </c>
      <c r="F11" s="19">
        <v>275</v>
      </c>
      <c r="G11" s="19">
        <v>300</v>
      </c>
      <c r="H11" s="19">
        <v>69</v>
      </c>
      <c r="I11" s="80">
        <v>6.71</v>
      </c>
      <c r="J11" s="80">
        <v>463.15</v>
      </c>
      <c r="K11" s="19" t="s">
        <v>184</v>
      </c>
      <c r="L11" s="19" t="s">
        <v>329</v>
      </c>
      <c r="M11" s="26"/>
      <c r="N11" s="26"/>
      <c r="O11" s="26"/>
      <c r="P11" s="26"/>
      <c r="Q11" s="42">
        <v>4</v>
      </c>
      <c r="R11" s="64" t="s">
        <v>432</v>
      </c>
      <c r="S11" s="26"/>
      <c r="T11" s="26" t="s">
        <v>307</v>
      </c>
      <c r="U11" s="26"/>
      <c r="V11" s="26" t="s">
        <v>178</v>
      </c>
      <c r="W11" s="26" t="s">
        <v>138</v>
      </c>
      <c r="X11" s="26"/>
      <c r="Y11" s="26"/>
      <c r="Z11" s="44" t="s">
        <v>330</v>
      </c>
      <c r="AA11" s="44" t="s">
        <v>180</v>
      </c>
    </row>
    <row r="12" spans="1:28" hidden="1" x14ac:dyDescent="0.25">
      <c r="A12" s="26">
        <v>2</v>
      </c>
      <c r="B12" s="19" t="s">
        <v>331</v>
      </c>
      <c r="C12" s="44" t="s">
        <v>172</v>
      </c>
      <c r="D12" s="19" t="s">
        <v>187</v>
      </c>
      <c r="E12" s="19">
        <v>12</v>
      </c>
      <c r="F12" s="19">
        <v>295</v>
      </c>
      <c r="G12" s="19">
        <v>300</v>
      </c>
      <c r="H12" s="19">
        <v>28</v>
      </c>
      <c r="I12" s="80">
        <v>7.01</v>
      </c>
      <c r="J12" s="80">
        <v>196.38</v>
      </c>
      <c r="K12" s="19" t="s">
        <v>184</v>
      </c>
      <c r="L12" s="19" t="s">
        <v>329</v>
      </c>
      <c r="M12" s="26"/>
      <c r="N12" s="26"/>
      <c r="O12" s="26"/>
      <c r="P12" s="26"/>
      <c r="Q12" s="42">
        <v>4</v>
      </c>
      <c r="R12" s="64" t="s">
        <v>432</v>
      </c>
      <c r="S12" s="26"/>
      <c r="T12" s="26" t="s">
        <v>307</v>
      </c>
      <c r="U12" s="26"/>
      <c r="V12" s="26" t="s">
        <v>178</v>
      </c>
      <c r="W12" s="26" t="s">
        <v>138</v>
      </c>
      <c r="X12" s="26"/>
      <c r="Y12" s="26"/>
      <c r="Z12" s="44" t="s">
        <v>330</v>
      </c>
      <c r="AA12" s="44" t="s">
        <v>180</v>
      </c>
    </row>
    <row r="13" spans="1:28" hidden="1" x14ac:dyDescent="0.25">
      <c r="A13" s="26">
        <v>3</v>
      </c>
      <c r="B13" s="19" t="s">
        <v>332</v>
      </c>
      <c r="C13" s="44" t="s">
        <v>172</v>
      </c>
      <c r="D13" s="19" t="s">
        <v>328</v>
      </c>
      <c r="E13" s="19">
        <v>12</v>
      </c>
      <c r="F13" s="19">
        <v>275</v>
      </c>
      <c r="G13" s="19">
        <v>300</v>
      </c>
      <c r="H13" s="19">
        <v>4</v>
      </c>
      <c r="I13" s="80">
        <v>6.71</v>
      </c>
      <c r="J13" s="80">
        <v>26.85</v>
      </c>
      <c r="K13" s="19" t="s">
        <v>184</v>
      </c>
      <c r="L13" s="19" t="s">
        <v>329</v>
      </c>
      <c r="M13" s="26"/>
      <c r="N13" s="26"/>
      <c r="O13" s="26"/>
      <c r="P13" s="26"/>
      <c r="Q13" s="42">
        <v>4</v>
      </c>
      <c r="R13" s="64" t="s">
        <v>432</v>
      </c>
      <c r="S13" s="26"/>
      <c r="T13" s="26" t="s">
        <v>307</v>
      </c>
      <c r="U13" s="26"/>
      <c r="V13" s="26" t="s">
        <v>178</v>
      </c>
      <c r="W13" s="26" t="s">
        <v>138</v>
      </c>
      <c r="X13" s="26"/>
      <c r="Y13" s="26"/>
      <c r="Z13" s="44" t="s">
        <v>330</v>
      </c>
      <c r="AA13" s="44" t="s">
        <v>180</v>
      </c>
    </row>
    <row r="14" spans="1:28" hidden="1" x14ac:dyDescent="0.25">
      <c r="A14" s="26">
        <v>4</v>
      </c>
      <c r="B14" s="19" t="s">
        <v>333</v>
      </c>
      <c r="C14" s="44" t="s">
        <v>172</v>
      </c>
      <c r="D14" s="19" t="s">
        <v>187</v>
      </c>
      <c r="E14" s="19">
        <v>12</v>
      </c>
      <c r="F14" s="19">
        <v>295</v>
      </c>
      <c r="G14" s="19">
        <v>300</v>
      </c>
      <c r="H14" s="19">
        <v>28</v>
      </c>
      <c r="I14" s="80">
        <v>7.01</v>
      </c>
      <c r="J14" s="80">
        <v>196.38</v>
      </c>
      <c r="K14" s="19" t="s">
        <v>184</v>
      </c>
      <c r="L14" s="19" t="s">
        <v>329</v>
      </c>
      <c r="M14" s="26"/>
      <c r="N14" s="26"/>
      <c r="O14" s="26"/>
      <c r="P14" s="26"/>
      <c r="Q14" s="42">
        <v>4</v>
      </c>
      <c r="R14" s="64" t="s">
        <v>432</v>
      </c>
      <c r="S14" s="26"/>
      <c r="T14" s="26" t="s">
        <v>307</v>
      </c>
      <c r="U14" s="26"/>
      <c r="V14" s="26" t="s">
        <v>178</v>
      </c>
      <c r="W14" s="26" t="s">
        <v>138</v>
      </c>
      <c r="X14" s="26"/>
      <c r="Y14" s="26"/>
      <c r="Z14" s="44" t="s">
        <v>330</v>
      </c>
      <c r="AA14" s="44" t="s">
        <v>180</v>
      </c>
    </row>
    <row r="15" spans="1:28" hidden="1" x14ac:dyDescent="0.25">
      <c r="A15" s="26">
        <v>5</v>
      </c>
      <c r="B15" s="19" t="s">
        <v>334</v>
      </c>
      <c r="C15" s="44" t="s">
        <v>172</v>
      </c>
      <c r="D15" s="19" t="s">
        <v>187</v>
      </c>
      <c r="E15" s="19">
        <v>12</v>
      </c>
      <c r="F15" s="19">
        <v>295</v>
      </c>
      <c r="G15" s="19">
        <v>300</v>
      </c>
      <c r="H15" s="19">
        <v>28</v>
      </c>
      <c r="I15" s="80">
        <v>7.01</v>
      </c>
      <c r="J15" s="80">
        <v>196.38</v>
      </c>
      <c r="K15" s="19" t="s">
        <v>184</v>
      </c>
      <c r="L15" s="19" t="s">
        <v>335</v>
      </c>
      <c r="M15" s="26"/>
      <c r="N15" s="26"/>
      <c r="O15" s="26"/>
      <c r="P15" s="26"/>
      <c r="Q15" s="42">
        <v>4</v>
      </c>
      <c r="R15" s="64" t="s">
        <v>432</v>
      </c>
      <c r="S15" s="26"/>
      <c r="T15" s="26" t="s">
        <v>307</v>
      </c>
      <c r="U15" s="26"/>
      <c r="V15" s="26" t="s">
        <v>178</v>
      </c>
      <c r="W15" s="26" t="s">
        <v>138</v>
      </c>
      <c r="X15" s="26"/>
      <c r="Y15" s="26"/>
      <c r="Z15" s="44" t="s">
        <v>330</v>
      </c>
      <c r="AA15" s="44" t="s">
        <v>180</v>
      </c>
    </row>
    <row r="16" spans="1:28" hidden="1" x14ac:dyDescent="0.25">
      <c r="A16" s="26">
        <v>6</v>
      </c>
      <c r="B16" s="19" t="s">
        <v>336</v>
      </c>
      <c r="C16" s="44" t="s">
        <v>172</v>
      </c>
      <c r="D16" s="19" t="s">
        <v>328</v>
      </c>
      <c r="E16" s="19">
        <v>12</v>
      </c>
      <c r="F16" s="19">
        <v>275</v>
      </c>
      <c r="G16" s="19">
        <v>300</v>
      </c>
      <c r="H16" s="19">
        <v>73</v>
      </c>
      <c r="I16" s="80">
        <v>6.71</v>
      </c>
      <c r="J16" s="80">
        <v>490</v>
      </c>
      <c r="K16" s="19" t="s">
        <v>184</v>
      </c>
      <c r="L16" s="19" t="s">
        <v>335</v>
      </c>
      <c r="M16" s="26"/>
      <c r="N16" s="26"/>
      <c r="O16" s="26"/>
      <c r="P16" s="26"/>
      <c r="Q16" s="42">
        <v>4</v>
      </c>
      <c r="R16" s="64" t="s">
        <v>432</v>
      </c>
      <c r="S16" s="26"/>
      <c r="T16" s="26" t="s">
        <v>307</v>
      </c>
      <c r="U16" s="26"/>
      <c r="V16" s="26" t="s">
        <v>178</v>
      </c>
      <c r="W16" s="26" t="s">
        <v>138</v>
      </c>
      <c r="X16" s="26"/>
      <c r="Y16" s="26"/>
      <c r="Z16" s="44" t="s">
        <v>330</v>
      </c>
      <c r="AA16" s="44" t="s">
        <v>180</v>
      </c>
    </row>
    <row r="17" spans="1:27" hidden="1" x14ac:dyDescent="0.25">
      <c r="A17" s="26">
        <v>7</v>
      </c>
      <c r="B17" s="19" t="s">
        <v>337</v>
      </c>
      <c r="C17" s="44" t="s">
        <v>172</v>
      </c>
      <c r="D17" s="19" t="s">
        <v>187</v>
      </c>
      <c r="E17" s="19">
        <v>12</v>
      </c>
      <c r="F17" s="19">
        <v>295</v>
      </c>
      <c r="G17" s="19">
        <v>300</v>
      </c>
      <c r="H17" s="19">
        <v>28</v>
      </c>
      <c r="I17" s="80">
        <v>7.01</v>
      </c>
      <c r="J17" s="80">
        <v>196.38</v>
      </c>
      <c r="K17" s="19" t="s">
        <v>184</v>
      </c>
      <c r="L17" s="19" t="s">
        <v>335</v>
      </c>
      <c r="M17" s="26"/>
      <c r="N17" s="26"/>
      <c r="O17" s="26"/>
      <c r="P17" s="26"/>
      <c r="Q17" s="42">
        <v>4</v>
      </c>
      <c r="R17" s="64" t="s">
        <v>432</v>
      </c>
      <c r="S17" s="26"/>
      <c r="T17" s="26" t="s">
        <v>307</v>
      </c>
      <c r="U17" s="26"/>
      <c r="V17" s="26" t="s">
        <v>178</v>
      </c>
      <c r="W17" s="26" t="s">
        <v>138</v>
      </c>
      <c r="X17" s="26"/>
      <c r="Y17" s="26"/>
      <c r="Z17" s="44" t="s">
        <v>330</v>
      </c>
      <c r="AA17" s="44" t="s">
        <v>180</v>
      </c>
    </row>
    <row r="18" spans="1:27" hidden="1" x14ac:dyDescent="0.25">
      <c r="A18" s="26">
        <v>8</v>
      </c>
      <c r="B18" s="19" t="s">
        <v>338</v>
      </c>
      <c r="C18" s="44" t="s">
        <v>172</v>
      </c>
      <c r="D18" s="19" t="s">
        <v>189</v>
      </c>
      <c r="E18" s="19">
        <v>12</v>
      </c>
      <c r="F18" s="19">
        <v>75</v>
      </c>
      <c r="G18" s="19">
        <v>75</v>
      </c>
      <c r="H18" s="19">
        <v>4</v>
      </c>
      <c r="I18" s="80">
        <v>0.53</v>
      </c>
      <c r="J18" s="80">
        <v>2.12</v>
      </c>
      <c r="K18" s="19" t="s">
        <v>184</v>
      </c>
      <c r="L18" s="19" t="s">
        <v>335</v>
      </c>
      <c r="M18" s="26"/>
      <c r="N18" s="26"/>
      <c r="O18" s="26"/>
      <c r="P18" s="26"/>
      <c r="Q18" s="42">
        <v>4</v>
      </c>
      <c r="R18" s="64" t="s">
        <v>432</v>
      </c>
      <c r="S18" s="26"/>
      <c r="T18" s="26" t="s">
        <v>307</v>
      </c>
      <c r="U18" s="26"/>
      <c r="V18" s="26" t="s">
        <v>178</v>
      </c>
      <c r="W18" s="26" t="s">
        <v>138</v>
      </c>
      <c r="X18" s="26"/>
      <c r="Y18" s="26"/>
      <c r="Z18" s="44" t="s">
        <v>330</v>
      </c>
      <c r="AA18" s="44" t="s">
        <v>180</v>
      </c>
    </row>
    <row r="19" spans="1:27" hidden="1" x14ac:dyDescent="0.25">
      <c r="A19" s="26">
        <v>9</v>
      </c>
      <c r="B19" s="19" t="s">
        <v>339</v>
      </c>
      <c r="C19" s="44" t="s">
        <v>172</v>
      </c>
      <c r="D19" s="19" t="s">
        <v>328</v>
      </c>
      <c r="E19" s="19">
        <v>12</v>
      </c>
      <c r="F19" s="19">
        <v>275</v>
      </c>
      <c r="G19" s="19">
        <v>300</v>
      </c>
      <c r="H19" s="19">
        <v>80</v>
      </c>
      <c r="I19" s="80">
        <v>6.71</v>
      </c>
      <c r="J19" s="80">
        <v>536.98</v>
      </c>
      <c r="K19" s="19" t="s">
        <v>184</v>
      </c>
      <c r="L19" s="19" t="s">
        <v>340</v>
      </c>
      <c r="M19" s="26"/>
      <c r="N19" s="26"/>
      <c r="O19" s="26"/>
      <c r="P19" s="26"/>
      <c r="Q19" s="42">
        <v>4</v>
      </c>
      <c r="R19" s="64" t="s">
        <v>432</v>
      </c>
      <c r="S19" s="26"/>
      <c r="T19" s="26" t="s">
        <v>307</v>
      </c>
      <c r="U19" s="26"/>
      <c r="V19" s="26" t="s">
        <v>178</v>
      </c>
      <c r="W19" s="26" t="s">
        <v>138</v>
      </c>
      <c r="X19" s="26"/>
      <c r="Y19" s="26"/>
      <c r="Z19" s="44" t="s">
        <v>330</v>
      </c>
      <c r="AA19" s="44" t="s">
        <v>180</v>
      </c>
    </row>
    <row r="20" spans="1:27" hidden="1" x14ac:dyDescent="0.25">
      <c r="A20" s="26">
        <v>10</v>
      </c>
      <c r="B20" s="19" t="s">
        <v>336</v>
      </c>
      <c r="C20" s="44" t="s">
        <v>172</v>
      </c>
      <c r="D20" s="19" t="s">
        <v>328</v>
      </c>
      <c r="E20" s="19">
        <v>12</v>
      </c>
      <c r="F20" s="19">
        <v>275</v>
      </c>
      <c r="G20" s="19">
        <v>300</v>
      </c>
      <c r="H20" s="19">
        <v>7</v>
      </c>
      <c r="I20" s="80">
        <v>6.71</v>
      </c>
      <c r="J20" s="80">
        <v>46.99</v>
      </c>
      <c r="K20" s="19" t="s">
        <v>184</v>
      </c>
      <c r="L20" s="19" t="s">
        <v>340</v>
      </c>
      <c r="M20" s="26"/>
      <c r="N20" s="26"/>
      <c r="O20" s="26"/>
      <c r="P20" s="26"/>
      <c r="Q20" s="42">
        <v>4</v>
      </c>
      <c r="R20" s="64" t="s">
        <v>432</v>
      </c>
      <c r="S20" s="26"/>
      <c r="T20" s="26" t="s">
        <v>307</v>
      </c>
      <c r="U20" s="26"/>
      <c r="V20" s="26" t="s">
        <v>178</v>
      </c>
      <c r="W20" s="26" t="s">
        <v>138</v>
      </c>
      <c r="X20" s="26"/>
      <c r="Y20" s="26"/>
      <c r="Z20" s="44" t="s">
        <v>330</v>
      </c>
      <c r="AA20" s="44" t="s">
        <v>180</v>
      </c>
    </row>
    <row r="21" spans="1:27" hidden="1" x14ac:dyDescent="0.25">
      <c r="A21" s="26">
        <v>11</v>
      </c>
      <c r="B21" s="19" t="s">
        <v>341</v>
      </c>
      <c r="C21" s="44" t="s">
        <v>172</v>
      </c>
      <c r="D21" s="19" t="s">
        <v>198</v>
      </c>
      <c r="E21" s="19">
        <v>20</v>
      </c>
      <c r="F21" s="19">
        <v>30</v>
      </c>
      <c r="G21" s="19">
        <v>30</v>
      </c>
      <c r="H21" s="19">
        <v>8</v>
      </c>
      <c r="I21" s="80">
        <v>0.13</v>
      </c>
      <c r="J21" s="80">
        <v>1.06</v>
      </c>
      <c r="K21" s="19" t="s">
        <v>195</v>
      </c>
      <c r="L21" s="19" t="s">
        <v>342</v>
      </c>
      <c r="M21" s="26"/>
      <c r="N21" s="26" t="s">
        <v>176</v>
      </c>
      <c r="O21" s="26"/>
      <c r="P21" s="26"/>
      <c r="Q21" s="42">
        <v>4</v>
      </c>
      <c r="R21" s="64" t="s">
        <v>432</v>
      </c>
      <c r="S21" s="26"/>
      <c r="T21" s="26" t="s">
        <v>307</v>
      </c>
      <c r="U21" s="26"/>
      <c r="V21" s="26" t="s">
        <v>178</v>
      </c>
      <c r="W21" s="26"/>
      <c r="X21" s="26" t="s">
        <v>138</v>
      </c>
      <c r="Y21" s="26"/>
      <c r="Z21" s="44" t="s">
        <v>330</v>
      </c>
      <c r="AA21" s="44" t="s">
        <v>180</v>
      </c>
    </row>
    <row r="22" spans="1:27" hidden="1" x14ac:dyDescent="0.25">
      <c r="A22" s="26">
        <v>12</v>
      </c>
      <c r="B22" s="19" t="s">
        <v>343</v>
      </c>
      <c r="C22" s="44" t="s">
        <v>172</v>
      </c>
      <c r="D22" s="19" t="s">
        <v>198</v>
      </c>
      <c r="E22" s="19">
        <v>20</v>
      </c>
      <c r="F22" s="19">
        <v>30</v>
      </c>
      <c r="G22" s="19">
        <v>30</v>
      </c>
      <c r="H22" s="19">
        <v>8</v>
      </c>
      <c r="I22" s="80">
        <v>0.13</v>
      </c>
      <c r="J22" s="80">
        <v>1.06</v>
      </c>
      <c r="K22" s="19" t="s">
        <v>195</v>
      </c>
      <c r="L22" s="19" t="s">
        <v>342</v>
      </c>
      <c r="M22" s="26"/>
      <c r="N22" s="26" t="s">
        <v>176</v>
      </c>
      <c r="O22" s="26"/>
      <c r="P22" s="26"/>
      <c r="Q22" s="42">
        <v>4</v>
      </c>
      <c r="R22" s="64" t="s">
        <v>432</v>
      </c>
      <c r="S22" s="26"/>
      <c r="T22" s="26" t="s">
        <v>307</v>
      </c>
      <c r="U22" s="26"/>
      <c r="V22" s="26" t="s">
        <v>178</v>
      </c>
      <c r="W22" s="26"/>
      <c r="X22" s="26" t="s">
        <v>138</v>
      </c>
      <c r="Y22" s="26"/>
      <c r="Z22" s="44" t="s">
        <v>330</v>
      </c>
      <c r="AA22" s="44" t="s">
        <v>180</v>
      </c>
    </row>
    <row r="23" spans="1:27" hidden="1" x14ac:dyDescent="0.25">
      <c r="A23" s="26">
        <v>13</v>
      </c>
      <c r="B23" s="19" t="s">
        <v>344</v>
      </c>
      <c r="C23" s="44" t="s">
        <v>172</v>
      </c>
      <c r="D23" s="19" t="s">
        <v>200</v>
      </c>
      <c r="E23" s="19">
        <v>20</v>
      </c>
      <c r="F23" s="19">
        <v>250</v>
      </c>
      <c r="G23" s="19">
        <v>2658</v>
      </c>
      <c r="H23" s="19">
        <v>1</v>
      </c>
      <c r="I23" s="80">
        <v>104.28</v>
      </c>
      <c r="J23" s="80">
        <v>104.28</v>
      </c>
      <c r="K23" s="19" t="s">
        <v>195</v>
      </c>
      <c r="L23" s="19" t="s">
        <v>342</v>
      </c>
      <c r="M23" s="26"/>
      <c r="N23" s="26"/>
      <c r="O23" s="26"/>
      <c r="P23" s="26"/>
      <c r="Q23" s="42">
        <v>4</v>
      </c>
      <c r="R23" s="64" t="s">
        <v>432</v>
      </c>
      <c r="S23" s="26"/>
      <c r="T23" s="26" t="s">
        <v>307</v>
      </c>
      <c r="U23" s="26"/>
      <c r="V23" s="26" t="s">
        <v>178</v>
      </c>
      <c r="W23" s="26" t="s">
        <v>138</v>
      </c>
      <c r="X23" s="26"/>
      <c r="Y23" s="26"/>
      <c r="Z23" s="44" t="s">
        <v>330</v>
      </c>
      <c r="AA23" s="44" t="s">
        <v>180</v>
      </c>
    </row>
    <row r="24" spans="1:27" hidden="1" x14ac:dyDescent="0.25">
      <c r="A24" s="26">
        <v>14</v>
      </c>
      <c r="B24" s="19" t="s">
        <v>345</v>
      </c>
      <c r="C24" s="44" t="s">
        <v>172</v>
      </c>
      <c r="D24" s="19" t="s">
        <v>202</v>
      </c>
      <c r="E24" s="19">
        <v>20</v>
      </c>
      <c r="F24" s="19">
        <v>250</v>
      </c>
      <c r="G24" s="19">
        <v>2638</v>
      </c>
      <c r="H24" s="19">
        <v>10</v>
      </c>
      <c r="I24" s="80">
        <v>103.5</v>
      </c>
      <c r="J24" s="80">
        <v>1034.96</v>
      </c>
      <c r="K24" s="19" t="s">
        <v>195</v>
      </c>
      <c r="L24" s="19" t="s">
        <v>342</v>
      </c>
      <c r="M24" s="26"/>
      <c r="N24" s="26"/>
      <c r="O24" s="26"/>
      <c r="P24" s="26"/>
      <c r="Q24" s="42">
        <v>4</v>
      </c>
      <c r="R24" s="64" t="s">
        <v>432</v>
      </c>
      <c r="S24" s="26"/>
      <c r="T24" s="26" t="s">
        <v>307</v>
      </c>
      <c r="U24" s="26"/>
      <c r="V24" s="26" t="s">
        <v>178</v>
      </c>
      <c r="W24" s="26" t="s">
        <v>138</v>
      </c>
      <c r="X24" s="26"/>
      <c r="Y24" s="26"/>
      <c r="Z24" s="44" t="s">
        <v>330</v>
      </c>
      <c r="AA24" s="44" t="s">
        <v>180</v>
      </c>
    </row>
    <row r="25" spans="1:27" hidden="1" x14ac:dyDescent="0.25">
      <c r="A25" s="26">
        <v>15</v>
      </c>
      <c r="B25" s="19" t="s">
        <v>346</v>
      </c>
      <c r="C25" s="44" t="s">
        <v>172</v>
      </c>
      <c r="D25" s="19" t="s">
        <v>204</v>
      </c>
      <c r="E25" s="19">
        <v>20</v>
      </c>
      <c r="F25" s="19">
        <v>250</v>
      </c>
      <c r="G25" s="19">
        <v>1218</v>
      </c>
      <c r="H25" s="19">
        <v>2</v>
      </c>
      <c r="I25" s="80">
        <v>47.76</v>
      </c>
      <c r="J25" s="80">
        <v>95.53</v>
      </c>
      <c r="K25" s="19" t="s">
        <v>195</v>
      </c>
      <c r="L25" s="19" t="s">
        <v>342</v>
      </c>
      <c r="M25" s="26"/>
      <c r="N25" s="26"/>
      <c r="O25" s="26"/>
      <c r="P25" s="26"/>
      <c r="Q25" s="42">
        <v>4</v>
      </c>
      <c r="R25" s="64" t="s">
        <v>432</v>
      </c>
      <c r="S25" s="26"/>
      <c r="T25" s="26" t="s">
        <v>307</v>
      </c>
      <c r="U25" s="26"/>
      <c r="V25" s="26" t="s">
        <v>178</v>
      </c>
      <c r="W25" s="26" t="s">
        <v>138</v>
      </c>
      <c r="X25" s="26"/>
      <c r="Y25" s="26"/>
      <c r="Z25" s="44" t="s">
        <v>330</v>
      </c>
      <c r="AA25" s="44" t="s">
        <v>180</v>
      </c>
    </row>
    <row r="26" spans="1:27" hidden="1" x14ac:dyDescent="0.25">
      <c r="A26" s="26">
        <v>16</v>
      </c>
      <c r="B26" s="19" t="s">
        <v>347</v>
      </c>
      <c r="C26" s="44" t="s">
        <v>172</v>
      </c>
      <c r="D26" s="19" t="s">
        <v>198</v>
      </c>
      <c r="E26" s="19">
        <v>20</v>
      </c>
      <c r="F26" s="19">
        <v>30</v>
      </c>
      <c r="G26" s="19">
        <v>30</v>
      </c>
      <c r="H26" s="19">
        <v>8</v>
      </c>
      <c r="I26" s="80">
        <v>0.13</v>
      </c>
      <c r="J26" s="80">
        <v>1.06</v>
      </c>
      <c r="K26" s="19" t="s">
        <v>195</v>
      </c>
      <c r="L26" s="19" t="s">
        <v>342</v>
      </c>
      <c r="M26" s="26"/>
      <c r="N26" s="26" t="s">
        <v>176</v>
      </c>
      <c r="O26" s="26"/>
      <c r="P26" s="26"/>
      <c r="Q26" s="42">
        <v>4</v>
      </c>
      <c r="R26" s="64" t="s">
        <v>432</v>
      </c>
      <c r="S26" s="26"/>
      <c r="T26" s="26" t="s">
        <v>307</v>
      </c>
      <c r="U26" s="26"/>
      <c r="V26" s="26" t="s">
        <v>178</v>
      </c>
      <c r="W26" s="26"/>
      <c r="X26" s="26" t="s">
        <v>138</v>
      </c>
      <c r="Y26" s="26"/>
      <c r="Z26" s="44" t="s">
        <v>330</v>
      </c>
      <c r="AA26" s="44" t="s">
        <v>180</v>
      </c>
    </row>
    <row r="27" spans="1:27" hidden="1" x14ac:dyDescent="0.25">
      <c r="A27" s="26">
        <v>17</v>
      </c>
      <c r="B27" s="19" t="s">
        <v>348</v>
      </c>
      <c r="C27" s="44" t="s">
        <v>172</v>
      </c>
      <c r="D27" s="19" t="s">
        <v>202</v>
      </c>
      <c r="E27" s="19">
        <v>20</v>
      </c>
      <c r="F27" s="19">
        <v>250</v>
      </c>
      <c r="G27" s="19">
        <v>2638</v>
      </c>
      <c r="H27" s="19">
        <v>1</v>
      </c>
      <c r="I27" s="80">
        <v>103.5</v>
      </c>
      <c r="J27" s="80">
        <v>103.5</v>
      </c>
      <c r="K27" s="19" t="s">
        <v>195</v>
      </c>
      <c r="L27" s="19" t="s">
        <v>342</v>
      </c>
      <c r="M27" s="26"/>
      <c r="N27" s="26"/>
      <c r="O27" s="26"/>
      <c r="P27" s="26"/>
      <c r="Q27" s="42">
        <v>4</v>
      </c>
      <c r="R27" s="64" t="s">
        <v>432</v>
      </c>
      <c r="S27" s="26"/>
      <c r="T27" s="26" t="s">
        <v>307</v>
      </c>
      <c r="U27" s="26"/>
      <c r="V27" s="26" t="s">
        <v>178</v>
      </c>
      <c r="W27" s="26" t="s">
        <v>138</v>
      </c>
      <c r="X27" s="26"/>
      <c r="Y27" s="26"/>
      <c r="Z27" s="44" t="s">
        <v>330</v>
      </c>
      <c r="AA27" s="44" t="s">
        <v>180</v>
      </c>
    </row>
    <row r="28" spans="1:27" hidden="1" x14ac:dyDescent="0.25">
      <c r="A28" s="26">
        <v>28</v>
      </c>
      <c r="B28" s="19" t="s">
        <v>360</v>
      </c>
      <c r="C28" s="44" t="s">
        <v>172</v>
      </c>
      <c r="D28" s="19" t="s">
        <v>243</v>
      </c>
      <c r="E28" s="19">
        <v>50</v>
      </c>
      <c r="F28" s="19">
        <v>1130</v>
      </c>
      <c r="G28" s="19">
        <v>1990</v>
      </c>
      <c r="H28" s="19">
        <v>2</v>
      </c>
      <c r="I28" s="80">
        <v>882.62</v>
      </c>
      <c r="J28" s="80">
        <v>1765.23</v>
      </c>
      <c r="K28" s="19" t="s">
        <v>244</v>
      </c>
      <c r="L28" s="19" t="s">
        <v>361</v>
      </c>
      <c r="M28" s="26"/>
      <c r="N28" s="26"/>
      <c r="O28" s="26"/>
      <c r="P28" s="26"/>
      <c r="Q28" s="42">
        <v>4</v>
      </c>
      <c r="R28" s="64" t="s">
        <v>432</v>
      </c>
      <c r="S28" s="26"/>
      <c r="T28" s="26" t="s">
        <v>307</v>
      </c>
      <c r="U28" s="26"/>
      <c r="V28" s="26" t="s">
        <v>178</v>
      </c>
      <c r="W28" s="26"/>
      <c r="X28" s="26" t="s">
        <v>138</v>
      </c>
      <c r="Y28" s="26"/>
      <c r="Z28" s="44" t="s">
        <v>330</v>
      </c>
      <c r="AA28" s="44" t="s">
        <v>180</v>
      </c>
    </row>
    <row r="29" spans="1:27" hidden="1" x14ac:dyDescent="0.25">
      <c r="A29" s="26">
        <v>29</v>
      </c>
      <c r="B29" s="19" t="s">
        <v>362</v>
      </c>
      <c r="C29" s="44" t="s">
        <v>172</v>
      </c>
      <c r="D29" s="19" t="s">
        <v>243</v>
      </c>
      <c r="E29" s="19">
        <v>50</v>
      </c>
      <c r="F29" s="19">
        <v>1130</v>
      </c>
      <c r="G29" s="19">
        <v>1990</v>
      </c>
      <c r="H29" s="19">
        <v>2</v>
      </c>
      <c r="I29" s="80">
        <v>882.62</v>
      </c>
      <c r="J29" s="80">
        <v>1765.23</v>
      </c>
      <c r="K29" s="19" t="s">
        <v>244</v>
      </c>
      <c r="L29" s="19" t="s">
        <v>361</v>
      </c>
      <c r="M29" s="26"/>
      <c r="N29" s="26"/>
      <c r="O29" s="26"/>
      <c r="P29" s="26"/>
      <c r="Q29" s="42">
        <v>4</v>
      </c>
      <c r="R29" s="64" t="s">
        <v>432</v>
      </c>
      <c r="S29" s="26"/>
      <c r="T29" s="26" t="s">
        <v>307</v>
      </c>
      <c r="U29" s="26"/>
      <c r="V29" s="26" t="s">
        <v>178</v>
      </c>
      <c r="W29" s="26"/>
      <c r="X29" s="26" t="s">
        <v>138</v>
      </c>
      <c r="Y29" s="26"/>
      <c r="Z29" s="44" t="s">
        <v>330</v>
      </c>
      <c r="AA29" s="44" t="s">
        <v>180</v>
      </c>
    </row>
    <row r="30" spans="1:27" hidden="1" x14ac:dyDescent="0.25">
      <c r="A30" s="26">
        <v>33</v>
      </c>
      <c r="B30" s="19" t="s">
        <v>370</v>
      </c>
      <c r="C30" s="44" t="s">
        <v>172</v>
      </c>
      <c r="D30" s="19" t="s">
        <v>248</v>
      </c>
      <c r="E30" s="19">
        <v>50</v>
      </c>
      <c r="F30" s="19">
        <v>1160</v>
      </c>
      <c r="G30" s="19">
        <v>1210</v>
      </c>
      <c r="H30" s="19">
        <v>4</v>
      </c>
      <c r="I30" s="80">
        <v>419.53</v>
      </c>
      <c r="J30" s="80">
        <v>1678.13</v>
      </c>
      <c r="K30" s="19" t="s">
        <v>249</v>
      </c>
      <c r="L30" s="19" t="s">
        <v>371</v>
      </c>
      <c r="M30" s="26"/>
      <c r="N30" s="26" t="s">
        <v>176</v>
      </c>
      <c r="O30" s="26"/>
      <c r="P30" s="26"/>
      <c r="Q30" s="42">
        <v>4</v>
      </c>
      <c r="R30" s="64" t="s">
        <v>432</v>
      </c>
      <c r="S30" s="26"/>
      <c r="T30" s="26" t="s">
        <v>307</v>
      </c>
      <c r="U30" s="26"/>
      <c r="V30" s="26" t="s">
        <v>178</v>
      </c>
      <c r="W30" s="26"/>
      <c r="X30" s="26" t="s">
        <v>138</v>
      </c>
      <c r="Y30" s="26"/>
      <c r="Z30" s="44" t="s">
        <v>330</v>
      </c>
      <c r="AA30" s="44" t="s">
        <v>180</v>
      </c>
    </row>
    <row r="31" spans="1:27" hidden="1" x14ac:dyDescent="0.25">
      <c r="A31" s="26">
        <v>34</v>
      </c>
      <c r="B31" s="19" t="s">
        <v>372</v>
      </c>
      <c r="C31" s="44" t="s">
        <v>172</v>
      </c>
      <c r="D31" s="19" t="s">
        <v>248</v>
      </c>
      <c r="E31" s="19">
        <v>50</v>
      </c>
      <c r="F31" s="19">
        <v>1160</v>
      </c>
      <c r="G31" s="19">
        <v>1210</v>
      </c>
      <c r="H31" s="19">
        <v>4</v>
      </c>
      <c r="I31" s="80">
        <v>419.53</v>
      </c>
      <c r="J31" s="80">
        <v>1678.13</v>
      </c>
      <c r="K31" s="19" t="s">
        <v>249</v>
      </c>
      <c r="L31" s="19" t="s">
        <v>371</v>
      </c>
      <c r="M31" s="26"/>
      <c r="N31" s="26" t="s">
        <v>176</v>
      </c>
      <c r="O31" s="26"/>
      <c r="P31" s="26"/>
      <c r="Q31" s="42">
        <v>4</v>
      </c>
      <c r="R31" s="64" t="s">
        <v>432</v>
      </c>
      <c r="S31" s="26"/>
      <c r="T31" s="26" t="s">
        <v>307</v>
      </c>
      <c r="U31" s="26"/>
      <c r="V31" s="26" t="s">
        <v>178</v>
      </c>
      <c r="W31" s="26"/>
      <c r="X31" s="26" t="s">
        <v>138</v>
      </c>
      <c r="Y31" s="26"/>
      <c r="Z31" s="44" t="s">
        <v>330</v>
      </c>
      <c r="AA31" s="44" t="s">
        <v>180</v>
      </c>
    </row>
    <row r="32" spans="1:27" hidden="1" x14ac:dyDescent="0.25">
      <c r="A32" s="26">
        <v>35</v>
      </c>
      <c r="B32" s="19" t="s">
        <v>368</v>
      </c>
      <c r="C32" s="44" t="s">
        <v>172</v>
      </c>
      <c r="D32" s="19" t="s">
        <v>369</v>
      </c>
      <c r="E32" s="19">
        <v>50</v>
      </c>
      <c r="F32" s="19">
        <v>150</v>
      </c>
      <c r="G32" s="19">
        <v>400</v>
      </c>
      <c r="H32" s="19">
        <v>10</v>
      </c>
      <c r="I32" s="80">
        <v>23.55</v>
      </c>
      <c r="J32" s="80">
        <v>235.5</v>
      </c>
      <c r="K32" s="19" t="s">
        <v>249</v>
      </c>
      <c r="L32" s="19" t="s">
        <v>371</v>
      </c>
      <c r="M32" s="26"/>
      <c r="N32" s="26"/>
      <c r="O32" s="26"/>
      <c r="P32" s="26"/>
      <c r="Q32" s="42">
        <v>4</v>
      </c>
      <c r="R32" s="64" t="s">
        <v>432</v>
      </c>
      <c r="S32" s="26"/>
      <c r="T32" s="26" t="s">
        <v>307</v>
      </c>
      <c r="U32" s="26"/>
      <c r="V32" s="26" t="s">
        <v>178</v>
      </c>
      <c r="W32" s="26"/>
      <c r="X32" s="26"/>
      <c r="Y32" s="26"/>
      <c r="Z32" s="44" t="s">
        <v>330</v>
      </c>
      <c r="AA32" s="44" t="s">
        <v>180</v>
      </c>
    </row>
    <row r="33" spans="1:27" hidden="1" x14ac:dyDescent="0.25">
      <c r="A33" s="26">
        <v>36</v>
      </c>
      <c r="B33" s="19" t="s">
        <v>373</v>
      </c>
      <c r="C33" s="44" t="s">
        <v>172</v>
      </c>
      <c r="D33" s="19" t="s">
        <v>253</v>
      </c>
      <c r="E33" s="19">
        <v>50</v>
      </c>
      <c r="F33" s="19">
        <v>964</v>
      </c>
      <c r="G33" s="19">
        <v>2638</v>
      </c>
      <c r="H33" s="19">
        <v>4</v>
      </c>
      <c r="I33" s="80">
        <v>712.82</v>
      </c>
      <c r="J33" s="80">
        <v>2851.27</v>
      </c>
      <c r="K33" s="19" t="s">
        <v>254</v>
      </c>
      <c r="L33" s="19" t="s">
        <v>374</v>
      </c>
      <c r="M33" s="26"/>
      <c r="N33" s="26" t="s">
        <v>176</v>
      </c>
      <c r="O33" s="26"/>
      <c r="P33" s="26"/>
      <c r="Q33" s="42">
        <v>4</v>
      </c>
      <c r="R33" s="64" t="s">
        <v>432</v>
      </c>
      <c r="S33" s="26"/>
      <c r="T33" s="26" t="s">
        <v>307</v>
      </c>
      <c r="U33" s="26"/>
      <c r="V33" s="26" t="s">
        <v>178</v>
      </c>
      <c r="W33" s="26"/>
      <c r="X33" s="26" t="s">
        <v>138</v>
      </c>
      <c r="Y33" s="26"/>
      <c r="Z33" s="44" t="s">
        <v>330</v>
      </c>
      <c r="AA33" s="44" t="s">
        <v>180</v>
      </c>
    </row>
    <row r="34" spans="1:27" hidden="1" x14ac:dyDescent="0.25">
      <c r="A34" s="26">
        <v>37</v>
      </c>
      <c r="B34" s="19" t="s">
        <v>375</v>
      </c>
      <c r="C34" s="44" t="s">
        <v>172</v>
      </c>
      <c r="D34" s="19" t="s">
        <v>253</v>
      </c>
      <c r="E34" s="19">
        <v>50</v>
      </c>
      <c r="F34" s="19">
        <v>964</v>
      </c>
      <c r="G34" s="19">
        <v>2638</v>
      </c>
      <c r="H34" s="19">
        <v>3</v>
      </c>
      <c r="I34" s="80">
        <v>712.82</v>
      </c>
      <c r="J34" s="80">
        <v>2138.4499999999998</v>
      </c>
      <c r="K34" s="19" t="s">
        <v>254</v>
      </c>
      <c r="L34" s="19" t="s">
        <v>374</v>
      </c>
      <c r="N34" s="19" t="s">
        <v>176</v>
      </c>
      <c r="Q34" s="20">
        <v>4</v>
      </c>
      <c r="R34" s="65" t="s">
        <v>432</v>
      </c>
      <c r="T34" s="19" t="s">
        <v>307</v>
      </c>
      <c r="V34" s="19" t="s">
        <v>178</v>
      </c>
      <c r="X34" s="19" t="s">
        <v>138</v>
      </c>
      <c r="Z34" s="44" t="s">
        <v>330</v>
      </c>
      <c r="AA34" s="44" t="s">
        <v>180</v>
      </c>
    </row>
    <row r="35" spans="1:27" hidden="1" x14ac:dyDescent="0.25">
      <c r="A35" s="26">
        <v>1</v>
      </c>
      <c r="B35" s="19" t="s">
        <v>377</v>
      </c>
      <c r="C35" s="44" t="s">
        <v>378</v>
      </c>
      <c r="D35" s="19" t="s">
        <v>379</v>
      </c>
      <c r="E35" s="19">
        <v>10</v>
      </c>
      <c r="F35" s="19">
        <v>150</v>
      </c>
      <c r="G35" s="19">
        <v>400</v>
      </c>
      <c r="H35" s="19">
        <v>6</v>
      </c>
      <c r="I35" s="80">
        <v>4.7</v>
      </c>
      <c r="J35" s="80">
        <v>28.17</v>
      </c>
      <c r="K35" s="19" t="s">
        <v>380</v>
      </c>
      <c r="L35" s="19" t="s">
        <v>381</v>
      </c>
      <c r="Q35" s="20">
        <v>5</v>
      </c>
      <c r="R35" s="65" t="s">
        <v>382</v>
      </c>
      <c r="T35" s="19" t="s">
        <v>307</v>
      </c>
      <c r="V35" s="19" t="s">
        <v>178</v>
      </c>
      <c r="W35" s="19" t="s">
        <v>138</v>
      </c>
      <c r="Z35" s="44" t="s">
        <v>383</v>
      </c>
      <c r="AA35" s="44" t="s">
        <v>384</v>
      </c>
    </row>
    <row r="36" spans="1:27" hidden="1" x14ac:dyDescent="0.25">
      <c r="A36" s="26">
        <v>2</v>
      </c>
      <c r="B36" s="19" t="s">
        <v>385</v>
      </c>
      <c r="C36" s="44" t="s">
        <v>115</v>
      </c>
      <c r="D36" s="19" t="s">
        <v>386</v>
      </c>
      <c r="E36" s="19">
        <v>20</v>
      </c>
      <c r="F36" s="19">
        <v>50</v>
      </c>
      <c r="G36" s="19">
        <v>300</v>
      </c>
      <c r="H36" s="19">
        <v>10</v>
      </c>
      <c r="I36" s="80">
        <v>2.16</v>
      </c>
      <c r="J36" s="80">
        <v>21.56</v>
      </c>
      <c r="K36" s="19" t="s">
        <v>387</v>
      </c>
      <c r="L36" s="19" t="s">
        <v>388</v>
      </c>
      <c r="Q36" s="20">
        <v>5</v>
      </c>
      <c r="R36" s="65" t="s">
        <v>382</v>
      </c>
      <c r="T36" s="19" t="s">
        <v>307</v>
      </c>
      <c r="V36" s="19" t="s">
        <v>178</v>
      </c>
      <c r="W36" s="19" t="s">
        <v>138</v>
      </c>
      <c r="Z36" s="44" t="s">
        <v>383</v>
      </c>
      <c r="AA36" s="44" t="s">
        <v>122</v>
      </c>
    </row>
    <row r="37" spans="1:27" hidden="1" x14ac:dyDescent="0.25">
      <c r="A37" s="26">
        <v>3</v>
      </c>
      <c r="B37" s="19" t="s">
        <v>389</v>
      </c>
      <c r="C37" s="44" t="s">
        <v>115</v>
      </c>
      <c r="D37" s="19" t="s">
        <v>390</v>
      </c>
      <c r="E37" s="19">
        <v>20</v>
      </c>
      <c r="F37" s="19">
        <v>50</v>
      </c>
      <c r="G37" s="19">
        <v>50</v>
      </c>
      <c r="H37" s="19">
        <v>20</v>
      </c>
      <c r="I37" s="80">
        <v>0.39</v>
      </c>
      <c r="J37" s="80">
        <v>7.85</v>
      </c>
      <c r="K37" s="19" t="s">
        <v>387</v>
      </c>
      <c r="L37" s="19" t="s">
        <v>388</v>
      </c>
      <c r="Q37" s="20">
        <v>5</v>
      </c>
      <c r="R37" s="65" t="s">
        <v>382</v>
      </c>
      <c r="T37" s="19" t="s">
        <v>307</v>
      </c>
      <c r="V37" s="19" t="s">
        <v>178</v>
      </c>
      <c r="W37" s="19" t="s">
        <v>138</v>
      </c>
      <c r="Z37" s="44" t="s">
        <v>383</v>
      </c>
      <c r="AA37" s="44" t="s">
        <v>122</v>
      </c>
    </row>
    <row r="38" spans="1:27" hidden="1" x14ac:dyDescent="0.25">
      <c r="A38" s="26">
        <v>4</v>
      </c>
      <c r="B38" s="19" t="s">
        <v>391</v>
      </c>
      <c r="C38" s="44" t="s">
        <v>115</v>
      </c>
      <c r="D38" s="19" t="s">
        <v>386</v>
      </c>
      <c r="E38" s="19">
        <v>20</v>
      </c>
      <c r="F38" s="19">
        <v>50</v>
      </c>
      <c r="G38" s="19">
        <v>300</v>
      </c>
      <c r="H38" s="19">
        <v>45</v>
      </c>
      <c r="I38" s="80">
        <v>2.16</v>
      </c>
      <c r="J38" s="80">
        <v>97.02</v>
      </c>
      <c r="K38" s="19" t="s">
        <v>387</v>
      </c>
      <c r="L38" s="19" t="s">
        <v>388</v>
      </c>
      <c r="Q38" s="20">
        <v>5</v>
      </c>
      <c r="R38" s="65" t="s">
        <v>382</v>
      </c>
      <c r="T38" s="19" t="s">
        <v>307</v>
      </c>
      <c r="V38" s="19" t="s">
        <v>178</v>
      </c>
      <c r="W38" s="19" t="s">
        <v>138</v>
      </c>
      <c r="Z38" s="44" t="s">
        <v>383</v>
      </c>
      <c r="AA38" s="44" t="s">
        <v>122</v>
      </c>
    </row>
    <row r="39" spans="1:27" hidden="1" x14ac:dyDescent="0.25">
      <c r="A39" s="26">
        <v>5</v>
      </c>
      <c r="B39" s="19" t="s">
        <v>392</v>
      </c>
      <c r="C39" s="44" t="s">
        <v>115</v>
      </c>
      <c r="D39" s="19" t="s">
        <v>390</v>
      </c>
      <c r="E39" s="19">
        <v>20</v>
      </c>
      <c r="F39" s="19">
        <v>50</v>
      </c>
      <c r="G39" s="19">
        <v>50</v>
      </c>
      <c r="H39" s="19">
        <v>40</v>
      </c>
      <c r="I39" s="80">
        <v>0.39</v>
      </c>
      <c r="J39" s="80">
        <v>15.7</v>
      </c>
      <c r="K39" s="19" t="s">
        <v>387</v>
      </c>
      <c r="L39" s="19" t="s">
        <v>388</v>
      </c>
      <c r="Q39" s="20">
        <v>5</v>
      </c>
      <c r="R39" s="65" t="s">
        <v>382</v>
      </c>
      <c r="T39" s="19" t="s">
        <v>307</v>
      </c>
      <c r="V39" s="19" t="s">
        <v>178</v>
      </c>
      <c r="W39" s="19" t="s">
        <v>138</v>
      </c>
      <c r="Z39" s="44" t="s">
        <v>383</v>
      </c>
      <c r="AA39" s="44" t="s">
        <v>122</v>
      </c>
    </row>
    <row r="40" spans="1:27" hidden="1" x14ac:dyDescent="0.25">
      <c r="A40" s="26">
        <v>7</v>
      </c>
      <c r="B40" s="19" t="s">
        <v>396</v>
      </c>
      <c r="C40" s="44" t="s">
        <v>273</v>
      </c>
      <c r="D40" s="19" t="s">
        <v>397</v>
      </c>
      <c r="E40" s="19">
        <v>32</v>
      </c>
      <c r="F40" s="19">
        <v>150</v>
      </c>
      <c r="G40" s="19">
        <v>400</v>
      </c>
      <c r="H40" s="19">
        <v>8</v>
      </c>
      <c r="I40" s="80">
        <v>15.07</v>
      </c>
      <c r="J40" s="80">
        <v>120.58</v>
      </c>
      <c r="K40" s="19" t="s">
        <v>398</v>
      </c>
      <c r="L40" s="19" t="s">
        <v>399</v>
      </c>
      <c r="P40" s="19" t="s">
        <v>138</v>
      </c>
      <c r="Q40" s="20">
        <v>5</v>
      </c>
      <c r="R40" s="65" t="s">
        <v>382</v>
      </c>
      <c r="T40" s="19" t="s">
        <v>307</v>
      </c>
      <c r="V40" s="19" t="s">
        <v>178</v>
      </c>
      <c r="W40" s="19" t="s">
        <v>138</v>
      </c>
      <c r="Z40" s="44" t="s">
        <v>383</v>
      </c>
      <c r="AA40" s="44" t="s">
        <v>180</v>
      </c>
    </row>
    <row r="41" spans="1:27" hidden="1" x14ac:dyDescent="0.25">
      <c r="A41" s="26">
        <v>8</v>
      </c>
      <c r="B41" s="19" t="s">
        <v>400</v>
      </c>
      <c r="C41" s="44" t="s">
        <v>273</v>
      </c>
      <c r="D41" s="19" t="s">
        <v>401</v>
      </c>
      <c r="E41" s="19">
        <v>32</v>
      </c>
      <c r="F41" s="19">
        <v>300</v>
      </c>
      <c r="G41" s="19">
        <v>350</v>
      </c>
      <c r="H41" s="19">
        <v>8</v>
      </c>
      <c r="I41" s="80">
        <v>26.38</v>
      </c>
      <c r="J41" s="80">
        <v>211.01</v>
      </c>
      <c r="K41" s="19" t="s">
        <v>398</v>
      </c>
      <c r="L41" s="19" t="s">
        <v>399</v>
      </c>
      <c r="Q41" s="20">
        <v>5</v>
      </c>
      <c r="R41" s="65" t="s">
        <v>382</v>
      </c>
      <c r="T41" s="19" t="s">
        <v>307</v>
      </c>
      <c r="V41" s="19" t="s">
        <v>178</v>
      </c>
      <c r="W41" s="19" t="s">
        <v>138</v>
      </c>
      <c r="Z41" s="44" t="s">
        <v>383</v>
      </c>
      <c r="AA41" s="44" t="s">
        <v>180</v>
      </c>
    </row>
    <row r="42" spans="1:27" hidden="1" x14ac:dyDescent="0.25">
      <c r="A42" s="26">
        <v>1</v>
      </c>
      <c r="B42" s="19" t="s">
        <v>407</v>
      </c>
      <c r="C42" s="44" t="s">
        <v>273</v>
      </c>
      <c r="D42" s="19" t="s">
        <v>328</v>
      </c>
      <c r="E42" s="19">
        <v>12</v>
      </c>
      <c r="F42" s="19">
        <v>275</v>
      </c>
      <c r="G42" s="19">
        <v>300</v>
      </c>
      <c r="H42" s="19">
        <v>72</v>
      </c>
      <c r="I42" s="80">
        <v>6.71</v>
      </c>
      <c r="J42" s="80">
        <v>483.28</v>
      </c>
      <c r="K42" s="19" t="s">
        <v>184</v>
      </c>
      <c r="L42" s="19" t="s">
        <v>408</v>
      </c>
      <c r="Q42" s="20">
        <v>6</v>
      </c>
      <c r="R42" s="65" t="s">
        <v>382</v>
      </c>
      <c r="T42" s="19" t="s">
        <v>307</v>
      </c>
      <c r="V42" s="19" t="s">
        <v>178</v>
      </c>
      <c r="W42" s="19" t="s">
        <v>138</v>
      </c>
      <c r="Z42" s="44" t="s">
        <v>409</v>
      </c>
      <c r="AA42" s="44" t="s">
        <v>180</v>
      </c>
    </row>
    <row r="43" spans="1:27" hidden="1" x14ac:dyDescent="0.25">
      <c r="A43" s="26">
        <v>2</v>
      </c>
      <c r="B43" s="19" t="s">
        <v>410</v>
      </c>
      <c r="C43" s="44" t="s">
        <v>273</v>
      </c>
      <c r="D43" s="19" t="s">
        <v>187</v>
      </c>
      <c r="E43" s="19">
        <v>12</v>
      </c>
      <c r="F43" s="19">
        <v>295</v>
      </c>
      <c r="G43" s="19">
        <v>300</v>
      </c>
      <c r="H43" s="19">
        <v>28</v>
      </c>
      <c r="I43" s="80">
        <v>7.01</v>
      </c>
      <c r="J43" s="80">
        <v>196.38</v>
      </c>
      <c r="K43" s="19" t="s">
        <v>184</v>
      </c>
      <c r="L43" s="19" t="s">
        <v>408</v>
      </c>
      <c r="Q43" s="20">
        <v>6</v>
      </c>
      <c r="R43" s="65" t="s">
        <v>382</v>
      </c>
      <c r="T43" s="19" t="s">
        <v>307</v>
      </c>
      <c r="V43" s="19" t="s">
        <v>178</v>
      </c>
      <c r="W43" s="19" t="s">
        <v>138</v>
      </c>
      <c r="Z43" s="44" t="s">
        <v>409</v>
      </c>
      <c r="AA43" s="44" t="s">
        <v>180</v>
      </c>
    </row>
    <row r="44" spans="1:27" hidden="1" x14ac:dyDescent="0.25">
      <c r="A44" s="26">
        <v>3</v>
      </c>
      <c r="B44" s="19" t="s">
        <v>411</v>
      </c>
      <c r="C44" s="44" t="s">
        <v>273</v>
      </c>
      <c r="D44" s="19" t="s">
        <v>189</v>
      </c>
      <c r="E44" s="19">
        <v>12</v>
      </c>
      <c r="F44" s="19">
        <v>75</v>
      </c>
      <c r="G44" s="19">
        <v>75</v>
      </c>
      <c r="H44" s="19">
        <v>4</v>
      </c>
      <c r="I44" s="80">
        <v>0.53</v>
      </c>
      <c r="J44" s="80">
        <v>2.12</v>
      </c>
      <c r="K44" s="19" t="s">
        <v>184</v>
      </c>
      <c r="L44" s="19" t="s">
        <v>408</v>
      </c>
      <c r="Q44" s="20">
        <v>6</v>
      </c>
      <c r="R44" s="65" t="s">
        <v>382</v>
      </c>
      <c r="T44" s="19" t="s">
        <v>307</v>
      </c>
      <c r="V44" s="19" t="s">
        <v>178</v>
      </c>
      <c r="W44" s="19" t="s">
        <v>138</v>
      </c>
      <c r="Z44" s="44" t="s">
        <v>409</v>
      </c>
      <c r="AA44" s="44" t="s">
        <v>180</v>
      </c>
    </row>
    <row r="45" spans="1:27" hidden="1" x14ac:dyDescent="0.25">
      <c r="A45" s="26">
        <v>4</v>
      </c>
      <c r="B45" s="19" t="s">
        <v>412</v>
      </c>
      <c r="C45" s="44" t="s">
        <v>273</v>
      </c>
      <c r="D45" s="19" t="s">
        <v>328</v>
      </c>
      <c r="E45" s="19">
        <v>12</v>
      </c>
      <c r="F45" s="19">
        <v>275</v>
      </c>
      <c r="G45" s="19">
        <v>300</v>
      </c>
      <c r="H45" s="19">
        <v>1</v>
      </c>
      <c r="I45" s="80">
        <v>6.71</v>
      </c>
      <c r="J45" s="80">
        <v>6.71</v>
      </c>
      <c r="K45" s="19" t="s">
        <v>184</v>
      </c>
      <c r="L45" s="19" t="s">
        <v>408</v>
      </c>
      <c r="Q45" s="20">
        <v>6</v>
      </c>
      <c r="R45" s="65" t="s">
        <v>382</v>
      </c>
      <c r="T45" s="19" t="s">
        <v>307</v>
      </c>
      <c r="V45" s="19" t="s">
        <v>178</v>
      </c>
      <c r="W45" s="19" t="s">
        <v>138</v>
      </c>
      <c r="Z45" s="44" t="s">
        <v>409</v>
      </c>
      <c r="AA45" s="44" t="s">
        <v>180</v>
      </c>
    </row>
    <row r="46" spans="1:27" hidden="1" x14ac:dyDescent="0.25">
      <c r="A46" s="26">
        <v>5</v>
      </c>
      <c r="B46" s="19" t="s">
        <v>413</v>
      </c>
      <c r="C46" s="44" t="s">
        <v>273</v>
      </c>
      <c r="D46" s="19" t="s">
        <v>187</v>
      </c>
      <c r="E46" s="19">
        <v>12</v>
      </c>
      <c r="F46" s="19">
        <v>295</v>
      </c>
      <c r="G46" s="19">
        <v>300</v>
      </c>
      <c r="H46" s="19">
        <v>28</v>
      </c>
      <c r="I46" s="80">
        <v>7.01</v>
      </c>
      <c r="J46" s="80">
        <v>196.38</v>
      </c>
      <c r="K46" s="19" t="s">
        <v>184</v>
      </c>
      <c r="L46" s="19" t="s">
        <v>408</v>
      </c>
      <c r="Q46" s="20">
        <v>6</v>
      </c>
      <c r="R46" s="65" t="s">
        <v>382</v>
      </c>
      <c r="T46" s="19" t="s">
        <v>307</v>
      </c>
      <c r="V46" s="19" t="s">
        <v>178</v>
      </c>
      <c r="W46" s="19" t="s">
        <v>138</v>
      </c>
      <c r="Z46" s="44" t="s">
        <v>409</v>
      </c>
      <c r="AA46" s="44" t="s">
        <v>180</v>
      </c>
    </row>
    <row r="47" spans="1:27" hidden="1" x14ac:dyDescent="0.25">
      <c r="A47" s="26">
        <v>6</v>
      </c>
      <c r="B47" s="19" t="s">
        <v>407</v>
      </c>
      <c r="C47" s="44" t="s">
        <v>273</v>
      </c>
      <c r="D47" s="19" t="s">
        <v>328</v>
      </c>
      <c r="E47" s="19">
        <v>12</v>
      </c>
      <c r="F47" s="19">
        <v>275</v>
      </c>
      <c r="G47" s="19">
        <v>300</v>
      </c>
      <c r="H47" s="19">
        <v>8</v>
      </c>
      <c r="I47" s="80">
        <v>6.71</v>
      </c>
      <c r="J47" s="80">
        <v>53.7</v>
      </c>
      <c r="K47" s="19" t="s">
        <v>184</v>
      </c>
      <c r="L47" s="19" t="s">
        <v>414</v>
      </c>
      <c r="Q47" s="20">
        <v>6</v>
      </c>
      <c r="R47" s="65" t="s">
        <v>382</v>
      </c>
      <c r="T47" s="19" t="s">
        <v>307</v>
      </c>
      <c r="V47" s="19" t="s">
        <v>178</v>
      </c>
      <c r="W47" s="19" t="s">
        <v>138</v>
      </c>
      <c r="Z47" s="44" t="s">
        <v>409</v>
      </c>
      <c r="AA47" s="44" t="s">
        <v>180</v>
      </c>
    </row>
    <row r="48" spans="1:27" hidden="1" x14ac:dyDescent="0.25">
      <c r="A48" s="26">
        <v>7</v>
      </c>
      <c r="B48" s="19" t="s">
        <v>412</v>
      </c>
      <c r="C48" s="44" t="s">
        <v>273</v>
      </c>
      <c r="D48" s="19" t="s">
        <v>328</v>
      </c>
      <c r="E48" s="19">
        <v>12</v>
      </c>
      <c r="F48" s="19">
        <v>275</v>
      </c>
      <c r="G48" s="19">
        <v>300</v>
      </c>
      <c r="H48" s="19">
        <v>79</v>
      </c>
      <c r="I48" s="80">
        <v>6.71</v>
      </c>
      <c r="J48" s="80">
        <v>530.27</v>
      </c>
      <c r="K48" s="19" t="s">
        <v>184</v>
      </c>
      <c r="L48" s="19" t="s">
        <v>414</v>
      </c>
      <c r="Q48" s="20">
        <v>6</v>
      </c>
      <c r="R48" s="65" t="s">
        <v>382</v>
      </c>
      <c r="T48" s="19" t="s">
        <v>307</v>
      </c>
      <c r="V48" s="19" t="s">
        <v>178</v>
      </c>
      <c r="W48" s="19" t="s">
        <v>138</v>
      </c>
      <c r="Z48" s="44" t="s">
        <v>409</v>
      </c>
      <c r="AA48" s="44" t="s">
        <v>180</v>
      </c>
    </row>
    <row r="49" spans="1:27" hidden="1" x14ac:dyDescent="0.25">
      <c r="A49" s="26">
        <v>11</v>
      </c>
      <c r="B49" s="19" t="s">
        <v>419</v>
      </c>
      <c r="C49" s="44" t="s">
        <v>273</v>
      </c>
      <c r="D49" s="19" t="s">
        <v>420</v>
      </c>
      <c r="E49" s="19">
        <v>40</v>
      </c>
      <c r="F49" s="19">
        <v>834</v>
      </c>
      <c r="G49" s="19">
        <v>2658</v>
      </c>
      <c r="H49" s="19">
        <v>2</v>
      </c>
      <c r="I49" s="80">
        <v>497.4</v>
      </c>
      <c r="J49" s="80">
        <v>994.79</v>
      </c>
      <c r="K49" s="19" t="s">
        <v>240</v>
      </c>
      <c r="L49" s="19" t="s">
        <v>421</v>
      </c>
      <c r="N49" s="19" t="s">
        <v>176</v>
      </c>
      <c r="Q49" s="20">
        <v>6</v>
      </c>
      <c r="R49" s="65" t="s">
        <v>382</v>
      </c>
      <c r="T49" s="19" t="s">
        <v>307</v>
      </c>
      <c r="V49" s="19" t="s">
        <v>178</v>
      </c>
      <c r="X49" s="19" t="s">
        <v>138</v>
      </c>
      <c r="Z49" s="44" t="s">
        <v>409</v>
      </c>
      <c r="AA49" s="44" t="s">
        <v>180</v>
      </c>
    </row>
    <row r="50" spans="1:27" hidden="1" x14ac:dyDescent="0.25">
      <c r="A50" s="26">
        <v>12</v>
      </c>
      <c r="B50" s="19" t="s">
        <v>422</v>
      </c>
      <c r="C50" s="44" t="s">
        <v>273</v>
      </c>
      <c r="D50" s="19" t="s">
        <v>253</v>
      </c>
      <c r="E50" s="19">
        <v>50</v>
      </c>
      <c r="F50" s="19">
        <v>964</v>
      </c>
      <c r="G50" s="19">
        <v>2638</v>
      </c>
      <c r="H50" s="19">
        <v>4</v>
      </c>
      <c r="I50" s="80">
        <v>712.82</v>
      </c>
      <c r="J50" s="80">
        <v>2851.27</v>
      </c>
      <c r="K50" s="19" t="s">
        <v>423</v>
      </c>
      <c r="L50" s="19" t="s">
        <v>424</v>
      </c>
      <c r="N50" s="19" t="s">
        <v>176</v>
      </c>
      <c r="Q50" s="20">
        <v>6</v>
      </c>
      <c r="R50" s="65" t="s">
        <v>382</v>
      </c>
      <c r="T50" s="19" t="s">
        <v>307</v>
      </c>
      <c r="V50" s="19" t="s">
        <v>178</v>
      </c>
      <c r="X50" s="19" t="s">
        <v>138</v>
      </c>
      <c r="Z50" s="44" t="s">
        <v>409</v>
      </c>
      <c r="AA50" s="44" t="s">
        <v>374</v>
      </c>
    </row>
    <row r="51" spans="1:27" hidden="1" x14ac:dyDescent="0.25">
      <c r="A51" s="26">
        <v>13</v>
      </c>
      <c r="B51" s="19" t="s">
        <v>425</v>
      </c>
      <c r="C51" s="44" t="s">
        <v>426</v>
      </c>
      <c r="D51" s="19" t="s">
        <v>427</v>
      </c>
      <c r="E51" s="19">
        <v>60</v>
      </c>
      <c r="F51" s="19">
        <v>1080</v>
      </c>
      <c r="G51" s="19">
        <v>2260</v>
      </c>
      <c r="H51" s="19">
        <v>2</v>
      </c>
      <c r="I51" s="80">
        <v>1149.42</v>
      </c>
      <c r="J51" s="80">
        <v>2298.83</v>
      </c>
      <c r="K51" s="19" t="s">
        <v>265</v>
      </c>
      <c r="L51" s="19" t="s">
        <v>428</v>
      </c>
      <c r="P51" s="19" t="s">
        <v>138</v>
      </c>
      <c r="Q51" s="20">
        <v>6</v>
      </c>
      <c r="R51" s="65" t="s">
        <v>382</v>
      </c>
      <c r="T51" s="19" t="s">
        <v>307</v>
      </c>
      <c r="V51" s="19" t="s">
        <v>178</v>
      </c>
      <c r="Y51" s="19" t="s">
        <v>138</v>
      </c>
      <c r="Z51" s="44" t="s">
        <v>409</v>
      </c>
      <c r="AA51" s="44" t="s">
        <v>180</v>
      </c>
    </row>
    <row r="52" spans="1:27" hidden="1" x14ac:dyDescent="0.25">
      <c r="A52" s="26">
        <v>1</v>
      </c>
      <c r="B52" s="19" t="s">
        <v>438</v>
      </c>
      <c r="C52" s="44" t="s">
        <v>172</v>
      </c>
      <c r="D52" s="19" t="s">
        <v>210</v>
      </c>
      <c r="E52" s="19">
        <v>25</v>
      </c>
      <c r="F52" s="19">
        <v>350</v>
      </c>
      <c r="G52" s="19">
        <v>1030</v>
      </c>
      <c r="H52" s="19">
        <v>2</v>
      </c>
      <c r="I52" s="80">
        <v>70.75</v>
      </c>
      <c r="J52" s="80">
        <v>141.5</v>
      </c>
      <c r="K52" s="19" t="s">
        <v>436</v>
      </c>
      <c r="L52" s="19" t="s">
        <v>439</v>
      </c>
      <c r="Q52" s="20">
        <v>7</v>
      </c>
      <c r="R52" s="65" t="s">
        <v>432</v>
      </c>
      <c r="T52" s="19" t="s">
        <v>307</v>
      </c>
      <c r="V52" s="19" t="s">
        <v>178</v>
      </c>
      <c r="X52" s="19" t="s">
        <v>138</v>
      </c>
      <c r="Z52" s="44" t="s">
        <v>440</v>
      </c>
      <c r="AA52" s="44" t="s">
        <v>416</v>
      </c>
    </row>
    <row r="53" spans="1:27" hidden="1" x14ac:dyDescent="0.25">
      <c r="A53" s="26">
        <v>2</v>
      </c>
      <c r="B53" s="19" t="s">
        <v>441</v>
      </c>
      <c r="C53" s="44" t="s">
        <v>172</v>
      </c>
      <c r="D53" s="19" t="s">
        <v>214</v>
      </c>
      <c r="E53" s="19">
        <v>25</v>
      </c>
      <c r="F53" s="19">
        <v>65</v>
      </c>
      <c r="G53" s="19">
        <v>346</v>
      </c>
      <c r="H53" s="19">
        <v>4</v>
      </c>
      <c r="I53" s="80">
        <v>4.41</v>
      </c>
      <c r="J53" s="80">
        <v>17.649999999999999</v>
      </c>
      <c r="K53" s="19" t="s">
        <v>436</v>
      </c>
      <c r="L53" s="19" t="s">
        <v>439</v>
      </c>
      <c r="Q53" s="20">
        <v>7</v>
      </c>
      <c r="R53" s="65" t="s">
        <v>432</v>
      </c>
      <c r="T53" s="19" t="s">
        <v>307</v>
      </c>
      <c r="V53" s="19" t="s">
        <v>178</v>
      </c>
      <c r="W53" s="19" t="s">
        <v>138</v>
      </c>
      <c r="Z53" s="44" t="s">
        <v>440</v>
      </c>
      <c r="AA53" s="44" t="s">
        <v>416</v>
      </c>
    </row>
    <row r="54" spans="1:27" hidden="1" x14ac:dyDescent="0.25">
      <c r="A54" s="26">
        <v>3</v>
      </c>
      <c r="B54" s="19" t="s">
        <v>442</v>
      </c>
      <c r="C54" s="44" t="s">
        <v>172</v>
      </c>
      <c r="D54" s="19" t="s">
        <v>216</v>
      </c>
      <c r="E54" s="19">
        <v>25</v>
      </c>
      <c r="F54" s="19">
        <v>65</v>
      </c>
      <c r="G54" s="19">
        <v>188</v>
      </c>
      <c r="H54" s="19">
        <v>4</v>
      </c>
      <c r="I54" s="80">
        <v>2.4</v>
      </c>
      <c r="J54" s="80">
        <v>9.59</v>
      </c>
      <c r="K54" s="19" t="s">
        <v>436</v>
      </c>
      <c r="L54" s="19" t="s">
        <v>439</v>
      </c>
      <c r="Q54" s="20">
        <v>7</v>
      </c>
      <c r="R54" s="65" t="s">
        <v>432</v>
      </c>
      <c r="T54" s="19" t="s">
        <v>307</v>
      </c>
      <c r="V54" s="19" t="s">
        <v>178</v>
      </c>
      <c r="W54" s="19" t="s">
        <v>138</v>
      </c>
      <c r="Z54" s="44" t="s">
        <v>440</v>
      </c>
      <c r="AA54" s="44" t="s">
        <v>416</v>
      </c>
    </row>
    <row r="55" spans="1:27" hidden="1" x14ac:dyDescent="0.25">
      <c r="A55" s="26">
        <v>4</v>
      </c>
      <c r="B55" s="19" t="s">
        <v>443</v>
      </c>
      <c r="C55" s="44" t="s">
        <v>172</v>
      </c>
      <c r="D55" s="19" t="s">
        <v>214</v>
      </c>
      <c r="E55" s="19">
        <v>25</v>
      </c>
      <c r="F55" s="19">
        <v>65</v>
      </c>
      <c r="G55" s="19">
        <v>346</v>
      </c>
      <c r="H55" s="19">
        <v>4</v>
      </c>
      <c r="I55" s="80">
        <v>2.77</v>
      </c>
      <c r="J55" s="80">
        <v>11.08</v>
      </c>
      <c r="K55" s="19" t="s">
        <v>436</v>
      </c>
      <c r="L55" s="19" t="s">
        <v>439</v>
      </c>
      <c r="Q55" s="20">
        <v>7</v>
      </c>
      <c r="R55" s="65" t="s">
        <v>432</v>
      </c>
      <c r="T55" s="19" t="s">
        <v>307</v>
      </c>
      <c r="V55" s="19" t="s">
        <v>178</v>
      </c>
      <c r="W55" s="19" t="s">
        <v>138</v>
      </c>
      <c r="Z55" s="44" t="s">
        <v>440</v>
      </c>
      <c r="AA55" s="44" t="s">
        <v>416</v>
      </c>
    </row>
    <row r="56" spans="1:27" hidden="1" x14ac:dyDescent="0.25">
      <c r="A56" s="26">
        <v>5</v>
      </c>
      <c r="B56" s="19" t="s">
        <v>444</v>
      </c>
      <c r="C56" s="44" t="s">
        <v>172</v>
      </c>
      <c r="D56" s="19" t="s">
        <v>210</v>
      </c>
      <c r="E56" s="19">
        <v>25</v>
      </c>
      <c r="F56" s="19">
        <v>350</v>
      </c>
      <c r="G56" s="19">
        <v>1030</v>
      </c>
      <c r="H56" s="19">
        <v>2</v>
      </c>
      <c r="I56" s="80">
        <v>70.75</v>
      </c>
      <c r="J56" s="80">
        <v>141.5</v>
      </c>
      <c r="K56" s="19" t="s">
        <v>436</v>
      </c>
      <c r="L56" s="19" t="s">
        <v>439</v>
      </c>
      <c r="Q56" s="20">
        <v>7</v>
      </c>
      <c r="R56" s="65" t="s">
        <v>432</v>
      </c>
      <c r="T56" s="19" t="s">
        <v>307</v>
      </c>
      <c r="V56" s="19" t="s">
        <v>178</v>
      </c>
      <c r="X56" s="19" t="s">
        <v>138</v>
      </c>
      <c r="Z56" s="44" t="s">
        <v>440</v>
      </c>
      <c r="AA56" s="44" t="s">
        <v>416</v>
      </c>
    </row>
    <row r="57" spans="1:27" hidden="1" x14ac:dyDescent="0.25">
      <c r="A57" s="26">
        <v>6</v>
      </c>
      <c r="B57" s="19" t="s">
        <v>445</v>
      </c>
      <c r="C57" s="44" t="s">
        <v>172</v>
      </c>
      <c r="D57" s="19" t="s">
        <v>214</v>
      </c>
      <c r="E57" s="19">
        <v>25</v>
      </c>
      <c r="F57" s="19">
        <v>65</v>
      </c>
      <c r="G57" s="19">
        <v>346</v>
      </c>
      <c r="H57" s="19">
        <v>2</v>
      </c>
      <c r="I57" s="80">
        <v>4.42</v>
      </c>
      <c r="J57" s="80">
        <v>8.83</v>
      </c>
      <c r="K57" s="19" t="s">
        <v>436</v>
      </c>
      <c r="L57" s="19" t="s">
        <v>439</v>
      </c>
      <c r="Q57" s="20">
        <v>7</v>
      </c>
      <c r="R57" s="65" t="s">
        <v>432</v>
      </c>
      <c r="T57" s="19" t="s">
        <v>307</v>
      </c>
      <c r="V57" s="19" t="s">
        <v>178</v>
      </c>
      <c r="W57" s="19" t="s">
        <v>138</v>
      </c>
      <c r="Z57" s="44" t="s">
        <v>440</v>
      </c>
      <c r="AA57" s="44" t="s">
        <v>416</v>
      </c>
    </row>
    <row r="58" spans="1:27" hidden="1" x14ac:dyDescent="0.25">
      <c r="A58" s="26">
        <v>7</v>
      </c>
      <c r="B58" s="19" t="s">
        <v>446</v>
      </c>
      <c r="C58" s="44" t="s">
        <v>172</v>
      </c>
      <c r="D58" s="19" t="s">
        <v>216</v>
      </c>
      <c r="E58" s="19">
        <v>25</v>
      </c>
      <c r="F58" s="19">
        <v>65</v>
      </c>
      <c r="G58" s="19">
        <v>188</v>
      </c>
      <c r="H58" s="19">
        <v>1</v>
      </c>
      <c r="I58" s="80">
        <v>2.4</v>
      </c>
      <c r="J58" s="80">
        <v>2.4</v>
      </c>
      <c r="K58" s="19" t="s">
        <v>436</v>
      </c>
      <c r="L58" s="19" t="s">
        <v>439</v>
      </c>
      <c r="Q58" s="20">
        <v>7</v>
      </c>
      <c r="R58" s="65" t="s">
        <v>432</v>
      </c>
      <c r="T58" s="19" t="s">
        <v>307</v>
      </c>
      <c r="V58" s="19" t="s">
        <v>178</v>
      </c>
      <c r="W58" s="19" t="s">
        <v>138</v>
      </c>
      <c r="Z58" s="44" t="s">
        <v>440</v>
      </c>
      <c r="AA58" s="44" t="s">
        <v>416</v>
      </c>
    </row>
    <row r="59" spans="1:27" hidden="1" x14ac:dyDescent="0.25">
      <c r="A59" s="26">
        <v>8</v>
      </c>
      <c r="B59" s="19" t="s">
        <v>447</v>
      </c>
      <c r="C59" s="44" t="s">
        <v>172</v>
      </c>
      <c r="D59" s="19" t="s">
        <v>214</v>
      </c>
      <c r="E59" s="19">
        <v>25</v>
      </c>
      <c r="F59" s="19">
        <v>65</v>
      </c>
      <c r="G59" s="19">
        <v>346</v>
      </c>
      <c r="H59" s="19">
        <v>1</v>
      </c>
      <c r="I59" s="80">
        <v>2.77</v>
      </c>
      <c r="J59" s="80">
        <v>2.77</v>
      </c>
      <c r="K59" s="19" t="s">
        <v>436</v>
      </c>
      <c r="L59" s="19" t="s">
        <v>439</v>
      </c>
      <c r="Q59" s="20">
        <v>7</v>
      </c>
      <c r="R59" s="65" t="s">
        <v>432</v>
      </c>
      <c r="T59" s="19" t="s">
        <v>307</v>
      </c>
      <c r="V59" s="19" t="s">
        <v>178</v>
      </c>
      <c r="W59" s="19" t="s">
        <v>138</v>
      </c>
      <c r="Z59" s="44" t="s">
        <v>440</v>
      </c>
      <c r="AA59" s="44" t="s">
        <v>416</v>
      </c>
    </row>
    <row r="60" spans="1:27" hidden="1" x14ac:dyDescent="0.25">
      <c r="A60" s="26">
        <v>9</v>
      </c>
      <c r="B60" s="19" t="s">
        <v>448</v>
      </c>
      <c r="C60" s="44" t="s">
        <v>172</v>
      </c>
      <c r="D60" s="19" t="s">
        <v>210</v>
      </c>
      <c r="E60" s="19">
        <v>25</v>
      </c>
      <c r="F60" s="19">
        <v>350</v>
      </c>
      <c r="G60" s="19">
        <v>1030</v>
      </c>
      <c r="H60" s="19">
        <v>2</v>
      </c>
      <c r="I60" s="80">
        <v>70.75</v>
      </c>
      <c r="J60" s="80">
        <v>141.5</v>
      </c>
      <c r="K60" s="19" t="s">
        <v>436</v>
      </c>
      <c r="L60" s="19" t="s">
        <v>439</v>
      </c>
      <c r="Q60" s="20">
        <v>7</v>
      </c>
      <c r="R60" s="65" t="s">
        <v>432</v>
      </c>
      <c r="T60" s="19" t="s">
        <v>307</v>
      </c>
      <c r="V60" s="19" t="s">
        <v>178</v>
      </c>
      <c r="X60" s="19" t="s">
        <v>138</v>
      </c>
      <c r="Z60" s="44" t="s">
        <v>440</v>
      </c>
      <c r="AA60" s="44" t="s">
        <v>416</v>
      </c>
    </row>
    <row r="61" spans="1:27" hidden="1" x14ac:dyDescent="0.25">
      <c r="A61" s="26">
        <v>10</v>
      </c>
      <c r="B61" s="19" t="s">
        <v>449</v>
      </c>
      <c r="C61" s="44" t="s">
        <v>172</v>
      </c>
      <c r="D61" s="19" t="s">
        <v>214</v>
      </c>
      <c r="E61" s="19">
        <v>25</v>
      </c>
      <c r="F61" s="19">
        <v>65</v>
      </c>
      <c r="G61" s="19">
        <v>346</v>
      </c>
      <c r="H61" s="19">
        <v>4</v>
      </c>
      <c r="I61" s="80">
        <v>4.41</v>
      </c>
      <c r="J61" s="80">
        <v>17.649999999999999</v>
      </c>
      <c r="K61" s="19" t="s">
        <v>436</v>
      </c>
      <c r="L61" s="19" t="s">
        <v>439</v>
      </c>
      <c r="Q61" s="20">
        <v>7</v>
      </c>
      <c r="R61" s="65" t="s">
        <v>432</v>
      </c>
      <c r="T61" s="19" t="s">
        <v>307</v>
      </c>
      <c r="V61" s="19" t="s">
        <v>178</v>
      </c>
      <c r="W61" s="19" t="s">
        <v>138</v>
      </c>
      <c r="Z61" s="44" t="s">
        <v>440</v>
      </c>
      <c r="AA61" s="44" t="s">
        <v>416</v>
      </c>
    </row>
    <row r="62" spans="1:27" hidden="1" x14ac:dyDescent="0.25">
      <c r="A62" s="26">
        <v>11</v>
      </c>
      <c r="B62" s="19" t="s">
        <v>450</v>
      </c>
      <c r="C62" s="44" t="s">
        <v>172</v>
      </c>
      <c r="D62" s="19" t="s">
        <v>216</v>
      </c>
      <c r="E62" s="19">
        <v>25</v>
      </c>
      <c r="F62" s="19">
        <v>65</v>
      </c>
      <c r="G62" s="19">
        <v>188</v>
      </c>
      <c r="H62" s="19">
        <v>4</v>
      </c>
      <c r="I62" s="80">
        <v>2.4</v>
      </c>
      <c r="J62" s="80">
        <v>9.59</v>
      </c>
      <c r="K62" s="19" t="s">
        <v>436</v>
      </c>
      <c r="L62" s="19" t="s">
        <v>439</v>
      </c>
      <c r="Q62" s="20">
        <v>7</v>
      </c>
      <c r="R62" s="65" t="s">
        <v>432</v>
      </c>
      <c r="T62" s="19" t="s">
        <v>307</v>
      </c>
      <c r="V62" s="19" t="s">
        <v>178</v>
      </c>
      <c r="W62" s="19" t="s">
        <v>138</v>
      </c>
      <c r="Z62" s="44" t="s">
        <v>440</v>
      </c>
      <c r="AA62" s="44" t="s">
        <v>416</v>
      </c>
    </row>
    <row r="63" spans="1:27" hidden="1" x14ac:dyDescent="0.25">
      <c r="A63" s="26">
        <v>12</v>
      </c>
      <c r="B63" s="19" t="s">
        <v>451</v>
      </c>
      <c r="C63" s="44" t="s">
        <v>172</v>
      </c>
      <c r="D63" s="19" t="s">
        <v>214</v>
      </c>
      <c r="E63" s="19">
        <v>25</v>
      </c>
      <c r="F63" s="19">
        <v>65</v>
      </c>
      <c r="G63" s="19">
        <v>346</v>
      </c>
      <c r="H63" s="19">
        <v>4</v>
      </c>
      <c r="I63" s="80">
        <v>2.77</v>
      </c>
      <c r="J63" s="80">
        <v>11.08</v>
      </c>
      <c r="K63" s="19" t="s">
        <v>436</v>
      </c>
      <c r="L63" s="19" t="s">
        <v>439</v>
      </c>
      <c r="Q63" s="20">
        <v>7</v>
      </c>
      <c r="R63" s="65" t="s">
        <v>432</v>
      </c>
      <c r="T63" s="19" t="s">
        <v>307</v>
      </c>
      <c r="V63" s="19" t="s">
        <v>178</v>
      </c>
      <c r="W63" s="19" t="s">
        <v>138</v>
      </c>
      <c r="Z63" s="44" t="s">
        <v>440</v>
      </c>
      <c r="AA63" s="44" t="s">
        <v>416</v>
      </c>
    </row>
    <row r="64" spans="1:27" hidden="1" x14ac:dyDescent="0.25">
      <c r="A64" s="26">
        <v>13</v>
      </c>
      <c r="B64" s="19" t="s">
        <v>452</v>
      </c>
      <c r="C64" s="44" t="s">
        <v>257</v>
      </c>
      <c r="D64" s="19" t="s">
        <v>365</v>
      </c>
      <c r="E64" s="19">
        <v>50</v>
      </c>
      <c r="F64" s="19">
        <v>1160</v>
      </c>
      <c r="G64" s="19">
        <v>1940</v>
      </c>
      <c r="H64" s="19">
        <v>2</v>
      </c>
      <c r="I64" s="80">
        <v>711.2</v>
      </c>
      <c r="J64" s="80">
        <v>1422.39</v>
      </c>
      <c r="K64" s="19" t="s">
        <v>259</v>
      </c>
      <c r="L64" s="19" t="s">
        <v>453</v>
      </c>
      <c r="Q64" s="20">
        <v>7</v>
      </c>
      <c r="R64" s="65" t="s">
        <v>432</v>
      </c>
      <c r="T64" s="19" t="s">
        <v>307</v>
      </c>
      <c r="V64" s="19" t="s">
        <v>178</v>
      </c>
      <c r="X64" s="19" t="s">
        <v>138</v>
      </c>
      <c r="Z64" s="44" t="s">
        <v>440</v>
      </c>
      <c r="AA64" s="44" t="s">
        <v>180</v>
      </c>
    </row>
    <row r="65" spans="1:27" hidden="1" x14ac:dyDescent="0.25">
      <c r="A65" s="26">
        <v>14</v>
      </c>
      <c r="B65" s="19" t="s">
        <v>454</v>
      </c>
      <c r="C65" s="44" t="s">
        <v>257</v>
      </c>
      <c r="D65" s="19" t="s">
        <v>365</v>
      </c>
      <c r="E65" s="19">
        <v>50</v>
      </c>
      <c r="F65" s="19">
        <v>1160</v>
      </c>
      <c r="G65" s="19">
        <v>1940</v>
      </c>
      <c r="H65" s="19">
        <v>3</v>
      </c>
      <c r="I65" s="80">
        <v>711.19</v>
      </c>
      <c r="J65" s="80">
        <v>2133.58</v>
      </c>
      <c r="K65" s="19" t="s">
        <v>259</v>
      </c>
      <c r="L65" s="19" t="s">
        <v>453</v>
      </c>
      <c r="Q65" s="20">
        <v>7</v>
      </c>
      <c r="R65" s="65" t="s">
        <v>432</v>
      </c>
      <c r="T65" s="19" t="s">
        <v>307</v>
      </c>
      <c r="V65" s="19" t="s">
        <v>178</v>
      </c>
      <c r="X65" s="19" t="s">
        <v>138</v>
      </c>
      <c r="Z65" s="44" t="s">
        <v>440</v>
      </c>
      <c r="AA65" s="44" t="s">
        <v>180</v>
      </c>
    </row>
    <row r="66" spans="1:27" hidden="1" x14ac:dyDescent="0.25">
      <c r="A66" s="26">
        <v>15</v>
      </c>
      <c r="B66" s="19" t="s">
        <v>455</v>
      </c>
      <c r="C66" s="44" t="s">
        <v>257</v>
      </c>
      <c r="D66" s="19" t="s">
        <v>369</v>
      </c>
      <c r="E66" s="19">
        <v>50</v>
      </c>
      <c r="F66" s="19">
        <v>150</v>
      </c>
      <c r="G66" s="19">
        <v>400</v>
      </c>
      <c r="H66" s="19">
        <v>5</v>
      </c>
      <c r="I66" s="80">
        <v>23.55</v>
      </c>
      <c r="J66" s="80">
        <v>117.75</v>
      </c>
      <c r="K66" s="19" t="s">
        <v>259</v>
      </c>
      <c r="L66" s="19" t="s">
        <v>453</v>
      </c>
      <c r="P66" s="19" t="s">
        <v>138</v>
      </c>
      <c r="Q66" s="20">
        <v>7</v>
      </c>
      <c r="R66" s="65" t="s">
        <v>432</v>
      </c>
      <c r="T66" s="19" t="s">
        <v>307</v>
      </c>
      <c r="V66" s="19" t="s">
        <v>178</v>
      </c>
      <c r="Z66" s="44" t="s">
        <v>440</v>
      </c>
      <c r="AA66" s="44" t="s">
        <v>180</v>
      </c>
    </row>
    <row r="67" spans="1:27" hidden="1" x14ac:dyDescent="0.25">
      <c r="A67" s="26">
        <v>16</v>
      </c>
      <c r="B67" s="19" t="s">
        <v>456</v>
      </c>
      <c r="C67" s="44" t="s">
        <v>257</v>
      </c>
      <c r="D67" s="19" t="s">
        <v>457</v>
      </c>
      <c r="E67" s="19">
        <v>50</v>
      </c>
      <c r="F67" s="19">
        <v>250</v>
      </c>
      <c r="G67" s="19">
        <v>1200</v>
      </c>
      <c r="H67" s="19">
        <v>1</v>
      </c>
      <c r="I67" s="80">
        <v>117.75</v>
      </c>
      <c r="J67" s="80">
        <v>117.75</v>
      </c>
      <c r="K67" s="19" t="s">
        <v>259</v>
      </c>
      <c r="L67" s="19" t="s">
        <v>453</v>
      </c>
      <c r="P67" s="19" t="s">
        <v>138</v>
      </c>
      <c r="Q67" s="20">
        <v>7</v>
      </c>
      <c r="R67" s="65" t="s">
        <v>432</v>
      </c>
      <c r="T67" s="19" t="s">
        <v>307</v>
      </c>
      <c r="V67" s="19" t="s">
        <v>178</v>
      </c>
      <c r="Z67" s="44" t="s">
        <v>440</v>
      </c>
      <c r="AA67" s="44" t="s">
        <v>180</v>
      </c>
    </row>
    <row r="68" spans="1:27" hidden="1" x14ac:dyDescent="0.25">
      <c r="A68" s="26">
        <v>17</v>
      </c>
      <c r="B68" s="19" t="s">
        <v>458</v>
      </c>
      <c r="C68" s="44" t="s">
        <v>257</v>
      </c>
      <c r="D68" s="19" t="s">
        <v>459</v>
      </c>
      <c r="E68" s="19">
        <v>50</v>
      </c>
      <c r="F68" s="19">
        <v>300</v>
      </c>
      <c r="G68" s="19">
        <v>350</v>
      </c>
      <c r="H68" s="19">
        <v>2</v>
      </c>
      <c r="I68" s="80">
        <v>41.22</v>
      </c>
      <c r="J68" s="80">
        <v>82.43</v>
      </c>
      <c r="K68" s="19" t="s">
        <v>259</v>
      </c>
      <c r="L68" s="19" t="s">
        <v>453</v>
      </c>
      <c r="Q68" s="20">
        <v>7</v>
      </c>
      <c r="R68" s="65" t="s">
        <v>432</v>
      </c>
      <c r="T68" s="19" t="s">
        <v>307</v>
      </c>
      <c r="V68" s="19" t="s">
        <v>178</v>
      </c>
      <c r="Y68" s="19" t="s">
        <v>138</v>
      </c>
      <c r="Z68" s="44" t="s">
        <v>440</v>
      </c>
      <c r="AA68" s="44" t="s">
        <v>180</v>
      </c>
    </row>
    <row r="69" spans="1:27" hidden="1" x14ac:dyDescent="0.25">
      <c r="A69" s="26">
        <v>18</v>
      </c>
      <c r="B69" s="19" t="s">
        <v>454</v>
      </c>
      <c r="C69" s="44" t="s">
        <v>257</v>
      </c>
      <c r="D69" s="19" t="s">
        <v>365</v>
      </c>
      <c r="E69" s="19">
        <v>50</v>
      </c>
      <c r="F69" s="19">
        <v>1160</v>
      </c>
      <c r="G69" s="19">
        <v>1940</v>
      </c>
      <c r="H69" s="19">
        <v>1</v>
      </c>
      <c r="I69" s="80">
        <v>711.19</v>
      </c>
      <c r="J69" s="80">
        <v>711.19</v>
      </c>
      <c r="K69" s="19" t="s">
        <v>259</v>
      </c>
      <c r="L69" s="19" t="s">
        <v>460</v>
      </c>
      <c r="Q69" s="20">
        <v>7</v>
      </c>
      <c r="R69" s="65" t="s">
        <v>432</v>
      </c>
      <c r="T69" s="19" t="s">
        <v>307</v>
      </c>
      <c r="V69" s="19" t="s">
        <v>178</v>
      </c>
      <c r="X69" s="19" t="s">
        <v>138</v>
      </c>
      <c r="Z69" s="44" t="s">
        <v>440</v>
      </c>
      <c r="AA69" s="44" t="s">
        <v>180</v>
      </c>
    </row>
    <row r="70" spans="1:27" hidden="1" x14ac:dyDescent="0.25">
      <c r="A70" s="26">
        <v>19</v>
      </c>
      <c r="B70" s="19" t="s">
        <v>461</v>
      </c>
      <c r="C70" s="44" t="s">
        <v>257</v>
      </c>
      <c r="D70" s="19" t="s">
        <v>365</v>
      </c>
      <c r="E70" s="19">
        <v>50</v>
      </c>
      <c r="F70" s="19">
        <v>1160</v>
      </c>
      <c r="G70" s="19">
        <v>1940</v>
      </c>
      <c r="H70" s="19">
        <v>4</v>
      </c>
      <c r="I70" s="80">
        <v>711.2</v>
      </c>
      <c r="J70" s="80">
        <v>2844.78</v>
      </c>
      <c r="K70" s="19" t="s">
        <v>259</v>
      </c>
      <c r="L70" s="19" t="s">
        <v>460</v>
      </c>
      <c r="Q70" s="20">
        <v>7</v>
      </c>
      <c r="R70" s="65" t="s">
        <v>432</v>
      </c>
      <c r="T70" s="19" t="s">
        <v>307</v>
      </c>
      <c r="V70" s="19" t="s">
        <v>178</v>
      </c>
      <c r="X70" s="19" t="s">
        <v>138</v>
      </c>
      <c r="Z70" s="44" t="s">
        <v>440</v>
      </c>
      <c r="AA70" s="44" t="s">
        <v>180</v>
      </c>
    </row>
    <row r="71" spans="1:27" hidden="1" x14ac:dyDescent="0.25">
      <c r="A71" s="26">
        <v>20</v>
      </c>
      <c r="B71" s="19" t="s">
        <v>452</v>
      </c>
      <c r="C71" s="44" t="s">
        <v>257</v>
      </c>
      <c r="D71" s="19" t="s">
        <v>365</v>
      </c>
      <c r="E71" s="19">
        <v>50</v>
      </c>
      <c r="F71" s="19">
        <v>1160</v>
      </c>
      <c r="G71" s="19">
        <v>1940</v>
      </c>
      <c r="H71" s="19">
        <v>2</v>
      </c>
      <c r="I71" s="80">
        <v>711.2</v>
      </c>
      <c r="J71" s="80">
        <v>1422.39</v>
      </c>
      <c r="K71" s="19" t="s">
        <v>259</v>
      </c>
      <c r="L71" s="19" t="s">
        <v>462</v>
      </c>
      <c r="Q71" s="20">
        <v>7</v>
      </c>
      <c r="R71" s="65" t="s">
        <v>432</v>
      </c>
      <c r="T71" s="19" t="s">
        <v>307</v>
      </c>
      <c r="V71" s="19" t="s">
        <v>178</v>
      </c>
      <c r="X71" s="19" t="s">
        <v>138</v>
      </c>
      <c r="Z71" s="44" t="s">
        <v>440</v>
      </c>
      <c r="AA71" s="44" t="s">
        <v>180</v>
      </c>
    </row>
    <row r="72" spans="1:27" hidden="1" x14ac:dyDescent="0.25">
      <c r="A72" s="26">
        <v>21</v>
      </c>
      <c r="B72" s="19" t="s">
        <v>463</v>
      </c>
      <c r="C72" s="44" t="s">
        <v>172</v>
      </c>
      <c r="D72" s="19" t="s">
        <v>248</v>
      </c>
      <c r="E72" s="19">
        <v>50</v>
      </c>
      <c r="F72" s="19">
        <v>1160</v>
      </c>
      <c r="G72" s="19">
        <v>1210</v>
      </c>
      <c r="H72" s="19">
        <v>4</v>
      </c>
      <c r="I72" s="80">
        <v>419.53</v>
      </c>
      <c r="J72" s="80">
        <v>1678.13</v>
      </c>
      <c r="K72" s="19" t="s">
        <v>464</v>
      </c>
      <c r="L72" s="19" t="s">
        <v>465</v>
      </c>
      <c r="N72" s="19" t="s">
        <v>176</v>
      </c>
      <c r="Q72" s="20">
        <v>7</v>
      </c>
      <c r="R72" s="65" t="s">
        <v>432</v>
      </c>
      <c r="T72" s="19" t="s">
        <v>307</v>
      </c>
      <c r="V72" s="19" t="s">
        <v>178</v>
      </c>
      <c r="X72" s="19" t="s">
        <v>138</v>
      </c>
      <c r="Z72" s="44" t="s">
        <v>440</v>
      </c>
      <c r="AA72" s="44" t="s">
        <v>371</v>
      </c>
    </row>
    <row r="73" spans="1:27" hidden="1" x14ac:dyDescent="0.25">
      <c r="A73" s="26">
        <v>22</v>
      </c>
      <c r="B73" s="19" t="s">
        <v>466</v>
      </c>
      <c r="C73" s="44" t="s">
        <v>172</v>
      </c>
      <c r="D73" s="19" t="s">
        <v>248</v>
      </c>
      <c r="E73" s="19">
        <v>50</v>
      </c>
      <c r="F73" s="19">
        <v>1160</v>
      </c>
      <c r="G73" s="19">
        <v>1210</v>
      </c>
      <c r="H73" s="19">
        <v>4</v>
      </c>
      <c r="I73" s="80">
        <v>419.53</v>
      </c>
      <c r="J73" s="80">
        <v>1678.13</v>
      </c>
      <c r="K73" s="19" t="s">
        <v>464</v>
      </c>
      <c r="L73" s="19" t="s">
        <v>465</v>
      </c>
      <c r="N73" s="19" t="s">
        <v>176</v>
      </c>
      <c r="Q73" s="20">
        <v>7</v>
      </c>
      <c r="R73" s="65" t="s">
        <v>432</v>
      </c>
      <c r="T73" s="19" t="s">
        <v>307</v>
      </c>
      <c r="V73" s="19" t="s">
        <v>178</v>
      </c>
      <c r="X73" s="19" t="s">
        <v>138</v>
      </c>
      <c r="Z73" s="44" t="s">
        <v>440</v>
      </c>
      <c r="AA73" s="44" t="s">
        <v>371</v>
      </c>
    </row>
    <row r="74" spans="1:27" hidden="1" x14ac:dyDescent="0.25">
      <c r="A74" s="26">
        <v>23</v>
      </c>
      <c r="B74" s="19" t="s">
        <v>467</v>
      </c>
      <c r="C74" s="44" t="s">
        <v>172</v>
      </c>
      <c r="D74" s="19" t="s">
        <v>248</v>
      </c>
      <c r="E74" s="19">
        <v>50</v>
      </c>
      <c r="F74" s="19">
        <v>1160</v>
      </c>
      <c r="G74" s="19">
        <v>1210</v>
      </c>
      <c r="H74" s="19">
        <v>4</v>
      </c>
      <c r="I74" s="80">
        <v>419.53</v>
      </c>
      <c r="J74" s="80">
        <v>1678.13</v>
      </c>
      <c r="K74" s="19" t="s">
        <v>464</v>
      </c>
      <c r="L74" s="19" t="s">
        <v>465</v>
      </c>
      <c r="N74" s="19" t="s">
        <v>176</v>
      </c>
      <c r="Q74" s="20">
        <v>7</v>
      </c>
      <c r="R74" s="65" t="s">
        <v>432</v>
      </c>
      <c r="T74" s="19" t="s">
        <v>307</v>
      </c>
      <c r="V74" s="19" t="s">
        <v>178</v>
      </c>
      <c r="X74" s="19" t="s">
        <v>138</v>
      </c>
      <c r="Z74" s="44" t="s">
        <v>440</v>
      </c>
      <c r="AA74" s="44" t="s">
        <v>371</v>
      </c>
    </row>
    <row r="75" spans="1:27" hidden="1" x14ac:dyDescent="0.25">
      <c r="A75" s="26">
        <v>24</v>
      </c>
      <c r="B75" s="19" t="s">
        <v>468</v>
      </c>
      <c r="C75" s="44" t="s">
        <v>172</v>
      </c>
      <c r="D75" s="19" t="s">
        <v>243</v>
      </c>
      <c r="E75" s="19">
        <v>50</v>
      </c>
      <c r="F75" s="19">
        <v>1130</v>
      </c>
      <c r="G75" s="19">
        <v>1990</v>
      </c>
      <c r="H75" s="19">
        <v>2</v>
      </c>
      <c r="I75" s="80">
        <v>882.62</v>
      </c>
      <c r="J75" s="80">
        <v>1765.23</v>
      </c>
      <c r="K75" s="19" t="s">
        <v>469</v>
      </c>
      <c r="L75" s="19" t="s">
        <v>470</v>
      </c>
      <c r="Q75" s="20">
        <v>7</v>
      </c>
      <c r="R75" s="65" t="s">
        <v>432</v>
      </c>
      <c r="T75" s="19" t="s">
        <v>307</v>
      </c>
      <c r="V75" s="19" t="s">
        <v>178</v>
      </c>
      <c r="X75" s="19" t="s">
        <v>138</v>
      </c>
      <c r="Z75" s="44" t="s">
        <v>440</v>
      </c>
      <c r="AA75" s="44" t="s">
        <v>361</v>
      </c>
    </row>
    <row r="76" spans="1:27" hidden="1" x14ac:dyDescent="0.25">
      <c r="A76" s="26">
        <v>25</v>
      </c>
      <c r="B76" s="19" t="s">
        <v>471</v>
      </c>
      <c r="C76" s="44" t="s">
        <v>172</v>
      </c>
      <c r="D76" s="19" t="s">
        <v>243</v>
      </c>
      <c r="E76" s="19">
        <v>50</v>
      </c>
      <c r="F76" s="19">
        <v>1130</v>
      </c>
      <c r="G76" s="19">
        <v>1990</v>
      </c>
      <c r="H76" s="19">
        <v>2</v>
      </c>
      <c r="I76" s="80">
        <v>882.62</v>
      </c>
      <c r="J76" s="80">
        <v>1765.23</v>
      </c>
      <c r="K76" s="19" t="s">
        <v>469</v>
      </c>
      <c r="L76" s="19" t="s">
        <v>470</v>
      </c>
      <c r="Q76" s="20">
        <v>7</v>
      </c>
      <c r="R76" s="65" t="s">
        <v>432</v>
      </c>
      <c r="T76" s="19" t="s">
        <v>307</v>
      </c>
      <c r="V76" s="19" t="s">
        <v>178</v>
      </c>
      <c r="X76" s="19" t="s">
        <v>138</v>
      </c>
      <c r="Z76" s="44" t="s">
        <v>440</v>
      </c>
      <c r="AA76" s="44" t="s">
        <v>361</v>
      </c>
    </row>
    <row r="77" spans="1:27" hidden="1" x14ac:dyDescent="0.25">
      <c r="A77" s="26">
        <v>26</v>
      </c>
      <c r="B77" s="19" t="s">
        <v>472</v>
      </c>
      <c r="C77" s="44" t="s">
        <v>172</v>
      </c>
      <c r="D77" s="19" t="s">
        <v>243</v>
      </c>
      <c r="E77" s="19">
        <v>50</v>
      </c>
      <c r="F77" s="19">
        <v>1130</v>
      </c>
      <c r="G77" s="19">
        <v>1990</v>
      </c>
      <c r="H77" s="19">
        <v>2</v>
      </c>
      <c r="I77" s="80">
        <v>882.62</v>
      </c>
      <c r="J77" s="80">
        <v>1765.23</v>
      </c>
      <c r="K77" s="19" t="s">
        <v>469</v>
      </c>
      <c r="L77" s="19" t="s">
        <v>470</v>
      </c>
      <c r="Q77" s="20">
        <v>7</v>
      </c>
      <c r="R77" s="65" t="s">
        <v>432</v>
      </c>
      <c r="T77" s="19" t="s">
        <v>307</v>
      </c>
      <c r="V77" s="19" t="s">
        <v>178</v>
      </c>
      <c r="X77" s="19" t="s">
        <v>138</v>
      </c>
      <c r="Z77" s="44" t="s">
        <v>440</v>
      </c>
      <c r="AA77" s="44" t="s">
        <v>361</v>
      </c>
    </row>
    <row r="78" spans="1:27" hidden="1" x14ac:dyDescent="0.25">
      <c r="A78" s="26">
        <v>27</v>
      </c>
      <c r="B78" s="19" t="s">
        <v>458</v>
      </c>
      <c r="C78" s="44" t="s">
        <v>364</v>
      </c>
      <c r="D78" s="19" t="s">
        <v>459</v>
      </c>
      <c r="E78" s="19">
        <v>50</v>
      </c>
      <c r="F78" s="19">
        <v>300</v>
      </c>
      <c r="G78" s="19">
        <v>350</v>
      </c>
      <c r="H78" s="19">
        <v>1</v>
      </c>
      <c r="I78" s="80">
        <v>41.21</v>
      </c>
      <c r="J78" s="80">
        <v>41.21</v>
      </c>
      <c r="K78" s="19" t="s">
        <v>473</v>
      </c>
      <c r="L78" s="19" t="s">
        <v>474</v>
      </c>
      <c r="Q78" s="20">
        <v>7</v>
      </c>
      <c r="R78" s="65" t="s">
        <v>432</v>
      </c>
      <c r="T78" s="19" t="s">
        <v>307</v>
      </c>
      <c r="V78" s="19" t="s">
        <v>178</v>
      </c>
      <c r="Y78" s="19" t="s">
        <v>138</v>
      </c>
      <c r="Z78" s="44" t="s">
        <v>440</v>
      </c>
      <c r="AA78" s="44" t="s">
        <v>475</v>
      </c>
    </row>
    <row r="79" spans="1:27" hidden="1" x14ac:dyDescent="0.25">
      <c r="A79" s="26">
        <v>28</v>
      </c>
      <c r="B79" s="19" t="s">
        <v>458</v>
      </c>
      <c r="C79" s="44" t="s">
        <v>364</v>
      </c>
      <c r="D79" s="19" t="s">
        <v>459</v>
      </c>
      <c r="E79" s="19">
        <v>50</v>
      </c>
      <c r="F79" s="19">
        <v>300</v>
      </c>
      <c r="G79" s="19">
        <v>350</v>
      </c>
      <c r="H79" s="19">
        <v>1</v>
      </c>
      <c r="I79" s="80">
        <v>41.21</v>
      </c>
      <c r="J79" s="80">
        <v>41.21</v>
      </c>
      <c r="K79" s="19" t="s">
        <v>473</v>
      </c>
      <c r="L79" s="19" t="s">
        <v>476</v>
      </c>
      <c r="Q79" s="20">
        <v>7</v>
      </c>
      <c r="R79" s="65" t="s">
        <v>432</v>
      </c>
      <c r="T79" s="19" t="s">
        <v>307</v>
      </c>
      <c r="V79" s="19" t="s">
        <v>178</v>
      </c>
      <c r="Y79" s="19" t="s">
        <v>138</v>
      </c>
      <c r="Z79" s="44" t="s">
        <v>440</v>
      </c>
      <c r="AA79" s="44" t="s">
        <v>477</v>
      </c>
    </row>
    <row r="80" spans="1:27" hidden="1" x14ac:dyDescent="0.25">
      <c r="A80" s="26">
        <v>18</v>
      </c>
      <c r="B80" s="19" t="s">
        <v>349</v>
      </c>
      <c r="C80" s="44" t="s">
        <v>172</v>
      </c>
      <c r="D80" s="19" t="s">
        <v>210</v>
      </c>
      <c r="E80" s="19">
        <v>25</v>
      </c>
      <c r="F80" s="19">
        <v>350</v>
      </c>
      <c r="G80" s="19">
        <v>1030</v>
      </c>
      <c r="H80" s="19">
        <v>2</v>
      </c>
      <c r="I80" s="80">
        <v>70.75</v>
      </c>
      <c r="J80" s="80">
        <v>141.5</v>
      </c>
      <c r="K80" s="19" t="s">
        <v>436</v>
      </c>
      <c r="L80" s="19" t="s">
        <v>350</v>
      </c>
      <c r="M80" s="26"/>
      <c r="N80" s="26"/>
      <c r="O80" s="26"/>
      <c r="P80" s="26"/>
      <c r="Q80" s="42">
        <v>4</v>
      </c>
      <c r="R80" s="64" t="s">
        <v>432</v>
      </c>
      <c r="S80" s="26"/>
      <c r="T80" s="26" t="s">
        <v>434</v>
      </c>
      <c r="U80" s="26"/>
      <c r="V80" s="26" t="s">
        <v>178</v>
      </c>
      <c r="W80" s="26"/>
      <c r="X80" s="26" t="s">
        <v>138</v>
      </c>
      <c r="Y80" s="26"/>
      <c r="Z80" s="44" t="s">
        <v>330</v>
      </c>
      <c r="AA80" s="44" t="s">
        <v>180</v>
      </c>
    </row>
    <row r="81" spans="1:27" hidden="1" x14ac:dyDescent="0.25">
      <c r="A81" s="26">
        <v>19</v>
      </c>
      <c r="B81" s="19" t="s">
        <v>351</v>
      </c>
      <c r="C81" s="44" t="s">
        <v>172</v>
      </c>
      <c r="D81" s="19" t="s">
        <v>214</v>
      </c>
      <c r="E81" s="19">
        <v>25</v>
      </c>
      <c r="F81" s="19">
        <v>65</v>
      </c>
      <c r="G81" s="19">
        <v>346</v>
      </c>
      <c r="H81" s="19">
        <v>4</v>
      </c>
      <c r="I81" s="80">
        <v>4.38</v>
      </c>
      <c r="J81" s="80">
        <v>17.52</v>
      </c>
      <c r="K81" s="19" t="s">
        <v>436</v>
      </c>
      <c r="L81" s="19" t="s">
        <v>350</v>
      </c>
      <c r="M81" s="26"/>
      <c r="N81" s="26"/>
      <c r="O81" s="26"/>
      <c r="P81" s="26"/>
      <c r="Q81" s="42">
        <v>4</v>
      </c>
      <c r="R81" s="64" t="s">
        <v>432</v>
      </c>
      <c r="S81" s="26"/>
      <c r="T81" s="26" t="s">
        <v>434</v>
      </c>
      <c r="U81" s="26"/>
      <c r="V81" s="26" t="s">
        <v>178</v>
      </c>
      <c r="W81" s="26" t="s">
        <v>138</v>
      </c>
      <c r="X81" s="26"/>
      <c r="Y81" s="26"/>
      <c r="Z81" s="44" t="s">
        <v>330</v>
      </c>
      <c r="AA81" s="44" t="s">
        <v>180</v>
      </c>
    </row>
    <row r="82" spans="1:27" hidden="1" x14ac:dyDescent="0.25">
      <c r="A82" s="26">
        <v>20</v>
      </c>
      <c r="B82" s="19" t="s">
        <v>352</v>
      </c>
      <c r="C82" s="44" t="s">
        <v>172</v>
      </c>
      <c r="D82" s="19" t="s">
        <v>216</v>
      </c>
      <c r="E82" s="19">
        <v>25</v>
      </c>
      <c r="F82" s="19">
        <v>65</v>
      </c>
      <c r="G82" s="19">
        <v>188</v>
      </c>
      <c r="H82" s="19">
        <v>4</v>
      </c>
      <c r="I82" s="80">
        <v>2.37</v>
      </c>
      <c r="J82" s="80">
        <v>9.4600000000000009</v>
      </c>
      <c r="K82" s="19" t="s">
        <v>436</v>
      </c>
      <c r="L82" s="19" t="s">
        <v>350</v>
      </c>
      <c r="M82" s="26"/>
      <c r="N82" s="26"/>
      <c r="O82" s="26"/>
      <c r="P82" s="26"/>
      <c r="Q82" s="42">
        <v>4</v>
      </c>
      <c r="R82" s="64" t="s">
        <v>432</v>
      </c>
      <c r="S82" s="26"/>
      <c r="T82" s="26" t="s">
        <v>434</v>
      </c>
      <c r="U82" s="26"/>
      <c r="V82" s="26" t="s">
        <v>178</v>
      </c>
      <c r="W82" s="26" t="s">
        <v>138</v>
      </c>
      <c r="X82" s="26"/>
      <c r="Y82" s="26"/>
      <c r="Z82" s="44" t="s">
        <v>330</v>
      </c>
      <c r="AA82" s="44" t="s">
        <v>180</v>
      </c>
    </row>
    <row r="83" spans="1:27" hidden="1" x14ac:dyDescent="0.25">
      <c r="A83" s="26">
        <v>21</v>
      </c>
      <c r="B83" s="19" t="s">
        <v>353</v>
      </c>
      <c r="C83" s="44" t="s">
        <v>172</v>
      </c>
      <c r="D83" s="19" t="s">
        <v>214</v>
      </c>
      <c r="E83" s="19">
        <v>25</v>
      </c>
      <c r="F83" s="19">
        <v>65</v>
      </c>
      <c r="G83" s="19">
        <v>346</v>
      </c>
      <c r="H83" s="19">
        <v>4</v>
      </c>
      <c r="I83" s="80">
        <v>2.74</v>
      </c>
      <c r="J83" s="80">
        <v>10.95</v>
      </c>
      <c r="K83" s="19" t="s">
        <v>436</v>
      </c>
      <c r="L83" s="19" t="s">
        <v>350</v>
      </c>
      <c r="M83" s="26"/>
      <c r="N83" s="26"/>
      <c r="O83" s="26"/>
      <c r="P83" s="26"/>
      <c r="Q83" s="42">
        <v>4</v>
      </c>
      <c r="R83" s="64" t="s">
        <v>432</v>
      </c>
      <c r="S83" s="26"/>
      <c r="T83" s="26" t="s">
        <v>434</v>
      </c>
      <c r="U83" s="26"/>
      <c r="V83" s="26" t="s">
        <v>178</v>
      </c>
      <c r="W83" s="26" t="s">
        <v>138</v>
      </c>
      <c r="X83" s="26"/>
      <c r="Y83" s="26"/>
      <c r="Z83" s="44" t="s">
        <v>330</v>
      </c>
      <c r="AA83" s="44" t="s">
        <v>180</v>
      </c>
    </row>
    <row r="84" spans="1:27" hidden="1" x14ac:dyDescent="0.25">
      <c r="A84" s="26">
        <v>22</v>
      </c>
      <c r="B84" s="19" t="s">
        <v>354</v>
      </c>
      <c r="C84" s="44" t="s">
        <v>172</v>
      </c>
      <c r="D84" s="19" t="s">
        <v>210</v>
      </c>
      <c r="E84" s="19">
        <v>25</v>
      </c>
      <c r="F84" s="19">
        <v>350</v>
      </c>
      <c r="G84" s="19">
        <v>1030</v>
      </c>
      <c r="H84" s="19">
        <v>2</v>
      </c>
      <c r="I84" s="80">
        <v>70.75</v>
      </c>
      <c r="J84" s="80">
        <v>141.5</v>
      </c>
      <c r="K84" s="19" t="s">
        <v>436</v>
      </c>
      <c r="L84" s="19" t="s">
        <v>350</v>
      </c>
      <c r="M84" s="26"/>
      <c r="N84" s="26"/>
      <c r="O84" s="26"/>
      <c r="P84" s="26"/>
      <c r="Q84" s="42">
        <v>4</v>
      </c>
      <c r="R84" s="64" t="s">
        <v>432</v>
      </c>
      <c r="S84" s="26"/>
      <c r="T84" s="26" t="s">
        <v>434</v>
      </c>
      <c r="U84" s="26"/>
      <c r="V84" s="26" t="s">
        <v>178</v>
      </c>
      <c r="W84" s="26"/>
      <c r="X84" s="26" t="s">
        <v>138</v>
      </c>
      <c r="Y84" s="26"/>
      <c r="Z84" s="44" t="s">
        <v>330</v>
      </c>
      <c r="AA84" s="44" t="s">
        <v>180</v>
      </c>
    </row>
    <row r="85" spans="1:27" hidden="1" x14ac:dyDescent="0.25">
      <c r="A85" s="26">
        <v>23</v>
      </c>
      <c r="B85" s="19" t="s">
        <v>355</v>
      </c>
      <c r="C85" s="44" t="s">
        <v>172</v>
      </c>
      <c r="D85" s="19" t="s">
        <v>214</v>
      </c>
      <c r="E85" s="19">
        <v>25</v>
      </c>
      <c r="F85" s="19">
        <v>65</v>
      </c>
      <c r="G85" s="19">
        <v>346</v>
      </c>
      <c r="H85" s="19">
        <v>4</v>
      </c>
      <c r="I85" s="80">
        <v>4.38</v>
      </c>
      <c r="J85" s="80">
        <v>17.52</v>
      </c>
      <c r="K85" s="19" t="s">
        <v>436</v>
      </c>
      <c r="L85" s="19" t="s">
        <v>350</v>
      </c>
      <c r="M85" s="26"/>
      <c r="N85" s="26"/>
      <c r="O85" s="26"/>
      <c r="P85" s="26"/>
      <c r="Q85" s="42">
        <v>4</v>
      </c>
      <c r="R85" s="64" t="s">
        <v>432</v>
      </c>
      <c r="S85" s="26"/>
      <c r="T85" s="26" t="s">
        <v>434</v>
      </c>
      <c r="U85" s="26"/>
      <c r="V85" s="26" t="s">
        <v>178</v>
      </c>
      <c r="W85" s="26" t="s">
        <v>138</v>
      </c>
      <c r="X85" s="26"/>
      <c r="Y85" s="26"/>
      <c r="Z85" s="44" t="s">
        <v>330</v>
      </c>
      <c r="AA85" s="44" t="s">
        <v>180</v>
      </c>
    </row>
    <row r="86" spans="1:27" hidden="1" x14ac:dyDescent="0.25">
      <c r="A86" s="26">
        <v>24</v>
      </c>
      <c r="B86" s="19" t="s">
        <v>356</v>
      </c>
      <c r="C86" s="44" t="s">
        <v>172</v>
      </c>
      <c r="D86" s="19" t="s">
        <v>216</v>
      </c>
      <c r="E86" s="19">
        <v>25</v>
      </c>
      <c r="F86" s="19">
        <v>65</v>
      </c>
      <c r="G86" s="19">
        <v>188</v>
      </c>
      <c r="H86" s="19">
        <v>4</v>
      </c>
      <c r="I86" s="80">
        <v>2.37</v>
      </c>
      <c r="J86" s="80">
        <v>9.4600000000000009</v>
      </c>
      <c r="K86" s="19" t="s">
        <v>436</v>
      </c>
      <c r="L86" s="19" t="s">
        <v>350</v>
      </c>
      <c r="M86" s="26"/>
      <c r="N86" s="26"/>
      <c r="O86" s="26"/>
      <c r="P86" s="26"/>
      <c r="Q86" s="42">
        <v>4</v>
      </c>
      <c r="R86" s="64" t="s">
        <v>432</v>
      </c>
      <c r="S86" s="26"/>
      <c r="T86" s="26" t="s">
        <v>434</v>
      </c>
      <c r="U86" s="26"/>
      <c r="V86" s="26" t="s">
        <v>178</v>
      </c>
      <c r="W86" s="26" t="s">
        <v>138</v>
      </c>
      <c r="X86" s="26"/>
      <c r="Y86" s="26"/>
      <c r="Z86" s="44" t="s">
        <v>330</v>
      </c>
      <c r="AA86" s="44" t="s">
        <v>180</v>
      </c>
    </row>
    <row r="87" spans="1:27" hidden="1" x14ac:dyDescent="0.25">
      <c r="A87" s="26">
        <v>25</v>
      </c>
      <c r="B87" s="19" t="s">
        <v>357</v>
      </c>
      <c r="C87" s="44" t="s">
        <v>172</v>
      </c>
      <c r="D87" s="19" t="s">
        <v>214</v>
      </c>
      <c r="E87" s="19">
        <v>25</v>
      </c>
      <c r="F87" s="19">
        <v>65</v>
      </c>
      <c r="G87" s="19">
        <v>346</v>
      </c>
      <c r="H87" s="19">
        <v>4</v>
      </c>
      <c r="I87" s="80">
        <v>2.74</v>
      </c>
      <c r="J87" s="80">
        <v>10.95</v>
      </c>
      <c r="K87" s="19" t="s">
        <v>436</v>
      </c>
      <c r="L87" s="19" t="s">
        <v>350</v>
      </c>
      <c r="M87" s="26"/>
      <c r="N87" s="26"/>
      <c r="O87" s="26"/>
      <c r="P87" s="26"/>
      <c r="Q87" s="42">
        <v>4</v>
      </c>
      <c r="R87" s="64" t="s">
        <v>432</v>
      </c>
      <c r="S87" s="26"/>
      <c r="T87" s="26" t="s">
        <v>434</v>
      </c>
      <c r="U87" s="26"/>
      <c r="V87" s="26" t="s">
        <v>178</v>
      </c>
      <c r="W87" s="26" t="s">
        <v>138</v>
      </c>
      <c r="X87" s="26"/>
      <c r="Y87" s="26"/>
      <c r="Z87" s="44" t="s">
        <v>330</v>
      </c>
      <c r="AA87" s="44" t="s">
        <v>180</v>
      </c>
    </row>
    <row r="88" spans="1:27" hidden="1" x14ac:dyDescent="0.25">
      <c r="A88" s="26">
        <v>26</v>
      </c>
      <c r="B88" s="19" t="s">
        <v>358</v>
      </c>
      <c r="C88" s="44" t="s">
        <v>172</v>
      </c>
      <c r="D88" s="19" t="s">
        <v>216</v>
      </c>
      <c r="E88" s="19">
        <v>25</v>
      </c>
      <c r="F88" s="19">
        <v>65</v>
      </c>
      <c r="G88" s="19">
        <v>188</v>
      </c>
      <c r="H88" s="19">
        <v>3</v>
      </c>
      <c r="I88" s="80">
        <v>2.37</v>
      </c>
      <c r="J88" s="80">
        <v>7.1</v>
      </c>
      <c r="K88" s="19" t="s">
        <v>436</v>
      </c>
      <c r="L88" s="19" t="s">
        <v>350</v>
      </c>
      <c r="M88" s="26"/>
      <c r="N88" s="26"/>
      <c r="O88" s="26"/>
      <c r="P88" s="26"/>
      <c r="Q88" s="42">
        <v>4</v>
      </c>
      <c r="R88" s="64" t="s">
        <v>432</v>
      </c>
      <c r="S88" s="26"/>
      <c r="T88" s="26" t="s">
        <v>434</v>
      </c>
      <c r="U88" s="26"/>
      <c r="V88" s="26" t="s">
        <v>178</v>
      </c>
      <c r="W88" s="26" t="s">
        <v>138</v>
      </c>
      <c r="X88" s="26"/>
      <c r="Y88" s="26"/>
      <c r="Z88" s="44" t="s">
        <v>330</v>
      </c>
      <c r="AA88" s="44" t="s">
        <v>180</v>
      </c>
    </row>
    <row r="89" spans="1:27" hidden="1" x14ac:dyDescent="0.25">
      <c r="A89" s="26">
        <v>27</v>
      </c>
      <c r="B89" s="19" t="s">
        <v>359</v>
      </c>
      <c r="C89" s="44" t="s">
        <v>172</v>
      </c>
      <c r="D89" s="19" t="s">
        <v>214</v>
      </c>
      <c r="E89" s="19">
        <v>25</v>
      </c>
      <c r="F89" s="19">
        <v>65</v>
      </c>
      <c r="G89" s="19">
        <v>346</v>
      </c>
      <c r="H89" s="19">
        <v>2</v>
      </c>
      <c r="I89" s="80">
        <v>2.74</v>
      </c>
      <c r="J89" s="80">
        <v>5.48</v>
      </c>
      <c r="K89" s="19" t="s">
        <v>436</v>
      </c>
      <c r="L89" s="19" t="s">
        <v>350</v>
      </c>
      <c r="M89" s="26"/>
      <c r="N89" s="26"/>
      <c r="O89" s="26"/>
      <c r="P89" s="26"/>
      <c r="Q89" s="42">
        <v>4</v>
      </c>
      <c r="R89" s="64" t="s">
        <v>432</v>
      </c>
      <c r="S89" s="26"/>
      <c r="T89" s="26" t="s">
        <v>434</v>
      </c>
      <c r="U89" s="26"/>
      <c r="V89" s="26" t="s">
        <v>178</v>
      </c>
      <c r="W89" s="26" t="s">
        <v>138</v>
      </c>
      <c r="X89" s="26"/>
      <c r="Y89" s="26"/>
      <c r="Z89" s="44" t="s">
        <v>330</v>
      </c>
      <c r="AA89" s="44" t="s">
        <v>180</v>
      </c>
    </row>
    <row r="90" spans="1:27" hidden="1" x14ac:dyDescent="0.25">
      <c r="A90" s="26">
        <v>30</v>
      </c>
      <c r="B90" s="19" t="s">
        <v>363</v>
      </c>
      <c r="C90" s="44" t="s">
        <v>364</v>
      </c>
      <c r="D90" s="19" t="s">
        <v>365</v>
      </c>
      <c r="E90" s="19">
        <v>50</v>
      </c>
      <c r="F90" s="19">
        <v>1160</v>
      </c>
      <c r="G90" s="19">
        <v>1940</v>
      </c>
      <c r="H90" s="19">
        <v>4</v>
      </c>
      <c r="I90" s="80">
        <v>711.2</v>
      </c>
      <c r="J90" s="80">
        <v>2844.78</v>
      </c>
      <c r="K90" s="19" t="s">
        <v>433</v>
      </c>
      <c r="L90" s="19" t="s">
        <v>366</v>
      </c>
      <c r="M90" s="26"/>
      <c r="N90" s="26" t="s">
        <v>176</v>
      </c>
      <c r="O90" s="26"/>
      <c r="P90" s="26"/>
      <c r="Q90" s="42">
        <v>4</v>
      </c>
      <c r="R90" s="64" t="s">
        <v>432</v>
      </c>
      <c r="S90" s="26"/>
      <c r="T90" s="26" t="s">
        <v>434</v>
      </c>
      <c r="U90" s="26"/>
      <c r="V90" s="26" t="s">
        <v>178</v>
      </c>
      <c r="W90" s="26"/>
      <c r="X90" s="26" t="s">
        <v>138</v>
      </c>
      <c r="Y90" s="26"/>
      <c r="Z90" s="44" t="s">
        <v>330</v>
      </c>
      <c r="AA90" s="44" t="s">
        <v>180</v>
      </c>
    </row>
    <row r="91" spans="1:27" hidden="1" x14ac:dyDescent="0.25">
      <c r="A91" s="26">
        <v>31</v>
      </c>
      <c r="B91" s="19" t="s">
        <v>367</v>
      </c>
      <c r="C91" s="44" t="s">
        <v>364</v>
      </c>
      <c r="D91" s="19" t="s">
        <v>365</v>
      </c>
      <c r="E91" s="19">
        <v>50</v>
      </c>
      <c r="F91" s="19">
        <v>1160</v>
      </c>
      <c r="G91" s="19">
        <v>1940</v>
      </c>
      <c r="H91" s="19">
        <v>1</v>
      </c>
      <c r="I91" s="80">
        <v>711.19</v>
      </c>
      <c r="J91" s="80">
        <v>711.19</v>
      </c>
      <c r="K91" s="19" t="s">
        <v>433</v>
      </c>
      <c r="L91" s="19" t="s">
        <v>366</v>
      </c>
      <c r="M91" s="26"/>
      <c r="N91" s="26" t="s">
        <v>176</v>
      </c>
      <c r="O91" s="26"/>
      <c r="P91" s="26"/>
      <c r="Q91" s="42">
        <v>4</v>
      </c>
      <c r="R91" s="64" t="s">
        <v>432</v>
      </c>
      <c r="S91" s="26"/>
      <c r="T91" s="26" t="s">
        <v>434</v>
      </c>
      <c r="U91" s="26"/>
      <c r="V91" s="26" t="s">
        <v>178</v>
      </c>
      <c r="W91" s="26"/>
      <c r="X91" s="26" t="s">
        <v>138</v>
      </c>
      <c r="Y91" s="26"/>
      <c r="Z91" s="44" t="s">
        <v>330</v>
      </c>
      <c r="AA91" s="44" t="s">
        <v>180</v>
      </c>
    </row>
    <row r="92" spans="1:27" hidden="1" x14ac:dyDescent="0.25">
      <c r="A92" s="26">
        <v>32</v>
      </c>
      <c r="B92" s="19" t="s">
        <v>368</v>
      </c>
      <c r="C92" s="44" t="s">
        <v>364</v>
      </c>
      <c r="D92" s="19" t="s">
        <v>369</v>
      </c>
      <c r="E92" s="19">
        <v>50</v>
      </c>
      <c r="F92" s="19">
        <v>150</v>
      </c>
      <c r="G92" s="19">
        <v>400</v>
      </c>
      <c r="H92" s="19">
        <v>5</v>
      </c>
      <c r="I92" s="80">
        <v>23.55</v>
      </c>
      <c r="J92" s="80">
        <v>117.75</v>
      </c>
      <c r="K92" s="19" t="s">
        <v>433</v>
      </c>
      <c r="L92" s="19" t="s">
        <v>366</v>
      </c>
      <c r="M92" s="26"/>
      <c r="N92" s="26"/>
      <c r="O92" s="26"/>
      <c r="P92" s="26"/>
      <c r="Q92" s="42">
        <v>4</v>
      </c>
      <c r="R92" s="64" t="s">
        <v>432</v>
      </c>
      <c r="S92" s="26"/>
      <c r="T92" s="26" t="s">
        <v>434</v>
      </c>
      <c r="U92" s="26"/>
      <c r="V92" s="26" t="s">
        <v>178</v>
      </c>
      <c r="W92" s="26"/>
      <c r="X92" s="26"/>
      <c r="Y92" s="26"/>
      <c r="Z92" s="44" t="s">
        <v>330</v>
      </c>
      <c r="AA92" s="44" t="s">
        <v>180</v>
      </c>
    </row>
    <row r="93" spans="1:27" hidden="1" x14ac:dyDescent="0.25">
      <c r="A93" s="26">
        <v>6</v>
      </c>
      <c r="B93" t="s">
        <v>393</v>
      </c>
      <c r="C93" t="s">
        <v>172</v>
      </c>
      <c r="D93" t="s">
        <v>394</v>
      </c>
      <c r="E93">
        <v>25</v>
      </c>
      <c r="F93">
        <v>300</v>
      </c>
      <c r="G93">
        <v>1200</v>
      </c>
      <c r="H93">
        <v>2</v>
      </c>
      <c r="I93">
        <v>70.650000000000006</v>
      </c>
      <c r="J93">
        <v>141.30000000000001</v>
      </c>
      <c r="K93" t="s">
        <v>436</v>
      </c>
      <c r="L93" t="s">
        <v>395</v>
      </c>
      <c r="P93" s="19" t="s">
        <v>138</v>
      </c>
      <c r="Q93" s="20">
        <v>5</v>
      </c>
      <c r="R93" s="65" t="s">
        <v>382</v>
      </c>
      <c r="T93" s="2" t="s">
        <v>434</v>
      </c>
      <c r="V93" s="19" t="s">
        <v>178</v>
      </c>
      <c r="W93" s="19" t="s">
        <v>138</v>
      </c>
      <c r="Z93" s="44" t="s">
        <v>383</v>
      </c>
      <c r="AA93" s="2" t="s">
        <v>350</v>
      </c>
    </row>
    <row r="94" spans="1:27" hidden="1" x14ac:dyDescent="0.25">
      <c r="A94" s="26">
        <v>8</v>
      </c>
      <c r="B94" t="s">
        <v>415</v>
      </c>
      <c r="C94" t="s">
        <v>172</v>
      </c>
      <c r="D94" t="s">
        <v>216</v>
      </c>
      <c r="E94">
        <v>25</v>
      </c>
      <c r="F94">
        <v>65</v>
      </c>
      <c r="G94">
        <v>188</v>
      </c>
      <c r="H94">
        <v>4</v>
      </c>
      <c r="I94">
        <v>2.4</v>
      </c>
      <c r="J94">
        <v>9.59</v>
      </c>
      <c r="K94" t="s">
        <v>436</v>
      </c>
      <c r="L94" t="s">
        <v>416</v>
      </c>
      <c r="M94" s="2"/>
      <c r="N94" s="2"/>
      <c r="O94" s="2"/>
      <c r="P94" s="2"/>
      <c r="Q94" s="2">
        <v>6</v>
      </c>
      <c r="R94" s="96" t="s">
        <v>432</v>
      </c>
      <c r="S94" s="2"/>
      <c r="T94" s="2" t="s">
        <v>434</v>
      </c>
      <c r="U94" s="2"/>
      <c r="V94" s="2" t="s">
        <v>178</v>
      </c>
      <c r="W94" s="2" t="s">
        <v>138</v>
      </c>
      <c r="X94" s="2"/>
      <c r="Y94" s="2"/>
      <c r="Z94" s="2" t="s">
        <v>409</v>
      </c>
      <c r="AA94" s="2" t="s">
        <v>395</v>
      </c>
    </row>
    <row r="95" spans="1:27" hidden="1" x14ac:dyDescent="0.25">
      <c r="A95" s="26">
        <v>9</v>
      </c>
      <c r="B95" t="s">
        <v>417</v>
      </c>
      <c r="C95" t="s">
        <v>172</v>
      </c>
      <c r="D95" t="s">
        <v>214</v>
      </c>
      <c r="E95">
        <v>25</v>
      </c>
      <c r="F95">
        <v>65</v>
      </c>
      <c r="G95">
        <v>346</v>
      </c>
      <c r="H95">
        <v>4</v>
      </c>
      <c r="I95">
        <v>2.77</v>
      </c>
      <c r="J95">
        <v>11.08</v>
      </c>
      <c r="K95" t="s">
        <v>436</v>
      </c>
      <c r="L95" t="s">
        <v>416</v>
      </c>
      <c r="M95" s="2"/>
      <c r="N95" s="2"/>
      <c r="O95" s="2"/>
      <c r="P95" s="2"/>
      <c r="Q95" s="2">
        <v>6</v>
      </c>
      <c r="R95" s="96" t="s">
        <v>432</v>
      </c>
      <c r="S95" s="2"/>
      <c r="T95" s="2" t="s">
        <v>434</v>
      </c>
      <c r="U95" s="2"/>
      <c r="V95" s="2" t="s">
        <v>178</v>
      </c>
      <c r="W95" s="2" t="s">
        <v>138</v>
      </c>
      <c r="X95" s="2"/>
      <c r="Y95" s="2"/>
      <c r="Z95" s="2" t="s">
        <v>409</v>
      </c>
      <c r="AA95" s="2" t="s">
        <v>395</v>
      </c>
    </row>
    <row r="96" spans="1:27" hidden="1" x14ac:dyDescent="0.25">
      <c r="A96" s="26">
        <v>10</v>
      </c>
      <c r="B96" t="s">
        <v>418</v>
      </c>
      <c r="C96" t="s">
        <v>172</v>
      </c>
      <c r="D96" t="s">
        <v>219</v>
      </c>
      <c r="E96">
        <v>25</v>
      </c>
      <c r="F96">
        <v>330</v>
      </c>
      <c r="G96">
        <v>1218</v>
      </c>
      <c r="H96">
        <v>2</v>
      </c>
      <c r="I96">
        <v>78.84</v>
      </c>
      <c r="J96">
        <v>157.69</v>
      </c>
      <c r="K96" t="s">
        <v>436</v>
      </c>
      <c r="L96" t="s">
        <v>416</v>
      </c>
      <c r="M96" s="2"/>
      <c r="N96" s="2"/>
      <c r="O96" s="2"/>
      <c r="P96" s="2"/>
      <c r="Q96" s="2">
        <v>6</v>
      </c>
      <c r="R96" s="96" t="s">
        <v>432</v>
      </c>
      <c r="S96" s="2"/>
      <c r="T96" s="2" t="s">
        <v>434</v>
      </c>
      <c r="U96" s="2"/>
      <c r="V96" s="2" t="s">
        <v>178</v>
      </c>
      <c r="W96" s="2" t="s">
        <v>138</v>
      </c>
      <c r="X96" s="2"/>
      <c r="Y96" s="2"/>
      <c r="Z96" s="2" t="s">
        <v>409</v>
      </c>
      <c r="AA96" s="2" t="s">
        <v>395</v>
      </c>
    </row>
    <row r="97" spans="1:28" hidden="1" x14ac:dyDescent="0.25">
      <c r="A97" s="26">
        <v>1</v>
      </c>
      <c r="B97" s="19" t="s">
        <v>114</v>
      </c>
      <c r="C97" s="44" t="s">
        <v>115</v>
      </c>
      <c r="D97" s="19" t="s">
        <v>116</v>
      </c>
      <c r="E97" s="19">
        <v>6</v>
      </c>
      <c r="F97" s="19">
        <v>50</v>
      </c>
      <c r="G97" s="19">
        <v>600</v>
      </c>
      <c r="H97" s="19">
        <v>25</v>
      </c>
      <c r="I97" s="80">
        <v>1.41</v>
      </c>
      <c r="J97" s="80">
        <v>35.32</v>
      </c>
      <c r="K97" s="19" t="s">
        <v>117</v>
      </c>
      <c r="L97" s="19" t="s">
        <v>118</v>
      </c>
      <c r="M97" s="26"/>
      <c r="N97" s="26"/>
      <c r="O97" s="26"/>
      <c r="P97" s="26"/>
      <c r="Q97" s="42">
        <v>1</v>
      </c>
      <c r="R97" s="64" t="s">
        <v>119</v>
      </c>
      <c r="S97" s="26"/>
      <c r="T97" s="26"/>
      <c r="U97" s="26"/>
      <c r="V97" s="26" t="s">
        <v>120</v>
      </c>
      <c r="W97" s="26"/>
      <c r="X97" s="26"/>
      <c r="Y97" s="26"/>
      <c r="Z97" s="44" t="s">
        <v>121</v>
      </c>
      <c r="AA97" s="44" t="s">
        <v>122</v>
      </c>
    </row>
    <row r="98" spans="1:28" hidden="1" x14ac:dyDescent="0.25">
      <c r="A98" s="26">
        <v>2</v>
      </c>
      <c r="B98" s="19" t="s">
        <v>123</v>
      </c>
      <c r="C98" s="44" t="s">
        <v>115</v>
      </c>
      <c r="D98" s="19" t="s">
        <v>124</v>
      </c>
      <c r="E98" s="19">
        <v>6</v>
      </c>
      <c r="F98" s="19">
        <v>50</v>
      </c>
      <c r="G98" s="19">
        <v>350</v>
      </c>
      <c r="H98" s="19">
        <v>25</v>
      </c>
      <c r="I98" s="80">
        <v>0.82</v>
      </c>
      <c r="J98" s="80">
        <v>20.61</v>
      </c>
      <c r="K98" s="19" t="s">
        <v>117</v>
      </c>
      <c r="L98" s="19" t="s">
        <v>118</v>
      </c>
      <c r="M98" s="26"/>
      <c r="N98" s="26"/>
      <c r="O98" s="26"/>
      <c r="P98" s="26"/>
      <c r="Q98" s="42">
        <v>1</v>
      </c>
      <c r="R98" s="64" t="s">
        <v>119</v>
      </c>
      <c r="S98" s="26"/>
      <c r="T98" s="26"/>
      <c r="U98" s="26"/>
      <c r="V98" s="26" t="s">
        <v>120</v>
      </c>
      <c r="W98" s="26"/>
      <c r="X98" s="26"/>
      <c r="Y98" s="26"/>
      <c r="Z98" s="44" t="s">
        <v>121</v>
      </c>
      <c r="AA98" s="44" t="s">
        <v>122</v>
      </c>
    </row>
    <row r="99" spans="1:28" hidden="1" x14ac:dyDescent="0.25">
      <c r="A99" s="26">
        <v>3</v>
      </c>
      <c r="B99" s="19" t="s">
        <v>125</v>
      </c>
      <c r="C99" s="44" t="s">
        <v>126</v>
      </c>
      <c r="D99" s="19" t="s">
        <v>127</v>
      </c>
      <c r="E99" s="19">
        <v>10</v>
      </c>
      <c r="F99" s="19">
        <v>50</v>
      </c>
      <c r="G99" s="19">
        <v>300</v>
      </c>
      <c r="H99" s="19">
        <v>80</v>
      </c>
      <c r="I99" s="80">
        <v>1.08</v>
      </c>
      <c r="J99" s="80">
        <v>86.24</v>
      </c>
      <c r="K99" s="19" t="s">
        <v>128</v>
      </c>
      <c r="L99" s="19" t="s">
        <v>129</v>
      </c>
      <c r="M99" s="26"/>
      <c r="N99" s="26"/>
      <c r="O99" s="26"/>
      <c r="P99" s="26"/>
      <c r="Q99" s="42">
        <v>1</v>
      </c>
      <c r="R99" s="64" t="s">
        <v>119</v>
      </c>
      <c r="S99" s="26"/>
      <c r="T99" s="26"/>
      <c r="U99" s="26"/>
      <c r="V99" s="26" t="s">
        <v>120</v>
      </c>
      <c r="W99" s="26"/>
      <c r="X99" s="26"/>
      <c r="Y99" s="26"/>
      <c r="Z99" s="44" t="s">
        <v>121</v>
      </c>
      <c r="AA99" s="44" t="s">
        <v>130</v>
      </c>
    </row>
    <row r="100" spans="1:28" hidden="1" x14ac:dyDescent="0.25">
      <c r="A100" s="26">
        <v>4</v>
      </c>
      <c r="B100" s="19" t="s">
        <v>131</v>
      </c>
      <c r="C100" s="44" t="s">
        <v>126</v>
      </c>
      <c r="D100" s="19" t="s">
        <v>132</v>
      </c>
      <c r="E100" s="19">
        <v>10</v>
      </c>
      <c r="F100" s="19">
        <v>50</v>
      </c>
      <c r="G100" s="19">
        <v>50</v>
      </c>
      <c r="H100" s="19">
        <v>100</v>
      </c>
      <c r="I100" s="80">
        <v>0.2</v>
      </c>
      <c r="J100" s="80">
        <v>19.63</v>
      </c>
      <c r="K100" s="19" t="s">
        <v>128</v>
      </c>
      <c r="L100" s="19" t="s">
        <v>129</v>
      </c>
      <c r="M100" s="26"/>
      <c r="N100" s="26"/>
      <c r="O100" s="26"/>
      <c r="P100" s="26"/>
      <c r="Q100" s="42">
        <v>1</v>
      </c>
      <c r="R100" s="64" t="s">
        <v>119</v>
      </c>
      <c r="S100" s="26"/>
      <c r="T100" s="26"/>
      <c r="U100" s="26"/>
      <c r="V100" s="26" t="s">
        <v>120</v>
      </c>
      <c r="W100" s="26"/>
      <c r="X100" s="26"/>
      <c r="Y100" s="26"/>
      <c r="Z100" s="44" t="s">
        <v>121</v>
      </c>
      <c r="AA100" s="44" t="s">
        <v>130</v>
      </c>
    </row>
    <row r="101" spans="1:28" hidden="1" x14ac:dyDescent="0.25">
      <c r="A101" s="26">
        <v>5</v>
      </c>
      <c r="B101" s="19" t="s">
        <v>133</v>
      </c>
      <c r="C101" s="44" t="s">
        <v>134</v>
      </c>
      <c r="D101" s="19" t="s">
        <v>135</v>
      </c>
      <c r="E101" s="19">
        <v>12</v>
      </c>
      <c r="F101" s="19">
        <v>150</v>
      </c>
      <c r="G101" s="19">
        <v>350</v>
      </c>
      <c r="H101" s="19">
        <v>50</v>
      </c>
      <c r="I101" s="80">
        <v>4.95</v>
      </c>
      <c r="J101" s="80">
        <v>247.28</v>
      </c>
      <c r="K101" s="19" t="s">
        <v>136</v>
      </c>
      <c r="L101" s="19" t="s">
        <v>137</v>
      </c>
      <c r="M101" s="26"/>
      <c r="N101" s="26"/>
      <c r="O101" s="26"/>
      <c r="P101" s="26" t="s">
        <v>138</v>
      </c>
      <c r="Q101" s="42">
        <v>1</v>
      </c>
      <c r="R101" s="64" t="s">
        <v>119</v>
      </c>
      <c r="S101" s="26"/>
      <c r="T101" s="26"/>
      <c r="U101" s="26"/>
      <c r="V101" s="26" t="s">
        <v>120</v>
      </c>
      <c r="W101" s="26"/>
      <c r="X101" s="26"/>
      <c r="Y101" s="26"/>
      <c r="Z101" s="44" t="s">
        <v>121</v>
      </c>
      <c r="AA101" s="44" t="s">
        <v>139</v>
      </c>
    </row>
    <row r="102" spans="1:28" hidden="1" x14ac:dyDescent="0.25">
      <c r="A102" s="26">
        <v>6</v>
      </c>
      <c r="B102" s="19" t="s">
        <v>140</v>
      </c>
      <c r="C102" s="44" t="s">
        <v>141</v>
      </c>
      <c r="D102" s="19" t="s">
        <v>142</v>
      </c>
      <c r="E102" s="19">
        <v>16</v>
      </c>
      <c r="F102" s="19">
        <v>50</v>
      </c>
      <c r="G102" s="19">
        <v>100</v>
      </c>
      <c r="H102" s="19">
        <v>14</v>
      </c>
      <c r="I102" s="80">
        <v>0.63</v>
      </c>
      <c r="J102" s="80">
        <v>8.7899999999999991</v>
      </c>
      <c r="K102" s="19" t="s">
        <v>143</v>
      </c>
      <c r="L102" s="19" t="s">
        <v>144</v>
      </c>
      <c r="M102" s="26"/>
      <c r="N102" s="26"/>
      <c r="O102" s="26"/>
      <c r="P102" s="26"/>
      <c r="Q102" s="42">
        <v>1</v>
      </c>
      <c r="R102" s="64" t="s">
        <v>119</v>
      </c>
      <c r="S102" s="26"/>
      <c r="T102" s="26"/>
      <c r="U102" s="26"/>
      <c r="V102" s="26" t="s">
        <v>120</v>
      </c>
      <c r="W102" s="26"/>
      <c r="X102" s="26"/>
      <c r="Y102" s="26"/>
      <c r="Z102" s="44" t="s">
        <v>121</v>
      </c>
      <c r="AA102" s="44" t="s">
        <v>145</v>
      </c>
    </row>
    <row r="103" spans="1:28" hidden="1" x14ac:dyDescent="0.25">
      <c r="A103" s="26">
        <v>7</v>
      </c>
      <c r="B103" s="19" t="s">
        <v>146</v>
      </c>
      <c r="C103" s="44" t="s">
        <v>141</v>
      </c>
      <c r="D103" s="19" t="s">
        <v>147</v>
      </c>
      <c r="E103" s="19">
        <v>16</v>
      </c>
      <c r="F103" s="19">
        <v>200</v>
      </c>
      <c r="G103" s="19">
        <v>600</v>
      </c>
      <c r="H103" s="19">
        <v>14</v>
      </c>
      <c r="I103" s="80">
        <v>15.07</v>
      </c>
      <c r="J103" s="80">
        <v>211.01</v>
      </c>
      <c r="K103" s="19" t="s">
        <v>143</v>
      </c>
      <c r="L103" s="19" t="s">
        <v>144</v>
      </c>
      <c r="M103" s="26"/>
      <c r="N103" s="26"/>
      <c r="O103" s="26"/>
      <c r="P103" s="26" t="s">
        <v>138</v>
      </c>
      <c r="Q103" s="42">
        <v>1</v>
      </c>
      <c r="R103" s="64" t="s">
        <v>119</v>
      </c>
      <c r="S103" s="26"/>
      <c r="T103" s="26"/>
      <c r="U103" s="26"/>
      <c r="V103" s="26" t="s">
        <v>120</v>
      </c>
      <c r="W103" s="26"/>
      <c r="X103" s="26"/>
      <c r="Y103" s="26"/>
      <c r="Z103" s="44" t="s">
        <v>121</v>
      </c>
      <c r="AA103" s="44" t="s">
        <v>145</v>
      </c>
    </row>
    <row r="104" spans="1:28" hidden="1" x14ac:dyDescent="0.25">
      <c r="A104" s="26">
        <v>8</v>
      </c>
      <c r="B104" s="19" t="s">
        <v>140</v>
      </c>
      <c r="C104" s="44" t="s">
        <v>141</v>
      </c>
      <c r="D104" s="19" t="s">
        <v>142</v>
      </c>
      <c r="E104" s="19">
        <v>16</v>
      </c>
      <c r="F104" s="19">
        <v>50</v>
      </c>
      <c r="G104" s="19">
        <v>100</v>
      </c>
      <c r="H104" s="19">
        <v>23</v>
      </c>
      <c r="I104" s="80">
        <v>0.63</v>
      </c>
      <c r="J104" s="80">
        <v>14.44</v>
      </c>
      <c r="K104" s="19" t="s">
        <v>148</v>
      </c>
      <c r="L104" s="19" t="s">
        <v>149</v>
      </c>
      <c r="M104" s="26"/>
      <c r="N104" s="26"/>
      <c r="O104" s="26"/>
      <c r="P104" s="26"/>
      <c r="Q104" s="42">
        <v>1</v>
      </c>
      <c r="R104" s="64" t="s">
        <v>119</v>
      </c>
      <c r="S104" s="26"/>
      <c r="T104" s="26"/>
      <c r="U104" s="26"/>
      <c r="V104" s="26" t="s">
        <v>120</v>
      </c>
      <c r="W104" s="26"/>
      <c r="X104" s="26"/>
      <c r="Y104" s="26"/>
      <c r="Z104" s="44" t="s">
        <v>121</v>
      </c>
      <c r="AA104" s="44" t="s">
        <v>150</v>
      </c>
    </row>
    <row r="105" spans="1:28" hidden="1" x14ac:dyDescent="0.25">
      <c r="A105" s="26">
        <v>9</v>
      </c>
      <c r="B105" s="19" t="s">
        <v>146</v>
      </c>
      <c r="C105" s="44" t="s">
        <v>141</v>
      </c>
      <c r="D105" s="19" t="s">
        <v>147</v>
      </c>
      <c r="E105" s="19">
        <v>16</v>
      </c>
      <c r="F105" s="19">
        <v>200</v>
      </c>
      <c r="G105" s="19">
        <v>600</v>
      </c>
      <c r="H105" s="19">
        <v>5</v>
      </c>
      <c r="I105" s="80">
        <v>15.07</v>
      </c>
      <c r="J105" s="80">
        <v>75.36</v>
      </c>
      <c r="K105" s="19" t="s">
        <v>148</v>
      </c>
      <c r="L105" s="19" t="s">
        <v>149</v>
      </c>
      <c r="M105" s="26"/>
      <c r="N105" s="26"/>
      <c r="O105" s="26"/>
      <c r="P105" s="26" t="s">
        <v>138</v>
      </c>
      <c r="Q105" s="42">
        <v>1</v>
      </c>
      <c r="R105" s="64" t="s">
        <v>119</v>
      </c>
      <c r="S105" s="26"/>
      <c r="T105" s="26"/>
      <c r="U105" s="26"/>
      <c r="V105" s="26" t="s">
        <v>120</v>
      </c>
      <c r="W105" s="26"/>
      <c r="X105" s="26"/>
      <c r="Y105" s="26"/>
      <c r="Z105" s="44" t="s">
        <v>121</v>
      </c>
      <c r="AA105" s="44" t="s">
        <v>150</v>
      </c>
    </row>
    <row r="106" spans="1:28" hidden="1" x14ac:dyDescent="0.25">
      <c r="A106" s="26">
        <v>10</v>
      </c>
      <c r="B106" s="19" t="s">
        <v>140</v>
      </c>
      <c r="C106" s="44" t="s">
        <v>141</v>
      </c>
      <c r="D106" s="19" t="s">
        <v>142</v>
      </c>
      <c r="E106" s="19">
        <v>16</v>
      </c>
      <c r="F106" s="19">
        <v>50</v>
      </c>
      <c r="G106" s="19">
        <v>100</v>
      </c>
      <c r="H106" s="19">
        <v>3</v>
      </c>
      <c r="I106" s="80">
        <v>0.63</v>
      </c>
      <c r="J106" s="80">
        <v>1.88</v>
      </c>
      <c r="K106" s="19" t="s">
        <v>151</v>
      </c>
      <c r="L106" s="19" t="s">
        <v>152</v>
      </c>
      <c r="M106" s="26"/>
      <c r="N106" s="26"/>
      <c r="O106" s="26"/>
      <c r="P106" s="26"/>
      <c r="Q106" s="42">
        <v>1</v>
      </c>
      <c r="R106" s="64" t="s">
        <v>119</v>
      </c>
      <c r="S106" s="26"/>
      <c r="T106" s="26"/>
      <c r="U106" s="26"/>
      <c r="V106" s="26" t="s">
        <v>120</v>
      </c>
      <c r="W106" s="26"/>
      <c r="X106" s="26"/>
      <c r="Y106" s="26"/>
      <c r="Z106" s="44" t="s">
        <v>121</v>
      </c>
      <c r="AA106" s="44" t="s">
        <v>153</v>
      </c>
    </row>
    <row r="107" spans="1:28" hidden="1" x14ac:dyDescent="0.25">
      <c r="A107" s="26">
        <v>11</v>
      </c>
      <c r="B107" s="19" t="s">
        <v>146</v>
      </c>
      <c r="C107" s="44" t="s">
        <v>141</v>
      </c>
      <c r="D107" s="19" t="s">
        <v>147</v>
      </c>
      <c r="E107" s="19">
        <v>16</v>
      </c>
      <c r="F107" s="19">
        <v>200</v>
      </c>
      <c r="G107" s="19">
        <v>600</v>
      </c>
      <c r="H107" s="19">
        <v>1</v>
      </c>
      <c r="I107" s="80">
        <v>15.07</v>
      </c>
      <c r="J107" s="80">
        <v>15.07</v>
      </c>
      <c r="K107" s="19" t="s">
        <v>151</v>
      </c>
      <c r="L107" s="19" t="s">
        <v>152</v>
      </c>
      <c r="M107" s="26"/>
      <c r="N107" s="26"/>
      <c r="O107" s="26"/>
      <c r="P107" s="26" t="s">
        <v>138</v>
      </c>
      <c r="Q107" s="42">
        <v>1</v>
      </c>
      <c r="R107" s="64" t="s">
        <v>119</v>
      </c>
      <c r="S107" s="26"/>
      <c r="T107" s="26"/>
      <c r="U107" s="26"/>
      <c r="V107" s="26" t="s">
        <v>120</v>
      </c>
      <c r="W107" s="26"/>
      <c r="X107" s="26"/>
      <c r="Y107" s="26"/>
      <c r="Z107" s="44" t="s">
        <v>121</v>
      </c>
      <c r="AA107" s="44" t="s">
        <v>153</v>
      </c>
    </row>
    <row r="108" spans="1:28" hidden="1" x14ac:dyDescent="0.25">
      <c r="A108" s="26">
        <v>1</v>
      </c>
      <c r="B108" s="19" t="s">
        <v>171</v>
      </c>
      <c r="C108" s="44" t="s">
        <v>172</v>
      </c>
      <c r="D108" s="19" t="s">
        <v>173</v>
      </c>
      <c r="E108" s="19">
        <v>10</v>
      </c>
      <c r="F108" s="19">
        <v>30</v>
      </c>
      <c r="G108" s="19">
        <v>50</v>
      </c>
      <c r="H108" s="19">
        <v>52</v>
      </c>
      <c r="I108" s="80">
        <v>0.11</v>
      </c>
      <c r="J108" s="80">
        <v>5.8</v>
      </c>
      <c r="K108" s="19" t="s">
        <v>174</v>
      </c>
      <c r="L108" s="19" t="s">
        <v>175</v>
      </c>
      <c r="M108" s="26"/>
      <c r="N108" s="26" t="s">
        <v>176</v>
      </c>
      <c r="O108" s="26"/>
      <c r="P108" s="26"/>
      <c r="Q108" s="42">
        <v>2</v>
      </c>
      <c r="R108" s="64" t="s">
        <v>177</v>
      </c>
      <c r="S108" s="26"/>
      <c r="T108" s="26"/>
      <c r="U108" s="26"/>
      <c r="V108" s="26" t="s">
        <v>178</v>
      </c>
      <c r="W108" s="26"/>
      <c r="X108" s="26" t="s">
        <v>138</v>
      </c>
      <c r="Y108" s="26"/>
      <c r="Z108" s="44" t="s">
        <v>179</v>
      </c>
      <c r="AA108" s="44" t="s">
        <v>180</v>
      </c>
      <c r="AB108" s="85" t="str">
        <f t="shared" ref="AB108:AB155" si="0">$B$2</f>
        <v>10726-141 DG XK SHIPLIFT ÚC</v>
      </c>
    </row>
    <row r="109" spans="1:28" hidden="1" x14ac:dyDescent="0.25">
      <c r="A109" s="26">
        <v>2</v>
      </c>
      <c r="B109" s="19" t="s">
        <v>181</v>
      </c>
      <c r="C109" s="44" t="s">
        <v>172</v>
      </c>
      <c r="D109" s="19" t="s">
        <v>173</v>
      </c>
      <c r="E109" s="19">
        <v>10</v>
      </c>
      <c r="F109" s="19">
        <v>30</v>
      </c>
      <c r="G109" s="19">
        <v>50</v>
      </c>
      <c r="H109" s="19">
        <v>36</v>
      </c>
      <c r="I109" s="80">
        <v>0.11</v>
      </c>
      <c r="J109" s="80">
        <v>4.0199999999999996</v>
      </c>
      <c r="K109" s="19" t="s">
        <v>174</v>
      </c>
      <c r="L109" s="19" t="s">
        <v>175</v>
      </c>
      <c r="M109" s="26"/>
      <c r="N109" s="26" t="s">
        <v>176</v>
      </c>
      <c r="O109" s="26"/>
      <c r="P109" s="26"/>
      <c r="Q109" s="42">
        <v>2</v>
      </c>
      <c r="R109" s="64" t="s">
        <v>177</v>
      </c>
      <c r="S109" s="26"/>
      <c r="T109" s="26"/>
      <c r="U109" s="26"/>
      <c r="V109" s="26" t="s">
        <v>178</v>
      </c>
      <c r="W109" s="26"/>
      <c r="X109" s="26" t="s">
        <v>138</v>
      </c>
      <c r="Y109" s="26"/>
      <c r="Z109" s="44" t="s">
        <v>179</v>
      </c>
      <c r="AA109" s="44" t="s">
        <v>180</v>
      </c>
      <c r="AB109" s="85" t="str">
        <f t="shared" si="0"/>
        <v>10726-141 DG XK SHIPLIFT ÚC</v>
      </c>
    </row>
    <row r="110" spans="1:28" hidden="1" x14ac:dyDescent="0.25">
      <c r="A110" s="26">
        <v>3</v>
      </c>
      <c r="B110" s="19" t="s">
        <v>182</v>
      </c>
      <c r="C110" s="44" t="s">
        <v>172</v>
      </c>
      <c r="D110" s="19" t="s">
        <v>183</v>
      </c>
      <c r="E110" s="19">
        <v>12</v>
      </c>
      <c r="F110" s="19">
        <v>295</v>
      </c>
      <c r="G110" s="19">
        <v>335</v>
      </c>
      <c r="H110" s="19">
        <v>80</v>
      </c>
      <c r="I110" s="80">
        <v>6.71</v>
      </c>
      <c r="J110" s="80">
        <v>536.98</v>
      </c>
      <c r="K110" s="19" t="s">
        <v>184</v>
      </c>
      <c r="L110" s="19" t="s">
        <v>185</v>
      </c>
      <c r="M110" s="26"/>
      <c r="N110" s="26"/>
      <c r="O110" s="26"/>
      <c r="P110" s="26"/>
      <c r="Q110" s="42">
        <v>2</v>
      </c>
      <c r="R110" s="64" t="s">
        <v>177</v>
      </c>
      <c r="S110" s="26"/>
      <c r="T110" s="26"/>
      <c r="U110" s="26"/>
      <c r="V110" s="26" t="s">
        <v>178</v>
      </c>
      <c r="W110" s="26" t="s">
        <v>138</v>
      </c>
      <c r="X110" s="26"/>
      <c r="Y110" s="26"/>
      <c r="Z110" s="44" t="s">
        <v>179</v>
      </c>
      <c r="AA110" s="44" t="s">
        <v>180</v>
      </c>
      <c r="AB110" s="85" t="str">
        <f t="shared" si="0"/>
        <v>10726-141 DG XK SHIPLIFT ÚC</v>
      </c>
    </row>
    <row r="111" spans="1:28" hidden="1" x14ac:dyDescent="0.25">
      <c r="A111" s="26">
        <v>4</v>
      </c>
      <c r="B111" s="19" t="s">
        <v>186</v>
      </c>
      <c r="C111" s="44" t="s">
        <v>172</v>
      </c>
      <c r="D111" s="19" t="s">
        <v>187</v>
      </c>
      <c r="E111" s="19">
        <v>12</v>
      </c>
      <c r="F111" s="19">
        <v>295</v>
      </c>
      <c r="G111" s="19">
        <v>300</v>
      </c>
      <c r="H111" s="19">
        <v>28</v>
      </c>
      <c r="I111" s="80">
        <v>7.01</v>
      </c>
      <c r="J111" s="80">
        <v>196.38</v>
      </c>
      <c r="K111" s="19" t="s">
        <v>184</v>
      </c>
      <c r="L111" s="19" t="s">
        <v>185</v>
      </c>
      <c r="M111" s="26"/>
      <c r="N111" s="26"/>
      <c r="O111" s="26"/>
      <c r="P111" s="26"/>
      <c r="Q111" s="42">
        <v>2</v>
      </c>
      <c r="R111" s="64" t="s">
        <v>177</v>
      </c>
      <c r="S111" s="26"/>
      <c r="T111" s="26"/>
      <c r="U111" s="26"/>
      <c r="V111" s="26" t="s">
        <v>178</v>
      </c>
      <c r="W111" s="26" t="s">
        <v>138</v>
      </c>
      <c r="X111" s="26"/>
      <c r="Y111" s="26"/>
      <c r="Z111" s="44" t="s">
        <v>179</v>
      </c>
      <c r="AA111" s="44" t="s">
        <v>180</v>
      </c>
      <c r="AB111" s="85" t="str">
        <f t="shared" si="0"/>
        <v>10726-141 DG XK SHIPLIFT ÚC</v>
      </c>
    </row>
    <row r="112" spans="1:28" hidden="1" x14ac:dyDescent="0.25">
      <c r="A112" s="26">
        <v>5</v>
      </c>
      <c r="B112" s="91" t="s">
        <v>188</v>
      </c>
      <c r="C112" s="92" t="s">
        <v>172</v>
      </c>
      <c r="D112" s="91" t="s">
        <v>189</v>
      </c>
      <c r="E112" s="91">
        <v>12</v>
      </c>
      <c r="F112" s="91">
        <v>75</v>
      </c>
      <c r="G112" s="91">
        <v>75</v>
      </c>
      <c r="H112" s="91">
        <v>4</v>
      </c>
      <c r="I112" s="93">
        <v>0.53</v>
      </c>
      <c r="J112" s="93">
        <v>2.12</v>
      </c>
      <c r="K112" s="91" t="s">
        <v>184</v>
      </c>
      <c r="L112" s="91" t="s">
        <v>185</v>
      </c>
      <c r="M112" s="26"/>
      <c r="N112" s="26"/>
      <c r="O112" s="26"/>
      <c r="P112" s="26"/>
      <c r="Q112" s="42">
        <v>2</v>
      </c>
      <c r="R112" s="64" t="s">
        <v>177</v>
      </c>
      <c r="S112" s="26"/>
      <c r="T112" s="94"/>
      <c r="U112" s="26"/>
      <c r="V112" s="26" t="s">
        <v>178</v>
      </c>
      <c r="W112" s="26" t="s">
        <v>138</v>
      </c>
      <c r="X112" s="26"/>
      <c r="Y112" s="26"/>
      <c r="Z112" s="44" t="s">
        <v>179</v>
      </c>
      <c r="AA112" s="92" t="s">
        <v>180</v>
      </c>
      <c r="AB112" s="85" t="str">
        <f t="shared" si="0"/>
        <v>10726-141 DG XK SHIPLIFT ÚC</v>
      </c>
    </row>
    <row r="113" spans="1:28" hidden="1" x14ac:dyDescent="0.25">
      <c r="A113" s="26">
        <v>6</v>
      </c>
      <c r="B113" s="19" t="s">
        <v>190</v>
      </c>
      <c r="C113" s="44" t="s">
        <v>172</v>
      </c>
      <c r="D113" s="19" t="s">
        <v>183</v>
      </c>
      <c r="E113" s="19">
        <v>12</v>
      </c>
      <c r="F113" s="19">
        <v>295</v>
      </c>
      <c r="G113" s="19">
        <v>335</v>
      </c>
      <c r="H113" s="19">
        <v>80</v>
      </c>
      <c r="I113" s="80">
        <v>6.71</v>
      </c>
      <c r="J113" s="80">
        <v>536.98</v>
      </c>
      <c r="K113" s="19" t="s">
        <v>184</v>
      </c>
      <c r="L113" s="19" t="s">
        <v>185</v>
      </c>
      <c r="M113" s="26"/>
      <c r="N113" s="26"/>
      <c r="O113" s="26"/>
      <c r="P113" s="26"/>
      <c r="Q113" s="42">
        <v>2</v>
      </c>
      <c r="R113" s="64" t="s">
        <v>177</v>
      </c>
      <c r="S113" s="26"/>
      <c r="T113" s="26"/>
      <c r="U113" s="26"/>
      <c r="V113" s="26" t="s">
        <v>178</v>
      </c>
      <c r="W113" s="26" t="s">
        <v>138</v>
      </c>
      <c r="X113" s="26"/>
      <c r="Y113" s="26"/>
      <c r="Z113" s="44" t="s">
        <v>179</v>
      </c>
      <c r="AA113" s="44" t="s">
        <v>180</v>
      </c>
      <c r="AB113" s="85" t="str">
        <f t="shared" si="0"/>
        <v>10726-141 DG XK SHIPLIFT ÚC</v>
      </c>
    </row>
    <row r="114" spans="1:28" hidden="1" x14ac:dyDescent="0.25">
      <c r="A114" s="26">
        <v>7</v>
      </c>
      <c r="B114" s="19" t="s">
        <v>191</v>
      </c>
      <c r="C114" s="44" t="s">
        <v>172</v>
      </c>
      <c r="D114" s="19" t="s">
        <v>187</v>
      </c>
      <c r="E114" s="19">
        <v>12</v>
      </c>
      <c r="F114" s="19">
        <v>295</v>
      </c>
      <c r="G114" s="19">
        <v>300</v>
      </c>
      <c r="H114" s="19">
        <v>28</v>
      </c>
      <c r="I114" s="80">
        <v>7.01</v>
      </c>
      <c r="J114" s="80">
        <v>196.38</v>
      </c>
      <c r="K114" s="19" t="s">
        <v>184</v>
      </c>
      <c r="L114" s="19" t="s">
        <v>185</v>
      </c>
      <c r="M114" s="26"/>
      <c r="N114" s="26"/>
      <c r="O114" s="26"/>
      <c r="P114" s="26"/>
      <c r="Q114" s="42">
        <v>2</v>
      </c>
      <c r="R114" s="64" t="s">
        <v>177</v>
      </c>
      <c r="S114" s="26"/>
      <c r="T114" s="26"/>
      <c r="U114" s="26"/>
      <c r="V114" s="26" t="s">
        <v>178</v>
      </c>
      <c r="W114" s="26" t="s">
        <v>138</v>
      </c>
      <c r="X114" s="26"/>
      <c r="Y114" s="26"/>
      <c r="Z114" s="44" t="s">
        <v>179</v>
      </c>
      <c r="AA114" s="44" t="s">
        <v>180</v>
      </c>
      <c r="AB114" s="85" t="str">
        <f t="shared" si="0"/>
        <v>10726-141 DG XK SHIPLIFT ÚC</v>
      </c>
    </row>
    <row r="115" spans="1:28" hidden="1" x14ac:dyDescent="0.25">
      <c r="A115" s="26">
        <v>8</v>
      </c>
      <c r="B115" s="19" t="s">
        <v>192</v>
      </c>
      <c r="C115" s="44" t="s">
        <v>172</v>
      </c>
      <c r="D115" s="19" t="s">
        <v>189</v>
      </c>
      <c r="E115" s="19">
        <v>12</v>
      </c>
      <c r="F115" s="19">
        <v>75</v>
      </c>
      <c r="G115" s="19">
        <v>75</v>
      </c>
      <c r="H115" s="19">
        <v>4</v>
      </c>
      <c r="I115" s="80">
        <v>0.53</v>
      </c>
      <c r="J115" s="80">
        <v>2.12</v>
      </c>
      <c r="K115" s="19" t="s">
        <v>184</v>
      </c>
      <c r="L115" s="19" t="s">
        <v>185</v>
      </c>
      <c r="M115" s="26"/>
      <c r="N115" s="26"/>
      <c r="O115" s="26"/>
      <c r="P115" s="26"/>
      <c r="Q115" s="42">
        <v>2</v>
      </c>
      <c r="R115" s="64" t="s">
        <v>177</v>
      </c>
      <c r="S115" s="26"/>
      <c r="T115" s="26"/>
      <c r="U115" s="26"/>
      <c r="V115" s="26" t="s">
        <v>178</v>
      </c>
      <c r="W115" s="26" t="s">
        <v>138</v>
      </c>
      <c r="X115" s="26"/>
      <c r="Y115" s="26"/>
      <c r="Z115" s="44" t="s">
        <v>179</v>
      </c>
      <c r="AA115" s="44" t="s">
        <v>180</v>
      </c>
      <c r="AB115" s="85" t="str">
        <f t="shared" si="0"/>
        <v>10726-141 DG XK SHIPLIFT ÚC</v>
      </c>
    </row>
    <row r="116" spans="1:28" hidden="1" x14ac:dyDescent="0.25">
      <c r="A116" s="26">
        <v>9</v>
      </c>
      <c r="B116" s="19" t="s">
        <v>193</v>
      </c>
      <c r="C116" s="44" t="s">
        <v>172</v>
      </c>
      <c r="D116" s="19" t="s">
        <v>194</v>
      </c>
      <c r="E116" s="19">
        <v>20</v>
      </c>
      <c r="F116" s="19">
        <v>30</v>
      </c>
      <c r="G116" s="19">
        <v>90</v>
      </c>
      <c r="H116" s="19">
        <v>4</v>
      </c>
      <c r="I116" s="80">
        <v>0.4</v>
      </c>
      <c r="J116" s="80">
        <v>1.58</v>
      </c>
      <c r="K116" s="19" t="s">
        <v>195</v>
      </c>
      <c r="L116" s="19" t="s">
        <v>196</v>
      </c>
      <c r="M116" s="26"/>
      <c r="N116" s="26" t="s">
        <v>176</v>
      </c>
      <c r="O116" s="26"/>
      <c r="P116" s="26"/>
      <c r="Q116" s="42">
        <v>2</v>
      </c>
      <c r="R116" s="64" t="s">
        <v>177</v>
      </c>
      <c r="S116" s="26"/>
      <c r="T116" s="26"/>
      <c r="U116" s="26"/>
      <c r="V116" s="26" t="s">
        <v>178</v>
      </c>
      <c r="W116" s="26"/>
      <c r="X116" s="26" t="s">
        <v>138</v>
      </c>
      <c r="Y116" s="26"/>
      <c r="Z116" s="44" t="s">
        <v>179</v>
      </c>
      <c r="AA116" s="44" t="s">
        <v>180</v>
      </c>
      <c r="AB116" s="85" t="str">
        <f t="shared" si="0"/>
        <v>10726-141 DG XK SHIPLIFT ÚC</v>
      </c>
    </row>
    <row r="117" spans="1:28" hidden="1" x14ac:dyDescent="0.25">
      <c r="A117" s="26">
        <v>10</v>
      </c>
      <c r="B117" s="19" t="s">
        <v>197</v>
      </c>
      <c r="C117" s="44" t="s">
        <v>172</v>
      </c>
      <c r="D117" s="19" t="s">
        <v>198</v>
      </c>
      <c r="E117" s="19">
        <v>20</v>
      </c>
      <c r="F117" s="19">
        <v>30</v>
      </c>
      <c r="G117" s="19">
        <v>30</v>
      </c>
      <c r="H117" s="19">
        <v>8</v>
      </c>
      <c r="I117" s="80">
        <v>0.13</v>
      </c>
      <c r="J117" s="80">
        <v>1.06</v>
      </c>
      <c r="K117" s="19" t="s">
        <v>195</v>
      </c>
      <c r="L117" s="19" t="s">
        <v>196</v>
      </c>
      <c r="M117" s="26"/>
      <c r="N117" s="26" t="s">
        <v>176</v>
      </c>
      <c r="O117" s="26"/>
      <c r="P117" s="26"/>
      <c r="Q117" s="42">
        <v>2</v>
      </c>
      <c r="R117" s="64" t="s">
        <v>177</v>
      </c>
      <c r="S117" s="26"/>
      <c r="T117" s="26"/>
      <c r="U117" s="26"/>
      <c r="V117" s="26" t="s">
        <v>178</v>
      </c>
      <c r="W117" s="26"/>
      <c r="X117" s="26" t="s">
        <v>138</v>
      </c>
      <c r="Y117" s="26"/>
      <c r="Z117" s="44" t="s">
        <v>179</v>
      </c>
      <c r="AA117" s="44" t="s">
        <v>180</v>
      </c>
      <c r="AB117" s="85" t="str">
        <f t="shared" si="0"/>
        <v>10726-141 DG XK SHIPLIFT ÚC</v>
      </c>
    </row>
    <row r="118" spans="1:28" hidden="1" x14ac:dyDescent="0.25">
      <c r="A118" s="26">
        <v>11</v>
      </c>
      <c r="B118" s="19" t="s">
        <v>199</v>
      </c>
      <c r="C118" s="44" t="s">
        <v>172</v>
      </c>
      <c r="D118" s="19" t="s">
        <v>200</v>
      </c>
      <c r="E118" s="19">
        <v>20</v>
      </c>
      <c r="F118" s="19">
        <v>250</v>
      </c>
      <c r="G118" s="19">
        <v>2658</v>
      </c>
      <c r="H118" s="19">
        <v>4</v>
      </c>
      <c r="I118" s="80">
        <v>104.28</v>
      </c>
      <c r="J118" s="80">
        <v>417.12</v>
      </c>
      <c r="K118" s="19" t="s">
        <v>195</v>
      </c>
      <c r="L118" s="19" t="s">
        <v>196</v>
      </c>
      <c r="M118" s="26"/>
      <c r="N118" s="26"/>
      <c r="O118" s="26"/>
      <c r="P118" s="26"/>
      <c r="Q118" s="42">
        <v>2</v>
      </c>
      <c r="R118" s="64" t="s">
        <v>177</v>
      </c>
      <c r="S118" s="26"/>
      <c r="T118" s="26"/>
      <c r="U118" s="26"/>
      <c r="V118" s="26" t="s">
        <v>178</v>
      </c>
      <c r="W118" s="26" t="s">
        <v>138</v>
      </c>
      <c r="X118" s="26"/>
      <c r="Y118" s="26"/>
      <c r="Z118" s="44" t="s">
        <v>179</v>
      </c>
      <c r="AA118" s="44" t="s">
        <v>180</v>
      </c>
      <c r="AB118" s="85" t="str">
        <f t="shared" si="0"/>
        <v>10726-141 DG XK SHIPLIFT ÚC</v>
      </c>
    </row>
    <row r="119" spans="1:28" hidden="1" x14ac:dyDescent="0.25">
      <c r="A119" s="26">
        <v>12</v>
      </c>
      <c r="B119" s="19" t="s">
        <v>201</v>
      </c>
      <c r="C119" s="44" t="s">
        <v>172</v>
      </c>
      <c r="D119" s="19" t="s">
        <v>202</v>
      </c>
      <c r="E119" s="19">
        <v>20</v>
      </c>
      <c r="F119" s="19">
        <v>250</v>
      </c>
      <c r="G119" s="19">
        <v>2638</v>
      </c>
      <c r="H119" s="19">
        <v>10</v>
      </c>
      <c r="I119" s="80">
        <v>103.5</v>
      </c>
      <c r="J119" s="80">
        <v>1034.96</v>
      </c>
      <c r="K119" s="19" t="s">
        <v>195</v>
      </c>
      <c r="L119" s="19" t="s">
        <v>196</v>
      </c>
      <c r="M119" s="26"/>
      <c r="N119" s="26"/>
      <c r="O119" s="26"/>
      <c r="P119" s="26"/>
      <c r="Q119" s="42">
        <v>2</v>
      </c>
      <c r="R119" s="64" t="s">
        <v>177</v>
      </c>
      <c r="S119" s="26"/>
      <c r="T119" s="26"/>
      <c r="U119" s="26"/>
      <c r="V119" s="26" t="s">
        <v>178</v>
      </c>
      <c r="W119" s="26" t="s">
        <v>138</v>
      </c>
      <c r="X119" s="26"/>
      <c r="Y119" s="26"/>
      <c r="Z119" s="44" t="s">
        <v>179</v>
      </c>
      <c r="AA119" s="44" t="s">
        <v>180</v>
      </c>
      <c r="AB119" s="85" t="str">
        <f t="shared" si="0"/>
        <v>10726-141 DG XK SHIPLIFT ÚC</v>
      </c>
    </row>
    <row r="120" spans="1:28" hidden="1" x14ac:dyDescent="0.25">
      <c r="A120" s="26">
        <v>13</v>
      </c>
      <c r="B120" s="19" t="s">
        <v>203</v>
      </c>
      <c r="C120" s="44" t="s">
        <v>172</v>
      </c>
      <c r="D120" s="19" t="s">
        <v>204</v>
      </c>
      <c r="E120" s="19">
        <v>20</v>
      </c>
      <c r="F120" s="19">
        <v>250</v>
      </c>
      <c r="G120" s="19">
        <v>1218</v>
      </c>
      <c r="H120" s="19">
        <v>2</v>
      </c>
      <c r="I120" s="80">
        <v>47.76</v>
      </c>
      <c r="J120" s="80">
        <v>95.53</v>
      </c>
      <c r="K120" s="19" t="s">
        <v>195</v>
      </c>
      <c r="L120" s="19" t="s">
        <v>196</v>
      </c>
      <c r="M120" s="26"/>
      <c r="N120" s="26"/>
      <c r="O120" s="26"/>
      <c r="P120" s="26"/>
      <c r="Q120" s="42">
        <v>2</v>
      </c>
      <c r="R120" s="64" t="s">
        <v>177</v>
      </c>
      <c r="S120" s="26"/>
      <c r="T120" s="26"/>
      <c r="U120" s="26"/>
      <c r="V120" s="26" t="s">
        <v>178</v>
      </c>
      <c r="W120" s="26" t="s">
        <v>138</v>
      </c>
      <c r="X120" s="26"/>
      <c r="Y120" s="26"/>
      <c r="Z120" s="44" t="s">
        <v>179</v>
      </c>
      <c r="AA120" s="44" t="s">
        <v>180</v>
      </c>
      <c r="AB120" s="85" t="str">
        <f t="shared" si="0"/>
        <v>10726-141 DG XK SHIPLIFT ÚC</v>
      </c>
    </row>
    <row r="121" spans="1:28" hidden="1" x14ac:dyDescent="0.25">
      <c r="A121" s="26">
        <v>14</v>
      </c>
      <c r="B121" s="19" t="s">
        <v>205</v>
      </c>
      <c r="C121" s="44" t="s">
        <v>172</v>
      </c>
      <c r="D121" s="19" t="s">
        <v>194</v>
      </c>
      <c r="E121" s="19">
        <v>20</v>
      </c>
      <c r="F121" s="19">
        <v>30</v>
      </c>
      <c r="G121" s="19">
        <v>90</v>
      </c>
      <c r="H121" s="19">
        <v>4</v>
      </c>
      <c r="I121" s="80">
        <v>0.4</v>
      </c>
      <c r="J121" s="80">
        <v>1.58</v>
      </c>
      <c r="K121" s="19" t="s">
        <v>195</v>
      </c>
      <c r="L121" s="19" t="s">
        <v>196</v>
      </c>
      <c r="M121" s="26"/>
      <c r="N121" s="26" t="s">
        <v>176</v>
      </c>
      <c r="O121" s="26"/>
      <c r="P121" s="26"/>
      <c r="Q121" s="42">
        <v>2</v>
      </c>
      <c r="R121" s="64" t="s">
        <v>177</v>
      </c>
      <c r="S121" s="26"/>
      <c r="T121" s="26"/>
      <c r="U121" s="26"/>
      <c r="V121" s="26" t="s">
        <v>178</v>
      </c>
      <c r="W121" s="26"/>
      <c r="X121" s="26" t="s">
        <v>138</v>
      </c>
      <c r="Y121" s="26"/>
      <c r="Z121" s="44" t="s">
        <v>179</v>
      </c>
      <c r="AA121" s="44" t="s">
        <v>180</v>
      </c>
      <c r="AB121" s="85" t="str">
        <f t="shared" si="0"/>
        <v>10726-141 DG XK SHIPLIFT ÚC</v>
      </c>
    </row>
    <row r="122" spans="1:28" hidden="1" x14ac:dyDescent="0.25">
      <c r="A122" s="26">
        <v>15</v>
      </c>
      <c r="B122" s="91" t="s">
        <v>206</v>
      </c>
      <c r="C122" s="92" t="s">
        <v>172</v>
      </c>
      <c r="D122" s="91" t="s">
        <v>200</v>
      </c>
      <c r="E122" s="91">
        <v>20</v>
      </c>
      <c r="F122" s="91">
        <v>250</v>
      </c>
      <c r="G122" s="91">
        <v>2658</v>
      </c>
      <c r="H122" s="91">
        <v>4</v>
      </c>
      <c r="I122" s="93">
        <v>104.28</v>
      </c>
      <c r="J122" s="93">
        <v>417.12</v>
      </c>
      <c r="K122" s="91" t="s">
        <v>195</v>
      </c>
      <c r="L122" s="91" t="s">
        <v>196</v>
      </c>
      <c r="M122" s="94"/>
      <c r="N122" s="94"/>
      <c r="O122" s="94"/>
      <c r="P122" s="94"/>
      <c r="Q122" s="95">
        <v>2</v>
      </c>
      <c r="R122" s="97" t="s">
        <v>177</v>
      </c>
      <c r="S122" s="94"/>
      <c r="T122" s="94"/>
      <c r="U122" s="94"/>
      <c r="V122" s="94" t="s">
        <v>178</v>
      </c>
      <c r="W122" s="94" t="s">
        <v>138</v>
      </c>
      <c r="X122" s="94"/>
      <c r="Y122" s="94"/>
      <c r="Z122" s="92" t="s">
        <v>179</v>
      </c>
      <c r="AA122" s="92" t="s">
        <v>180</v>
      </c>
      <c r="AB122" s="85" t="str">
        <f t="shared" si="0"/>
        <v>10726-141 DG XK SHIPLIFT ÚC</v>
      </c>
    </row>
    <row r="123" spans="1:28" hidden="1" x14ac:dyDescent="0.25">
      <c r="A123" s="26">
        <v>16</v>
      </c>
      <c r="B123" s="91" t="s">
        <v>207</v>
      </c>
      <c r="C123" s="92" t="s">
        <v>172</v>
      </c>
      <c r="D123" s="91" t="s">
        <v>202</v>
      </c>
      <c r="E123" s="91">
        <v>20</v>
      </c>
      <c r="F123" s="91">
        <v>250</v>
      </c>
      <c r="G123" s="91">
        <v>2638</v>
      </c>
      <c r="H123" s="91">
        <v>10</v>
      </c>
      <c r="I123" s="93">
        <v>103.5</v>
      </c>
      <c r="J123" s="93">
        <v>1034.96</v>
      </c>
      <c r="K123" s="91" t="s">
        <v>195</v>
      </c>
      <c r="L123" s="91" t="s">
        <v>196</v>
      </c>
      <c r="M123" s="94"/>
      <c r="N123" s="94"/>
      <c r="O123" s="94"/>
      <c r="P123" s="94"/>
      <c r="Q123" s="95">
        <v>2</v>
      </c>
      <c r="R123" s="97" t="s">
        <v>177</v>
      </c>
      <c r="S123" s="94"/>
      <c r="T123" s="94"/>
      <c r="U123" s="94"/>
      <c r="V123" s="94" t="s">
        <v>178</v>
      </c>
      <c r="W123" s="94" t="s">
        <v>138</v>
      </c>
      <c r="X123" s="94"/>
      <c r="Y123" s="94"/>
      <c r="Z123" s="92" t="s">
        <v>179</v>
      </c>
      <c r="AA123" s="92" t="s">
        <v>180</v>
      </c>
      <c r="AB123" s="85" t="str">
        <f t="shared" si="0"/>
        <v>10726-141 DG XK SHIPLIFT ÚC</v>
      </c>
    </row>
    <row r="124" spans="1:28" hidden="1" x14ac:dyDescent="0.25">
      <c r="A124" s="26">
        <v>17</v>
      </c>
      <c r="B124" s="91" t="s">
        <v>208</v>
      </c>
      <c r="C124" s="92" t="s">
        <v>172</v>
      </c>
      <c r="D124" s="91" t="s">
        <v>204</v>
      </c>
      <c r="E124" s="91">
        <v>20</v>
      </c>
      <c r="F124" s="91">
        <v>250</v>
      </c>
      <c r="G124" s="91">
        <v>1218</v>
      </c>
      <c r="H124" s="91">
        <v>4</v>
      </c>
      <c r="I124" s="93">
        <v>47.77</v>
      </c>
      <c r="J124" s="93">
        <v>191.07</v>
      </c>
      <c r="K124" s="91" t="s">
        <v>195</v>
      </c>
      <c r="L124" s="91" t="s">
        <v>196</v>
      </c>
      <c r="M124" s="94"/>
      <c r="N124" s="94"/>
      <c r="O124" s="94"/>
      <c r="P124" s="94"/>
      <c r="Q124" s="95">
        <v>2</v>
      </c>
      <c r="R124" s="97" t="s">
        <v>177</v>
      </c>
      <c r="S124" s="94"/>
      <c r="T124" s="94"/>
      <c r="U124" s="94"/>
      <c r="V124" s="94" t="s">
        <v>178</v>
      </c>
      <c r="W124" s="94" t="s">
        <v>138</v>
      </c>
      <c r="X124" s="94"/>
      <c r="Y124" s="94"/>
      <c r="Z124" s="92" t="s">
        <v>179</v>
      </c>
      <c r="AA124" s="92" t="s">
        <v>180</v>
      </c>
      <c r="AB124" s="85" t="str">
        <f t="shared" si="0"/>
        <v>10726-141 DG XK SHIPLIFT ÚC</v>
      </c>
    </row>
    <row r="125" spans="1:28" hidden="1" x14ac:dyDescent="0.25">
      <c r="A125" s="26">
        <v>18</v>
      </c>
      <c r="B125" s="19" t="s">
        <v>209</v>
      </c>
      <c r="C125" s="44" t="s">
        <v>172</v>
      </c>
      <c r="D125" s="19" t="s">
        <v>210</v>
      </c>
      <c r="E125" s="19">
        <v>25</v>
      </c>
      <c r="F125" s="19">
        <v>350</v>
      </c>
      <c r="G125" s="19">
        <v>1030</v>
      </c>
      <c r="H125" s="19">
        <v>2</v>
      </c>
      <c r="I125" s="80">
        <v>70.75</v>
      </c>
      <c r="J125" s="80">
        <v>141.5</v>
      </c>
      <c r="K125" s="19" t="s">
        <v>211</v>
      </c>
      <c r="L125" s="19" t="s">
        <v>212</v>
      </c>
      <c r="M125" s="26"/>
      <c r="N125" s="26"/>
      <c r="O125" s="26"/>
      <c r="P125" s="26"/>
      <c r="Q125" s="42">
        <v>2</v>
      </c>
      <c r="R125" s="64" t="s">
        <v>177</v>
      </c>
      <c r="S125" s="26"/>
      <c r="T125" s="26"/>
      <c r="U125" s="26"/>
      <c r="V125" s="26" t="s">
        <v>178</v>
      </c>
      <c r="W125" s="26"/>
      <c r="X125" s="26" t="s">
        <v>138</v>
      </c>
      <c r="Y125" s="26"/>
      <c r="Z125" s="44" t="s">
        <v>179</v>
      </c>
      <c r="AA125" s="44" t="s">
        <v>180</v>
      </c>
      <c r="AB125" s="85" t="str">
        <f t="shared" si="0"/>
        <v>10726-141 DG XK SHIPLIFT ÚC</v>
      </c>
    </row>
    <row r="126" spans="1:28" hidden="1" x14ac:dyDescent="0.25">
      <c r="A126" s="26">
        <v>19</v>
      </c>
      <c r="B126" s="19" t="s">
        <v>213</v>
      </c>
      <c r="C126" s="44" t="s">
        <v>172</v>
      </c>
      <c r="D126" s="19" t="s">
        <v>214</v>
      </c>
      <c r="E126" s="19">
        <v>25</v>
      </c>
      <c r="F126" s="19">
        <v>65</v>
      </c>
      <c r="G126" s="19">
        <v>346</v>
      </c>
      <c r="H126" s="19">
        <v>4</v>
      </c>
      <c r="I126" s="80">
        <v>4.41</v>
      </c>
      <c r="J126" s="80">
        <v>17.649999999999999</v>
      </c>
      <c r="K126" s="19" t="s">
        <v>211</v>
      </c>
      <c r="L126" s="19" t="s">
        <v>212</v>
      </c>
      <c r="M126" s="26"/>
      <c r="N126" s="26"/>
      <c r="O126" s="26"/>
      <c r="P126" s="26"/>
      <c r="Q126" s="42">
        <v>2</v>
      </c>
      <c r="R126" s="64" t="s">
        <v>177</v>
      </c>
      <c r="S126" s="26"/>
      <c r="T126" s="26"/>
      <c r="U126" s="26"/>
      <c r="V126" s="26" t="s">
        <v>178</v>
      </c>
      <c r="W126" s="26" t="s">
        <v>138</v>
      </c>
      <c r="X126" s="26"/>
      <c r="Y126" s="26"/>
      <c r="Z126" s="44" t="s">
        <v>179</v>
      </c>
      <c r="AA126" s="44" t="s">
        <v>180</v>
      </c>
      <c r="AB126" s="85" t="str">
        <f t="shared" si="0"/>
        <v>10726-141 DG XK SHIPLIFT ÚC</v>
      </c>
    </row>
    <row r="127" spans="1:28" hidden="1" x14ac:dyDescent="0.25">
      <c r="A127" s="26">
        <v>20</v>
      </c>
      <c r="B127" s="19" t="s">
        <v>215</v>
      </c>
      <c r="C127" s="44" t="s">
        <v>172</v>
      </c>
      <c r="D127" s="19" t="s">
        <v>216</v>
      </c>
      <c r="E127" s="19">
        <v>25</v>
      </c>
      <c r="F127" s="19">
        <v>65</v>
      </c>
      <c r="G127" s="19">
        <v>188</v>
      </c>
      <c r="H127" s="19">
        <v>4</v>
      </c>
      <c r="I127" s="80">
        <v>2.4</v>
      </c>
      <c r="J127" s="80">
        <v>9.59</v>
      </c>
      <c r="K127" s="19" t="s">
        <v>211</v>
      </c>
      <c r="L127" s="19" t="s">
        <v>212</v>
      </c>
      <c r="M127" s="26"/>
      <c r="N127" s="26"/>
      <c r="O127" s="26"/>
      <c r="P127" s="26"/>
      <c r="Q127" s="42">
        <v>2</v>
      </c>
      <c r="R127" s="64" t="s">
        <v>177</v>
      </c>
      <c r="S127" s="26"/>
      <c r="T127" s="26"/>
      <c r="U127" s="26"/>
      <c r="V127" s="26" t="s">
        <v>178</v>
      </c>
      <c r="W127" s="26" t="s">
        <v>138</v>
      </c>
      <c r="X127" s="26"/>
      <c r="Y127" s="26"/>
      <c r="Z127" s="44" t="s">
        <v>179</v>
      </c>
      <c r="AA127" s="44" t="s">
        <v>180</v>
      </c>
      <c r="AB127" s="85" t="str">
        <f t="shared" si="0"/>
        <v>10726-141 DG XK SHIPLIFT ÚC</v>
      </c>
    </row>
    <row r="128" spans="1:28" hidden="1" x14ac:dyDescent="0.25">
      <c r="A128" s="26">
        <v>21</v>
      </c>
      <c r="B128" s="19" t="s">
        <v>217</v>
      </c>
      <c r="C128" s="44" t="s">
        <v>172</v>
      </c>
      <c r="D128" s="19" t="s">
        <v>214</v>
      </c>
      <c r="E128" s="19">
        <v>25</v>
      </c>
      <c r="F128" s="19">
        <v>65</v>
      </c>
      <c r="G128" s="19">
        <v>346</v>
      </c>
      <c r="H128" s="19">
        <v>4</v>
      </c>
      <c r="I128" s="80">
        <v>2.77</v>
      </c>
      <c r="J128" s="80">
        <v>11.08</v>
      </c>
      <c r="K128" s="19" t="s">
        <v>211</v>
      </c>
      <c r="L128" s="19" t="s">
        <v>212</v>
      </c>
      <c r="M128" s="26"/>
      <c r="N128" s="26"/>
      <c r="O128" s="26"/>
      <c r="P128" s="26"/>
      <c r="Q128" s="42">
        <v>2</v>
      </c>
      <c r="R128" s="64" t="s">
        <v>177</v>
      </c>
      <c r="S128" s="26"/>
      <c r="T128" s="26"/>
      <c r="U128" s="26"/>
      <c r="V128" s="26" t="s">
        <v>178</v>
      </c>
      <c r="W128" s="26" t="s">
        <v>138</v>
      </c>
      <c r="X128" s="26"/>
      <c r="Y128" s="26"/>
      <c r="Z128" s="44" t="s">
        <v>179</v>
      </c>
      <c r="AA128" s="44" t="s">
        <v>180</v>
      </c>
      <c r="AB128" s="85" t="str">
        <f t="shared" si="0"/>
        <v>10726-141 DG XK SHIPLIFT ÚC</v>
      </c>
    </row>
    <row r="129" spans="1:28" hidden="1" x14ac:dyDescent="0.25">
      <c r="A129" s="26">
        <v>22</v>
      </c>
      <c r="B129" s="19" t="s">
        <v>218</v>
      </c>
      <c r="C129" s="44" t="s">
        <v>172</v>
      </c>
      <c r="D129" s="19" t="s">
        <v>219</v>
      </c>
      <c r="E129" s="19">
        <v>25</v>
      </c>
      <c r="F129" s="19">
        <v>330</v>
      </c>
      <c r="G129" s="19">
        <v>1218</v>
      </c>
      <c r="H129" s="19">
        <v>2</v>
      </c>
      <c r="I129" s="80">
        <v>78.84</v>
      </c>
      <c r="J129" s="80">
        <v>157.69</v>
      </c>
      <c r="K129" s="19" t="s">
        <v>211</v>
      </c>
      <c r="L129" s="19" t="s">
        <v>212</v>
      </c>
      <c r="M129" s="26"/>
      <c r="N129" s="26"/>
      <c r="O129" s="26"/>
      <c r="P129" s="26"/>
      <c r="Q129" s="42">
        <v>2</v>
      </c>
      <c r="R129" s="64" t="s">
        <v>177</v>
      </c>
      <c r="S129" s="26"/>
      <c r="T129" s="26"/>
      <c r="U129" s="26"/>
      <c r="V129" s="26" t="s">
        <v>178</v>
      </c>
      <c r="W129" s="26" t="s">
        <v>138</v>
      </c>
      <c r="X129" s="26"/>
      <c r="Y129" s="26"/>
      <c r="Z129" s="44" t="s">
        <v>179</v>
      </c>
      <c r="AA129" s="44" t="s">
        <v>180</v>
      </c>
      <c r="AB129" s="85" t="str">
        <f t="shared" si="0"/>
        <v>10726-141 DG XK SHIPLIFT ÚC</v>
      </c>
    </row>
    <row r="130" spans="1:28" hidden="1" x14ac:dyDescent="0.25">
      <c r="A130" s="26">
        <v>23</v>
      </c>
      <c r="B130" s="19" t="s">
        <v>220</v>
      </c>
      <c r="C130" s="44" t="s">
        <v>172</v>
      </c>
      <c r="D130" s="19" t="s">
        <v>210</v>
      </c>
      <c r="E130" s="19">
        <v>25</v>
      </c>
      <c r="F130" s="19">
        <v>350</v>
      </c>
      <c r="G130" s="19">
        <v>1030</v>
      </c>
      <c r="H130" s="19">
        <v>2</v>
      </c>
      <c r="I130" s="80">
        <v>70.75</v>
      </c>
      <c r="J130" s="80">
        <v>141.5</v>
      </c>
      <c r="K130" s="19" t="s">
        <v>211</v>
      </c>
      <c r="L130" s="19" t="s">
        <v>212</v>
      </c>
      <c r="M130" s="26"/>
      <c r="N130" s="26"/>
      <c r="O130" s="26"/>
      <c r="P130" s="26"/>
      <c r="Q130" s="42">
        <v>2</v>
      </c>
      <c r="R130" s="64" t="s">
        <v>177</v>
      </c>
      <c r="S130" s="26"/>
      <c r="T130" s="26"/>
      <c r="U130" s="26"/>
      <c r="V130" s="26" t="s">
        <v>178</v>
      </c>
      <c r="W130" s="26"/>
      <c r="X130" s="26" t="s">
        <v>138</v>
      </c>
      <c r="Y130" s="26"/>
      <c r="Z130" s="44" t="s">
        <v>179</v>
      </c>
      <c r="AA130" s="44" t="s">
        <v>180</v>
      </c>
      <c r="AB130" s="85" t="str">
        <f t="shared" si="0"/>
        <v>10726-141 DG XK SHIPLIFT ÚC</v>
      </c>
    </row>
    <row r="131" spans="1:28" hidden="1" x14ac:dyDescent="0.25">
      <c r="A131" s="26">
        <v>24</v>
      </c>
      <c r="B131" s="19" t="s">
        <v>221</v>
      </c>
      <c r="C131" s="44" t="s">
        <v>172</v>
      </c>
      <c r="D131" s="19" t="s">
        <v>214</v>
      </c>
      <c r="E131" s="19">
        <v>25</v>
      </c>
      <c r="F131" s="19">
        <v>65</v>
      </c>
      <c r="G131" s="19">
        <v>346</v>
      </c>
      <c r="H131" s="19">
        <v>4</v>
      </c>
      <c r="I131" s="80">
        <v>4.41</v>
      </c>
      <c r="J131" s="80">
        <v>17.649999999999999</v>
      </c>
      <c r="K131" s="19" t="s">
        <v>211</v>
      </c>
      <c r="L131" s="19" t="s">
        <v>212</v>
      </c>
      <c r="M131" s="26"/>
      <c r="N131" s="26"/>
      <c r="O131" s="26"/>
      <c r="P131" s="26"/>
      <c r="Q131" s="42">
        <v>2</v>
      </c>
      <c r="R131" s="64" t="s">
        <v>177</v>
      </c>
      <c r="S131" s="26"/>
      <c r="T131" s="26"/>
      <c r="U131" s="26"/>
      <c r="V131" s="26" t="s">
        <v>178</v>
      </c>
      <c r="W131" s="26" t="s">
        <v>138</v>
      </c>
      <c r="X131" s="26"/>
      <c r="Y131" s="26"/>
      <c r="Z131" s="44" t="s">
        <v>179</v>
      </c>
      <c r="AA131" s="44" t="s">
        <v>180</v>
      </c>
      <c r="AB131" s="85" t="str">
        <f t="shared" si="0"/>
        <v>10726-141 DG XK SHIPLIFT ÚC</v>
      </c>
    </row>
    <row r="132" spans="1:28" hidden="1" x14ac:dyDescent="0.25">
      <c r="A132" s="26">
        <v>25</v>
      </c>
      <c r="B132" s="19" t="s">
        <v>222</v>
      </c>
      <c r="C132" s="44" t="s">
        <v>172</v>
      </c>
      <c r="D132" s="19" t="s">
        <v>216</v>
      </c>
      <c r="E132" s="19">
        <v>25</v>
      </c>
      <c r="F132" s="19">
        <v>65</v>
      </c>
      <c r="G132" s="19">
        <v>188</v>
      </c>
      <c r="H132" s="19">
        <v>4</v>
      </c>
      <c r="I132" s="80">
        <v>2.4</v>
      </c>
      <c r="J132" s="80">
        <v>9.59</v>
      </c>
      <c r="K132" s="19" t="s">
        <v>211</v>
      </c>
      <c r="L132" s="19" t="s">
        <v>212</v>
      </c>
      <c r="M132" s="26"/>
      <c r="N132" s="26"/>
      <c r="O132" s="26"/>
      <c r="P132" s="26"/>
      <c r="Q132" s="42">
        <v>2</v>
      </c>
      <c r="R132" s="64" t="s">
        <v>177</v>
      </c>
      <c r="S132" s="26"/>
      <c r="T132" s="26"/>
      <c r="U132" s="26"/>
      <c r="V132" s="26" t="s">
        <v>178</v>
      </c>
      <c r="W132" s="26" t="s">
        <v>138</v>
      </c>
      <c r="X132" s="26"/>
      <c r="Y132" s="26"/>
      <c r="Z132" s="44" t="s">
        <v>179</v>
      </c>
      <c r="AA132" s="44" t="s">
        <v>180</v>
      </c>
      <c r="AB132" s="85" t="str">
        <f t="shared" si="0"/>
        <v>10726-141 DG XK SHIPLIFT ÚC</v>
      </c>
    </row>
    <row r="133" spans="1:28" hidden="1" x14ac:dyDescent="0.25">
      <c r="A133" s="26">
        <v>26</v>
      </c>
      <c r="B133" s="19" t="s">
        <v>223</v>
      </c>
      <c r="C133" s="44" t="s">
        <v>172</v>
      </c>
      <c r="D133" s="19" t="s">
        <v>214</v>
      </c>
      <c r="E133" s="19">
        <v>25</v>
      </c>
      <c r="F133" s="19">
        <v>65</v>
      </c>
      <c r="G133" s="19">
        <v>346</v>
      </c>
      <c r="H133" s="19">
        <v>4</v>
      </c>
      <c r="I133" s="80">
        <v>2.77</v>
      </c>
      <c r="J133" s="80">
        <v>11.08</v>
      </c>
      <c r="K133" s="19" t="s">
        <v>211</v>
      </c>
      <c r="L133" s="19" t="s">
        <v>212</v>
      </c>
      <c r="M133" s="26"/>
      <c r="N133" s="26"/>
      <c r="O133" s="26"/>
      <c r="P133" s="26"/>
      <c r="Q133" s="42">
        <v>2</v>
      </c>
      <c r="R133" s="64" t="s">
        <v>177</v>
      </c>
      <c r="S133" s="26"/>
      <c r="T133" s="26"/>
      <c r="U133" s="26"/>
      <c r="V133" s="26" t="s">
        <v>178</v>
      </c>
      <c r="W133" s="26" t="s">
        <v>138</v>
      </c>
      <c r="X133" s="26"/>
      <c r="Y133" s="26"/>
      <c r="Z133" s="44" t="s">
        <v>179</v>
      </c>
      <c r="AA133" s="44" t="s">
        <v>180</v>
      </c>
      <c r="AB133" s="85" t="str">
        <f t="shared" si="0"/>
        <v>10726-141 DG XK SHIPLIFT ÚC</v>
      </c>
    </row>
    <row r="134" spans="1:28" hidden="1" x14ac:dyDescent="0.25">
      <c r="A134" s="26">
        <v>27</v>
      </c>
      <c r="B134" s="19" t="s">
        <v>224</v>
      </c>
      <c r="C134" s="44" t="s">
        <v>172</v>
      </c>
      <c r="D134" s="19" t="s">
        <v>219</v>
      </c>
      <c r="E134" s="19">
        <v>25</v>
      </c>
      <c r="F134" s="19">
        <v>330</v>
      </c>
      <c r="G134" s="19">
        <v>1218</v>
      </c>
      <c r="H134" s="19">
        <v>4</v>
      </c>
      <c r="I134" s="80">
        <v>78.84</v>
      </c>
      <c r="J134" s="80">
        <v>315.38</v>
      </c>
      <c r="K134" s="19" t="s">
        <v>211</v>
      </c>
      <c r="L134" s="19" t="s">
        <v>212</v>
      </c>
      <c r="M134" s="26"/>
      <c r="N134" s="26"/>
      <c r="O134" s="26"/>
      <c r="P134" s="26"/>
      <c r="Q134" s="42">
        <v>2</v>
      </c>
      <c r="R134" s="64" t="s">
        <v>177</v>
      </c>
      <c r="S134" s="26"/>
      <c r="T134" s="26"/>
      <c r="U134" s="26"/>
      <c r="V134" s="26" t="s">
        <v>178</v>
      </c>
      <c r="W134" s="26" t="s">
        <v>138</v>
      </c>
      <c r="X134" s="26"/>
      <c r="Y134" s="26"/>
      <c r="Z134" s="44" t="s">
        <v>179</v>
      </c>
      <c r="AA134" s="44" t="s">
        <v>180</v>
      </c>
      <c r="AB134" s="85" t="str">
        <f t="shared" si="0"/>
        <v>10726-141 DG XK SHIPLIFT ÚC</v>
      </c>
    </row>
    <row r="135" spans="1:28" hidden="1" x14ac:dyDescent="0.25">
      <c r="A135" s="26">
        <v>28</v>
      </c>
      <c r="B135" s="19" t="s">
        <v>225</v>
      </c>
      <c r="C135" s="44" t="s">
        <v>172</v>
      </c>
      <c r="D135" s="19" t="s">
        <v>226</v>
      </c>
      <c r="E135" s="19">
        <v>32</v>
      </c>
      <c r="F135" s="19">
        <v>2660</v>
      </c>
      <c r="G135" s="19">
        <v>14135</v>
      </c>
      <c r="H135" s="19">
        <v>1</v>
      </c>
      <c r="I135" s="80">
        <v>9173.91</v>
      </c>
      <c r="J135" s="80">
        <v>9173.91</v>
      </c>
      <c r="K135" s="19" t="s">
        <v>227</v>
      </c>
      <c r="L135" s="19" t="s">
        <v>228</v>
      </c>
      <c r="M135" s="26"/>
      <c r="N135" s="26"/>
      <c r="O135" s="26"/>
      <c r="P135" s="26"/>
      <c r="Q135" s="42">
        <v>2</v>
      </c>
      <c r="R135" s="64" t="s">
        <v>177</v>
      </c>
      <c r="S135" s="26"/>
      <c r="T135" s="26"/>
      <c r="U135" s="26"/>
      <c r="V135" s="26" t="s">
        <v>178</v>
      </c>
      <c r="W135" s="26"/>
      <c r="X135" s="26"/>
      <c r="Y135" s="26" t="s">
        <v>138</v>
      </c>
      <c r="Z135" s="44" t="s">
        <v>179</v>
      </c>
      <c r="AA135" s="44" t="s">
        <v>180</v>
      </c>
      <c r="AB135" s="85" t="str">
        <f t="shared" si="0"/>
        <v>10726-141 DG XK SHIPLIFT ÚC</v>
      </c>
    </row>
    <row r="136" spans="1:28" hidden="1" x14ac:dyDescent="0.25">
      <c r="A136" s="26">
        <v>29</v>
      </c>
      <c r="B136" s="19" t="s">
        <v>229</v>
      </c>
      <c r="C136" s="44" t="s">
        <v>172</v>
      </c>
      <c r="D136" s="19" t="s">
        <v>226</v>
      </c>
      <c r="E136" s="19">
        <v>32</v>
      </c>
      <c r="F136" s="19">
        <v>2660</v>
      </c>
      <c r="G136" s="19">
        <v>14135</v>
      </c>
      <c r="H136" s="19">
        <v>1</v>
      </c>
      <c r="I136" s="80">
        <v>9173.91</v>
      </c>
      <c r="J136" s="80">
        <v>9173.91</v>
      </c>
      <c r="K136" s="19" t="s">
        <v>227</v>
      </c>
      <c r="L136" s="19" t="s">
        <v>230</v>
      </c>
      <c r="M136" s="26"/>
      <c r="N136" s="26"/>
      <c r="O136" s="26"/>
      <c r="P136" s="26"/>
      <c r="Q136" s="42">
        <v>2</v>
      </c>
      <c r="R136" s="64" t="s">
        <v>177</v>
      </c>
      <c r="S136" s="26"/>
      <c r="T136" s="26"/>
      <c r="U136" s="26"/>
      <c r="V136" s="26" t="s">
        <v>178</v>
      </c>
      <c r="W136" s="26"/>
      <c r="X136" s="26"/>
      <c r="Y136" s="26" t="s">
        <v>138</v>
      </c>
      <c r="Z136" s="44" t="s">
        <v>179</v>
      </c>
      <c r="AA136" s="44" t="s">
        <v>180</v>
      </c>
      <c r="AB136" s="85" t="str">
        <f t="shared" si="0"/>
        <v>10726-141 DG XK SHIPLIFT ÚC</v>
      </c>
    </row>
    <row r="137" spans="1:28" hidden="1" x14ac:dyDescent="0.25">
      <c r="A137" s="26">
        <v>30</v>
      </c>
      <c r="B137" s="19" t="s">
        <v>231</v>
      </c>
      <c r="C137" s="44" t="s">
        <v>172</v>
      </c>
      <c r="D137" s="19" t="s">
        <v>232</v>
      </c>
      <c r="E137" s="19">
        <v>32</v>
      </c>
      <c r="F137" s="19">
        <v>2680</v>
      </c>
      <c r="G137" s="19">
        <v>13705</v>
      </c>
      <c r="H137" s="19">
        <v>1</v>
      </c>
      <c r="I137" s="80">
        <v>8875.48</v>
      </c>
      <c r="J137" s="80">
        <v>8875.48</v>
      </c>
      <c r="K137" s="19" t="s">
        <v>233</v>
      </c>
      <c r="L137" s="19" t="s">
        <v>234</v>
      </c>
      <c r="M137" s="26"/>
      <c r="N137" s="26"/>
      <c r="O137" s="26"/>
      <c r="P137" s="26"/>
      <c r="Q137" s="42">
        <v>2</v>
      </c>
      <c r="R137" s="64" t="s">
        <v>177</v>
      </c>
      <c r="S137" s="26"/>
      <c r="T137" s="26"/>
      <c r="U137" s="26"/>
      <c r="V137" s="26" t="s">
        <v>178</v>
      </c>
      <c r="W137" s="26"/>
      <c r="X137" s="26"/>
      <c r="Y137" s="26" t="s">
        <v>138</v>
      </c>
      <c r="Z137" s="44" t="s">
        <v>179</v>
      </c>
      <c r="AA137" s="44" t="s">
        <v>180</v>
      </c>
      <c r="AB137" s="85" t="str">
        <f t="shared" si="0"/>
        <v>10726-141 DG XK SHIPLIFT ÚC</v>
      </c>
    </row>
    <row r="138" spans="1:28" hidden="1" x14ac:dyDescent="0.25">
      <c r="A138" s="26">
        <v>31</v>
      </c>
      <c r="B138" s="19" t="s">
        <v>235</v>
      </c>
      <c r="C138" s="44" t="s">
        <v>172</v>
      </c>
      <c r="D138" s="19" t="s">
        <v>236</v>
      </c>
      <c r="E138" s="19">
        <v>32</v>
      </c>
      <c r="F138" s="19">
        <v>2660</v>
      </c>
      <c r="G138" s="19">
        <v>13685</v>
      </c>
      <c r="H138" s="19">
        <v>1</v>
      </c>
      <c r="I138" s="80">
        <v>8875.48</v>
      </c>
      <c r="J138" s="80">
        <v>8875.48</v>
      </c>
      <c r="K138" s="19" t="s">
        <v>233</v>
      </c>
      <c r="L138" s="19" t="s">
        <v>237</v>
      </c>
      <c r="M138" s="26"/>
      <c r="N138" s="26"/>
      <c r="O138" s="26"/>
      <c r="P138" s="26"/>
      <c r="Q138" s="42">
        <v>2</v>
      </c>
      <c r="R138" s="64" t="s">
        <v>177</v>
      </c>
      <c r="S138" s="26"/>
      <c r="T138" s="26"/>
      <c r="U138" s="26"/>
      <c r="V138" s="26" t="s">
        <v>178</v>
      </c>
      <c r="W138" s="26"/>
      <c r="X138" s="26"/>
      <c r="Y138" s="26" t="s">
        <v>138</v>
      </c>
      <c r="Z138" s="44" t="s">
        <v>179</v>
      </c>
      <c r="AA138" s="44" t="s">
        <v>180</v>
      </c>
      <c r="AB138" s="85" t="str">
        <f t="shared" si="0"/>
        <v>10726-141 DG XK SHIPLIFT ÚC</v>
      </c>
    </row>
    <row r="139" spans="1:28" hidden="1" x14ac:dyDescent="0.25">
      <c r="A139" s="26">
        <v>32</v>
      </c>
      <c r="B139" s="19" t="s">
        <v>238</v>
      </c>
      <c r="C139" s="44" t="s">
        <v>172</v>
      </c>
      <c r="D139" s="19" t="s">
        <v>239</v>
      </c>
      <c r="E139" s="19">
        <v>40</v>
      </c>
      <c r="F139" s="19">
        <v>846</v>
      </c>
      <c r="G139" s="19">
        <v>2672</v>
      </c>
      <c r="H139" s="19">
        <v>4</v>
      </c>
      <c r="I139" s="80">
        <v>497.7</v>
      </c>
      <c r="J139" s="80">
        <v>1990.79</v>
      </c>
      <c r="K139" s="19" t="s">
        <v>240</v>
      </c>
      <c r="L139" s="19" t="s">
        <v>241</v>
      </c>
      <c r="M139" s="26"/>
      <c r="N139" s="26" t="s">
        <v>176</v>
      </c>
      <c r="O139" s="26"/>
      <c r="P139" s="26"/>
      <c r="Q139" s="42">
        <v>2</v>
      </c>
      <c r="R139" s="64" t="s">
        <v>177</v>
      </c>
      <c r="S139" s="26"/>
      <c r="T139" s="26"/>
      <c r="U139" s="26"/>
      <c r="V139" s="26" t="s">
        <v>178</v>
      </c>
      <c r="W139" s="26"/>
      <c r="X139" s="26" t="s">
        <v>138</v>
      </c>
      <c r="Y139" s="26"/>
      <c r="Z139" s="44" t="s">
        <v>179</v>
      </c>
      <c r="AA139" s="44" t="s">
        <v>180</v>
      </c>
      <c r="AB139" s="85" t="str">
        <f t="shared" si="0"/>
        <v>10726-141 DG XK SHIPLIFT ÚC</v>
      </c>
    </row>
    <row r="140" spans="1:28" hidden="1" x14ac:dyDescent="0.25">
      <c r="A140" s="26">
        <v>33</v>
      </c>
      <c r="B140" s="19" t="s">
        <v>242</v>
      </c>
      <c r="C140" s="44" t="s">
        <v>172</v>
      </c>
      <c r="D140" s="19" t="s">
        <v>243</v>
      </c>
      <c r="E140" s="19">
        <v>50</v>
      </c>
      <c r="F140" s="19">
        <v>1130</v>
      </c>
      <c r="G140" s="19">
        <v>1990</v>
      </c>
      <c r="H140" s="19">
        <v>2</v>
      </c>
      <c r="I140" s="80">
        <v>882.62</v>
      </c>
      <c r="J140" s="80">
        <v>1765.23</v>
      </c>
      <c r="K140" s="19" t="s">
        <v>244</v>
      </c>
      <c r="L140" s="19" t="s">
        <v>245</v>
      </c>
      <c r="M140" s="26"/>
      <c r="N140" s="26"/>
      <c r="O140" s="26"/>
      <c r="P140" s="26"/>
      <c r="Q140" s="42">
        <v>2</v>
      </c>
      <c r="R140" s="64" t="s">
        <v>177</v>
      </c>
      <c r="S140" s="26"/>
      <c r="T140" s="26"/>
      <c r="U140" s="26"/>
      <c r="V140" s="26" t="s">
        <v>178</v>
      </c>
      <c r="W140" s="26"/>
      <c r="X140" s="26" t="s">
        <v>138</v>
      </c>
      <c r="Y140" s="26"/>
      <c r="Z140" s="44" t="s">
        <v>179</v>
      </c>
      <c r="AA140" s="44" t="s">
        <v>180</v>
      </c>
      <c r="AB140" s="85" t="str">
        <f t="shared" si="0"/>
        <v>10726-141 DG XK SHIPLIFT ÚC</v>
      </c>
    </row>
    <row r="141" spans="1:28" hidden="1" x14ac:dyDescent="0.25">
      <c r="A141" s="26">
        <v>34</v>
      </c>
      <c r="B141" s="19" t="s">
        <v>246</v>
      </c>
      <c r="C141" s="44" t="s">
        <v>172</v>
      </c>
      <c r="D141" s="19" t="s">
        <v>243</v>
      </c>
      <c r="E141" s="19">
        <v>50</v>
      </c>
      <c r="F141" s="19">
        <v>1130</v>
      </c>
      <c r="G141" s="19">
        <v>1990</v>
      </c>
      <c r="H141" s="19">
        <v>2</v>
      </c>
      <c r="I141" s="80">
        <v>882.62</v>
      </c>
      <c r="J141" s="80">
        <v>1765.23</v>
      </c>
      <c r="K141" s="19" t="s">
        <v>244</v>
      </c>
      <c r="L141" s="19" t="s">
        <v>245</v>
      </c>
      <c r="M141" s="26"/>
      <c r="N141" s="26"/>
      <c r="O141" s="26"/>
      <c r="P141" s="26"/>
      <c r="Q141" s="42">
        <v>2</v>
      </c>
      <c r="R141" s="64" t="s">
        <v>177</v>
      </c>
      <c r="S141" s="26"/>
      <c r="T141" s="26"/>
      <c r="U141" s="26"/>
      <c r="V141" s="26" t="s">
        <v>178</v>
      </c>
      <c r="W141" s="26"/>
      <c r="X141" s="26" t="s">
        <v>138</v>
      </c>
      <c r="Y141" s="26"/>
      <c r="Z141" s="44" t="s">
        <v>179</v>
      </c>
      <c r="AA141" s="44" t="s">
        <v>180</v>
      </c>
      <c r="AB141" s="85" t="str">
        <f t="shared" si="0"/>
        <v>10726-141 DG XK SHIPLIFT ÚC</v>
      </c>
    </row>
    <row r="142" spans="1:28" hidden="1" x14ac:dyDescent="0.25">
      <c r="A142" s="26">
        <v>35</v>
      </c>
      <c r="B142" s="19" t="s">
        <v>247</v>
      </c>
      <c r="C142" s="44" t="s">
        <v>172</v>
      </c>
      <c r="D142" s="19" t="s">
        <v>248</v>
      </c>
      <c r="E142" s="19">
        <v>50</v>
      </c>
      <c r="F142" s="19">
        <v>1160</v>
      </c>
      <c r="G142" s="19">
        <v>1210</v>
      </c>
      <c r="H142" s="19">
        <v>4</v>
      </c>
      <c r="I142" s="80">
        <v>419.91</v>
      </c>
      <c r="J142" s="80">
        <v>1679.64</v>
      </c>
      <c r="K142" s="19" t="s">
        <v>249</v>
      </c>
      <c r="L142" s="19" t="s">
        <v>250</v>
      </c>
      <c r="M142" s="26"/>
      <c r="N142" s="26" t="s">
        <v>176</v>
      </c>
      <c r="O142" s="26"/>
      <c r="P142" s="26"/>
      <c r="Q142" s="42">
        <v>2</v>
      </c>
      <c r="R142" s="64" t="s">
        <v>177</v>
      </c>
      <c r="S142" s="26"/>
      <c r="T142" s="26"/>
      <c r="U142" s="26"/>
      <c r="V142" s="26" t="s">
        <v>178</v>
      </c>
      <c r="W142" s="26"/>
      <c r="X142" s="26" t="s">
        <v>138</v>
      </c>
      <c r="Y142" s="26"/>
      <c r="Z142" s="44" t="s">
        <v>179</v>
      </c>
      <c r="AA142" s="44" t="s">
        <v>180</v>
      </c>
      <c r="AB142" s="85" t="str">
        <f t="shared" si="0"/>
        <v>10726-141 DG XK SHIPLIFT ÚC</v>
      </c>
    </row>
    <row r="143" spans="1:28" hidden="1" x14ac:dyDescent="0.25">
      <c r="A143" s="26">
        <v>36</v>
      </c>
      <c r="B143" s="19" t="s">
        <v>251</v>
      </c>
      <c r="C143" s="44" t="s">
        <v>172</v>
      </c>
      <c r="D143" s="19" t="s">
        <v>248</v>
      </c>
      <c r="E143" s="19">
        <v>50</v>
      </c>
      <c r="F143" s="19">
        <v>1160</v>
      </c>
      <c r="G143" s="19">
        <v>1210</v>
      </c>
      <c r="H143" s="19">
        <v>4</v>
      </c>
      <c r="I143" s="80">
        <v>419.91</v>
      </c>
      <c r="J143" s="80">
        <v>1679.64</v>
      </c>
      <c r="K143" s="19" t="s">
        <v>249</v>
      </c>
      <c r="L143" s="19" t="s">
        <v>250</v>
      </c>
      <c r="M143" s="26"/>
      <c r="N143" s="26" t="s">
        <v>176</v>
      </c>
      <c r="O143" s="26"/>
      <c r="P143" s="26"/>
      <c r="Q143" s="42">
        <v>2</v>
      </c>
      <c r="R143" s="64" t="s">
        <v>177</v>
      </c>
      <c r="S143" s="26"/>
      <c r="T143" s="26"/>
      <c r="U143" s="26"/>
      <c r="V143" s="26" t="s">
        <v>178</v>
      </c>
      <c r="W143" s="26"/>
      <c r="X143" s="26" t="s">
        <v>138</v>
      </c>
      <c r="Y143" s="26"/>
      <c r="Z143" s="44" t="s">
        <v>179</v>
      </c>
      <c r="AA143" s="44" t="s">
        <v>180</v>
      </c>
      <c r="AB143" s="85" t="str">
        <f t="shared" si="0"/>
        <v>10726-141 DG XK SHIPLIFT ÚC</v>
      </c>
    </row>
    <row r="144" spans="1:28" hidden="1" x14ac:dyDescent="0.25">
      <c r="A144" s="26">
        <v>37</v>
      </c>
      <c r="B144" s="19" t="s">
        <v>252</v>
      </c>
      <c r="C144" s="44" t="s">
        <v>172</v>
      </c>
      <c r="D144" s="19" t="s">
        <v>253</v>
      </c>
      <c r="E144" s="19">
        <v>50</v>
      </c>
      <c r="F144" s="19">
        <v>964</v>
      </c>
      <c r="G144" s="19">
        <v>2638</v>
      </c>
      <c r="H144" s="19">
        <v>4</v>
      </c>
      <c r="I144" s="80">
        <v>712.82</v>
      </c>
      <c r="J144" s="80">
        <v>2851.27</v>
      </c>
      <c r="K144" s="19" t="s">
        <v>254</v>
      </c>
      <c r="L144" s="19" t="s">
        <v>255</v>
      </c>
      <c r="M144" s="26"/>
      <c r="N144" s="26" t="s">
        <v>176</v>
      </c>
      <c r="O144" s="26"/>
      <c r="P144" s="26"/>
      <c r="Q144" s="42">
        <v>2</v>
      </c>
      <c r="R144" s="64" t="s">
        <v>177</v>
      </c>
      <c r="S144" s="26"/>
      <c r="T144" s="26"/>
      <c r="U144" s="26"/>
      <c r="V144" s="26" t="s">
        <v>178</v>
      </c>
      <c r="W144" s="26"/>
      <c r="X144" s="26" t="s">
        <v>138</v>
      </c>
      <c r="Y144" s="26"/>
      <c r="Z144" s="44" t="s">
        <v>179</v>
      </c>
      <c r="AA144" s="44" t="s">
        <v>180</v>
      </c>
      <c r="AB144" s="85" t="str">
        <f t="shared" si="0"/>
        <v>10726-141 DG XK SHIPLIFT ÚC</v>
      </c>
    </row>
    <row r="145" spans="1:28" hidden="1" x14ac:dyDescent="0.25">
      <c r="A145" s="26">
        <v>38</v>
      </c>
      <c r="B145" s="19" t="s">
        <v>256</v>
      </c>
      <c r="C145" s="44" t="s">
        <v>257</v>
      </c>
      <c r="D145" s="19" t="s">
        <v>258</v>
      </c>
      <c r="E145" s="19">
        <v>50</v>
      </c>
      <c r="F145" s="19">
        <v>1158</v>
      </c>
      <c r="G145" s="19">
        <v>1940</v>
      </c>
      <c r="H145" s="19">
        <v>4</v>
      </c>
      <c r="I145" s="80">
        <v>709.97</v>
      </c>
      <c r="J145" s="80">
        <v>2839.87</v>
      </c>
      <c r="K145" s="19" t="s">
        <v>259</v>
      </c>
      <c r="L145" s="19" t="s">
        <v>260</v>
      </c>
      <c r="M145" s="26"/>
      <c r="N145" s="26" t="s">
        <v>176</v>
      </c>
      <c r="O145" s="26"/>
      <c r="P145" s="26"/>
      <c r="Q145" s="42">
        <v>2</v>
      </c>
      <c r="R145" s="64" t="s">
        <v>177</v>
      </c>
      <c r="S145" s="26"/>
      <c r="T145" s="26"/>
      <c r="U145" s="26"/>
      <c r="V145" s="26" t="s">
        <v>178</v>
      </c>
      <c r="W145" s="26"/>
      <c r="X145" s="26" t="s">
        <v>138</v>
      </c>
      <c r="Y145" s="26"/>
      <c r="Z145" s="44" t="s">
        <v>179</v>
      </c>
      <c r="AA145" s="44" t="s">
        <v>180</v>
      </c>
      <c r="AB145" s="85" t="str">
        <f t="shared" si="0"/>
        <v>10726-141 DG XK SHIPLIFT ÚC</v>
      </c>
    </row>
    <row r="146" spans="1:28" hidden="1" x14ac:dyDescent="0.25">
      <c r="A146" s="26">
        <v>39</v>
      </c>
      <c r="B146" s="19" t="s">
        <v>261</v>
      </c>
      <c r="C146" s="44" t="s">
        <v>257</v>
      </c>
      <c r="D146" s="19" t="s">
        <v>258</v>
      </c>
      <c r="E146" s="19">
        <v>50</v>
      </c>
      <c r="F146" s="19">
        <v>1158</v>
      </c>
      <c r="G146" s="19">
        <v>1940</v>
      </c>
      <c r="H146" s="19">
        <v>1</v>
      </c>
      <c r="I146" s="80">
        <v>709.97</v>
      </c>
      <c r="J146" s="80">
        <v>709.97</v>
      </c>
      <c r="K146" s="19" t="s">
        <v>259</v>
      </c>
      <c r="L146" s="19" t="s">
        <v>260</v>
      </c>
      <c r="M146" s="26"/>
      <c r="N146" s="26" t="s">
        <v>176</v>
      </c>
      <c r="O146" s="26"/>
      <c r="P146" s="26"/>
      <c r="Q146" s="42">
        <v>2</v>
      </c>
      <c r="R146" s="64" t="s">
        <v>177</v>
      </c>
      <c r="S146" s="26"/>
      <c r="T146" s="26"/>
      <c r="U146" s="26"/>
      <c r="V146" s="26" t="s">
        <v>178</v>
      </c>
      <c r="W146" s="26"/>
      <c r="X146" s="26" t="s">
        <v>138</v>
      </c>
      <c r="Y146" s="26"/>
      <c r="Z146" s="44" t="s">
        <v>179</v>
      </c>
      <c r="AA146" s="44" t="s">
        <v>180</v>
      </c>
      <c r="AB146" s="85" t="str">
        <f t="shared" si="0"/>
        <v>10726-141 DG XK SHIPLIFT ÚC</v>
      </c>
    </row>
    <row r="147" spans="1:28" hidden="1" x14ac:dyDescent="0.25">
      <c r="A147" s="26">
        <v>40</v>
      </c>
      <c r="B147" s="19" t="s">
        <v>261</v>
      </c>
      <c r="C147" s="44" t="s">
        <v>257</v>
      </c>
      <c r="D147" s="19" t="s">
        <v>258</v>
      </c>
      <c r="E147" s="19">
        <v>50</v>
      </c>
      <c r="F147" s="19">
        <v>1158</v>
      </c>
      <c r="G147" s="19">
        <v>1940</v>
      </c>
      <c r="H147" s="19">
        <v>3</v>
      </c>
      <c r="I147" s="80">
        <v>709.97</v>
      </c>
      <c r="J147" s="80">
        <v>2129.91</v>
      </c>
      <c r="K147" s="19" t="s">
        <v>259</v>
      </c>
      <c r="L147" s="19" t="s">
        <v>262</v>
      </c>
      <c r="M147" s="26"/>
      <c r="N147" s="26" t="s">
        <v>176</v>
      </c>
      <c r="O147" s="26"/>
      <c r="P147" s="26"/>
      <c r="Q147" s="42">
        <v>2</v>
      </c>
      <c r="R147" s="64" t="s">
        <v>177</v>
      </c>
      <c r="S147" s="26"/>
      <c r="T147" s="26"/>
      <c r="U147" s="26"/>
      <c r="V147" s="26" t="s">
        <v>178</v>
      </c>
      <c r="W147" s="26"/>
      <c r="X147" s="26" t="s">
        <v>138</v>
      </c>
      <c r="Y147" s="26"/>
      <c r="Z147" s="44" t="s">
        <v>179</v>
      </c>
      <c r="AA147" s="44" t="s">
        <v>180</v>
      </c>
      <c r="AB147" s="85" t="str">
        <f t="shared" si="0"/>
        <v>10726-141 DG XK SHIPLIFT ÚC</v>
      </c>
    </row>
    <row r="148" spans="1:28" hidden="1" x14ac:dyDescent="0.25">
      <c r="A148" s="26">
        <v>41</v>
      </c>
      <c r="B148" s="19" t="s">
        <v>263</v>
      </c>
      <c r="C148" s="44" t="s">
        <v>172</v>
      </c>
      <c r="D148" s="19" t="s">
        <v>264</v>
      </c>
      <c r="E148" s="19">
        <v>60</v>
      </c>
      <c r="F148" s="19">
        <v>1080</v>
      </c>
      <c r="G148" s="19">
        <v>4910</v>
      </c>
      <c r="H148" s="19">
        <v>2</v>
      </c>
      <c r="I148" s="80">
        <v>2497.62</v>
      </c>
      <c r="J148" s="80">
        <v>4995.24</v>
      </c>
      <c r="K148" s="19" t="s">
        <v>265</v>
      </c>
      <c r="L148" s="19" t="s">
        <v>266</v>
      </c>
      <c r="M148" s="26"/>
      <c r="N148" s="26"/>
      <c r="O148" s="26"/>
      <c r="P148" s="26"/>
      <c r="Q148" s="42">
        <v>2</v>
      </c>
      <c r="R148" s="64" t="s">
        <v>177</v>
      </c>
      <c r="S148" s="26"/>
      <c r="T148" s="26"/>
      <c r="U148" s="26"/>
      <c r="V148" s="26" t="s">
        <v>178</v>
      </c>
      <c r="W148" s="26"/>
      <c r="X148" s="26"/>
      <c r="Y148" s="26" t="s">
        <v>138</v>
      </c>
      <c r="Z148" s="44" t="s">
        <v>179</v>
      </c>
      <c r="AA148" s="44" t="s">
        <v>180</v>
      </c>
      <c r="AB148" s="85" t="str">
        <f t="shared" si="0"/>
        <v>10726-141 DG XK SHIPLIFT ÚC</v>
      </c>
    </row>
    <row r="149" spans="1:28" hidden="1" x14ac:dyDescent="0.25">
      <c r="A149" s="26">
        <v>42</v>
      </c>
      <c r="B149" s="19" t="s">
        <v>267</v>
      </c>
      <c r="C149" s="44" t="s">
        <v>172</v>
      </c>
      <c r="D149" s="19" t="s">
        <v>268</v>
      </c>
      <c r="E149" s="19">
        <v>60</v>
      </c>
      <c r="F149" s="19">
        <v>1080</v>
      </c>
      <c r="G149" s="19">
        <v>2810</v>
      </c>
      <c r="H149" s="19">
        <v>2</v>
      </c>
      <c r="I149" s="80">
        <v>1429.39</v>
      </c>
      <c r="J149" s="80">
        <v>2858.78</v>
      </c>
      <c r="K149" s="19" t="s">
        <v>265</v>
      </c>
      <c r="L149" s="19" t="s">
        <v>266</v>
      </c>
      <c r="M149" s="26"/>
      <c r="N149" s="26"/>
      <c r="O149" s="26"/>
      <c r="P149" s="26"/>
      <c r="Q149" s="42">
        <v>2</v>
      </c>
      <c r="R149" s="64" t="s">
        <v>177</v>
      </c>
      <c r="S149" s="26"/>
      <c r="T149" s="26"/>
      <c r="U149" s="26"/>
      <c r="V149" s="26" t="s">
        <v>178</v>
      </c>
      <c r="W149" s="26"/>
      <c r="X149" s="26"/>
      <c r="Y149" s="26" t="s">
        <v>138</v>
      </c>
      <c r="Z149" s="44" t="s">
        <v>179</v>
      </c>
      <c r="AA149" s="44" t="s">
        <v>180</v>
      </c>
      <c r="AB149" s="85" t="str">
        <f t="shared" si="0"/>
        <v>10726-141 DG XK SHIPLIFT ÚC</v>
      </c>
    </row>
    <row r="150" spans="1:28" hidden="1" x14ac:dyDescent="0.25">
      <c r="A150" s="26">
        <v>43</v>
      </c>
      <c r="B150" s="19" t="s">
        <v>269</v>
      </c>
      <c r="C150" s="44" t="s">
        <v>172</v>
      </c>
      <c r="D150" s="19" t="s">
        <v>264</v>
      </c>
      <c r="E150" s="19">
        <v>60</v>
      </c>
      <c r="F150" s="19">
        <v>1080</v>
      </c>
      <c r="G150" s="19">
        <v>4910</v>
      </c>
      <c r="H150" s="19">
        <v>2</v>
      </c>
      <c r="I150" s="80">
        <v>2497.62</v>
      </c>
      <c r="J150" s="80">
        <v>4995.24</v>
      </c>
      <c r="K150" s="19" t="s">
        <v>265</v>
      </c>
      <c r="L150" s="19" t="s">
        <v>270</v>
      </c>
      <c r="M150" s="26"/>
      <c r="N150" s="26"/>
      <c r="O150" s="26"/>
      <c r="P150" s="26"/>
      <c r="Q150" s="42">
        <v>2</v>
      </c>
      <c r="R150" s="64" t="s">
        <v>177</v>
      </c>
      <c r="S150" s="26"/>
      <c r="T150" s="26"/>
      <c r="U150" s="26"/>
      <c r="V150" s="26" t="s">
        <v>178</v>
      </c>
      <c r="W150" s="26"/>
      <c r="X150" s="26"/>
      <c r="Y150" s="26" t="s">
        <v>138</v>
      </c>
      <c r="Z150" s="44" t="s">
        <v>179</v>
      </c>
      <c r="AA150" s="44" t="s">
        <v>180</v>
      </c>
      <c r="AB150" s="85" t="str">
        <f t="shared" si="0"/>
        <v>10726-141 DG XK SHIPLIFT ÚC</v>
      </c>
    </row>
    <row r="151" spans="1:28" hidden="1" x14ac:dyDescent="0.25">
      <c r="A151" s="26">
        <v>44</v>
      </c>
      <c r="B151" s="19" t="s">
        <v>271</v>
      </c>
      <c r="C151" s="44" t="s">
        <v>172</v>
      </c>
      <c r="D151" s="19" t="s">
        <v>268</v>
      </c>
      <c r="E151" s="19">
        <v>60</v>
      </c>
      <c r="F151" s="19">
        <v>1080</v>
      </c>
      <c r="G151" s="19">
        <v>2810</v>
      </c>
      <c r="H151" s="19">
        <v>2</v>
      </c>
      <c r="I151" s="80">
        <v>1429.39</v>
      </c>
      <c r="J151" s="80">
        <v>2858.78</v>
      </c>
      <c r="K151" s="19" t="s">
        <v>265</v>
      </c>
      <c r="L151" s="19" t="s">
        <v>270</v>
      </c>
      <c r="M151" s="26"/>
      <c r="N151" s="26"/>
      <c r="O151" s="26"/>
      <c r="P151" s="26"/>
      <c r="Q151" s="42">
        <v>2</v>
      </c>
      <c r="R151" s="64" t="s">
        <v>177</v>
      </c>
      <c r="S151" s="26"/>
      <c r="T151" s="26"/>
      <c r="U151" s="26"/>
      <c r="V151" s="26" t="s">
        <v>178</v>
      </c>
      <c r="W151" s="26"/>
      <c r="X151" s="26"/>
      <c r="Y151" s="26" t="s">
        <v>138</v>
      </c>
      <c r="Z151" s="44" t="s">
        <v>179</v>
      </c>
      <c r="AA151" s="44" t="s">
        <v>180</v>
      </c>
      <c r="AB151" s="85" t="str">
        <f t="shared" si="0"/>
        <v>10726-141 DG XK SHIPLIFT ÚC</v>
      </c>
    </row>
    <row r="152" spans="1:28" hidden="1" x14ac:dyDescent="0.25">
      <c r="A152" s="26">
        <v>45</v>
      </c>
      <c r="B152" s="19" t="s">
        <v>272</v>
      </c>
      <c r="C152" s="44" t="s">
        <v>273</v>
      </c>
      <c r="D152" s="19" t="s">
        <v>274</v>
      </c>
      <c r="E152" s="19">
        <v>80</v>
      </c>
      <c r="F152" s="19">
        <v>1200</v>
      </c>
      <c r="G152" s="19">
        <v>18000</v>
      </c>
      <c r="H152" s="19">
        <v>1</v>
      </c>
      <c r="I152" s="80">
        <v>13504.51</v>
      </c>
      <c r="J152" s="80">
        <v>13504.51</v>
      </c>
      <c r="K152" s="19" t="s">
        <v>275</v>
      </c>
      <c r="L152" s="19" t="s">
        <v>276</v>
      </c>
      <c r="M152" s="26"/>
      <c r="N152" s="26"/>
      <c r="O152" s="26"/>
      <c r="P152" s="26" t="s">
        <v>138</v>
      </c>
      <c r="Q152" s="42">
        <v>2</v>
      </c>
      <c r="R152" s="64" t="s">
        <v>177</v>
      </c>
      <c r="S152" s="26"/>
      <c r="T152" s="26"/>
      <c r="U152" s="26"/>
      <c r="V152" s="26" t="s">
        <v>178</v>
      </c>
      <c r="W152" s="26"/>
      <c r="X152" s="26"/>
      <c r="Y152" s="26" t="s">
        <v>138</v>
      </c>
      <c r="Z152" s="44" t="s">
        <v>179</v>
      </c>
      <c r="AA152" s="44" t="s">
        <v>180</v>
      </c>
      <c r="AB152" s="85" t="str">
        <f t="shared" si="0"/>
        <v>10726-141 DG XK SHIPLIFT ÚC</v>
      </c>
    </row>
    <row r="153" spans="1:28" hidden="1" x14ac:dyDescent="0.25">
      <c r="A153" s="26">
        <v>46</v>
      </c>
      <c r="B153" s="19" t="s">
        <v>272</v>
      </c>
      <c r="C153" s="44" t="s">
        <v>273</v>
      </c>
      <c r="D153" s="19" t="s">
        <v>274</v>
      </c>
      <c r="E153" s="19">
        <v>80</v>
      </c>
      <c r="F153" s="19">
        <v>1200</v>
      </c>
      <c r="G153" s="19">
        <v>18000</v>
      </c>
      <c r="H153" s="19">
        <v>1</v>
      </c>
      <c r="I153" s="80">
        <v>13504.51</v>
      </c>
      <c r="J153" s="80">
        <v>13504.51</v>
      </c>
      <c r="K153" s="19" t="s">
        <v>275</v>
      </c>
      <c r="L153" s="19" t="s">
        <v>277</v>
      </c>
      <c r="M153" s="26"/>
      <c r="N153" s="26"/>
      <c r="O153" s="26"/>
      <c r="P153" s="26" t="s">
        <v>138</v>
      </c>
      <c r="Q153" s="42">
        <v>2</v>
      </c>
      <c r="R153" s="64" t="s">
        <v>177</v>
      </c>
      <c r="S153" s="26"/>
      <c r="T153" s="26"/>
      <c r="U153" s="26"/>
      <c r="V153" s="26" t="s">
        <v>178</v>
      </c>
      <c r="W153" s="26"/>
      <c r="X153" s="26"/>
      <c r="Y153" s="26" t="s">
        <v>138</v>
      </c>
      <c r="Z153" s="44" t="s">
        <v>179</v>
      </c>
      <c r="AA153" s="44" t="s">
        <v>180</v>
      </c>
      <c r="AB153" s="85" t="str">
        <f t="shared" si="0"/>
        <v>10726-141 DG XK SHIPLIFT ÚC</v>
      </c>
    </row>
    <row r="154" spans="1:28" hidden="1" x14ac:dyDescent="0.25">
      <c r="A154" s="26">
        <v>47</v>
      </c>
      <c r="B154" s="19" t="s">
        <v>278</v>
      </c>
      <c r="C154" s="44" t="s">
        <v>273</v>
      </c>
      <c r="D154" s="19" t="s">
        <v>274</v>
      </c>
      <c r="E154" s="19">
        <v>80</v>
      </c>
      <c r="F154" s="19">
        <v>1200</v>
      </c>
      <c r="G154" s="19">
        <v>18000</v>
      </c>
      <c r="H154" s="19">
        <v>1</v>
      </c>
      <c r="I154" s="80">
        <v>13504.51</v>
      </c>
      <c r="J154" s="80">
        <v>13504.51</v>
      </c>
      <c r="K154" s="19" t="s">
        <v>275</v>
      </c>
      <c r="L154" s="19" t="s">
        <v>279</v>
      </c>
      <c r="M154" s="26"/>
      <c r="N154" s="26"/>
      <c r="O154" s="26"/>
      <c r="P154" s="26" t="s">
        <v>138</v>
      </c>
      <c r="Q154" s="42">
        <v>2</v>
      </c>
      <c r="R154" s="64" t="s">
        <v>177</v>
      </c>
      <c r="S154" s="26"/>
      <c r="T154" s="26"/>
      <c r="U154" s="26"/>
      <c r="V154" s="26" t="s">
        <v>178</v>
      </c>
      <c r="W154" s="26"/>
      <c r="X154" s="26"/>
      <c r="Y154" s="26" t="s">
        <v>138</v>
      </c>
      <c r="Z154" s="44" t="s">
        <v>179</v>
      </c>
      <c r="AA154" s="44" t="s">
        <v>180</v>
      </c>
      <c r="AB154" s="85" t="str">
        <f t="shared" si="0"/>
        <v>10726-141 DG XK SHIPLIFT ÚC</v>
      </c>
    </row>
    <row r="155" spans="1:28" hidden="1" x14ac:dyDescent="0.25">
      <c r="A155" s="26">
        <v>48</v>
      </c>
      <c r="B155" s="19" t="s">
        <v>278</v>
      </c>
      <c r="C155" s="44" t="s">
        <v>273</v>
      </c>
      <c r="D155" s="19" t="s">
        <v>274</v>
      </c>
      <c r="E155" s="19">
        <v>80</v>
      </c>
      <c r="F155" s="19">
        <v>1200</v>
      </c>
      <c r="G155" s="19">
        <v>18000</v>
      </c>
      <c r="H155" s="19">
        <v>1</v>
      </c>
      <c r="I155" s="80">
        <v>13504.51</v>
      </c>
      <c r="J155" s="80">
        <v>13504.51</v>
      </c>
      <c r="K155" s="19" t="s">
        <v>275</v>
      </c>
      <c r="L155" s="19" t="s">
        <v>280</v>
      </c>
      <c r="M155" s="26"/>
      <c r="N155" s="26"/>
      <c r="O155" s="26"/>
      <c r="P155" s="26" t="s">
        <v>138</v>
      </c>
      <c r="Q155" s="42">
        <v>2</v>
      </c>
      <c r="R155" s="64" t="s">
        <v>177</v>
      </c>
      <c r="S155" s="26"/>
      <c r="T155" s="26"/>
      <c r="U155" s="26"/>
      <c r="V155" s="26" t="s">
        <v>178</v>
      </c>
      <c r="W155" s="26"/>
      <c r="X155" s="26"/>
      <c r="Y155" s="26" t="s">
        <v>138</v>
      </c>
      <c r="Z155" s="44" t="s">
        <v>179</v>
      </c>
      <c r="AA155" s="44" t="s">
        <v>180</v>
      </c>
      <c r="AB155" s="85" t="str">
        <f t="shared" si="0"/>
        <v>10726-141 DG XK SHIPLIFT ÚC</v>
      </c>
    </row>
    <row r="156" spans="1:28" hidden="1" x14ac:dyDescent="0.25">
      <c r="A156" s="26">
        <v>1</v>
      </c>
      <c r="B156" s="19" t="s">
        <v>482</v>
      </c>
      <c r="C156" s="44" t="s">
        <v>172</v>
      </c>
      <c r="D156" s="19" t="s">
        <v>210</v>
      </c>
      <c r="E156" s="19">
        <v>25</v>
      </c>
      <c r="F156" s="19">
        <v>350</v>
      </c>
      <c r="G156" s="19">
        <v>1030</v>
      </c>
      <c r="H156" s="19">
        <v>2</v>
      </c>
      <c r="I156" s="80">
        <v>70.75</v>
      </c>
      <c r="J156" s="80">
        <v>141.5</v>
      </c>
      <c r="K156" s="19" t="s">
        <v>436</v>
      </c>
      <c r="L156" s="19" t="s">
        <v>483</v>
      </c>
      <c r="Q156" s="20">
        <v>8</v>
      </c>
      <c r="R156" s="65" t="s">
        <v>484</v>
      </c>
      <c r="T156" s="19" t="s">
        <v>307</v>
      </c>
      <c r="V156" s="19" t="s">
        <v>178</v>
      </c>
      <c r="X156" s="19" t="s">
        <v>138</v>
      </c>
      <c r="Z156" s="44" t="s">
        <v>485</v>
      </c>
      <c r="AA156" s="44" t="s">
        <v>439</v>
      </c>
    </row>
    <row r="157" spans="1:28" hidden="1" x14ac:dyDescent="0.25">
      <c r="A157" s="26">
        <v>2</v>
      </c>
      <c r="B157" s="19" t="s">
        <v>486</v>
      </c>
      <c r="C157" s="44" t="s">
        <v>172</v>
      </c>
      <c r="D157" s="19" t="s">
        <v>216</v>
      </c>
      <c r="E157" s="19">
        <v>25</v>
      </c>
      <c r="F157" s="19">
        <v>65</v>
      </c>
      <c r="G157" s="19">
        <v>188</v>
      </c>
      <c r="H157" s="19">
        <v>4</v>
      </c>
      <c r="I157" s="80">
        <v>2.4</v>
      </c>
      <c r="J157" s="80">
        <v>9.59</v>
      </c>
      <c r="K157" s="19" t="s">
        <v>436</v>
      </c>
      <c r="L157" s="19" t="s">
        <v>483</v>
      </c>
      <c r="Q157" s="20">
        <v>8</v>
      </c>
      <c r="R157" s="65" t="s">
        <v>484</v>
      </c>
      <c r="T157" s="19" t="s">
        <v>307</v>
      </c>
      <c r="V157" s="19" t="s">
        <v>178</v>
      </c>
      <c r="W157" s="19" t="s">
        <v>138</v>
      </c>
      <c r="Z157" s="44" t="s">
        <v>485</v>
      </c>
      <c r="AA157" s="44" t="s">
        <v>439</v>
      </c>
    </row>
    <row r="158" spans="1:28" hidden="1" x14ac:dyDescent="0.25">
      <c r="A158" s="26">
        <v>3</v>
      </c>
      <c r="B158" s="19" t="s">
        <v>487</v>
      </c>
      <c r="C158" s="44" t="s">
        <v>172</v>
      </c>
      <c r="D158" s="19" t="s">
        <v>214</v>
      </c>
      <c r="E158" s="19">
        <v>25</v>
      </c>
      <c r="F158" s="19">
        <v>65</v>
      </c>
      <c r="G158" s="19">
        <v>346</v>
      </c>
      <c r="H158" s="19">
        <v>4</v>
      </c>
      <c r="I158" s="80">
        <v>2.77</v>
      </c>
      <c r="J158" s="80">
        <v>11.08</v>
      </c>
      <c r="K158" s="19" t="s">
        <v>436</v>
      </c>
      <c r="L158" s="19" t="s">
        <v>483</v>
      </c>
      <c r="Q158" s="20">
        <v>8</v>
      </c>
      <c r="R158" s="65" t="s">
        <v>484</v>
      </c>
      <c r="T158" s="19" t="s">
        <v>307</v>
      </c>
      <c r="V158" s="19" t="s">
        <v>178</v>
      </c>
      <c r="W158" s="19" t="s">
        <v>138</v>
      </c>
      <c r="Z158" s="44" t="s">
        <v>485</v>
      </c>
      <c r="AA158" s="44" t="s">
        <v>439</v>
      </c>
    </row>
    <row r="159" spans="1:28" hidden="1" x14ac:dyDescent="0.25">
      <c r="A159" s="26">
        <v>4</v>
      </c>
      <c r="B159" s="19" t="s">
        <v>488</v>
      </c>
      <c r="C159" s="44" t="s">
        <v>172</v>
      </c>
      <c r="D159" s="19" t="s">
        <v>210</v>
      </c>
      <c r="E159" s="19">
        <v>25</v>
      </c>
      <c r="F159" s="19">
        <v>350</v>
      </c>
      <c r="G159" s="19">
        <v>1030</v>
      </c>
      <c r="H159" s="19">
        <v>2</v>
      </c>
      <c r="I159" s="80">
        <v>70.75</v>
      </c>
      <c r="J159" s="80">
        <v>141.5</v>
      </c>
      <c r="K159" s="19" t="s">
        <v>436</v>
      </c>
      <c r="L159" s="19" t="s">
        <v>483</v>
      </c>
      <c r="Q159" s="20">
        <v>8</v>
      </c>
      <c r="R159" s="65" t="s">
        <v>484</v>
      </c>
      <c r="T159" s="19" t="s">
        <v>307</v>
      </c>
      <c r="V159" s="19" t="s">
        <v>178</v>
      </c>
      <c r="X159" s="19" t="s">
        <v>138</v>
      </c>
      <c r="Z159" s="44" t="s">
        <v>485</v>
      </c>
      <c r="AA159" s="44" t="s">
        <v>439</v>
      </c>
    </row>
    <row r="160" spans="1:28" hidden="1" x14ac:dyDescent="0.25">
      <c r="A160" s="26">
        <v>5</v>
      </c>
      <c r="B160" s="19" t="s">
        <v>489</v>
      </c>
      <c r="C160" s="44" t="s">
        <v>172</v>
      </c>
      <c r="D160" s="19" t="s">
        <v>216</v>
      </c>
      <c r="E160" s="19">
        <v>25</v>
      </c>
      <c r="F160" s="19">
        <v>65</v>
      </c>
      <c r="G160" s="19">
        <v>188</v>
      </c>
      <c r="H160" s="19">
        <v>4</v>
      </c>
      <c r="I160" s="80">
        <v>2.4</v>
      </c>
      <c r="J160" s="80">
        <v>9.59</v>
      </c>
      <c r="K160" s="19" t="s">
        <v>436</v>
      </c>
      <c r="L160" s="19" t="s">
        <v>483</v>
      </c>
      <c r="Q160" s="20">
        <v>8</v>
      </c>
      <c r="R160" s="65" t="s">
        <v>484</v>
      </c>
      <c r="T160" s="19" t="s">
        <v>307</v>
      </c>
      <c r="V160" s="19" t="s">
        <v>178</v>
      </c>
      <c r="W160" s="19" t="s">
        <v>138</v>
      </c>
      <c r="Z160" s="44" t="s">
        <v>485</v>
      </c>
      <c r="AA160" s="44" t="s">
        <v>439</v>
      </c>
    </row>
    <row r="161" spans="1:27" hidden="1" x14ac:dyDescent="0.25">
      <c r="A161" s="26">
        <v>6</v>
      </c>
      <c r="B161" s="19" t="s">
        <v>490</v>
      </c>
      <c r="C161" s="44" t="s">
        <v>172</v>
      </c>
      <c r="D161" s="19" t="s">
        <v>243</v>
      </c>
      <c r="E161" s="19">
        <v>50</v>
      </c>
      <c r="F161" s="19">
        <v>1130</v>
      </c>
      <c r="G161" s="19">
        <v>1990</v>
      </c>
      <c r="H161" s="19">
        <v>2</v>
      </c>
      <c r="I161" s="80">
        <v>882.62</v>
      </c>
      <c r="J161" s="80">
        <v>1765.23</v>
      </c>
      <c r="K161" s="19" t="s">
        <v>491</v>
      </c>
      <c r="L161" s="19" t="s">
        <v>492</v>
      </c>
      <c r="Q161" s="20">
        <v>8</v>
      </c>
      <c r="R161" s="65" t="s">
        <v>484</v>
      </c>
      <c r="T161" s="19" t="s">
        <v>307</v>
      </c>
      <c r="V161" s="19" t="s">
        <v>178</v>
      </c>
      <c r="X161" s="19" t="s">
        <v>138</v>
      </c>
      <c r="Z161" s="44" t="s">
        <v>485</v>
      </c>
      <c r="AA161" s="44" t="s">
        <v>470</v>
      </c>
    </row>
    <row r="162" spans="1:27" hidden="1" x14ac:dyDescent="0.25">
      <c r="A162" s="26">
        <v>7</v>
      </c>
      <c r="B162" s="19" t="s">
        <v>493</v>
      </c>
      <c r="C162" s="44" t="s">
        <v>257</v>
      </c>
      <c r="D162" s="19" t="s">
        <v>365</v>
      </c>
      <c r="E162" s="19">
        <v>50</v>
      </c>
      <c r="F162" s="19">
        <v>1160</v>
      </c>
      <c r="G162" s="19">
        <v>1940</v>
      </c>
      <c r="H162" s="19">
        <v>3</v>
      </c>
      <c r="I162" s="80">
        <v>711.19</v>
      </c>
      <c r="J162" s="80">
        <v>2133.58</v>
      </c>
      <c r="K162" s="19" t="s">
        <v>259</v>
      </c>
      <c r="L162" s="19" t="s">
        <v>494</v>
      </c>
      <c r="Q162" s="20">
        <v>8</v>
      </c>
      <c r="R162" s="65" t="s">
        <v>484</v>
      </c>
      <c r="T162" s="19" t="s">
        <v>307</v>
      </c>
      <c r="V162" s="19" t="s">
        <v>178</v>
      </c>
      <c r="X162" s="19" t="s">
        <v>138</v>
      </c>
      <c r="Z162" s="44" t="s">
        <v>485</v>
      </c>
      <c r="AA162" s="44" t="s">
        <v>462</v>
      </c>
    </row>
    <row r="163" spans="1:27" hidden="1" x14ac:dyDescent="0.25">
      <c r="A163" s="26">
        <v>8</v>
      </c>
      <c r="B163" s="19" t="s">
        <v>495</v>
      </c>
      <c r="C163" s="44" t="s">
        <v>257</v>
      </c>
      <c r="D163" s="19" t="s">
        <v>365</v>
      </c>
      <c r="E163" s="19">
        <v>50</v>
      </c>
      <c r="F163" s="19">
        <v>1160</v>
      </c>
      <c r="G163" s="19">
        <v>1940</v>
      </c>
      <c r="H163" s="19">
        <v>1</v>
      </c>
      <c r="I163" s="80">
        <v>711.19</v>
      </c>
      <c r="J163" s="80">
        <v>711.19</v>
      </c>
      <c r="K163" s="19" t="s">
        <v>259</v>
      </c>
      <c r="L163" s="19" t="s">
        <v>496</v>
      </c>
      <c r="Q163" s="20">
        <v>8</v>
      </c>
      <c r="R163" s="65" t="s">
        <v>484</v>
      </c>
      <c r="T163" s="19" t="s">
        <v>307</v>
      </c>
      <c r="V163" s="19" t="s">
        <v>178</v>
      </c>
      <c r="X163" s="19" t="s">
        <v>138</v>
      </c>
      <c r="Z163" s="44" t="s">
        <v>485</v>
      </c>
      <c r="AA163" s="44" t="s">
        <v>180</v>
      </c>
    </row>
    <row r="164" spans="1:27" hidden="1" x14ac:dyDescent="0.25">
      <c r="A164" s="26">
        <v>9</v>
      </c>
      <c r="B164" s="19" t="s">
        <v>497</v>
      </c>
      <c r="C164" s="44" t="s">
        <v>257</v>
      </c>
      <c r="D164" s="19" t="s">
        <v>365</v>
      </c>
      <c r="E164" s="19">
        <v>50</v>
      </c>
      <c r="F164" s="19">
        <v>1160</v>
      </c>
      <c r="G164" s="19">
        <v>1940</v>
      </c>
      <c r="H164" s="19">
        <v>2</v>
      </c>
      <c r="I164" s="80">
        <v>711.2</v>
      </c>
      <c r="J164" s="80">
        <v>1422.39</v>
      </c>
      <c r="K164" s="19" t="s">
        <v>433</v>
      </c>
      <c r="L164" s="19" t="s">
        <v>498</v>
      </c>
      <c r="Q164" s="20">
        <v>8</v>
      </c>
      <c r="R164" s="65" t="s">
        <v>484</v>
      </c>
      <c r="T164" s="19" t="s">
        <v>307</v>
      </c>
      <c r="V164" s="19" t="s">
        <v>178</v>
      </c>
      <c r="X164" s="19" t="s">
        <v>138</v>
      </c>
      <c r="Z164" s="44" t="s">
        <v>485</v>
      </c>
      <c r="AA164" s="44" t="s">
        <v>180</v>
      </c>
    </row>
    <row r="165" spans="1:27" hidden="1" x14ac:dyDescent="0.25">
      <c r="A165" s="26">
        <v>10</v>
      </c>
      <c r="B165" s="19" t="s">
        <v>499</v>
      </c>
      <c r="C165" s="44" t="s">
        <v>257</v>
      </c>
      <c r="D165" s="19" t="s">
        <v>365</v>
      </c>
      <c r="E165" s="19">
        <v>50</v>
      </c>
      <c r="F165" s="19">
        <v>1160</v>
      </c>
      <c r="G165" s="19">
        <v>1940</v>
      </c>
      <c r="H165" s="19">
        <v>4</v>
      </c>
      <c r="I165" s="80">
        <v>711.2</v>
      </c>
      <c r="J165" s="80">
        <v>2844.78</v>
      </c>
      <c r="K165" s="19" t="s">
        <v>433</v>
      </c>
      <c r="L165" s="19" t="s">
        <v>498</v>
      </c>
      <c r="Q165" s="20">
        <v>8</v>
      </c>
      <c r="R165" s="65" t="s">
        <v>484</v>
      </c>
      <c r="T165" s="19" t="s">
        <v>307</v>
      </c>
      <c r="V165" s="19" t="s">
        <v>178</v>
      </c>
      <c r="X165" s="19" t="s">
        <v>138</v>
      </c>
      <c r="Z165" s="44" t="s">
        <v>485</v>
      </c>
      <c r="AA165" s="44" t="s">
        <v>180</v>
      </c>
    </row>
    <row r="166" spans="1:27" hidden="1" x14ac:dyDescent="0.25">
      <c r="A166" s="26">
        <v>11</v>
      </c>
      <c r="B166" s="19" t="s">
        <v>497</v>
      </c>
      <c r="C166" s="44" t="s">
        <v>257</v>
      </c>
      <c r="D166" s="19" t="s">
        <v>365</v>
      </c>
      <c r="E166" s="19">
        <v>50</v>
      </c>
      <c r="F166" s="19">
        <v>1160</v>
      </c>
      <c r="G166" s="19">
        <v>1940</v>
      </c>
      <c r="H166" s="19">
        <v>2</v>
      </c>
      <c r="I166" s="80">
        <v>711.2</v>
      </c>
      <c r="J166" s="80">
        <v>1422.39</v>
      </c>
      <c r="K166" s="19" t="s">
        <v>433</v>
      </c>
      <c r="L166" s="19" t="s">
        <v>500</v>
      </c>
      <c r="Q166" s="20">
        <v>8</v>
      </c>
      <c r="R166" s="65" t="s">
        <v>484</v>
      </c>
      <c r="T166" s="19" t="s">
        <v>307</v>
      </c>
      <c r="V166" s="19" t="s">
        <v>178</v>
      </c>
      <c r="X166" s="19" t="s">
        <v>138</v>
      </c>
      <c r="Z166" s="44" t="s">
        <v>485</v>
      </c>
      <c r="AA166" s="44" t="s">
        <v>180</v>
      </c>
    </row>
    <row r="167" spans="1:27" hidden="1" x14ac:dyDescent="0.25">
      <c r="A167" s="26">
        <v>12</v>
      </c>
      <c r="B167" s="19" t="s">
        <v>495</v>
      </c>
      <c r="C167" s="44" t="s">
        <v>257</v>
      </c>
      <c r="D167" s="19" t="s">
        <v>365</v>
      </c>
      <c r="E167" s="19">
        <v>50</v>
      </c>
      <c r="F167" s="19">
        <v>1160</v>
      </c>
      <c r="G167" s="19">
        <v>1940</v>
      </c>
      <c r="H167" s="19">
        <v>3</v>
      </c>
      <c r="I167" s="80">
        <v>711.19</v>
      </c>
      <c r="J167" s="80">
        <v>2133.58</v>
      </c>
      <c r="K167" s="19" t="s">
        <v>433</v>
      </c>
      <c r="L167" s="19" t="s">
        <v>500</v>
      </c>
      <c r="Q167" s="20">
        <v>8</v>
      </c>
      <c r="R167" s="65" t="s">
        <v>484</v>
      </c>
      <c r="T167" s="19" t="s">
        <v>307</v>
      </c>
      <c r="V167" s="19" t="s">
        <v>178</v>
      </c>
      <c r="X167" s="19" t="s">
        <v>138</v>
      </c>
      <c r="Z167" s="44" t="s">
        <v>485</v>
      </c>
      <c r="AA167" s="44" t="s">
        <v>180</v>
      </c>
    </row>
    <row r="168" spans="1:27" hidden="1" x14ac:dyDescent="0.25">
      <c r="A168" s="26">
        <v>13</v>
      </c>
      <c r="B168" s="19" t="s">
        <v>493</v>
      </c>
      <c r="C168" s="44" t="s">
        <v>257</v>
      </c>
      <c r="D168" s="19" t="s">
        <v>365</v>
      </c>
      <c r="E168" s="19">
        <v>50</v>
      </c>
      <c r="F168" s="19">
        <v>1160</v>
      </c>
      <c r="G168" s="19">
        <v>1940</v>
      </c>
      <c r="H168" s="19">
        <v>1</v>
      </c>
      <c r="I168" s="80">
        <v>711.19</v>
      </c>
      <c r="J168" s="80">
        <v>711.19</v>
      </c>
      <c r="K168" s="19" t="s">
        <v>433</v>
      </c>
      <c r="L168" s="19" t="s">
        <v>500</v>
      </c>
      <c r="Q168" s="20">
        <v>8</v>
      </c>
      <c r="R168" s="65" t="s">
        <v>484</v>
      </c>
      <c r="T168" s="19" t="s">
        <v>307</v>
      </c>
      <c r="V168" s="19" t="s">
        <v>178</v>
      </c>
      <c r="X168" s="19" t="s">
        <v>138</v>
      </c>
      <c r="Z168" s="44" t="s">
        <v>485</v>
      </c>
      <c r="AA168" s="44" t="s">
        <v>180</v>
      </c>
    </row>
    <row r="169" spans="1:27" hidden="1" x14ac:dyDescent="0.25">
      <c r="A169" s="26">
        <v>14</v>
      </c>
      <c r="B169" s="19" t="s">
        <v>501</v>
      </c>
      <c r="C169" s="44" t="s">
        <v>172</v>
      </c>
      <c r="D169" s="19" t="s">
        <v>248</v>
      </c>
      <c r="E169" s="19">
        <v>50</v>
      </c>
      <c r="F169" s="19">
        <v>1160</v>
      </c>
      <c r="G169" s="19">
        <v>1210</v>
      </c>
      <c r="H169" s="19">
        <v>4</v>
      </c>
      <c r="I169" s="80">
        <v>419.53</v>
      </c>
      <c r="J169" s="80">
        <v>1678.13</v>
      </c>
      <c r="K169" s="19" t="s">
        <v>249</v>
      </c>
      <c r="L169" s="19" t="s">
        <v>502</v>
      </c>
      <c r="N169" s="19" t="s">
        <v>176</v>
      </c>
      <c r="Q169" s="20">
        <v>8</v>
      </c>
      <c r="R169" s="65" t="s">
        <v>484</v>
      </c>
      <c r="T169" s="19" t="s">
        <v>307</v>
      </c>
      <c r="V169" s="19" t="s">
        <v>178</v>
      </c>
      <c r="X169" s="19" t="s">
        <v>138</v>
      </c>
      <c r="Z169" s="44" t="s">
        <v>485</v>
      </c>
      <c r="AA169" s="44" t="s">
        <v>180</v>
      </c>
    </row>
    <row r="170" spans="1:27" hidden="1" x14ac:dyDescent="0.25">
      <c r="A170" s="26">
        <v>1</v>
      </c>
      <c r="B170" s="19" t="s">
        <v>505</v>
      </c>
      <c r="C170" s="44" t="s">
        <v>273</v>
      </c>
      <c r="D170" s="19" t="s">
        <v>328</v>
      </c>
      <c r="E170" s="19">
        <v>12</v>
      </c>
      <c r="F170" s="19">
        <v>275</v>
      </c>
      <c r="G170" s="19">
        <v>300</v>
      </c>
      <c r="H170" s="19">
        <v>80</v>
      </c>
      <c r="I170" s="80">
        <v>6.71</v>
      </c>
      <c r="J170" s="80">
        <v>536.98</v>
      </c>
      <c r="K170" s="19" t="s">
        <v>184</v>
      </c>
      <c r="L170" s="19" t="s">
        <v>506</v>
      </c>
      <c r="Q170" s="20">
        <v>9</v>
      </c>
      <c r="R170" s="65" t="s">
        <v>484</v>
      </c>
      <c r="T170" s="19" t="s">
        <v>307</v>
      </c>
      <c r="V170" s="19" t="s">
        <v>178</v>
      </c>
      <c r="W170" s="19" t="s">
        <v>138</v>
      </c>
      <c r="Z170" s="44" t="s">
        <v>507</v>
      </c>
      <c r="AA170" s="44" t="s">
        <v>180</v>
      </c>
    </row>
    <row r="171" spans="1:27" hidden="1" x14ac:dyDescent="0.25">
      <c r="A171" s="26">
        <v>2</v>
      </c>
      <c r="B171" s="19" t="s">
        <v>508</v>
      </c>
      <c r="C171" s="44" t="s">
        <v>273</v>
      </c>
      <c r="D171" s="19" t="s">
        <v>187</v>
      </c>
      <c r="E171" s="19">
        <v>12</v>
      </c>
      <c r="F171" s="19">
        <v>295</v>
      </c>
      <c r="G171" s="19">
        <v>300</v>
      </c>
      <c r="H171" s="19">
        <v>28</v>
      </c>
      <c r="I171" s="80">
        <v>7.01</v>
      </c>
      <c r="J171" s="80">
        <v>196.38</v>
      </c>
      <c r="K171" s="19" t="s">
        <v>184</v>
      </c>
      <c r="L171" s="19" t="s">
        <v>506</v>
      </c>
      <c r="Q171" s="20">
        <v>9</v>
      </c>
      <c r="R171" s="65" t="s">
        <v>484</v>
      </c>
      <c r="T171" s="19" t="s">
        <v>307</v>
      </c>
      <c r="V171" s="19" t="s">
        <v>178</v>
      </c>
      <c r="W171" s="19" t="s">
        <v>138</v>
      </c>
      <c r="Z171" s="44" t="s">
        <v>507</v>
      </c>
      <c r="AA171" s="44" t="s">
        <v>180</v>
      </c>
    </row>
    <row r="172" spans="1:27" hidden="1" x14ac:dyDescent="0.25">
      <c r="A172" s="26">
        <v>3</v>
      </c>
      <c r="B172" s="19" t="s">
        <v>509</v>
      </c>
      <c r="C172" s="44" t="s">
        <v>273</v>
      </c>
      <c r="D172" s="19" t="s">
        <v>189</v>
      </c>
      <c r="E172" s="19">
        <v>12</v>
      </c>
      <c r="F172" s="19">
        <v>75</v>
      </c>
      <c r="G172" s="19">
        <v>75</v>
      </c>
      <c r="H172" s="19">
        <v>4</v>
      </c>
      <c r="I172" s="80">
        <v>0.53</v>
      </c>
      <c r="J172" s="80">
        <v>2.12</v>
      </c>
      <c r="K172" s="19" t="s">
        <v>184</v>
      </c>
      <c r="L172" s="19" t="s">
        <v>506</v>
      </c>
      <c r="Q172" s="20">
        <v>9</v>
      </c>
      <c r="R172" s="65" t="s">
        <v>484</v>
      </c>
      <c r="T172" s="19" t="s">
        <v>307</v>
      </c>
      <c r="V172" s="19" t="s">
        <v>178</v>
      </c>
      <c r="W172" s="19" t="s">
        <v>138</v>
      </c>
      <c r="Z172" s="44" t="s">
        <v>507</v>
      </c>
      <c r="AA172" s="44" t="s">
        <v>180</v>
      </c>
    </row>
    <row r="173" spans="1:27" hidden="1" x14ac:dyDescent="0.25">
      <c r="A173" s="26">
        <v>4</v>
      </c>
      <c r="B173" s="19" t="s">
        <v>510</v>
      </c>
      <c r="C173" s="44" t="s">
        <v>172</v>
      </c>
      <c r="D173" s="19" t="s">
        <v>198</v>
      </c>
      <c r="E173" s="19">
        <v>20</v>
      </c>
      <c r="F173" s="19">
        <v>30</v>
      </c>
      <c r="G173" s="19">
        <v>30</v>
      </c>
      <c r="H173" s="19">
        <v>8</v>
      </c>
      <c r="I173" s="80">
        <v>0.13</v>
      </c>
      <c r="J173" s="80">
        <v>1.06</v>
      </c>
      <c r="K173" s="19" t="s">
        <v>511</v>
      </c>
      <c r="L173" s="19" t="s">
        <v>512</v>
      </c>
      <c r="N173" s="19" t="s">
        <v>176</v>
      </c>
      <c r="Q173" s="20">
        <v>9</v>
      </c>
      <c r="R173" s="65" t="s">
        <v>484</v>
      </c>
      <c r="T173" s="19" t="s">
        <v>307</v>
      </c>
      <c r="V173" s="19" t="s">
        <v>178</v>
      </c>
      <c r="X173" s="19" t="s">
        <v>138</v>
      </c>
      <c r="Z173" s="44" t="s">
        <v>507</v>
      </c>
      <c r="AA173" s="44" t="s">
        <v>342</v>
      </c>
    </row>
    <row r="174" spans="1:27" hidden="1" x14ac:dyDescent="0.25">
      <c r="A174" s="26">
        <v>5</v>
      </c>
      <c r="B174" s="19" t="s">
        <v>513</v>
      </c>
      <c r="C174" s="44" t="s">
        <v>172</v>
      </c>
      <c r="D174" s="19" t="s">
        <v>200</v>
      </c>
      <c r="E174" s="19">
        <v>20</v>
      </c>
      <c r="F174" s="19">
        <v>250</v>
      </c>
      <c r="G174" s="19">
        <v>2658</v>
      </c>
      <c r="H174" s="19">
        <v>4</v>
      </c>
      <c r="I174" s="80">
        <v>104.28</v>
      </c>
      <c r="J174" s="80">
        <v>417.12</v>
      </c>
      <c r="K174" s="19" t="s">
        <v>511</v>
      </c>
      <c r="L174" s="19" t="s">
        <v>512</v>
      </c>
      <c r="Q174" s="20">
        <v>9</v>
      </c>
      <c r="R174" s="65" t="s">
        <v>484</v>
      </c>
      <c r="T174" s="19" t="s">
        <v>307</v>
      </c>
      <c r="V174" s="19" t="s">
        <v>178</v>
      </c>
      <c r="W174" s="19" t="s">
        <v>138</v>
      </c>
      <c r="Z174" s="44" t="s">
        <v>507</v>
      </c>
      <c r="AA174" s="44" t="s">
        <v>342</v>
      </c>
    </row>
    <row r="175" spans="1:27" hidden="1" x14ac:dyDescent="0.25">
      <c r="A175" s="26">
        <v>6</v>
      </c>
      <c r="B175" s="19" t="s">
        <v>514</v>
      </c>
      <c r="C175" s="44" t="s">
        <v>172</v>
      </c>
      <c r="D175" s="19" t="s">
        <v>202</v>
      </c>
      <c r="E175" s="19">
        <v>20</v>
      </c>
      <c r="F175" s="19">
        <v>250</v>
      </c>
      <c r="G175" s="19">
        <v>2638</v>
      </c>
      <c r="H175" s="19">
        <v>10</v>
      </c>
      <c r="I175" s="80">
        <v>103.5</v>
      </c>
      <c r="J175" s="80">
        <v>1034.96</v>
      </c>
      <c r="K175" s="19" t="s">
        <v>511</v>
      </c>
      <c r="L175" s="19" t="s">
        <v>512</v>
      </c>
      <c r="Q175" s="20">
        <v>9</v>
      </c>
      <c r="R175" s="65" t="s">
        <v>484</v>
      </c>
      <c r="T175" s="19" t="s">
        <v>307</v>
      </c>
      <c r="V175" s="19" t="s">
        <v>178</v>
      </c>
      <c r="W175" s="19" t="s">
        <v>138</v>
      </c>
      <c r="Z175" s="44" t="s">
        <v>507</v>
      </c>
      <c r="AA175" s="44" t="s">
        <v>342</v>
      </c>
    </row>
    <row r="176" spans="1:27" hidden="1" x14ac:dyDescent="0.25">
      <c r="A176" s="26">
        <v>7</v>
      </c>
      <c r="B176" s="19" t="s">
        <v>515</v>
      </c>
      <c r="C176" s="44" t="s">
        <v>172</v>
      </c>
      <c r="D176" s="19" t="s">
        <v>214</v>
      </c>
      <c r="E176" s="19">
        <v>25</v>
      </c>
      <c r="F176" s="19">
        <v>65</v>
      </c>
      <c r="G176" s="19">
        <v>346</v>
      </c>
      <c r="H176" s="19">
        <v>2</v>
      </c>
      <c r="I176" s="80">
        <v>4.32</v>
      </c>
      <c r="J176" s="80">
        <v>8.65</v>
      </c>
      <c r="K176" s="19" t="s">
        <v>436</v>
      </c>
      <c r="L176" s="19" t="s">
        <v>516</v>
      </c>
      <c r="Q176" s="20">
        <v>9</v>
      </c>
      <c r="R176" s="65" t="s">
        <v>484</v>
      </c>
      <c r="T176" s="19" t="s">
        <v>307</v>
      </c>
      <c r="V176" s="19" t="s">
        <v>178</v>
      </c>
      <c r="W176" s="19" t="s">
        <v>138</v>
      </c>
      <c r="Z176" s="44" t="s">
        <v>507</v>
      </c>
      <c r="AA176" s="44" t="s">
        <v>483</v>
      </c>
    </row>
    <row r="177" spans="1:27" hidden="1" x14ac:dyDescent="0.25">
      <c r="A177" s="26">
        <v>8</v>
      </c>
      <c r="B177" s="19" t="s">
        <v>517</v>
      </c>
      <c r="C177" s="44" t="s">
        <v>172</v>
      </c>
      <c r="D177" s="19" t="s">
        <v>216</v>
      </c>
      <c r="E177" s="19">
        <v>25</v>
      </c>
      <c r="F177" s="19">
        <v>65</v>
      </c>
      <c r="G177" s="19">
        <v>188</v>
      </c>
      <c r="H177" s="19">
        <v>2</v>
      </c>
      <c r="I177" s="80">
        <v>2.31</v>
      </c>
      <c r="J177" s="80">
        <v>4.62</v>
      </c>
      <c r="K177" s="19" t="s">
        <v>436</v>
      </c>
      <c r="L177" s="19" t="s">
        <v>516</v>
      </c>
      <c r="Q177" s="20">
        <v>9</v>
      </c>
      <c r="R177" s="65" t="s">
        <v>484</v>
      </c>
      <c r="T177" s="19" t="s">
        <v>307</v>
      </c>
      <c r="V177" s="19" t="s">
        <v>178</v>
      </c>
      <c r="W177" s="19" t="s">
        <v>138</v>
      </c>
      <c r="Z177" s="44" t="s">
        <v>507</v>
      </c>
      <c r="AA177" s="44" t="s">
        <v>483</v>
      </c>
    </row>
    <row r="178" spans="1:27" hidden="1" x14ac:dyDescent="0.25">
      <c r="A178" s="26">
        <v>9</v>
      </c>
      <c r="B178" s="19" t="s">
        <v>518</v>
      </c>
      <c r="C178" s="44" t="s">
        <v>172</v>
      </c>
      <c r="D178" s="19" t="s">
        <v>214</v>
      </c>
      <c r="E178" s="19">
        <v>25</v>
      </c>
      <c r="F178" s="19">
        <v>65</v>
      </c>
      <c r="G178" s="19">
        <v>346</v>
      </c>
      <c r="H178" s="19">
        <v>2</v>
      </c>
      <c r="I178" s="80">
        <v>2.7</v>
      </c>
      <c r="J178" s="80">
        <v>5.39</v>
      </c>
      <c r="K178" s="19" t="s">
        <v>436</v>
      </c>
      <c r="L178" s="19" t="s">
        <v>516</v>
      </c>
      <c r="Q178" s="20">
        <v>9</v>
      </c>
      <c r="R178" s="65" t="s">
        <v>484</v>
      </c>
      <c r="T178" s="19" t="s">
        <v>307</v>
      </c>
      <c r="V178" s="19" t="s">
        <v>178</v>
      </c>
      <c r="W178" s="19" t="s">
        <v>138</v>
      </c>
      <c r="Z178" s="44" t="s">
        <v>507</v>
      </c>
      <c r="AA178" s="44" t="s">
        <v>483</v>
      </c>
    </row>
    <row r="179" spans="1:27" hidden="1" x14ac:dyDescent="0.25">
      <c r="A179" s="26">
        <v>10</v>
      </c>
      <c r="B179" s="19" t="s">
        <v>519</v>
      </c>
      <c r="C179" s="44" t="s">
        <v>172</v>
      </c>
      <c r="D179" s="19" t="s">
        <v>219</v>
      </c>
      <c r="E179" s="19">
        <v>25</v>
      </c>
      <c r="F179" s="19">
        <v>330</v>
      </c>
      <c r="G179" s="19">
        <v>1218</v>
      </c>
      <c r="H179" s="19">
        <v>2</v>
      </c>
      <c r="I179" s="80">
        <v>78.84</v>
      </c>
      <c r="J179" s="80">
        <v>157.69</v>
      </c>
      <c r="K179" s="19" t="s">
        <v>436</v>
      </c>
      <c r="L179" s="19" t="s">
        <v>516</v>
      </c>
      <c r="Q179" s="20">
        <v>9</v>
      </c>
      <c r="R179" s="65" t="s">
        <v>484</v>
      </c>
      <c r="T179" s="19" t="s">
        <v>307</v>
      </c>
      <c r="V179" s="19" t="s">
        <v>178</v>
      </c>
      <c r="W179" s="19" t="s">
        <v>138</v>
      </c>
      <c r="Z179" s="44" t="s">
        <v>507</v>
      </c>
      <c r="AA179" s="44" t="s">
        <v>483</v>
      </c>
    </row>
    <row r="180" spans="1:27" hidden="1" x14ac:dyDescent="0.25">
      <c r="A180" s="26">
        <v>11</v>
      </c>
      <c r="B180" s="19" t="s">
        <v>520</v>
      </c>
      <c r="C180" s="44" t="s">
        <v>172</v>
      </c>
      <c r="D180" s="19" t="s">
        <v>521</v>
      </c>
      <c r="E180" s="19">
        <v>32</v>
      </c>
      <c r="F180" s="19">
        <v>2660</v>
      </c>
      <c r="G180" s="19">
        <v>14134</v>
      </c>
      <c r="H180" s="19">
        <v>1</v>
      </c>
      <c r="I180" s="80">
        <v>9173.23</v>
      </c>
      <c r="J180" s="80">
        <v>9173.23</v>
      </c>
      <c r="K180" s="19" t="s">
        <v>227</v>
      </c>
      <c r="L180" s="19" t="s">
        <v>522</v>
      </c>
      <c r="P180" s="19" t="s">
        <v>138</v>
      </c>
      <c r="Q180" s="20">
        <v>9</v>
      </c>
      <c r="R180" s="65" t="s">
        <v>484</v>
      </c>
      <c r="T180" s="19" t="s">
        <v>307</v>
      </c>
      <c r="V180" s="19" t="s">
        <v>178</v>
      </c>
      <c r="Y180" s="19" t="s">
        <v>138</v>
      </c>
      <c r="Z180" s="44" t="s">
        <v>507</v>
      </c>
      <c r="AA180" s="44" t="s">
        <v>180</v>
      </c>
    </row>
    <row r="181" spans="1:27" hidden="1" x14ac:dyDescent="0.25">
      <c r="A181" s="26">
        <v>12</v>
      </c>
      <c r="B181" s="19" t="s">
        <v>523</v>
      </c>
      <c r="C181" s="44" t="s">
        <v>172</v>
      </c>
      <c r="D181" s="19" t="s">
        <v>524</v>
      </c>
      <c r="E181" s="19">
        <v>32</v>
      </c>
      <c r="F181" s="19">
        <v>2660</v>
      </c>
      <c r="G181" s="19">
        <v>13686</v>
      </c>
      <c r="H181" s="19">
        <v>1</v>
      </c>
      <c r="I181" s="80">
        <v>8877.4</v>
      </c>
      <c r="J181" s="80">
        <v>8877.4</v>
      </c>
      <c r="K181" s="19" t="s">
        <v>233</v>
      </c>
      <c r="L181" s="19" t="s">
        <v>525</v>
      </c>
      <c r="P181" s="19" t="s">
        <v>138</v>
      </c>
      <c r="Q181" s="20">
        <v>9</v>
      </c>
      <c r="R181" s="65" t="s">
        <v>484</v>
      </c>
      <c r="T181" s="19" t="s">
        <v>307</v>
      </c>
      <c r="V181" s="19" t="s">
        <v>178</v>
      </c>
      <c r="Y181" s="19" t="s">
        <v>138</v>
      </c>
      <c r="Z181" s="44" t="s">
        <v>507</v>
      </c>
      <c r="AA181" s="44" t="s">
        <v>180</v>
      </c>
    </row>
    <row r="182" spans="1:27" hidden="1" x14ac:dyDescent="0.25">
      <c r="A182" s="26">
        <v>13</v>
      </c>
      <c r="B182" s="19" t="s">
        <v>526</v>
      </c>
      <c r="C182" s="44" t="s">
        <v>273</v>
      </c>
      <c r="D182" s="19" t="s">
        <v>420</v>
      </c>
      <c r="E182" s="19">
        <v>40</v>
      </c>
      <c r="F182" s="19">
        <v>834</v>
      </c>
      <c r="G182" s="19">
        <v>2658</v>
      </c>
      <c r="H182" s="19">
        <v>4</v>
      </c>
      <c r="I182" s="80">
        <v>497.4</v>
      </c>
      <c r="J182" s="80">
        <v>1989.59</v>
      </c>
      <c r="K182" s="19" t="s">
        <v>240</v>
      </c>
      <c r="L182" s="19" t="s">
        <v>527</v>
      </c>
      <c r="N182" s="19" t="s">
        <v>176</v>
      </c>
      <c r="Q182" s="20">
        <v>9</v>
      </c>
      <c r="R182" s="65" t="s">
        <v>484</v>
      </c>
      <c r="T182" s="19" t="s">
        <v>307</v>
      </c>
      <c r="V182" s="19" t="s">
        <v>178</v>
      </c>
      <c r="X182" s="19" t="s">
        <v>138</v>
      </c>
      <c r="Z182" s="44" t="s">
        <v>507</v>
      </c>
      <c r="AA182" s="44" t="s">
        <v>421</v>
      </c>
    </row>
    <row r="183" spans="1:27" hidden="1" x14ac:dyDescent="0.25">
      <c r="A183" s="26">
        <v>14</v>
      </c>
      <c r="B183" s="19" t="s">
        <v>528</v>
      </c>
      <c r="C183" s="44" t="s">
        <v>172</v>
      </c>
      <c r="D183" s="19" t="s">
        <v>253</v>
      </c>
      <c r="E183" s="19">
        <v>50</v>
      </c>
      <c r="F183" s="19">
        <v>964</v>
      </c>
      <c r="G183" s="19">
        <v>2638</v>
      </c>
      <c r="H183" s="19">
        <v>1</v>
      </c>
      <c r="I183" s="80">
        <v>712.82</v>
      </c>
      <c r="J183" s="80">
        <v>712.82</v>
      </c>
      <c r="K183" s="19" t="s">
        <v>529</v>
      </c>
      <c r="L183" s="19" t="s">
        <v>530</v>
      </c>
      <c r="N183" s="19" t="s">
        <v>176</v>
      </c>
      <c r="Q183" s="20">
        <v>9</v>
      </c>
      <c r="R183" s="65" t="s">
        <v>484</v>
      </c>
      <c r="T183" s="19" t="s">
        <v>307</v>
      </c>
      <c r="V183" s="19" t="s">
        <v>178</v>
      </c>
      <c r="X183" s="19" t="s">
        <v>138</v>
      </c>
      <c r="Z183" s="44" t="s">
        <v>507</v>
      </c>
      <c r="AA183" s="44" t="s">
        <v>424</v>
      </c>
    </row>
    <row r="184" spans="1:27" hidden="1" x14ac:dyDescent="0.25">
      <c r="A184" s="26">
        <v>15</v>
      </c>
      <c r="B184" s="19" t="s">
        <v>528</v>
      </c>
      <c r="C184" s="44" t="s">
        <v>172</v>
      </c>
      <c r="D184" s="19" t="s">
        <v>253</v>
      </c>
      <c r="E184" s="19">
        <v>50</v>
      </c>
      <c r="F184" s="19">
        <v>964</v>
      </c>
      <c r="G184" s="19">
        <v>2638</v>
      </c>
      <c r="H184" s="19">
        <v>3</v>
      </c>
      <c r="I184" s="80">
        <v>712.82</v>
      </c>
      <c r="J184" s="80">
        <v>2138.4499999999998</v>
      </c>
      <c r="K184" s="19" t="s">
        <v>254</v>
      </c>
      <c r="L184" s="19" t="s">
        <v>531</v>
      </c>
      <c r="N184" s="19" t="s">
        <v>176</v>
      </c>
      <c r="Q184" s="20">
        <v>9</v>
      </c>
      <c r="R184" s="65" t="s">
        <v>484</v>
      </c>
      <c r="T184" s="19" t="s">
        <v>307</v>
      </c>
      <c r="V184" s="19" t="s">
        <v>178</v>
      </c>
      <c r="X184" s="19" t="s">
        <v>138</v>
      </c>
      <c r="Z184" s="44" t="s">
        <v>507</v>
      </c>
      <c r="AA184" s="44" t="s">
        <v>180</v>
      </c>
    </row>
    <row r="185" spans="1:27" hidden="1" x14ac:dyDescent="0.25">
      <c r="A185" s="26">
        <v>16</v>
      </c>
      <c r="B185" s="19" t="s">
        <v>532</v>
      </c>
      <c r="C185" s="44" t="s">
        <v>172</v>
      </c>
      <c r="D185" s="19" t="s">
        <v>264</v>
      </c>
      <c r="E185" s="19">
        <v>60</v>
      </c>
      <c r="F185" s="19">
        <v>1080</v>
      </c>
      <c r="G185" s="19">
        <v>4910</v>
      </c>
      <c r="H185" s="19">
        <v>2</v>
      </c>
      <c r="I185" s="80">
        <v>2497.62</v>
      </c>
      <c r="J185" s="80">
        <v>4995.24</v>
      </c>
      <c r="K185" s="19" t="s">
        <v>533</v>
      </c>
      <c r="L185" s="19" t="s">
        <v>534</v>
      </c>
      <c r="Q185" s="20">
        <v>9</v>
      </c>
      <c r="R185" s="65" t="s">
        <v>484</v>
      </c>
      <c r="T185" s="19" t="s">
        <v>307</v>
      </c>
      <c r="V185" s="19" t="s">
        <v>178</v>
      </c>
      <c r="Y185" s="19" t="s">
        <v>138</v>
      </c>
      <c r="Z185" s="44" t="s">
        <v>507</v>
      </c>
      <c r="AA185" s="44" t="s">
        <v>428</v>
      </c>
    </row>
    <row r="186" spans="1:27" hidden="1" x14ac:dyDescent="0.25">
      <c r="A186" s="26">
        <v>17</v>
      </c>
      <c r="B186" s="19" t="s">
        <v>535</v>
      </c>
      <c r="C186" s="44" t="s">
        <v>172</v>
      </c>
      <c r="D186" s="19" t="s">
        <v>268</v>
      </c>
      <c r="E186" s="19">
        <v>60</v>
      </c>
      <c r="F186" s="19">
        <v>1080</v>
      </c>
      <c r="G186" s="19">
        <v>2810</v>
      </c>
      <c r="H186" s="19">
        <v>2</v>
      </c>
      <c r="I186" s="80">
        <v>1429.39</v>
      </c>
      <c r="J186" s="80">
        <v>2858.78</v>
      </c>
      <c r="K186" s="19" t="s">
        <v>533</v>
      </c>
      <c r="L186" s="19" t="s">
        <v>534</v>
      </c>
      <c r="Q186" s="20">
        <v>9</v>
      </c>
      <c r="R186" s="65" t="s">
        <v>484</v>
      </c>
      <c r="T186" s="19" t="s">
        <v>307</v>
      </c>
      <c r="V186" s="19" t="s">
        <v>178</v>
      </c>
      <c r="Y186" s="19" t="s">
        <v>138</v>
      </c>
      <c r="Z186" s="44" t="s">
        <v>507</v>
      </c>
      <c r="AA186" s="44" t="s">
        <v>428</v>
      </c>
    </row>
    <row r="187" spans="1:27" hidden="1" x14ac:dyDescent="0.25">
      <c r="A187" s="26">
        <v>18</v>
      </c>
      <c r="B187" s="19" t="s">
        <v>536</v>
      </c>
      <c r="C187" s="44" t="s">
        <v>273</v>
      </c>
      <c r="D187" s="19" t="s">
        <v>537</v>
      </c>
      <c r="E187" s="19">
        <v>80</v>
      </c>
      <c r="F187" s="19">
        <v>1200</v>
      </c>
      <c r="G187" s="19">
        <v>17998</v>
      </c>
      <c r="H187" s="19">
        <v>1</v>
      </c>
      <c r="I187" s="80">
        <v>13503.16</v>
      </c>
      <c r="J187" s="80">
        <v>13503.16</v>
      </c>
      <c r="K187" s="19" t="s">
        <v>275</v>
      </c>
      <c r="L187" s="19" t="s">
        <v>538</v>
      </c>
      <c r="P187" s="19" t="s">
        <v>138</v>
      </c>
      <c r="Q187" s="20">
        <v>9</v>
      </c>
      <c r="R187" s="65" t="s">
        <v>484</v>
      </c>
      <c r="T187" s="19" t="s">
        <v>307</v>
      </c>
      <c r="V187" s="19" t="s">
        <v>178</v>
      </c>
      <c r="Y187" s="19" t="s">
        <v>138</v>
      </c>
      <c r="Z187" s="44" t="s">
        <v>507</v>
      </c>
      <c r="AA187" s="44" t="s">
        <v>180</v>
      </c>
    </row>
    <row r="188" spans="1:27" hidden="1" x14ac:dyDescent="0.25">
      <c r="A188" s="26">
        <v>19</v>
      </c>
      <c r="B188" s="19" t="s">
        <v>536</v>
      </c>
      <c r="C188" s="44" t="s">
        <v>273</v>
      </c>
      <c r="D188" s="19" t="s">
        <v>537</v>
      </c>
      <c r="E188" s="19">
        <v>80</v>
      </c>
      <c r="F188" s="19">
        <v>1200</v>
      </c>
      <c r="G188" s="19">
        <v>17998</v>
      </c>
      <c r="H188" s="19">
        <v>1</v>
      </c>
      <c r="I188" s="80">
        <v>13503.16</v>
      </c>
      <c r="J188" s="80">
        <v>13503.16</v>
      </c>
      <c r="K188" s="19" t="s">
        <v>275</v>
      </c>
      <c r="L188" s="19" t="s">
        <v>539</v>
      </c>
      <c r="P188" s="19" t="s">
        <v>138</v>
      </c>
      <c r="Q188" s="20">
        <v>9</v>
      </c>
      <c r="R188" s="65" t="s">
        <v>484</v>
      </c>
      <c r="T188" s="19" t="s">
        <v>307</v>
      </c>
      <c r="V188" s="19" t="s">
        <v>178</v>
      </c>
      <c r="Y188" s="19" t="s">
        <v>138</v>
      </c>
      <c r="Z188" s="44" t="s">
        <v>507</v>
      </c>
      <c r="AA188" s="44" t="s">
        <v>180</v>
      </c>
    </row>
    <row r="189" spans="1:27" hidden="1" x14ac:dyDescent="0.25">
      <c r="A189" s="26">
        <v>1</v>
      </c>
      <c r="B189" s="19" t="s">
        <v>545</v>
      </c>
      <c r="C189" s="44" t="s">
        <v>115</v>
      </c>
      <c r="D189" s="19" t="s">
        <v>546</v>
      </c>
      <c r="E189" s="19">
        <v>20</v>
      </c>
      <c r="F189" s="19">
        <v>260</v>
      </c>
      <c r="G189" s="19">
        <v>660</v>
      </c>
      <c r="H189" s="19">
        <v>4</v>
      </c>
      <c r="I189" s="80">
        <v>25.56</v>
      </c>
      <c r="J189" s="80">
        <v>102.22</v>
      </c>
      <c r="K189" s="19" t="s">
        <v>547</v>
      </c>
      <c r="L189" s="19" t="s">
        <v>548</v>
      </c>
      <c r="N189" s="19" t="s">
        <v>176</v>
      </c>
      <c r="Q189" s="20">
        <v>10</v>
      </c>
      <c r="R189" s="65" t="s">
        <v>549</v>
      </c>
      <c r="T189" s="19" t="s">
        <v>307</v>
      </c>
      <c r="V189" s="19" t="s">
        <v>550</v>
      </c>
      <c r="X189" s="19" t="s">
        <v>138</v>
      </c>
      <c r="Z189" s="44" t="s">
        <v>551</v>
      </c>
      <c r="AA189" s="44" t="s">
        <v>552</v>
      </c>
    </row>
    <row r="190" spans="1:27" hidden="1" x14ac:dyDescent="0.25">
      <c r="A190" s="26">
        <v>2</v>
      </c>
      <c r="B190" s="19" t="s">
        <v>553</v>
      </c>
      <c r="C190" s="44" t="s">
        <v>115</v>
      </c>
      <c r="D190" s="19" t="s">
        <v>554</v>
      </c>
      <c r="E190" s="19">
        <v>20</v>
      </c>
      <c r="F190" s="19">
        <v>180</v>
      </c>
      <c r="G190" s="19">
        <v>180</v>
      </c>
      <c r="H190" s="19">
        <v>12</v>
      </c>
      <c r="I190" s="80">
        <v>3.3</v>
      </c>
      <c r="J190" s="80">
        <v>39.619999999999997</v>
      </c>
      <c r="K190" s="19" t="s">
        <v>547</v>
      </c>
      <c r="L190" s="19" t="s">
        <v>548</v>
      </c>
      <c r="N190" s="19" t="s">
        <v>176</v>
      </c>
      <c r="Q190" s="20">
        <v>10</v>
      </c>
      <c r="R190" s="65" t="s">
        <v>549</v>
      </c>
      <c r="T190" s="19" t="s">
        <v>307</v>
      </c>
      <c r="V190" s="19" t="s">
        <v>550</v>
      </c>
      <c r="X190" s="19" t="s">
        <v>138</v>
      </c>
      <c r="Z190" s="44" t="s">
        <v>551</v>
      </c>
      <c r="AA190" s="44" t="s">
        <v>552</v>
      </c>
    </row>
    <row r="191" spans="1:27" hidden="1" x14ac:dyDescent="0.25">
      <c r="A191" s="26">
        <v>3</v>
      </c>
      <c r="B191" s="19" t="s">
        <v>555</v>
      </c>
      <c r="C191" s="44" t="s">
        <v>115</v>
      </c>
      <c r="D191" s="19" t="s">
        <v>554</v>
      </c>
      <c r="E191" s="19">
        <v>20</v>
      </c>
      <c r="F191" s="19">
        <v>180</v>
      </c>
      <c r="G191" s="19">
        <v>180</v>
      </c>
      <c r="H191" s="19">
        <v>4</v>
      </c>
      <c r="I191" s="80">
        <v>3.3</v>
      </c>
      <c r="J191" s="80">
        <v>13.21</v>
      </c>
      <c r="K191" s="19" t="s">
        <v>547</v>
      </c>
      <c r="L191" s="19" t="s">
        <v>548</v>
      </c>
      <c r="N191" s="19" t="s">
        <v>176</v>
      </c>
      <c r="Q191" s="20">
        <v>10</v>
      </c>
      <c r="R191" s="65" t="s">
        <v>549</v>
      </c>
      <c r="T191" s="19" t="s">
        <v>307</v>
      </c>
      <c r="V191" s="19" t="s">
        <v>550</v>
      </c>
      <c r="X191" s="19" t="s">
        <v>138</v>
      </c>
      <c r="Z191" s="44" t="s">
        <v>551</v>
      </c>
      <c r="AA191" s="44" t="s">
        <v>552</v>
      </c>
    </row>
    <row r="192" spans="1:27" hidden="1" x14ac:dyDescent="0.25">
      <c r="A192" s="26">
        <v>4</v>
      </c>
      <c r="B192" s="19" t="s">
        <v>556</v>
      </c>
      <c r="C192" s="44" t="s">
        <v>115</v>
      </c>
      <c r="D192" s="19" t="s">
        <v>554</v>
      </c>
      <c r="E192" s="19">
        <v>20</v>
      </c>
      <c r="F192" s="19">
        <v>180</v>
      </c>
      <c r="G192" s="19">
        <v>180</v>
      </c>
      <c r="H192" s="19">
        <v>8</v>
      </c>
      <c r="I192" s="80">
        <v>3.3</v>
      </c>
      <c r="J192" s="80">
        <v>26.41</v>
      </c>
      <c r="K192" s="19" t="s">
        <v>547</v>
      </c>
      <c r="L192" s="19" t="s">
        <v>548</v>
      </c>
      <c r="N192" s="19" t="s">
        <v>176</v>
      </c>
      <c r="Q192" s="20">
        <v>10</v>
      </c>
      <c r="R192" s="65" t="s">
        <v>549</v>
      </c>
      <c r="T192" s="19" t="s">
        <v>307</v>
      </c>
      <c r="V192" s="19" t="s">
        <v>550</v>
      </c>
      <c r="X192" s="19" t="s">
        <v>138</v>
      </c>
      <c r="Z192" s="44" t="s">
        <v>551</v>
      </c>
      <c r="AA192" s="44" t="s">
        <v>552</v>
      </c>
    </row>
    <row r="193" spans="1:27" hidden="1" x14ac:dyDescent="0.25">
      <c r="A193" s="26">
        <v>5</v>
      </c>
      <c r="B193" s="19" t="s">
        <v>557</v>
      </c>
      <c r="C193" s="44" t="s">
        <v>115</v>
      </c>
      <c r="D193" s="19" t="s">
        <v>558</v>
      </c>
      <c r="E193" s="19">
        <v>20</v>
      </c>
      <c r="F193" s="19">
        <v>300</v>
      </c>
      <c r="G193" s="19">
        <v>380</v>
      </c>
      <c r="H193" s="19">
        <v>4</v>
      </c>
      <c r="I193" s="80">
        <v>16.36</v>
      </c>
      <c r="J193" s="80">
        <v>65.430000000000007</v>
      </c>
      <c r="K193" s="19" t="s">
        <v>547</v>
      </c>
      <c r="L193" s="19" t="s">
        <v>548</v>
      </c>
      <c r="N193" s="19" t="s">
        <v>176</v>
      </c>
      <c r="Q193" s="20">
        <v>10</v>
      </c>
      <c r="R193" s="65" t="s">
        <v>549</v>
      </c>
      <c r="T193" s="19" t="s">
        <v>307</v>
      </c>
      <c r="V193" s="19" t="s">
        <v>550</v>
      </c>
      <c r="X193" s="19" t="s">
        <v>138</v>
      </c>
      <c r="Z193" s="44" t="s">
        <v>551</v>
      </c>
      <c r="AA193" s="44" t="s">
        <v>552</v>
      </c>
    </row>
    <row r="194" spans="1:27" hidden="1" x14ac:dyDescent="0.25">
      <c r="A194" s="26">
        <v>6</v>
      </c>
      <c r="B194" s="19" t="s">
        <v>559</v>
      </c>
      <c r="C194" s="44" t="s">
        <v>115</v>
      </c>
      <c r="D194" s="19" t="s">
        <v>560</v>
      </c>
      <c r="E194" s="19">
        <v>20</v>
      </c>
      <c r="F194" s="19">
        <v>50</v>
      </c>
      <c r="G194" s="19">
        <v>490</v>
      </c>
      <c r="H194" s="19">
        <v>8</v>
      </c>
      <c r="I194" s="80">
        <v>3.85</v>
      </c>
      <c r="J194" s="80">
        <v>30.77</v>
      </c>
      <c r="K194" s="19" t="s">
        <v>547</v>
      </c>
      <c r="L194" s="19" t="s">
        <v>548</v>
      </c>
      <c r="Q194" s="20">
        <v>10</v>
      </c>
      <c r="R194" s="65" t="s">
        <v>549</v>
      </c>
      <c r="T194" s="19" t="s">
        <v>307</v>
      </c>
      <c r="V194" s="19" t="s">
        <v>550</v>
      </c>
      <c r="W194" s="19" t="s">
        <v>138</v>
      </c>
      <c r="Z194" s="44" t="s">
        <v>551</v>
      </c>
      <c r="AA194" s="44" t="s">
        <v>552</v>
      </c>
    </row>
    <row r="195" spans="1:27" hidden="1" x14ac:dyDescent="0.25">
      <c r="A195" s="26">
        <v>7</v>
      </c>
      <c r="B195" s="19" t="s">
        <v>561</v>
      </c>
      <c r="C195" s="44" t="s">
        <v>115</v>
      </c>
      <c r="D195" s="19" t="s">
        <v>562</v>
      </c>
      <c r="E195" s="19">
        <v>20</v>
      </c>
      <c r="F195" s="19">
        <v>50</v>
      </c>
      <c r="G195" s="19">
        <v>100</v>
      </c>
      <c r="H195" s="19">
        <v>8</v>
      </c>
      <c r="I195" s="80">
        <v>0.78</v>
      </c>
      <c r="J195" s="80">
        <v>6.28</v>
      </c>
      <c r="K195" s="19" t="s">
        <v>547</v>
      </c>
      <c r="L195" s="19" t="s">
        <v>548</v>
      </c>
      <c r="Q195" s="20">
        <v>10</v>
      </c>
      <c r="R195" s="65" t="s">
        <v>549</v>
      </c>
      <c r="T195" s="19" t="s">
        <v>307</v>
      </c>
      <c r="V195" s="19" t="s">
        <v>550</v>
      </c>
      <c r="W195" s="19" t="s">
        <v>138</v>
      </c>
      <c r="Z195" s="44" t="s">
        <v>551</v>
      </c>
      <c r="AA195" s="44" t="s">
        <v>552</v>
      </c>
    </row>
    <row r="196" spans="1:27" hidden="1" x14ac:dyDescent="0.25">
      <c r="A196" s="26">
        <v>8</v>
      </c>
      <c r="B196" s="19" t="s">
        <v>563</v>
      </c>
      <c r="C196" s="44" t="s">
        <v>115</v>
      </c>
      <c r="D196" s="19" t="s">
        <v>564</v>
      </c>
      <c r="E196" s="19">
        <v>20</v>
      </c>
      <c r="F196" s="19">
        <v>50</v>
      </c>
      <c r="G196" s="19">
        <v>400</v>
      </c>
      <c r="H196" s="19">
        <v>8</v>
      </c>
      <c r="I196" s="80">
        <v>3.14</v>
      </c>
      <c r="J196" s="80">
        <v>25.12</v>
      </c>
      <c r="K196" s="19" t="s">
        <v>547</v>
      </c>
      <c r="L196" s="19" t="s">
        <v>548</v>
      </c>
      <c r="Q196" s="20">
        <v>10</v>
      </c>
      <c r="R196" s="65" t="s">
        <v>549</v>
      </c>
      <c r="T196" s="19" t="s">
        <v>307</v>
      </c>
      <c r="V196" s="19" t="s">
        <v>550</v>
      </c>
      <c r="W196" s="19" t="s">
        <v>138</v>
      </c>
      <c r="Z196" s="44" t="s">
        <v>551</v>
      </c>
      <c r="AA196" s="44" t="s">
        <v>552</v>
      </c>
    </row>
    <row r="197" spans="1:27" hidden="1" x14ac:dyDescent="0.25">
      <c r="A197" s="26">
        <v>9</v>
      </c>
      <c r="B197" s="19" t="s">
        <v>565</v>
      </c>
      <c r="C197" s="44" t="s">
        <v>566</v>
      </c>
      <c r="D197" s="19" t="s">
        <v>567</v>
      </c>
      <c r="E197" s="19">
        <v>30</v>
      </c>
      <c r="F197" s="19">
        <v>934</v>
      </c>
      <c r="G197" s="19">
        <v>1000</v>
      </c>
      <c r="H197" s="19">
        <v>2</v>
      </c>
      <c r="I197" s="80">
        <v>155.47</v>
      </c>
      <c r="J197" s="80">
        <v>310.94</v>
      </c>
      <c r="K197" s="19" t="s">
        <v>568</v>
      </c>
      <c r="L197" s="19" t="s">
        <v>569</v>
      </c>
      <c r="N197" s="19" t="s">
        <v>176</v>
      </c>
      <c r="Q197" s="20">
        <v>10</v>
      </c>
      <c r="R197" s="65" t="s">
        <v>549</v>
      </c>
      <c r="T197" s="19" t="s">
        <v>307</v>
      </c>
      <c r="V197" s="19" t="s">
        <v>550</v>
      </c>
      <c r="X197" s="19" t="s">
        <v>138</v>
      </c>
      <c r="Z197" s="44" t="s">
        <v>551</v>
      </c>
      <c r="AA197" s="44" t="s">
        <v>180</v>
      </c>
    </row>
    <row r="198" spans="1:27" hidden="1" x14ac:dyDescent="0.25">
      <c r="A198" s="26">
        <v>10</v>
      </c>
      <c r="B198" s="19" t="s">
        <v>570</v>
      </c>
      <c r="C198" s="44" t="s">
        <v>566</v>
      </c>
      <c r="D198" s="19" t="s">
        <v>571</v>
      </c>
      <c r="E198" s="19">
        <v>30</v>
      </c>
      <c r="F198" s="19">
        <v>934</v>
      </c>
      <c r="G198" s="19">
        <v>995</v>
      </c>
      <c r="H198" s="19">
        <v>2</v>
      </c>
      <c r="I198" s="80">
        <v>152.52000000000001</v>
      </c>
      <c r="J198" s="80">
        <v>305.05</v>
      </c>
      <c r="K198" s="19" t="s">
        <v>568</v>
      </c>
      <c r="L198" s="19" t="s">
        <v>569</v>
      </c>
      <c r="N198" s="19" t="s">
        <v>176</v>
      </c>
      <c r="Q198" s="20">
        <v>10</v>
      </c>
      <c r="R198" s="65" t="s">
        <v>549</v>
      </c>
      <c r="T198" s="19" t="s">
        <v>307</v>
      </c>
      <c r="V198" s="19" t="s">
        <v>550</v>
      </c>
      <c r="X198" s="19" t="s">
        <v>138</v>
      </c>
      <c r="Z198" s="44" t="s">
        <v>551</v>
      </c>
      <c r="AA198" s="44" t="s">
        <v>180</v>
      </c>
    </row>
    <row r="199" spans="1:27" hidden="1" x14ac:dyDescent="0.25">
      <c r="A199" s="26">
        <v>11</v>
      </c>
      <c r="B199" s="19" t="s">
        <v>572</v>
      </c>
      <c r="C199" s="44" t="s">
        <v>566</v>
      </c>
      <c r="D199" s="19" t="s">
        <v>573</v>
      </c>
      <c r="E199" s="19">
        <v>30</v>
      </c>
      <c r="F199" s="19">
        <v>811</v>
      </c>
      <c r="G199" s="19">
        <v>945</v>
      </c>
      <c r="H199" s="19">
        <v>4</v>
      </c>
      <c r="I199" s="80">
        <v>121.42</v>
      </c>
      <c r="J199" s="80">
        <v>486.82</v>
      </c>
      <c r="K199" s="19" t="s">
        <v>568</v>
      </c>
      <c r="L199" s="19" t="s">
        <v>569</v>
      </c>
      <c r="N199" s="19" t="s">
        <v>176</v>
      </c>
      <c r="Q199" s="20">
        <v>10</v>
      </c>
      <c r="R199" s="65" t="s">
        <v>549</v>
      </c>
      <c r="T199" s="19" t="s">
        <v>307</v>
      </c>
      <c r="V199" s="19" t="s">
        <v>550</v>
      </c>
      <c r="X199" s="19" t="s">
        <v>138</v>
      </c>
      <c r="Z199" s="44" t="s">
        <v>551</v>
      </c>
      <c r="AA199" s="44" t="s">
        <v>180</v>
      </c>
    </row>
    <row r="200" spans="1:27" hidden="1" x14ac:dyDescent="0.25">
      <c r="A200" s="26">
        <v>1</v>
      </c>
      <c r="B200" s="19" t="s">
        <v>577</v>
      </c>
      <c r="C200" s="44" t="s">
        <v>273</v>
      </c>
      <c r="D200" s="19" t="s">
        <v>328</v>
      </c>
      <c r="E200" s="19">
        <v>12</v>
      </c>
      <c r="F200" s="19">
        <v>275</v>
      </c>
      <c r="G200" s="19">
        <v>300</v>
      </c>
      <c r="H200" s="19">
        <v>25</v>
      </c>
      <c r="I200" s="80">
        <v>6.71</v>
      </c>
      <c r="J200" s="80">
        <v>167.81</v>
      </c>
      <c r="K200" s="19" t="s">
        <v>578</v>
      </c>
      <c r="L200" s="19" t="s">
        <v>579</v>
      </c>
      <c r="Q200" s="20">
        <v>11</v>
      </c>
      <c r="R200" s="65" t="s">
        <v>549</v>
      </c>
      <c r="T200" s="19" t="s">
        <v>307</v>
      </c>
      <c r="V200" s="19" t="s">
        <v>178</v>
      </c>
      <c r="W200" s="19" t="s">
        <v>138</v>
      </c>
      <c r="Z200" s="44" t="s">
        <v>580</v>
      </c>
      <c r="AA200" s="44" t="s">
        <v>506</v>
      </c>
    </row>
    <row r="201" spans="1:27" hidden="1" x14ac:dyDescent="0.25">
      <c r="A201" s="26">
        <v>2</v>
      </c>
      <c r="B201" s="19" t="s">
        <v>577</v>
      </c>
      <c r="C201" s="44" t="s">
        <v>273</v>
      </c>
      <c r="D201" s="19" t="s">
        <v>328</v>
      </c>
      <c r="E201" s="19">
        <v>12</v>
      </c>
      <c r="F201" s="19">
        <v>275</v>
      </c>
      <c r="G201" s="19">
        <v>300</v>
      </c>
      <c r="H201" s="19">
        <v>47</v>
      </c>
      <c r="I201" s="80">
        <v>6.71</v>
      </c>
      <c r="J201" s="80">
        <v>315.48</v>
      </c>
      <c r="K201" s="19" t="s">
        <v>581</v>
      </c>
      <c r="L201" s="19" t="s">
        <v>582</v>
      </c>
      <c r="Q201" s="20">
        <v>11</v>
      </c>
      <c r="R201" s="65" t="s">
        <v>549</v>
      </c>
      <c r="T201" s="19" t="s">
        <v>307</v>
      </c>
      <c r="V201" s="19" t="s">
        <v>178</v>
      </c>
      <c r="W201" s="19" t="s">
        <v>138</v>
      </c>
      <c r="Z201" s="44" t="s">
        <v>580</v>
      </c>
      <c r="AA201" s="44" t="s">
        <v>414</v>
      </c>
    </row>
    <row r="202" spans="1:27" hidden="1" x14ac:dyDescent="0.25">
      <c r="A202" s="26">
        <v>3</v>
      </c>
      <c r="B202" s="19" t="s">
        <v>577</v>
      </c>
      <c r="C202" s="44" t="s">
        <v>172</v>
      </c>
      <c r="D202" s="19" t="s">
        <v>328</v>
      </c>
      <c r="E202" s="19">
        <v>12</v>
      </c>
      <c r="F202" s="19">
        <v>275</v>
      </c>
      <c r="G202" s="19">
        <v>300</v>
      </c>
      <c r="H202" s="19">
        <v>8</v>
      </c>
      <c r="I202" s="80">
        <v>6.71</v>
      </c>
      <c r="J202" s="80">
        <v>53.7</v>
      </c>
      <c r="K202" s="19" t="s">
        <v>583</v>
      </c>
      <c r="L202" s="19" t="s">
        <v>584</v>
      </c>
      <c r="Q202" s="20">
        <v>11</v>
      </c>
      <c r="R202" s="65" t="s">
        <v>549</v>
      </c>
      <c r="T202" s="19" t="s">
        <v>307</v>
      </c>
      <c r="V202" s="19" t="s">
        <v>178</v>
      </c>
      <c r="W202" s="19" t="s">
        <v>138</v>
      </c>
      <c r="Z202" s="44" t="s">
        <v>580</v>
      </c>
      <c r="AA202" s="44" t="s">
        <v>340</v>
      </c>
    </row>
    <row r="203" spans="1:27" hidden="1" x14ac:dyDescent="0.25">
      <c r="A203" s="26">
        <v>4</v>
      </c>
      <c r="B203" s="19" t="s">
        <v>585</v>
      </c>
      <c r="C203" s="44" t="s">
        <v>172</v>
      </c>
      <c r="D203" s="19" t="s">
        <v>187</v>
      </c>
      <c r="E203" s="19">
        <v>12</v>
      </c>
      <c r="F203" s="19">
        <v>295</v>
      </c>
      <c r="G203" s="19">
        <v>300</v>
      </c>
      <c r="H203" s="19">
        <v>28</v>
      </c>
      <c r="I203" s="80">
        <v>7.01</v>
      </c>
      <c r="J203" s="80">
        <v>196.38</v>
      </c>
      <c r="K203" s="19" t="s">
        <v>583</v>
      </c>
      <c r="L203" s="19" t="s">
        <v>584</v>
      </c>
      <c r="Q203" s="20">
        <v>11</v>
      </c>
      <c r="R203" s="65" t="s">
        <v>549</v>
      </c>
      <c r="T203" s="19" t="s">
        <v>307</v>
      </c>
      <c r="V203" s="19" t="s">
        <v>178</v>
      </c>
      <c r="W203" s="19" t="s">
        <v>138</v>
      </c>
      <c r="Z203" s="44" t="s">
        <v>580</v>
      </c>
      <c r="AA203" s="44" t="s">
        <v>340</v>
      </c>
    </row>
    <row r="204" spans="1:27" hidden="1" x14ac:dyDescent="0.25">
      <c r="A204" s="26">
        <v>5</v>
      </c>
      <c r="B204" s="19" t="s">
        <v>586</v>
      </c>
      <c r="C204" s="44" t="s">
        <v>172</v>
      </c>
      <c r="D204" s="19" t="s">
        <v>194</v>
      </c>
      <c r="E204" s="19">
        <v>20</v>
      </c>
      <c r="F204" s="19">
        <v>30</v>
      </c>
      <c r="G204" s="19">
        <v>90</v>
      </c>
      <c r="H204" s="19">
        <v>4</v>
      </c>
      <c r="I204" s="80">
        <v>0.42</v>
      </c>
      <c r="J204" s="80">
        <v>1.7</v>
      </c>
      <c r="K204" s="19" t="s">
        <v>587</v>
      </c>
      <c r="L204" s="19" t="s">
        <v>588</v>
      </c>
      <c r="N204" s="19" t="s">
        <v>176</v>
      </c>
      <c r="Q204" s="20">
        <v>11</v>
      </c>
      <c r="R204" s="65" t="s">
        <v>549</v>
      </c>
      <c r="T204" s="19" t="s">
        <v>307</v>
      </c>
      <c r="V204" s="19" t="s">
        <v>178</v>
      </c>
      <c r="X204" s="19" t="s">
        <v>138</v>
      </c>
      <c r="Z204" s="44" t="s">
        <v>580</v>
      </c>
      <c r="AA204" s="44" t="s">
        <v>512</v>
      </c>
    </row>
    <row r="205" spans="1:27" hidden="1" x14ac:dyDescent="0.25">
      <c r="A205" s="26">
        <v>6</v>
      </c>
      <c r="B205" s="19" t="s">
        <v>589</v>
      </c>
      <c r="C205" s="44" t="s">
        <v>172</v>
      </c>
      <c r="D205" s="19" t="s">
        <v>198</v>
      </c>
      <c r="E205" s="19">
        <v>20</v>
      </c>
      <c r="F205" s="19">
        <v>30</v>
      </c>
      <c r="G205" s="19">
        <v>30</v>
      </c>
      <c r="H205" s="19">
        <v>8</v>
      </c>
      <c r="I205" s="80">
        <v>0.14000000000000001</v>
      </c>
      <c r="J205" s="80">
        <v>1.1299999999999999</v>
      </c>
      <c r="K205" s="19" t="s">
        <v>587</v>
      </c>
      <c r="L205" s="19" t="s">
        <v>588</v>
      </c>
      <c r="N205" s="19" t="s">
        <v>176</v>
      </c>
      <c r="Q205" s="20">
        <v>11</v>
      </c>
      <c r="R205" s="65" t="s">
        <v>549</v>
      </c>
      <c r="T205" s="19" t="s">
        <v>307</v>
      </c>
      <c r="V205" s="19" t="s">
        <v>178</v>
      </c>
      <c r="X205" s="19" t="s">
        <v>138</v>
      </c>
      <c r="Z205" s="44" t="s">
        <v>580</v>
      </c>
      <c r="AA205" s="44" t="s">
        <v>512</v>
      </c>
    </row>
    <row r="206" spans="1:27" hidden="1" x14ac:dyDescent="0.25">
      <c r="A206" s="26">
        <v>7</v>
      </c>
      <c r="B206" s="19" t="s">
        <v>590</v>
      </c>
      <c r="C206" s="44" t="s">
        <v>172</v>
      </c>
      <c r="D206" s="19" t="s">
        <v>200</v>
      </c>
      <c r="E206" s="19">
        <v>20</v>
      </c>
      <c r="F206" s="19">
        <v>250</v>
      </c>
      <c r="G206" s="19">
        <v>2658</v>
      </c>
      <c r="H206" s="19">
        <v>3</v>
      </c>
      <c r="I206" s="80">
        <v>104.28</v>
      </c>
      <c r="J206" s="80">
        <v>312.83999999999997</v>
      </c>
      <c r="K206" s="19" t="s">
        <v>587</v>
      </c>
      <c r="L206" s="19" t="s">
        <v>588</v>
      </c>
      <c r="Q206" s="20">
        <v>11</v>
      </c>
      <c r="R206" s="65" t="s">
        <v>549</v>
      </c>
      <c r="T206" s="19" t="s">
        <v>307</v>
      </c>
      <c r="V206" s="19" t="s">
        <v>178</v>
      </c>
      <c r="W206" s="19" t="s">
        <v>138</v>
      </c>
      <c r="Z206" s="44" t="s">
        <v>580</v>
      </c>
      <c r="AA206" s="44" t="s">
        <v>512</v>
      </c>
    </row>
    <row r="207" spans="1:27" hidden="1" x14ac:dyDescent="0.25">
      <c r="A207" s="26">
        <v>8</v>
      </c>
      <c r="B207" s="19" t="s">
        <v>591</v>
      </c>
      <c r="C207" s="44" t="s">
        <v>172</v>
      </c>
      <c r="D207" s="19" t="s">
        <v>202</v>
      </c>
      <c r="E207" s="19">
        <v>20</v>
      </c>
      <c r="F207" s="19">
        <v>250</v>
      </c>
      <c r="G207" s="19">
        <v>2638</v>
      </c>
      <c r="H207" s="19">
        <v>10</v>
      </c>
      <c r="I207" s="80">
        <v>103.5</v>
      </c>
      <c r="J207" s="80">
        <v>1034.96</v>
      </c>
      <c r="K207" s="19" t="s">
        <v>587</v>
      </c>
      <c r="L207" s="19" t="s">
        <v>588</v>
      </c>
      <c r="Q207" s="20">
        <v>11</v>
      </c>
      <c r="R207" s="65" t="s">
        <v>549</v>
      </c>
      <c r="T207" s="19" t="s">
        <v>307</v>
      </c>
      <c r="V207" s="19" t="s">
        <v>178</v>
      </c>
      <c r="W207" s="19" t="s">
        <v>138</v>
      </c>
      <c r="Z207" s="44" t="s">
        <v>580</v>
      </c>
      <c r="AA207" s="44" t="s">
        <v>512</v>
      </c>
    </row>
    <row r="208" spans="1:27" hidden="1" x14ac:dyDescent="0.25">
      <c r="A208" s="26">
        <v>9</v>
      </c>
      <c r="B208" s="19" t="s">
        <v>592</v>
      </c>
      <c r="C208" s="44" t="s">
        <v>172</v>
      </c>
      <c r="D208" s="19" t="s">
        <v>204</v>
      </c>
      <c r="E208" s="19">
        <v>20</v>
      </c>
      <c r="F208" s="19">
        <v>250</v>
      </c>
      <c r="G208" s="19">
        <v>1218</v>
      </c>
      <c r="H208" s="19">
        <v>2</v>
      </c>
      <c r="I208" s="80">
        <v>47.76</v>
      </c>
      <c r="J208" s="80">
        <v>95.53</v>
      </c>
      <c r="K208" s="19" t="s">
        <v>587</v>
      </c>
      <c r="L208" s="19" t="s">
        <v>588</v>
      </c>
      <c r="Q208" s="20">
        <v>11</v>
      </c>
      <c r="R208" s="65" t="s">
        <v>549</v>
      </c>
      <c r="T208" s="19" t="s">
        <v>307</v>
      </c>
      <c r="V208" s="19" t="s">
        <v>178</v>
      </c>
      <c r="W208" s="19" t="s">
        <v>138</v>
      </c>
      <c r="Z208" s="44" t="s">
        <v>580</v>
      </c>
      <c r="AA208" s="44" t="s">
        <v>512</v>
      </c>
    </row>
    <row r="209" spans="1:27" hidden="1" x14ac:dyDescent="0.25">
      <c r="A209" s="26">
        <v>10</v>
      </c>
      <c r="B209" s="19" t="s">
        <v>590</v>
      </c>
      <c r="C209" s="44" t="s">
        <v>172</v>
      </c>
      <c r="D209" s="19" t="s">
        <v>200</v>
      </c>
      <c r="E209" s="19">
        <v>20</v>
      </c>
      <c r="F209" s="19">
        <v>250</v>
      </c>
      <c r="G209" s="19">
        <v>2658</v>
      </c>
      <c r="H209" s="19">
        <v>1</v>
      </c>
      <c r="I209" s="80">
        <v>104.28</v>
      </c>
      <c r="J209" s="80">
        <v>104.28</v>
      </c>
      <c r="K209" s="19" t="s">
        <v>195</v>
      </c>
      <c r="L209" s="19" t="s">
        <v>593</v>
      </c>
      <c r="Q209" s="20">
        <v>11</v>
      </c>
      <c r="R209" s="65" t="s">
        <v>549</v>
      </c>
      <c r="T209" s="19" t="s">
        <v>307</v>
      </c>
      <c r="V209" s="19" t="s">
        <v>178</v>
      </c>
      <c r="W209" s="19" t="s">
        <v>138</v>
      </c>
      <c r="Z209" s="44" t="s">
        <v>580</v>
      </c>
      <c r="AA209" s="44" t="s">
        <v>180</v>
      </c>
    </row>
    <row r="210" spans="1:27" hidden="1" x14ac:dyDescent="0.25">
      <c r="A210" s="26">
        <v>11</v>
      </c>
      <c r="B210" s="19" t="s">
        <v>594</v>
      </c>
      <c r="C210" s="44" t="s">
        <v>172</v>
      </c>
      <c r="D210" s="19" t="s">
        <v>214</v>
      </c>
      <c r="E210" s="19">
        <v>25</v>
      </c>
      <c r="F210" s="19">
        <v>65</v>
      </c>
      <c r="G210" s="19">
        <v>346</v>
      </c>
      <c r="H210" s="19">
        <v>2</v>
      </c>
      <c r="I210" s="80">
        <v>4.32</v>
      </c>
      <c r="J210" s="80">
        <v>8.65</v>
      </c>
      <c r="K210" s="19" t="s">
        <v>436</v>
      </c>
      <c r="L210" s="19" t="s">
        <v>595</v>
      </c>
      <c r="Q210" s="20">
        <v>11</v>
      </c>
      <c r="R210" s="65" t="s">
        <v>549</v>
      </c>
      <c r="T210" s="19" t="s">
        <v>307</v>
      </c>
      <c r="V210" s="19" t="s">
        <v>178</v>
      </c>
      <c r="W210" s="19" t="s">
        <v>138</v>
      </c>
      <c r="Z210" s="44" t="s">
        <v>580</v>
      </c>
      <c r="AA210" s="44" t="s">
        <v>516</v>
      </c>
    </row>
    <row r="211" spans="1:27" hidden="1" x14ac:dyDescent="0.25">
      <c r="A211" s="26">
        <v>12</v>
      </c>
      <c r="B211" s="19" t="s">
        <v>596</v>
      </c>
      <c r="C211" s="44" t="s">
        <v>172</v>
      </c>
      <c r="D211" s="19" t="s">
        <v>216</v>
      </c>
      <c r="E211" s="19">
        <v>25</v>
      </c>
      <c r="F211" s="19">
        <v>65</v>
      </c>
      <c r="G211" s="19">
        <v>188</v>
      </c>
      <c r="H211" s="19">
        <v>2</v>
      </c>
      <c r="I211" s="80">
        <v>2.31</v>
      </c>
      <c r="J211" s="80">
        <v>4.62</v>
      </c>
      <c r="K211" s="19" t="s">
        <v>436</v>
      </c>
      <c r="L211" s="19" t="s">
        <v>595</v>
      </c>
      <c r="Q211" s="20">
        <v>11</v>
      </c>
      <c r="R211" s="65" t="s">
        <v>549</v>
      </c>
      <c r="T211" s="19" t="s">
        <v>307</v>
      </c>
      <c r="V211" s="19" t="s">
        <v>178</v>
      </c>
      <c r="W211" s="19" t="s">
        <v>138</v>
      </c>
      <c r="Z211" s="44" t="s">
        <v>580</v>
      </c>
      <c r="AA211" s="44" t="s">
        <v>516</v>
      </c>
    </row>
    <row r="212" spans="1:27" hidden="1" x14ac:dyDescent="0.25">
      <c r="A212" s="26">
        <v>13</v>
      </c>
      <c r="B212" s="19" t="s">
        <v>597</v>
      </c>
      <c r="C212" s="44" t="s">
        <v>172</v>
      </c>
      <c r="D212" s="19" t="s">
        <v>214</v>
      </c>
      <c r="E212" s="19">
        <v>25</v>
      </c>
      <c r="F212" s="19">
        <v>65</v>
      </c>
      <c r="G212" s="19">
        <v>346</v>
      </c>
      <c r="H212" s="19">
        <v>2</v>
      </c>
      <c r="I212" s="80">
        <v>2.7</v>
      </c>
      <c r="J212" s="80">
        <v>5.39</v>
      </c>
      <c r="K212" s="19" t="s">
        <v>436</v>
      </c>
      <c r="L212" s="19" t="s">
        <v>595</v>
      </c>
      <c r="Q212" s="20">
        <v>11</v>
      </c>
      <c r="R212" s="65" t="s">
        <v>549</v>
      </c>
      <c r="T212" s="19" t="s">
        <v>307</v>
      </c>
      <c r="V212" s="19" t="s">
        <v>178</v>
      </c>
      <c r="W212" s="19" t="s">
        <v>138</v>
      </c>
      <c r="Z212" s="44" t="s">
        <v>580</v>
      </c>
      <c r="AA212" s="44" t="s">
        <v>516</v>
      </c>
    </row>
    <row r="213" spans="1:27" hidden="1" x14ac:dyDescent="0.25">
      <c r="A213" s="26">
        <v>14</v>
      </c>
      <c r="B213" s="19" t="s">
        <v>598</v>
      </c>
      <c r="C213" s="44" t="s">
        <v>172</v>
      </c>
      <c r="D213" s="19" t="s">
        <v>521</v>
      </c>
      <c r="E213" s="19">
        <v>32</v>
      </c>
      <c r="F213" s="19">
        <v>2660</v>
      </c>
      <c r="G213" s="19">
        <v>14134</v>
      </c>
      <c r="H213" s="19">
        <v>1</v>
      </c>
      <c r="I213" s="80">
        <v>9173.23</v>
      </c>
      <c r="J213" s="80">
        <v>9173.23</v>
      </c>
      <c r="K213" s="19" t="s">
        <v>227</v>
      </c>
      <c r="L213" s="19" t="s">
        <v>599</v>
      </c>
      <c r="P213" s="19" t="s">
        <v>138</v>
      </c>
      <c r="Q213" s="20">
        <v>11</v>
      </c>
      <c r="R213" s="65" t="s">
        <v>549</v>
      </c>
      <c r="T213" s="19" t="s">
        <v>307</v>
      </c>
      <c r="V213" s="19" t="s">
        <v>178</v>
      </c>
      <c r="Y213" s="19" t="s">
        <v>138</v>
      </c>
      <c r="Z213" s="44" t="s">
        <v>580</v>
      </c>
      <c r="AA213" s="44" t="s">
        <v>180</v>
      </c>
    </row>
    <row r="214" spans="1:27" hidden="1" x14ac:dyDescent="0.25">
      <c r="A214" s="26">
        <v>15</v>
      </c>
      <c r="B214" s="19" t="s">
        <v>600</v>
      </c>
      <c r="C214" s="44" t="s">
        <v>172</v>
      </c>
      <c r="D214" s="19" t="s">
        <v>524</v>
      </c>
      <c r="E214" s="19">
        <v>32</v>
      </c>
      <c r="F214" s="19">
        <v>2660</v>
      </c>
      <c r="G214" s="19">
        <v>13686</v>
      </c>
      <c r="H214" s="19">
        <v>1</v>
      </c>
      <c r="I214" s="80">
        <v>8877.4</v>
      </c>
      <c r="J214" s="80">
        <v>8877.4</v>
      </c>
      <c r="K214" s="19" t="s">
        <v>233</v>
      </c>
      <c r="L214" s="19" t="s">
        <v>601</v>
      </c>
      <c r="P214" s="19" t="s">
        <v>138</v>
      </c>
      <c r="Q214" s="20">
        <v>11</v>
      </c>
      <c r="R214" s="65" t="s">
        <v>549</v>
      </c>
      <c r="T214" s="19" t="s">
        <v>307</v>
      </c>
      <c r="V214" s="19" t="s">
        <v>178</v>
      </c>
      <c r="Y214" s="19" t="s">
        <v>138</v>
      </c>
      <c r="Z214" s="44" t="s">
        <v>580</v>
      </c>
      <c r="AA214" s="44" t="s">
        <v>180</v>
      </c>
    </row>
    <row r="215" spans="1:27" hidden="1" x14ac:dyDescent="0.25">
      <c r="A215" s="26">
        <v>16</v>
      </c>
      <c r="B215" s="19" t="s">
        <v>602</v>
      </c>
      <c r="C215" s="44" t="s">
        <v>273</v>
      </c>
      <c r="D215" s="19" t="s">
        <v>420</v>
      </c>
      <c r="E215" s="19">
        <v>40</v>
      </c>
      <c r="F215" s="19">
        <v>834</v>
      </c>
      <c r="G215" s="19">
        <v>2658</v>
      </c>
      <c r="H215" s="19">
        <v>2</v>
      </c>
      <c r="I215" s="80">
        <v>497.4</v>
      </c>
      <c r="J215" s="80">
        <v>994.79</v>
      </c>
      <c r="K215" s="19" t="s">
        <v>603</v>
      </c>
      <c r="L215" s="19" t="s">
        <v>604</v>
      </c>
      <c r="N215" s="19" t="s">
        <v>176</v>
      </c>
      <c r="Q215" s="20">
        <v>11</v>
      </c>
      <c r="R215" s="65" t="s">
        <v>549</v>
      </c>
      <c r="T215" s="19" t="s">
        <v>307</v>
      </c>
      <c r="V215" s="19" t="s">
        <v>178</v>
      </c>
      <c r="X215" s="19" t="s">
        <v>138</v>
      </c>
      <c r="Z215" s="44" t="s">
        <v>580</v>
      </c>
      <c r="AA215" s="44" t="s">
        <v>527</v>
      </c>
    </row>
    <row r="216" spans="1:27" hidden="1" x14ac:dyDescent="0.25">
      <c r="A216" s="26">
        <v>17</v>
      </c>
      <c r="B216" s="19" t="s">
        <v>605</v>
      </c>
      <c r="C216" s="44" t="s">
        <v>172</v>
      </c>
      <c r="D216" s="19" t="s">
        <v>253</v>
      </c>
      <c r="E216" s="19">
        <v>50</v>
      </c>
      <c r="F216" s="19">
        <v>964</v>
      </c>
      <c r="G216" s="19">
        <v>2638</v>
      </c>
      <c r="H216" s="19">
        <v>4</v>
      </c>
      <c r="I216" s="80">
        <v>712.82</v>
      </c>
      <c r="J216" s="80">
        <v>2851.27</v>
      </c>
      <c r="K216" s="19" t="s">
        <v>254</v>
      </c>
      <c r="L216" s="19" t="s">
        <v>606</v>
      </c>
      <c r="N216" s="19" t="s">
        <v>176</v>
      </c>
      <c r="Q216" s="20">
        <v>11</v>
      </c>
      <c r="R216" s="65" t="s">
        <v>549</v>
      </c>
      <c r="T216" s="19" t="s">
        <v>307</v>
      </c>
      <c r="V216" s="19" t="s">
        <v>178</v>
      </c>
      <c r="X216" s="19" t="s">
        <v>138</v>
      </c>
      <c r="Z216" s="44" t="s">
        <v>580</v>
      </c>
      <c r="AA216" s="44" t="s">
        <v>531</v>
      </c>
    </row>
    <row r="217" spans="1:27" hidden="1" x14ac:dyDescent="0.25">
      <c r="A217" s="26">
        <v>18</v>
      </c>
      <c r="B217" s="19" t="s">
        <v>607</v>
      </c>
      <c r="C217" s="44" t="s">
        <v>172</v>
      </c>
      <c r="D217" s="19" t="s">
        <v>427</v>
      </c>
      <c r="E217" s="19">
        <v>60</v>
      </c>
      <c r="F217" s="19">
        <v>1080</v>
      </c>
      <c r="G217" s="19">
        <v>2260</v>
      </c>
      <c r="H217" s="19">
        <v>2</v>
      </c>
      <c r="I217" s="80">
        <v>1149.82</v>
      </c>
      <c r="J217" s="80">
        <v>2299.63</v>
      </c>
      <c r="K217" s="19" t="s">
        <v>265</v>
      </c>
      <c r="L217" s="19" t="s">
        <v>608</v>
      </c>
      <c r="P217" s="19" t="s">
        <v>138</v>
      </c>
      <c r="Q217" s="20">
        <v>11</v>
      </c>
      <c r="R217" s="65" t="s">
        <v>549</v>
      </c>
      <c r="T217" s="19" t="s">
        <v>307</v>
      </c>
      <c r="V217" s="19" t="s">
        <v>178</v>
      </c>
      <c r="Y217" s="19" t="s">
        <v>138</v>
      </c>
      <c r="Z217" s="44" t="s">
        <v>580</v>
      </c>
      <c r="AA217" s="44" t="s">
        <v>180</v>
      </c>
    </row>
    <row r="218" spans="1:27" hidden="1" x14ac:dyDescent="0.25">
      <c r="A218" s="26">
        <v>19</v>
      </c>
      <c r="B218" s="19" t="s">
        <v>609</v>
      </c>
      <c r="C218" s="44" t="s">
        <v>172</v>
      </c>
      <c r="D218" s="19" t="s">
        <v>610</v>
      </c>
      <c r="E218" s="19">
        <v>60</v>
      </c>
      <c r="F218" s="19">
        <v>1080</v>
      </c>
      <c r="G218" s="19">
        <v>4909</v>
      </c>
      <c r="H218" s="19">
        <v>2</v>
      </c>
      <c r="I218" s="80">
        <v>2497.11</v>
      </c>
      <c r="J218" s="80">
        <v>4994.22</v>
      </c>
      <c r="K218" s="19" t="s">
        <v>265</v>
      </c>
      <c r="L218" s="19" t="s">
        <v>608</v>
      </c>
      <c r="P218" s="19" t="s">
        <v>138</v>
      </c>
      <c r="Q218" s="20">
        <v>11</v>
      </c>
      <c r="R218" s="65" t="s">
        <v>549</v>
      </c>
      <c r="T218" s="19" t="s">
        <v>307</v>
      </c>
      <c r="V218" s="19" t="s">
        <v>178</v>
      </c>
      <c r="Y218" s="19" t="s">
        <v>138</v>
      </c>
      <c r="Z218" s="44" t="s">
        <v>580</v>
      </c>
      <c r="AA218" s="44" t="s">
        <v>180</v>
      </c>
    </row>
    <row r="219" spans="1:27" hidden="1" x14ac:dyDescent="0.25">
      <c r="A219" s="26">
        <v>20</v>
      </c>
      <c r="B219" s="19" t="s">
        <v>611</v>
      </c>
      <c r="C219" s="44" t="s">
        <v>172</v>
      </c>
      <c r="D219" s="19" t="s">
        <v>612</v>
      </c>
      <c r="E219" s="19">
        <v>60</v>
      </c>
      <c r="F219" s="19">
        <v>1080</v>
      </c>
      <c r="G219" s="19">
        <v>2809</v>
      </c>
      <c r="H219" s="19">
        <v>2</v>
      </c>
      <c r="I219" s="80">
        <v>1428.88</v>
      </c>
      <c r="J219" s="80">
        <v>2857.76</v>
      </c>
      <c r="K219" s="19" t="s">
        <v>265</v>
      </c>
      <c r="L219" s="19" t="s">
        <v>608</v>
      </c>
      <c r="P219" s="19" t="s">
        <v>138</v>
      </c>
      <c r="Q219" s="20">
        <v>11</v>
      </c>
      <c r="R219" s="65" t="s">
        <v>549</v>
      </c>
      <c r="T219" s="19" t="s">
        <v>307</v>
      </c>
      <c r="V219" s="19" t="s">
        <v>178</v>
      </c>
      <c r="Y219" s="19" t="s">
        <v>138</v>
      </c>
      <c r="Z219" s="44" t="s">
        <v>580</v>
      </c>
      <c r="AA219" s="44" t="s">
        <v>180</v>
      </c>
    </row>
    <row r="220" spans="1:27" hidden="1" x14ac:dyDescent="0.25">
      <c r="A220" s="26">
        <v>21</v>
      </c>
      <c r="B220" s="19" t="s">
        <v>613</v>
      </c>
      <c r="C220" s="44" t="s">
        <v>273</v>
      </c>
      <c r="D220" s="19" t="s">
        <v>537</v>
      </c>
      <c r="E220" s="19">
        <v>80</v>
      </c>
      <c r="F220" s="19">
        <v>1200</v>
      </c>
      <c r="G220" s="19">
        <v>17998</v>
      </c>
      <c r="H220" s="19">
        <v>1</v>
      </c>
      <c r="I220" s="80">
        <v>13503.16</v>
      </c>
      <c r="J220" s="80">
        <v>13503.16</v>
      </c>
      <c r="K220" s="19" t="s">
        <v>275</v>
      </c>
      <c r="L220" s="19" t="s">
        <v>614</v>
      </c>
      <c r="P220" s="19" t="s">
        <v>138</v>
      </c>
      <c r="Q220" s="20">
        <v>11</v>
      </c>
      <c r="R220" s="65" t="s">
        <v>549</v>
      </c>
      <c r="T220" s="19" t="s">
        <v>307</v>
      </c>
      <c r="V220" s="19" t="s">
        <v>178</v>
      </c>
      <c r="Y220" s="19" t="s">
        <v>138</v>
      </c>
      <c r="Z220" s="44" t="s">
        <v>580</v>
      </c>
      <c r="AA220" s="44" t="s">
        <v>180</v>
      </c>
    </row>
    <row r="221" spans="1:27" hidden="1" x14ac:dyDescent="0.25">
      <c r="A221" s="26">
        <v>22</v>
      </c>
      <c r="B221" s="19" t="s">
        <v>613</v>
      </c>
      <c r="C221" s="44" t="s">
        <v>273</v>
      </c>
      <c r="D221" s="19" t="s">
        <v>537</v>
      </c>
      <c r="E221" s="19">
        <v>80</v>
      </c>
      <c r="F221" s="19">
        <v>1200</v>
      </c>
      <c r="G221" s="19">
        <v>17998</v>
      </c>
      <c r="H221" s="19">
        <v>1</v>
      </c>
      <c r="I221" s="80">
        <v>13503.16</v>
      </c>
      <c r="J221" s="80">
        <v>13503.16</v>
      </c>
      <c r="K221" s="19" t="s">
        <v>275</v>
      </c>
      <c r="L221" s="19" t="s">
        <v>615</v>
      </c>
      <c r="P221" s="19" t="s">
        <v>138</v>
      </c>
      <c r="Q221" s="20">
        <v>11</v>
      </c>
      <c r="R221" s="65" t="s">
        <v>549</v>
      </c>
      <c r="T221" s="19" t="s">
        <v>307</v>
      </c>
      <c r="V221" s="19" t="s">
        <v>178</v>
      </c>
      <c r="Y221" s="19" t="s">
        <v>138</v>
      </c>
      <c r="Z221" s="44" t="s">
        <v>580</v>
      </c>
      <c r="AA221" s="44" t="s">
        <v>180</v>
      </c>
    </row>
    <row r="222" spans="1:27" hidden="1" x14ac:dyDescent="0.25">
      <c r="A222" s="26">
        <v>1</v>
      </c>
      <c r="B222" s="19" t="s">
        <v>622</v>
      </c>
      <c r="C222" s="44" t="s">
        <v>172</v>
      </c>
      <c r="D222" s="19" t="s">
        <v>187</v>
      </c>
      <c r="E222" s="19">
        <v>12</v>
      </c>
      <c r="F222" s="19">
        <v>295</v>
      </c>
      <c r="G222" s="19">
        <v>300</v>
      </c>
      <c r="H222" s="19">
        <v>28</v>
      </c>
      <c r="I222" s="80">
        <v>7.01</v>
      </c>
      <c r="J222" s="80">
        <v>196.38</v>
      </c>
      <c r="K222" s="19" t="s">
        <v>184</v>
      </c>
      <c r="L222" s="19" t="s">
        <v>623</v>
      </c>
      <c r="Q222" s="20">
        <v>12</v>
      </c>
      <c r="R222" s="65" t="s">
        <v>624</v>
      </c>
      <c r="T222" s="19" t="s">
        <v>307</v>
      </c>
      <c r="V222" s="19" t="s">
        <v>178</v>
      </c>
      <c r="W222" s="19" t="s">
        <v>138</v>
      </c>
      <c r="Z222" s="44" t="s">
        <v>625</v>
      </c>
      <c r="AA222" s="44" t="s">
        <v>180</v>
      </c>
    </row>
    <row r="223" spans="1:27" hidden="1" x14ac:dyDescent="0.25">
      <c r="A223" s="26">
        <v>2</v>
      </c>
      <c r="B223" s="19" t="s">
        <v>626</v>
      </c>
      <c r="C223" s="44" t="s">
        <v>172</v>
      </c>
      <c r="D223" s="19" t="s">
        <v>328</v>
      </c>
      <c r="E223" s="19">
        <v>12</v>
      </c>
      <c r="F223" s="19">
        <v>275</v>
      </c>
      <c r="G223" s="19">
        <v>300</v>
      </c>
      <c r="H223" s="19">
        <v>77</v>
      </c>
      <c r="I223" s="80">
        <v>6.71</v>
      </c>
      <c r="J223" s="80">
        <v>516.84</v>
      </c>
      <c r="K223" s="19" t="s">
        <v>184</v>
      </c>
      <c r="L223" s="19" t="s">
        <v>623</v>
      </c>
      <c r="Q223" s="20">
        <v>12</v>
      </c>
      <c r="R223" s="65" t="s">
        <v>624</v>
      </c>
      <c r="T223" s="19" t="s">
        <v>307</v>
      </c>
      <c r="V223" s="19" t="s">
        <v>178</v>
      </c>
      <c r="W223" s="19" t="s">
        <v>138</v>
      </c>
      <c r="Z223" s="44" t="s">
        <v>625</v>
      </c>
      <c r="AA223" s="44" t="s">
        <v>180</v>
      </c>
    </row>
    <row r="224" spans="1:27" hidden="1" x14ac:dyDescent="0.25">
      <c r="A224" s="26">
        <v>3</v>
      </c>
      <c r="B224" s="19" t="s">
        <v>627</v>
      </c>
      <c r="C224" s="44" t="s">
        <v>172</v>
      </c>
      <c r="D224" s="19" t="s">
        <v>187</v>
      </c>
      <c r="E224" s="19">
        <v>12</v>
      </c>
      <c r="F224" s="19">
        <v>295</v>
      </c>
      <c r="G224" s="19">
        <v>300</v>
      </c>
      <c r="H224" s="19">
        <v>28</v>
      </c>
      <c r="I224" s="80">
        <v>7.01</v>
      </c>
      <c r="J224" s="80">
        <v>196.38</v>
      </c>
      <c r="K224" s="19" t="s">
        <v>184</v>
      </c>
      <c r="L224" s="19" t="s">
        <v>623</v>
      </c>
      <c r="Q224" s="20">
        <v>12</v>
      </c>
      <c r="R224" s="65" t="s">
        <v>624</v>
      </c>
      <c r="T224" s="19" t="s">
        <v>307</v>
      </c>
      <c r="V224" s="19" t="s">
        <v>178</v>
      </c>
      <c r="W224" s="19" t="s">
        <v>138</v>
      </c>
      <c r="Z224" s="44" t="s">
        <v>625</v>
      </c>
      <c r="AA224" s="44" t="s">
        <v>180</v>
      </c>
    </row>
    <row r="225" spans="1:27" hidden="1" x14ac:dyDescent="0.25">
      <c r="A225" s="26">
        <v>4</v>
      </c>
      <c r="B225" s="19" t="s">
        <v>628</v>
      </c>
      <c r="C225" s="44" t="s">
        <v>172</v>
      </c>
      <c r="D225" s="19" t="s">
        <v>189</v>
      </c>
      <c r="E225" s="19">
        <v>12</v>
      </c>
      <c r="F225" s="19">
        <v>75</v>
      </c>
      <c r="G225" s="19">
        <v>75</v>
      </c>
      <c r="H225" s="19">
        <v>4</v>
      </c>
      <c r="I225" s="80">
        <v>0.53</v>
      </c>
      <c r="J225" s="80">
        <v>2.12</v>
      </c>
      <c r="K225" s="19" t="s">
        <v>184</v>
      </c>
      <c r="L225" s="19" t="s">
        <v>623</v>
      </c>
      <c r="Q225" s="20">
        <v>12</v>
      </c>
      <c r="R225" s="65" t="s">
        <v>624</v>
      </c>
      <c r="T225" s="19" t="s">
        <v>307</v>
      </c>
      <c r="V225" s="19" t="s">
        <v>178</v>
      </c>
      <c r="W225" s="19" t="s">
        <v>138</v>
      </c>
      <c r="Z225" s="44" t="s">
        <v>625</v>
      </c>
      <c r="AA225" s="44" t="s">
        <v>180</v>
      </c>
    </row>
    <row r="226" spans="1:27" hidden="1" x14ac:dyDescent="0.25">
      <c r="A226" s="26">
        <v>5</v>
      </c>
      <c r="B226" s="19" t="s">
        <v>629</v>
      </c>
      <c r="C226" s="44" t="s">
        <v>172</v>
      </c>
      <c r="D226" s="19" t="s">
        <v>328</v>
      </c>
      <c r="E226" s="19">
        <v>12</v>
      </c>
      <c r="F226" s="19">
        <v>275</v>
      </c>
      <c r="G226" s="19">
        <v>300</v>
      </c>
      <c r="H226" s="19">
        <v>80</v>
      </c>
      <c r="I226" s="80">
        <v>6.71</v>
      </c>
      <c r="J226" s="80">
        <v>536.98</v>
      </c>
      <c r="K226" s="19" t="s">
        <v>184</v>
      </c>
      <c r="L226" s="19" t="s">
        <v>630</v>
      </c>
      <c r="Q226" s="20">
        <v>12</v>
      </c>
      <c r="R226" s="65" t="s">
        <v>624</v>
      </c>
      <c r="T226" s="19" t="s">
        <v>307</v>
      </c>
      <c r="V226" s="19" t="s">
        <v>178</v>
      </c>
      <c r="W226" s="19" t="s">
        <v>138</v>
      </c>
      <c r="Z226" s="44" t="s">
        <v>625</v>
      </c>
      <c r="AA226" s="44" t="s">
        <v>180</v>
      </c>
    </row>
    <row r="227" spans="1:27" hidden="1" x14ac:dyDescent="0.25">
      <c r="A227" s="26">
        <v>6</v>
      </c>
      <c r="B227" s="19" t="s">
        <v>626</v>
      </c>
      <c r="C227" s="44" t="s">
        <v>172</v>
      </c>
      <c r="D227" s="19" t="s">
        <v>328</v>
      </c>
      <c r="E227" s="19">
        <v>12</v>
      </c>
      <c r="F227" s="19">
        <v>275</v>
      </c>
      <c r="G227" s="19">
        <v>300</v>
      </c>
      <c r="H227" s="19">
        <v>3</v>
      </c>
      <c r="I227" s="80">
        <v>6.71</v>
      </c>
      <c r="J227" s="80">
        <v>20.14</v>
      </c>
      <c r="K227" s="19" t="s">
        <v>184</v>
      </c>
      <c r="L227" s="19" t="s">
        <v>630</v>
      </c>
      <c r="Q227" s="20">
        <v>12</v>
      </c>
      <c r="R227" s="65" t="s">
        <v>624</v>
      </c>
      <c r="T227" s="19" t="s">
        <v>307</v>
      </c>
      <c r="V227" s="19" t="s">
        <v>178</v>
      </c>
      <c r="W227" s="19" t="s">
        <v>138</v>
      </c>
      <c r="Z227" s="44" t="s">
        <v>625</v>
      </c>
      <c r="AA227" s="44" t="s">
        <v>180</v>
      </c>
    </row>
    <row r="228" spans="1:27" hidden="1" x14ac:dyDescent="0.25">
      <c r="A228" s="26">
        <v>7</v>
      </c>
      <c r="B228" s="19" t="s">
        <v>631</v>
      </c>
      <c r="C228" s="44" t="s">
        <v>172</v>
      </c>
      <c r="D228" s="19" t="s">
        <v>200</v>
      </c>
      <c r="E228" s="19">
        <v>20</v>
      </c>
      <c r="F228" s="19">
        <v>250</v>
      </c>
      <c r="G228" s="19">
        <v>2658</v>
      </c>
      <c r="H228" s="19">
        <v>4</v>
      </c>
      <c r="I228" s="80">
        <v>104.28</v>
      </c>
      <c r="J228" s="80">
        <v>417.12</v>
      </c>
      <c r="K228" s="19" t="s">
        <v>195</v>
      </c>
      <c r="L228" s="19" t="s">
        <v>632</v>
      </c>
      <c r="Q228" s="20">
        <v>12</v>
      </c>
      <c r="R228" s="65" t="s">
        <v>624</v>
      </c>
      <c r="T228" s="19" t="s">
        <v>307</v>
      </c>
      <c r="V228" s="19" t="s">
        <v>178</v>
      </c>
      <c r="W228" s="19" t="s">
        <v>138</v>
      </c>
      <c r="Z228" s="44" t="s">
        <v>625</v>
      </c>
      <c r="AA228" s="44" t="s">
        <v>593</v>
      </c>
    </row>
    <row r="229" spans="1:27" hidden="1" x14ac:dyDescent="0.25">
      <c r="A229" s="26">
        <v>8</v>
      </c>
      <c r="B229" s="19" t="s">
        <v>633</v>
      </c>
      <c r="C229" s="44" t="s">
        <v>172</v>
      </c>
      <c r="D229" s="19" t="s">
        <v>202</v>
      </c>
      <c r="E229" s="19">
        <v>20</v>
      </c>
      <c r="F229" s="19">
        <v>250</v>
      </c>
      <c r="G229" s="19">
        <v>2638</v>
      </c>
      <c r="H229" s="19">
        <v>10</v>
      </c>
      <c r="I229" s="80">
        <v>103.5</v>
      </c>
      <c r="J229" s="80">
        <v>1034.96</v>
      </c>
      <c r="K229" s="19" t="s">
        <v>195</v>
      </c>
      <c r="L229" s="19" t="s">
        <v>632</v>
      </c>
      <c r="Q229" s="20">
        <v>12</v>
      </c>
      <c r="R229" s="65" t="s">
        <v>624</v>
      </c>
      <c r="T229" s="19" t="s">
        <v>307</v>
      </c>
      <c r="V229" s="19" t="s">
        <v>178</v>
      </c>
      <c r="W229" s="19" t="s">
        <v>138</v>
      </c>
      <c r="Z229" s="44" t="s">
        <v>625</v>
      </c>
      <c r="AA229" s="44" t="s">
        <v>593</v>
      </c>
    </row>
    <row r="230" spans="1:27" hidden="1" x14ac:dyDescent="0.25">
      <c r="A230" s="26">
        <v>9</v>
      </c>
      <c r="B230" s="19" t="s">
        <v>634</v>
      </c>
      <c r="C230" s="44" t="s">
        <v>172</v>
      </c>
      <c r="D230" s="19" t="s">
        <v>204</v>
      </c>
      <c r="E230" s="19">
        <v>20</v>
      </c>
      <c r="F230" s="19">
        <v>250</v>
      </c>
      <c r="G230" s="19">
        <v>1218</v>
      </c>
      <c r="H230" s="19">
        <v>2</v>
      </c>
      <c r="I230" s="80">
        <v>47.76</v>
      </c>
      <c r="J230" s="80">
        <v>95.53</v>
      </c>
      <c r="K230" s="19" t="s">
        <v>195</v>
      </c>
      <c r="L230" s="19" t="s">
        <v>632</v>
      </c>
      <c r="Q230" s="20">
        <v>12</v>
      </c>
      <c r="R230" s="65" t="s">
        <v>624</v>
      </c>
      <c r="T230" s="19" t="s">
        <v>307</v>
      </c>
      <c r="V230" s="19" t="s">
        <v>178</v>
      </c>
      <c r="W230" s="19" t="s">
        <v>138</v>
      </c>
      <c r="Z230" s="44" t="s">
        <v>625</v>
      </c>
      <c r="AA230" s="44" t="s">
        <v>593</v>
      </c>
    </row>
    <row r="231" spans="1:27" hidden="1" x14ac:dyDescent="0.25">
      <c r="A231" s="26">
        <v>10</v>
      </c>
      <c r="B231" s="19" t="s">
        <v>635</v>
      </c>
      <c r="C231" s="44" t="s">
        <v>172</v>
      </c>
      <c r="D231" s="19" t="s">
        <v>198</v>
      </c>
      <c r="E231" s="19">
        <v>20</v>
      </c>
      <c r="F231" s="19">
        <v>30</v>
      </c>
      <c r="G231" s="19">
        <v>30</v>
      </c>
      <c r="H231" s="19">
        <v>8</v>
      </c>
      <c r="I231" s="80">
        <v>0.14000000000000001</v>
      </c>
      <c r="J231" s="80">
        <v>1.1299999999999999</v>
      </c>
      <c r="K231" s="19" t="s">
        <v>195</v>
      </c>
      <c r="L231" s="19" t="s">
        <v>632</v>
      </c>
      <c r="N231" s="19" t="s">
        <v>176</v>
      </c>
      <c r="Q231" s="20">
        <v>12</v>
      </c>
      <c r="R231" s="65" t="s">
        <v>624</v>
      </c>
      <c r="T231" s="19" t="s">
        <v>307</v>
      </c>
      <c r="V231" s="19" t="s">
        <v>178</v>
      </c>
      <c r="X231" s="19" t="s">
        <v>138</v>
      </c>
      <c r="Z231" s="44" t="s">
        <v>625</v>
      </c>
      <c r="AA231" s="44" t="s">
        <v>593</v>
      </c>
    </row>
    <row r="232" spans="1:27" hidden="1" x14ac:dyDescent="0.25">
      <c r="A232" s="26">
        <v>11</v>
      </c>
      <c r="B232" s="19" t="s">
        <v>636</v>
      </c>
      <c r="C232" s="44" t="s">
        <v>172</v>
      </c>
      <c r="D232" s="19" t="s">
        <v>200</v>
      </c>
      <c r="E232" s="19">
        <v>20</v>
      </c>
      <c r="F232" s="19">
        <v>250</v>
      </c>
      <c r="G232" s="19">
        <v>2658</v>
      </c>
      <c r="H232" s="19">
        <v>4</v>
      </c>
      <c r="I232" s="80">
        <v>104.28</v>
      </c>
      <c r="J232" s="80">
        <v>417.12</v>
      </c>
      <c r="K232" s="19" t="s">
        <v>195</v>
      </c>
      <c r="L232" s="19" t="s">
        <v>632</v>
      </c>
      <c r="Q232" s="20">
        <v>12</v>
      </c>
      <c r="R232" s="65" t="s">
        <v>624</v>
      </c>
      <c r="T232" s="19" t="s">
        <v>307</v>
      </c>
      <c r="V232" s="19" t="s">
        <v>178</v>
      </c>
      <c r="W232" s="19" t="s">
        <v>138</v>
      </c>
      <c r="Z232" s="44" t="s">
        <v>625</v>
      </c>
      <c r="AA232" s="44" t="s">
        <v>593</v>
      </c>
    </row>
    <row r="233" spans="1:27" hidden="1" x14ac:dyDescent="0.25">
      <c r="A233" s="26">
        <v>12</v>
      </c>
      <c r="B233" s="19" t="s">
        <v>637</v>
      </c>
      <c r="C233" s="44" t="s">
        <v>172</v>
      </c>
      <c r="D233" s="19" t="s">
        <v>202</v>
      </c>
      <c r="E233" s="19">
        <v>20</v>
      </c>
      <c r="F233" s="19">
        <v>250</v>
      </c>
      <c r="G233" s="19">
        <v>2638</v>
      </c>
      <c r="H233" s="19">
        <v>10</v>
      </c>
      <c r="I233" s="80">
        <v>103.5</v>
      </c>
      <c r="J233" s="80">
        <v>1034.96</v>
      </c>
      <c r="K233" s="19" t="s">
        <v>195</v>
      </c>
      <c r="L233" s="19" t="s">
        <v>632</v>
      </c>
      <c r="Q233" s="20">
        <v>12</v>
      </c>
      <c r="R233" s="65" t="s">
        <v>624</v>
      </c>
      <c r="T233" s="19" t="s">
        <v>307</v>
      </c>
      <c r="V233" s="19" t="s">
        <v>178</v>
      </c>
      <c r="W233" s="19" t="s">
        <v>138</v>
      </c>
      <c r="Z233" s="44" t="s">
        <v>625</v>
      </c>
      <c r="AA233" s="44" t="s">
        <v>593</v>
      </c>
    </row>
    <row r="234" spans="1:27" hidden="1" x14ac:dyDescent="0.25">
      <c r="A234" s="26">
        <v>13</v>
      </c>
      <c r="B234" s="19" t="s">
        <v>638</v>
      </c>
      <c r="C234" s="44" t="s">
        <v>172</v>
      </c>
      <c r="D234" s="19" t="s">
        <v>214</v>
      </c>
      <c r="E234" s="19">
        <v>25</v>
      </c>
      <c r="F234" s="19">
        <v>65</v>
      </c>
      <c r="G234" s="19">
        <v>346</v>
      </c>
      <c r="H234" s="19">
        <v>2</v>
      </c>
      <c r="I234" s="80">
        <v>4.32</v>
      </c>
      <c r="J234" s="80">
        <v>8.65</v>
      </c>
      <c r="K234" s="19" t="s">
        <v>436</v>
      </c>
      <c r="L234" s="19" t="s">
        <v>639</v>
      </c>
      <c r="Q234" s="20">
        <v>12</v>
      </c>
      <c r="R234" s="65" t="s">
        <v>624</v>
      </c>
      <c r="T234" s="19" t="s">
        <v>307</v>
      </c>
      <c r="V234" s="19" t="s">
        <v>178</v>
      </c>
      <c r="W234" s="19" t="s">
        <v>138</v>
      </c>
      <c r="Z234" s="44" t="s">
        <v>625</v>
      </c>
      <c r="AA234" s="44" t="s">
        <v>595</v>
      </c>
    </row>
    <row r="235" spans="1:27" hidden="1" x14ac:dyDescent="0.25">
      <c r="A235" s="26">
        <v>14</v>
      </c>
      <c r="B235" s="19" t="s">
        <v>640</v>
      </c>
      <c r="C235" s="44" t="s">
        <v>172</v>
      </c>
      <c r="D235" s="19" t="s">
        <v>216</v>
      </c>
      <c r="E235" s="19">
        <v>25</v>
      </c>
      <c r="F235" s="19">
        <v>65</v>
      </c>
      <c r="G235" s="19">
        <v>188</v>
      </c>
      <c r="H235" s="19">
        <v>2</v>
      </c>
      <c r="I235" s="80">
        <v>2.31</v>
      </c>
      <c r="J235" s="80">
        <v>4.62</v>
      </c>
      <c r="K235" s="19" t="s">
        <v>436</v>
      </c>
      <c r="L235" s="19" t="s">
        <v>639</v>
      </c>
      <c r="Q235" s="20">
        <v>12</v>
      </c>
      <c r="R235" s="65" t="s">
        <v>624</v>
      </c>
      <c r="T235" s="19" t="s">
        <v>307</v>
      </c>
      <c r="V235" s="19" t="s">
        <v>178</v>
      </c>
      <c r="W235" s="19" t="s">
        <v>138</v>
      </c>
      <c r="Z235" s="44" t="s">
        <v>625</v>
      </c>
      <c r="AA235" s="44" t="s">
        <v>595</v>
      </c>
    </row>
    <row r="236" spans="1:27" hidden="1" x14ac:dyDescent="0.25">
      <c r="A236" s="26">
        <v>15</v>
      </c>
      <c r="B236" s="19" t="s">
        <v>641</v>
      </c>
      <c r="C236" s="44" t="s">
        <v>172</v>
      </c>
      <c r="D236" s="19" t="s">
        <v>214</v>
      </c>
      <c r="E236" s="19">
        <v>25</v>
      </c>
      <c r="F236" s="19">
        <v>65</v>
      </c>
      <c r="G236" s="19">
        <v>346</v>
      </c>
      <c r="H236" s="19">
        <v>2</v>
      </c>
      <c r="I236" s="80">
        <v>2.7</v>
      </c>
      <c r="J236" s="80">
        <v>5.39</v>
      </c>
      <c r="K236" s="19" t="s">
        <v>436</v>
      </c>
      <c r="L236" s="19" t="s">
        <v>639</v>
      </c>
      <c r="Q236" s="20">
        <v>12</v>
      </c>
      <c r="R236" s="65" t="s">
        <v>624</v>
      </c>
      <c r="T236" s="19" t="s">
        <v>307</v>
      </c>
      <c r="V236" s="19" t="s">
        <v>178</v>
      </c>
      <c r="W236" s="19" t="s">
        <v>138</v>
      </c>
      <c r="Z236" s="44" t="s">
        <v>625</v>
      </c>
      <c r="AA236" s="44" t="s">
        <v>595</v>
      </c>
    </row>
    <row r="237" spans="1:27" hidden="1" x14ac:dyDescent="0.25">
      <c r="A237" s="26">
        <v>16</v>
      </c>
      <c r="B237" s="19" t="s">
        <v>642</v>
      </c>
      <c r="C237" s="44" t="s">
        <v>172</v>
      </c>
      <c r="D237" s="19" t="s">
        <v>214</v>
      </c>
      <c r="E237" s="19">
        <v>25</v>
      </c>
      <c r="F237" s="19">
        <v>65</v>
      </c>
      <c r="G237" s="19">
        <v>346</v>
      </c>
      <c r="H237" s="19">
        <v>2</v>
      </c>
      <c r="I237" s="80">
        <v>4.32</v>
      </c>
      <c r="J237" s="80">
        <v>8.65</v>
      </c>
      <c r="K237" s="19" t="s">
        <v>436</v>
      </c>
      <c r="L237" s="19" t="s">
        <v>639</v>
      </c>
      <c r="Q237" s="20">
        <v>12</v>
      </c>
      <c r="R237" s="65" t="s">
        <v>624</v>
      </c>
      <c r="T237" s="19" t="s">
        <v>307</v>
      </c>
      <c r="V237" s="19" t="s">
        <v>178</v>
      </c>
      <c r="W237" s="19" t="s">
        <v>138</v>
      </c>
      <c r="Z237" s="44" t="s">
        <v>625</v>
      </c>
      <c r="AA237" s="44" t="s">
        <v>595</v>
      </c>
    </row>
    <row r="238" spans="1:27" hidden="1" x14ac:dyDescent="0.25">
      <c r="A238" s="26">
        <v>17</v>
      </c>
      <c r="B238" s="19" t="s">
        <v>643</v>
      </c>
      <c r="C238" s="44" t="s">
        <v>172</v>
      </c>
      <c r="D238" s="19" t="s">
        <v>216</v>
      </c>
      <c r="E238" s="19">
        <v>25</v>
      </c>
      <c r="F238" s="19">
        <v>65</v>
      </c>
      <c r="G238" s="19">
        <v>188</v>
      </c>
      <c r="H238" s="19">
        <v>2</v>
      </c>
      <c r="I238" s="80">
        <v>2.31</v>
      </c>
      <c r="J238" s="80">
        <v>4.62</v>
      </c>
      <c r="K238" s="19" t="s">
        <v>436</v>
      </c>
      <c r="L238" s="19" t="s">
        <v>639</v>
      </c>
      <c r="Q238" s="20">
        <v>12</v>
      </c>
      <c r="R238" s="65" t="s">
        <v>624</v>
      </c>
      <c r="T238" s="19" t="s">
        <v>307</v>
      </c>
      <c r="V238" s="19" t="s">
        <v>178</v>
      </c>
      <c r="W238" s="19" t="s">
        <v>138</v>
      </c>
      <c r="Z238" s="44" t="s">
        <v>625</v>
      </c>
      <c r="AA238" s="44" t="s">
        <v>595</v>
      </c>
    </row>
    <row r="239" spans="1:27" hidden="1" x14ac:dyDescent="0.25">
      <c r="A239" s="26">
        <v>18</v>
      </c>
      <c r="B239" s="19" t="s">
        <v>644</v>
      </c>
      <c r="C239" s="44" t="s">
        <v>172</v>
      </c>
      <c r="D239" s="19" t="s">
        <v>214</v>
      </c>
      <c r="E239" s="19">
        <v>25</v>
      </c>
      <c r="F239" s="19">
        <v>65</v>
      </c>
      <c r="G239" s="19">
        <v>346</v>
      </c>
      <c r="H239" s="19">
        <v>2</v>
      </c>
      <c r="I239" s="80">
        <v>2.7</v>
      </c>
      <c r="J239" s="80">
        <v>5.39</v>
      </c>
      <c r="K239" s="19" t="s">
        <v>436</v>
      </c>
      <c r="L239" s="19" t="s">
        <v>639</v>
      </c>
      <c r="Q239" s="20">
        <v>12</v>
      </c>
      <c r="R239" s="65" t="s">
        <v>624</v>
      </c>
      <c r="T239" s="19" t="s">
        <v>307</v>
      </c>
      <c r="V239" s="19" t="s">
        <v>178</v>
      </c>
      <c r="W239" s="19" t="s">
        <v>138</v>
      </c>
      <c r="Z239" s="44" t="s">
        <v>625</v>
      </c>
      <c r="AA239" s="44" t="s">
        <v>595</v>
      </c>
    </row>
    <row r="240" spans="1:27" hidden="1" x14ac:dyDescent="0.25">
      <c r="A240" s="26">
        <v>19</v>
      </c>
      <c r="B240" s="19" t="s">
        <v>645</v>
      </c>
      <c r="C240" s="44" t="s">
        <v>172</v>
      </c>
      <c r="D240" s="19" t="s">
        <v>219</v>
      </c>
      <c r="E240" s="19">
        <v>25</v>
      </c>
      <c r="F240" s="19">
        <v>330</v>
      </c>
      <c r="G240" s="19">
        <v>1218</v>
      </c>
      <c r="H240" s="19">
        <v>2</v>
      </c>
      <c r="I240" s="80">
        <v>78.84</v>
      </c>
      <c r="J240" s="80">
        <v>157.69</v>
      </c>
      <c r="K240" s="19" t="s">
        <v>436</v>
      </c>
      <c r="L240" s="19" t="s">
        <v>639</v>
      </c>
      <c r="Q240" s="20">
        <v>12</v>
      </c>
      <c r="R240" s="65" t="s">
        <v>624</v>
      </c>
      <c r="T240" s="19" t="s">
        <v>307</v>
      </c>
      <c r="V240" s="19" t="s">
        <v>178</v>
      </c>
      <c r="W240" s="19" t="s">
        <v>138</v>
      </c>
      <c r="Z240" s="44" t="s">
        <v>625</v>
      </c>
      <c r="AA240" s="44" t="s">
        <v>595</v>
      </c>
    </row>
    <row r="241" spans="1:27" hidden="1" x14ac:dyDescent="0.25">
      <c r="A241" s="26">
        <v>20</v>
      </c>
      <c r="B241" s="19" t="s">
        <v>646</v>
      </c>
      <c r="C241" s="44" t="s">
        <v>172</v>
      </c>
      <c r="D241" s="19" t="s">
        <v>521</v>
      </c>
      <c r="E241" s="19">
        <v>32</v>
      </c>
      <c r="F241" s="19">
        <v>2660</v>
      </c>
      <c r="G241" s="19">
        <v>14134</v>
      </c>
      <c r="H241" s="19">
        <v>1</v>
      </c>
      <c r="I241" s="80">
        <v>9173.23</v>
      </c>
      <c r="J241" s="80">
        <v>9173.23</v>
      </c>
      <c r="K241" s="19" t="s">
        <v>227</v>
      </c>
      <c r="L241" s="19" t="s">
        <v>647</v>
      </c>
      <c r="P241" s="19" t="s">
        <v>138</v>
      </c>
      <c r="Q241" s="20">
        <v>12</v>
      </c>
      <c r="R241" s="65" t="s">
        <v>624</v>
      </c>
      <c r="T241" s="19" t="s">
        <v>307</v>
      </c>
      <c r="V241" s="19" t="s">
        <v>178</v>
      </c>
      <c r="Y241" s="19" t="s">
        <v>138</v>
      </c>
      <c r="Z241" s="44" t="s">
        <v>625</v>
      </c>
      <c r="AA241" s="44" t="s">
        <v>180</v>
      </c>
    </row>
    <row r="242" spans="1:27" hidden="1" x14ac:dyDescent="0.25">
      <c r="A242" s="26">
        <v>21</v>
      </c>
      <c r="B242" s="19" t="s">
        <v>648</v>
      </c>
      <c r="C242" s="44" t="s">
        <v>172</v>
      </c>
      <c r="D242" s="19" t="s">
        <v>521</v>
      </c>
      <c r="E242" s="19">
        <v>32</v>
      </c>
      <c r="F242" s="19">
        <v>2660</v>
      </c>
      <c r="G242" s="19">
        <v>14134</v>
      </c>
      <c r="H242" s="19">
        <v>1</v>
      </c>
      <c r="I242" s="80">
        <v>9173.23</v>
      </c>
      <c r="J242" s="80">
        <v>9173.23</v>
      </c>
      <c r="K242" s="19" t="s">
        <v>227</v>
      </c>
      <c r="L242" s="19" t="s">
        <v>649</v>
      </c>
      <c r="P242" s="19" t="s">
        <v>138</v>
      </c>
      <c r="Q242" s="20">
        <v>12</v>
      </c>
      <c r="R242" s="65" t="s">
        <v>624</v>
      </c>
      <c r="T242" s="19" t="s">
        <v>307</v>
      </c>
      <c r="V242" s="19" t="s">
        <v>178</v>
      </c>
      <c r="Y242" s="19" t="s">
        <v>138</v>
      </c>
      <c r="Z242" s="44" t="s">
        <v>625</v>
      </c>
      <c r="AA242" s="44" t="s">
        <v>180</v>
      </c>
    </row>
    <row r="243" spans="1:27" hidden="1" x14ac:dyDescent="0.25">
      <c r="A243" s="26">
        <v>22</v>
      </c>
      <c r="B243" s="19" t="s">
        <v>650</v>
      </c>
      <c r="C243" s="44" t="s">
        <v>172</v>
      </c>
      <c r="D243" s="19" t="s">
        <v>524</v>
      </c>
      <c r="E243" s="19">
        <v>32</v>
      </c>
      <c r="F243" s="19">
        <v>2660</v>
      </c>
      <c r="G243" s="19">
        <v>13686</v>
      </c>
      <c r="H243" s="19">
        <v>1</v>
      </c>
      <c r="I243" s="80">
        <v>8877.4</v>
      </c>
      <c r="J243" s="80">
        <v>8877.4</v>
      </c>
      <c r="K243" s="19" t="s">
        <v>233</v>
      </c>
      <c r="L243" s="19" t="s">
        <v>651</v>
      </c>
      <c r="P243" s="19" t="s">
        <v>138</v>
      </c>
      <c r="Q243" s="20">
        <v>12</v>
      </c>
      <c r="R243" s="65" t="s">
        <v>624</v>
      </c>
      <c r="T243" s="19" t="s">
        <v>307</v>
      </c>
      <c r="V243" s="19" t="s">
        <v>178</v>
      </c>
      <c r="Y243" s="19" t="s">
        <v>138</v>
      </c>
      <c r="Z243" s="44" t="s">
        <v>625</v>
      </c>
      <c r="AA243" s="44" t="s">
        <v>180</v>
      </c>
    </row>
    <row r="244" spans="1:27" hidden="1" x14ac:dyDescent="0.25">
      <c r="A244" s="26">
        <v>23</v>
      </c>
      <c r="B244" s="19" t="s">
        <v>652</v>
      </c>
      <c r="C244" s="44" t="s">
        <v>172</v>
      </c>
      <c r="D244" s="19" t="s">
        <v>524</v>
      </c>
      <c r="E244" s="19">
        <v>32</v>
      </c>
      <c r="F244" s="19">
        <v>2660</v>
      </c>
      <c r="G244" s="19">
        <v>13686</v>
      </c>
      <c r="H244" s="19">
        <v>1</v>
      </c>
      <c r="I244" s="80">
        <v>8877.4</v>
      </c>
      <c r="J244" s="80">
        <v>8877.4</v>
      </c>
      <c r="K244" s="19" t="s">
        <v>233</v>
      </c>
      <c r="L244" s="19" t="s">
        <v>653</v>
      </c>
      <c r="P244" s="19" t="s">
        <v>138</v>
      </c>
      <c r="Q244" s="20">
        <v>12</v>
      </c>
      <c r="R244" s="65" t="s">
        <v>624</v>
      </c>
      <c r="T244" s="19" t="s">
        <v>307</v>
      </c>
      <c r="V244" s="19" t="s">
        <v>178</v>
      </c>
      <c r="Y244" s="19" t="s">
        <v>138</v>
      </c>
      <c r="Z244" s="44" t="s">
        <v>625</v>
      </c>
      <c r="AA244" s="44" t="s">
        <v>180</v>
      </c>
    </row>
    <row r="245" spans="1:27" hidden="1" x14ac:dyDescent="0.25">
      <c r="A245" s="26">
        <v>24</v>
      </c>
      <c r="B245" s="19" t="s">
        <v>654</v>
      </c>
      <c r="C245" s="44" t="s">
        <v>273</v>
      </c>
      <c r="D245" s="19" t="s">
        <v>420</v>
      </c>
      <c r="E245" s="19">
        <v>40</v>
      </c>
      <c r="F245" s="19">
        <v>834</v>
      </c>
      <c r="G245" s="19">
        <v>2658</v>
      </c>
      <c r="H245" s="19">
        <v>1</v>
      </c>
      <c r="I245" s="80">
        <v>497.4</v>
      </c>
      <c r="J245" s="80">
        <v>497.4</v>
      </c>
      <c r="K245" s="19" t="s">
        <v>603</v>
      </c>
      <c r="L245" s="19" t="s">
        <v>655</v>
      </c>
      <c r="N245" s="19" t="s">
        <v>176</v>
      </c>
      <c r="Q245" s="20">
        <v>12</v>
      </c>
      <c r="R245" s="65" t="s">
        <v>624</v>
      </c>
      <c r="T245" s="19" t="s">
        <v>307</v>
      </c>
      <c r="V245" s="19" t="s">
        <v>178</v>
      </c>
      <c r="X245" s="19" t="s">
        <v>138</v>
      </c>
      <c r="Z245" s="44" t="s">
        <v>625</v>
      </c>
      <c r="AA245" s="44" t="s">
        <v>604</v>
      </c>
    </row>
    <row r="246" spans="1:27" hidden="1" x14ac:dyDescent="0.25">
      <c r="A246" s="26">
        <v>25</v>
      </c>
      <c r="B246" s="19" t="s">
        <v>654</v>
      </c>
      <c r="C246" s="44" t="s">
        <v>273</v>
      </c>
      <c r="D246" s="19" t="s">
        <v>420</v>
      </c>
      <c r="E246" s="19">
        <v>40</v>
      </c>
      <c r="F246" s="19">
        <v>834</v>
      </c>
      <c r="G246" s="19">
        <v>2658</v>
      </c>
      <c r="H246" s="19">
        <v>3</v>
      </c>
      <c r="I246" s="80">
        <v>497.4</v>
      </c>
      <c r="J246" s="80">
        <v>1492.19</v>
      </c>
      <c r="K246" s="19" t="s">
        <v>240</v>
      </c>
      <c r="L246" s="19" t="s">
        <v>656</v>
      </c>
      <c r="N246" s="19" t="s">
        <v>176</v>
      </c>
      <c r="Q246" s="20">
        <v>12</v>
      </c>
      <c r="R246" s="65" t="s">
        <v>624</v>
      </c>
      <c r="T246" s="19" t="s">
        <v>307</v>
      </c>
      <c r="V246" s="19" t="s">
        <v>178</v>
      </c>
      <c r="X246" s="19" t="s">
        <v>138</v>
      </c>
      <c r="Z246" s="44" t="s">
        <v>625</v>
      </c>
      <c r="AA246" s="44" t="s">
        <v>180</v>
      </c>
    </row>
    <row r="247" spans="1:27" hidden="1" x14ac:dyDescent="0.25">
      <c r="A247" s="26">
        <v>26</v>
      </c>
      <c r="B247" s="19" t="s">
        <v>657</v>
      </c>
      <c r="C247" s="44" t="s">
        <v>273</v>
      </c>
      <c r="D247" s="19" t="s">
        <v>420</v>
      </c>
      <c r="E247" s="19">
        <v>40</v>
      </c>
      <c r="F247" s="19">
        <v>834</v>
      </c>
      <c r="G247" s="19">
        <v>2658</v>
      </c>
      <c r="H247" s="19">
        <v>4</v>
      </c>
      <c r="I247" s="80">
        <v>497.4</v>
      </c>
      <c r="J247" s="80">
        <v>1989.59</v>
      </c>
      <c r="K247" s="19" t="s">
        <v>240</v>
      </c>
      <c r="L247" s="19" t="s">
        <v>656</v>
      </c>
      <c r="N247" s="19" t="s">
        <v>176</v>
      </c>
      <c r="Q247" s="20">
        <v>12</v>
      </c>
      <c r="R247" s="65" t="s">
        <v>624</v>
      </c>
      <c r="T247" s="19" t="s">
        <v>307</v>
      </c>
      <c r="V247" s="19" t="s">
        <v>178</v>
      </c>
      <c r="X247" s="19" t="s">
        <v>138</v>
      </c>
      <c r="Z247" s="44" t="s">
        <v>625</v>
      </c>
      <c r="AA247" s="44" t="s">
        <v>180</v>
      </c>
    </row>
    <row r="248" spans="1:27" hidden="1" x14ac:dyDescent="0.25">
      <c r="A248" s="26">
        <v>27</v>
      </c>
      <c r="B248" s="19" t="s">
        <v>658</v>
      </c>
      <c r="C248" s="44" t="s">
        <v>172</v>
      </c>
      <c r="D248" s="19" t="s">
        <v>253</v>
      </c>
      <c r="E248" s="19">
        <v>50</v>
      </c>
      <c r="F248" s="19">
        <v>964</v>
      </c>
      <c r="G248" s="19">
        <v>2638</v>
      </c>
      <c r="H248" s="19">
        <v>4</v>
      </c>
      <c r="I248" s="80">
        <v>712.82</v>
      </c>
      <c r="J248" s="80">
        <v>2851.27</v>
      </c>
      <c r="K248" s="19" t="s">
        <v>423</v>
      </c>
      <c r="L248" s="19" t="s">
        <v>659</v>
      </c>
      <c r="N248" s="19" t="s">
        <v>176</v>
      </c>
      <c r="Q248" s="20">
        <v>12</v>
      </c>
      <c r="R248" s="65" t="s">
        <v>624</v>
      </c>
      <c r="T248" s="19" t="s">
        <v>307</v>
      </c>
      <c r="V248" s="19" t="s">
        <v>178</v>
      </c>
      <c r="X248" s="19" t="s">
        <v>138</v>
      </c>
      <c r="Z248" s="44" t="s">
        <v>625</v>
      </c>
      <c r="AA248" s="44" t="s">
        <v>606</v>
      </c>
    </row>
    <row r="249" spans="1:27" hidden="1" x14ac:dyDescent="0.25">
      <c r="A249" s="26">
        <v>28</v>
      </c>
      <c r="B249" s="19" t="s">
        <v>660</v>
      </c>
      <c r="C249" s="44" t="s">
        <v>172</v>
      </c>
      <c r="D249" s="19" t="s">
        <v>253</v>
      </c>
      <c r="E249" s="19">
        <v>50</v>
      </c>
      <c r="F249" s="19">
        <v>964</v>
      </c>
      <c r="G249" s="19">
        <v>2638</v>
      </c>
      <c r="H249" s="19">
        <v>1</v>
      </c>
      <c r="I249" s="80">
        <v>712.82</v>
      </c>
      <c r="J249" s="80">
        <v>712.82</v>
      </c>
      <c r="K249" s="19" t="s">
        <v>423</v>
      </c>
      <c r="L249" s="19" t="s">
        <v>659</v>
      </c>
      <c r="N249" s="19" t="s">
        <v>176</v>
      </c>
      <c r="Q249" s="20">
        <v>12</v>
      </c>
      <c r="R249" s="65" t="s">
        <v>624</v>
      </c>
      <c r="T249" s="19" t="s">
        <v>307</v>
      </c>
      <c r="V249" s="19" t="s">
        <v>178</v>
      </c>
      <c r="X249" s="19" t="s">
        <v>138</v>
      </c>
      <c r="Z249" s="44" t="s">
        <v>625</v>
      </c>
      <c r="AA249" s="44" t="s">
        <v>606</v>
      </c>
    </row>
    <row r="250" spans="1:27" hidden="1" x14ac:dyDescent="0.25">
      <c r="A250" s="26">
        <v>29</v>
      </c>
      <c r="B250" s="86" t="s">
        <v>660</v>
      </c>
      <c r="C250" s="86" t="s">
        <v>172</v>
      </c>
      <c r="D250" s="86" t="s">
        <v>253</v>
      </c>
      <c r="E250" s="86">
        <v>50</v>
      </c>
      <c r="F250" s="86">
        <v>964</v>
      </c>
      <c r="G250" s="86">
        <v>2638</v>
      </c>
      <c r="H250" s="86">
        <v>3</v>
      </c>
      <c r="I250" s="86">
        <v>712.82</v>
      </c>
      <c r="J250" s="86">
        <v>2138.4499999999998</v>
      </c>
      <c r="K250" s="86" t="s">
        <v>743</v>
      </c>
      <c r="L250" s="86" t="s">
        <v>661</v>
      </c>
      <c r="M250" s="98"/>
      <c r="N250" s="98" t="s">
        <v>176</v>
      </c>
      <c r="O250" s="98"/>
      <c r="P250" s="98"/>
      <c r="Q250" s="98">
        <v>12</v>
      </c>
      <c r="R250" s="99" t="s">
        <v>744</v>
      </c>
      <c r="S250" s="98"/>
      <c r="T250" s="98" t="s">
        <v>434</v>
      </c>
      <c r="U250" s="98"/>
      <c r="V250" s="98" t="s">
        <v>178</v>
      </c>
      <c r="W250" s="98"/>
      <c r="X250" s="98" t="s">
        <v>138</v>
      </c>
      <c r="Y250" s="98"/>
      <c r="Z250" s="98" t="s">
        <v>625</v>
      </c>
      <c r="AA250" s="98" t="s">
        <v>502</v>
      </c>
    </row>
    <row r="251" spans="1:27" hidden="1" x14ac:dyDescent="0.25">
      <c r="A251" s="26">
        <v>30</v>
      </c>
      <c r="B251" s="19" t="s">
        <v>662</v>
      </c>
      <c r="C251" s="44" t="s">
        <v>172</v>
      </c>
      <c r="D251" s="19" t="s">
        <v>427</v>
      </c>
      <c r="E251" s="19">
        <v>60</v>
      </c>
      <c r="F251" s="19">
        <v>1080</v>
      </c>
      <c r="G251" s="19">
        <v>2260</v>
      </c>
      <c r="H251" s="19">
        <v>2</v>
      </c>
      <c r="I251" s="80">
        <v>1149.82</v>
      </c>
      <c r="J251" s="80">
        <v>2299.63</v>
      </c>
      <c r="K251" s="19" t="s">
        <v>265</v>
      </c>
      <c r="L251" s="19" t="s">
        <v>663</v>
      </c>
      <c r="P251" s="19" t="s">
        <v>138</v>
      </c>
      <c r="Q251" s="20">
        <v>12</v>
      </c>
      <c r="R251" s="65" t="s">
        <v>624</v>
      </c>
      <c r="T251" s="19" t="s">
        <v>307</v>
      </c>
      <c r="V251" s="19" t="s">
        <v>178</v>
      </c>
      <c r="Y251" s="19" t="s">
        <v>138</v>
      </c>
      <c r="Z251" s="44" t="s">
        <v>625</v>
      </c>
      <c r="AA251" s="44" t="s">
        <v>180</v>
      </c>
    </row>
    <row r="252" spans="1:27" hidden="1" x14ac:dyDescent="0.25">
      <c r="A252" s="26">
        <v>31</v>
      </c>
      <c r="B252" s="19" t="s">
        <v>664</v>
      </c>
      <c r="C252" s="44" t="s">
        <v>172</v>
      </c>
      <c r="D252" s="19" t="s">
        <v>610</v>
      </c>
      <c r="E252" s="19">
        <v>60</v>
      </c>
      <c r="F252" s="19">
        <v>1080</v>
      </c>
      <c r="G252" s="19">
        <v>4909</v>
      </c>
      <c r="H252" s="19">
        <v>2</v>
      </c>
      <c r="I252" s="80">
        <v>2497.11</v>
      </c>
      <c r="J252" s="80">
        <v>4994.22</v>
      </c>
      <c r="K252" s="19" t="s">
        <v>265</v>
      </c>
      <c r="L252" s="19" t="s">
        <v>663</v>
      </c>
      <c r="P252" s="19" t="s">
        <v>138</v>
      </c>
      <c r="Q252" s="20">
        <v>12</v>
      </c>
      <c r="R252" s="65" t="s">
        <v>624</v>
      </c>
      <c r="T252" s="19" t="s">
        <v>307</v>
      </c>
      <c r="V252" s="19" t="s">
        <v>178</v>
      </c>
      <c r="Y252" s="19" t="s">
        <v>138</v>
      </c>
      <c r="Z252" s="44" t="s">
        <v>625</v>
      </c>
      <c r="AA252" s="44" t="s">
        <v>180</v>
      </c>
    </row>
    <row r="253" spans="1:27" hidden="1" x14ac:dyDescent="0.25">
      <c r="A253" s="26">
        <v>32</v>
      </c>
      <c r="B253" s="19" t="s">
        <v>665</v>
      </c>
      <c r="C253" s="44" t="s">
        <v>172</v>
      </c>
      <c r="D253" s="19" t="s">
        <v>612</v>
      </c>
      <c r="E253" s="19">
        <v>60</v>
      </c>
      <c r="F253" s="19">
        <v>1080</v>
      </c>
      <c r="G253" s="19">
        <v>2809</v>
      </c>
      <c r="H253" s="19">
        <v>2</v>
      </c>
      <c r="I253" s="80">
        <v>1428.88</v>
      </c>
      <c r="J253" s="80">
        <v>2857.76</v>
      </c>
      <c r="K253" s="19" t="s">
        <v>265</v>
      </c>
      <c r="L253" s="19" t="s">
        <v>663</v>
      </c>
      <c r="P253" s="19" t="s">
        <v>138</v>
      </c>
      <c r="Q253" s="20">
        <v>12</v>
      </c>
      <c r="R253" s="65" t="s">
        <v>624</v>
      </c>
      <c r="T253" s="19" t="s">
        <v>307</v>
      </c>
      <c r="V253" s="19" t="s">
        <v>178</v>
      </c>
      <c r="Y253" s="19" t="s">
        <v>138</v>
      </c>
      <c r="Z253" s="44" t="s">
        <v>625</v>
      </c>
      <c r="AA253" s="44" t="s">
        <v>180</v>
      </c>
    </row>
    <row r="254" spans="1:27" hidden="1" x14ac:dyDescent="0.25">
      <c r="A254" s="26">
        <v>33</v>
      </c>
      <c r="B254" s="19" t="s">
        <v>666</v>
      </c>
      <c r="C254" s="44" t="s">
        <v>172</v>
      </c>
      <c r="D254" s="19" t="s">
        <v>427</v>
      </c>
      <c r="E254" s="19">
        <v>60</v>
      </c>
      <c r="F254" s="19">
        <v>1080</v>
      </c>
      <c r="G254" s="19">
        <v>2260</v>
      </c>
      <c r="H254" s="19">
        <v>2</v>
      </c>
      <c r="I254" s="80">
        <v>1149.82</v>
      </c>
      <c r="J254" s="80">
        <v>2299.63</v>
      </c>
      <c r="K254" s="19" t="s">
        <v>265</v>
      </c>
      <c r="L254" s="19" t="s">
        <v>667</v>
      </c>
      <c r="P254" s="19" t="s">
        <v>138</v>
      </c>
      <c r="Q254" s="20">
        <v>12</v>
      </c>
      <c r="R254" s="65" t="s">
        <v>624</v>
      </c>
      <c r="T254" s="19" t="s">
        <v>307</v>
      </c>
      <c r="V254" s="19" t="s">
        <v>178</v>
      </c>
      <c r="Y254" s="19" t="s">
        <v>138</v>
      </c>
      <c r="Z254" s="44" t="s">
        <v>625</v>
      </c>
      <c r="AA254" s="44" t="s">
        <v>180</v>
      </c>
    </row>
    <row r="255" spans="1:27" hidden="1" x14ac:dyDescent="0.25">
      <c r="A255" s="26">
        <v>34</v>
      </c>
      <c r="B255" s="19" t="s">
        <v>668</v>
      </c>
      <c r="C255" s="44" t="s">
        <v>172</v>
      </c>
      <c r="D255" s="19" t="s">
        <v>610</v>
      </c>
      <c r="E255" s="19">
        <v>60</v>
      </c>
      <c r="F255" s="19">
        <v>1080</v>
      </c>
      <c r="G255" s="19">
        <v>4909</v>
      </c>
      <c r="H255" s="19">
        <v>2</v>
      </c>
      <c r="I255" s="80">
        <v>2497.11</v>
      </c>
      <c r="J255" s="80">
        <v>4994.22</v>
      </c>
      <c r="K255" s="19" t="s">
        <v>265</v>
      </c>
      <c r="L255" s="19" t="s">
        <v>667</v>
      </c>
      <c r="P255" s="19" t="s">
        <v>138</v>
      </c>
      <c r="Q255" s="20">
        <v>12</v>
      </c>
      <c r="R255" s="65" t="s">
        <v>624</v>
      </c>
      <c r="T255" s="19" t="s">
        <v>307</v>
      </c>
      <c r="V255" s="19" t="s">
        <v>178</v>
      </c>
      <c r="Y255" s="19" t="s">
        <v>138</v>
      </c>
      <c r="Z255" s="44" t="s">
        <v>625</v>
      </c>
      <c r="AA255" s="44" t="s">
        <v>180</v>
      </c>
    </row>
    <row r="256" spans="1:27" hidden="1" x14ac:dyDescent="0.25">
      <c r="A256" s="26">
        <v>35</v>
      </c>
      <c r="B256" s="19" t="s">
        <v>669</v>
      </c>
      <c r="C256" s="44" t="s">
        <v>172</v>
      </c>
      <c r="D256" s="19" t="s">
        <v>612</v>
      </c>
      <c r="E256" s="19">
        <v>60</v>
      </c>
      <c r="F256" s="19">
        <v>1080</v>
      </c>
      <c r="G256" s="19">
        <v>2809</v>
      </c>
      <c r="H256" s="19">
        <v>2</v>
      </c>
      <c r="I256" s="80">
        <v>1428.88</v>
      </c>
      <c r="J256" s="80">
        <v>2857.76</v>
      </c>
      <c r="K256" s="19" t="s">
        <v>265</v>
      </c>
      <c r="L256" s="19" t="s">
        <v>667</v>
      </c>
      <c r="P256" s="19" t="s">
        <v>138</v>
      </c>
      <c r="Q256" s="20">
        <v>12</v>
      </c>
      <c r="R256" s="65" t="s">
        <v>624</v>
      </c>
      <c r="T256" s="19" t="s">
        <v>307</v>
      </c>
      <c r="V256" s="19" t="s">
        <v>178</v>
      </c>
      <c r="Y256" s="19" t="s">
        <v>138</v>
      </c>
      <c r="Z256" s="44" t="s">
        <v>625</v>
      </c>
      <c r="AA256" s="44" t="s">
        <v>180</v>
      </c>
    </row>
    <row r="257" spans="1:27" hidden="1" x14ac:dyDescent="0.25">
      <c r="A257" s="26">
        <v>36</v>
      </c>
      <c r="B257" s="19" t="s">
        <v>670</v>
      </c>
      <c r="C257" s="44" t="s">
        <v>273</v>
      </c>
      <c r="D257" s="19" t="s">
        <v>537</v>
      </c>
      <c r="E257" s="19">
        <v>80</v>
      </c>
      <c r="F257" s="19">
        <v>1200</v>
      </c>
      <c r="G257" s="19">
        <v>17998</v>
      </c>
      <c r="H257" s="19">
        <v>1</v>
      </c>
      <c r="I257" s="80">
        <v>13503.16</v>
      </c>
      <c r="J257" s="80">
        <v>13503.16</v>
      </c>
      <c r="K257" s="19" t="s">
        <v>275</v>
      </c>
      <c r="L257" s="19" t="s">
        <v>671</v>
      </c>
      <c r="P257" s="19" t="s">
        <v>138</v>
      </c>
      <c r="Q257" s="20">
        <v>12</v>
      </c>
      <c r="R257" s="65" t="s">
        <v>624</v>
      </c>
      <c r="T257" s="19" t="s">
        <v>307</v>
      </c>
      <c r="V257" s="19" t="s">
        <v>178</v>
      </c>
      <c r="Y257" s="19" t="s">
        <v>138</v>
      </c>
      <c r="Z257" s="44" t="s">
        <v>625</v>
      </c>
      <c r="AA257" s="44" t="s">
        <v>180</v>
      </c>
    </row>
    <row r="258" spans="1:27" hidden="1" x14ac:dyDescent="0.25">
      <c r="A258" s="26">
        <v>37</v>
      </c>
      <c r="B258" s="19" t="s">
        <v>670</v>
      </c>
      <c r="C258" s="44" t="s">
        <v>273</v>
      </c>
      <c r="D258" s="19" t="s">
        <v>537</v>
      </c>
      <c r="E258" s="19">
        <v>80</v>
      </c>
      <c r="F258" s="19">
        <v>1200</v>
      </c>
      <c r="G258" s="19">
        <v>17998</v>
      </c>
      <c r="H258" s="19">
        <v>1</v>
      </c>
      <c r="I258" s="80">
        <v>13503.16</v>
      </c>
      <c r="J258" s="80">
        <v>13503.16</v>
      </c>
      <c r="K258" s="19" t="s">
        <v>275</v>
      </c>
      <c r="L258" s="19" t="s">
        <v>672</v>
      </c>
      <c r="P258" s="19" t="s">
        <v>138</v>
      </c>
      <c r="Q258" s="20">
        <v>12</v>
      </c>
      <c r="R258" s="65" t="s">
        <v>624</v>
      </c>
      <c r="T258" s="19" t="s">
        <v>307</v>
      </c>
      <c r="V258" s="19" t="s">
        <v>178</v>
      </c>
      <c r="Y258" s="19" t="s">
        <v>138</v>
      </c>
      <c r="Z258" s="44" t="s">
        <v>625</v>
      </c>
      <c r="AA258" s="44" t="s">
        <v>180</v>
      </c>
    </row>
    <row r="259" spans="1:27" hidden="1" x14ac:dyDescent="0.25">
      <c r="A259" s="26">
        <v>38</v>
      </c>
      <c r="B259" s="19" t="s">
        <v>673</v>
      </c>
      <c r="C259" s="44" t="s">
        <v>273</v>
      </c>
      <c r="D259" s="19" t="s">
        <v>537</v>
      </c>
      <c r="E259" s="19">
        <v>80</v>
      </c>
      <c r="F259" s="19">
        <v>1200</v>
      </c>
      <c r="G259" s="19">
        <v>17998</v>
      </c>
      <c r="H259" s="19">
        <v>1</v>
      </c>
      <c r="I259" s="80">
        <v>13503.16</v>
      </c>
      <c r="J259" s="80">
        <v>13503.16</v>
      </c>
      <c r="K259" s="19" t="s">
        <v>275</v>
      </c>
      <c r="L259" s="19" t="s">
        <v>674</v>
      </c>
      <c r="P259" s="19" t="s">
        <v>138</v>
      </c>
      <c r="Q259" s="20">
        <v>12</v>
      </c>
      <c r="R259" s="65" t="s">
        <v>624</v>
      </c>
      <c r="T259" s="19" t="s">
        <v>307</v>
      </c>
      <c r="V259" s="19" t="s">
        <v>178</v>
      </c>
      <c r="Y259" s="19" t="s">
        <v>138</v>
      </c>
      <c r="Z259" s="44" t="s">
        <v>625</v>
      </c>
      <c r="AA259" s="44" t="s">
        <v>180</v>
      </c>
    </row>
    <row r="260" spans="1:27" hidden="1" x14ac:dyDescent="0.25">
      <c r="A260" s="26">
        <v>39</v>
      </c>
      <c r="B260" s="19" t="s">
        <v>673</v>
      </c>
      <c r="C260" s="44" t="s">
        <v>273</v>
      </c>
      <c r="D260" s="19" t="s">
        <v>537</v>
      </c>
      <c r="E260" s="19">
        <v>80</v>
      </c>
      <c r="F260" s="19">
        <v>1200</v>
      </c>
      <c r="G260" s="19">
        <v>17998</v>
      </c>
      <c r="H260" s="19">
        <v>1</v>
      </c>
      <c r="I260" s="80">
        <v>13503.16</v>
      </c>
      <c r="J260" s="80">
        <v>13503.16</v>
      </c>
      <c r="K260" s="19" t="s">
        <v>275</v>
      </c>
      <c r="L260" s="19" t="s">
        <v>675</v>
      </c>
      <c r="P260" s="19" t="s">
        <v>138</v>
      </c>
      <c r="Q260" s="20">
        <v>12</v>
      </c>
      <c r="R260" s="65" t="s">
        <v>624</v>
      </c>
      <c r="T260" s="19" t="s">
        <v>307</v>
      </c>
      <c r="V260" s="19" t="s">
        <v>178</v>
      </c>
      <c r="Y260" s="19" t="s">
        <v>138</v>
      </c>
      <c r="Z260" s="44" t="s">
        <v>625</v>
      </c>
      <c r="AA260" s="44" t="s">
        <v>180</v>
      </c>
    </row>
    <row r="261" spans="1:27" hidden="1" x14ac:dyDescent="0.25">
      <c r="A261" s="26">
        <v>1</v>
      </c>
      <c r="B261" s="19" t="s">
        <v>677</v>
      </c>
      <c r="C261" s="44" t="s">
        <v>172</v>
      </c>
      <c r="D261" s="19" t="s">
        <v>173</v>
      </c>
      <c r="E261" s="19">
        <v>10</v>
      </c>
      <c r="F261" s="19">
        <v>30</v>
      </c>
      <c r="G261" s="19">
        <v>50</v>
      </c>
      <c r="H261" s="19">
        <v>36</v>
      </c>
      <c r="I261" s="80">
        <v>0.11</v>
      </c>
      <c r="J261" s="80">
        <v>4.0199999999999996</v>
      </c>
      <c r="K261" s="19" t="s">
        <v>174</v>
      </c>
      <c r="L261" s="19" t="s">
        <v>678</v>
      </c>
      <c r="N261" s="19" t="s">
        <v>176</v>
      </c>
      <c r="Q261" s="20">
        <v>13</v>
      </c>
      <c r="R261" s="65" t="s">
        <v>679</v>
      </c>
      <c r="T261" s="19" t="s">
        <v>307</v>
      </c>
      <c r="V261" s="19" t="s">
        <v>178</v>
      </c>
      <c r="X261" s="19" t="s">
        <v>138</v>
      </c>
      <c r="Z261" s="44" t="s">
        <v>179</v>
      </c>
      <c r="AA261" s="44" t="s">
        <v>180</v>
      </c>
    </row>
    <row r="262" spans="1:27" hidden="1" x14ac:dyDescent="0.25">
      <c r="A262" s="26">
        <v>2</v>
      </c>
      <c r="B262" s="19" t="s">
        <v>680</v>
      </c>
      <c r="C262" s="44" t="s">
        <v>172</v>
      </c>
      <c r="D262" s="19" t="s">
        <v>328</v>
      </c>
      <c r="E262" s="19">
        <v>12</v>
      </c>
      <c r="F262" s="19">
        <v>275</v>
      </c>
      <c r="G262" s="19">
        <v>300</v>
      </c>
      <c r="H262" s="19">
        <v>50</v>
      </c>
      <c r="I262" s="80">
        <v>6.71</v>
      </c>
      <c r="J262" s="80">
        <v>335.61</v>
      </c>
      <c r="K262" s="19" t="s">
        <v>681</v>
      </c>
      <c r="L262" s="19" t="s">
        <v>682</v>
      </c>
      <c r="Q262" s="20">
        <v>13</v>
      </c>
      <c r="R262" s="65" t="s">
        <v>679</v>
      </c>
      <c r="T262" s="19" t="s">
        <v>307</v>
      </c>
      <c r="V262" s="19" t="s">
        <v>178</v>
      </c>
      <c r="W262" s="19" t="s">
        <v>138</v>
      </c>
      <c r="Z262" s="44" t="s">
        <v>179</v>
      </c>
      <c r="AA262" s="44" t="s">
        <v>630</v>
      </c>
    </row>
    <row r="263" spans="1:27" hidden="1" x14ac:dyDescent="0.25">
      <c r="A263" s="26">
        <v>3</v>
      </c>
      <c r="B263" s="19" t="s">
        <v>683</v>
      </c>
      <c r="C263" s="44" t="s">
        <v>172</v>
      </c>
      <c r="D263" s="19" t="s">
        <v>187</v>
      </c>
      <c r="E263" s="19">
        <v>12</v>
      </c>
      <c r="F263" s="19">
        <v>295</v>
      </c>
      <c r="G263" s="19">
        <v>300</v>
      </c>
      <c r="H263" s="19">
        <v>28</v>
      </c>
      <c r="I263" s="80">
        <v>7.01</v>
      </c>
      <c r="J263" s="80">
        <v>196.38</v>
      </c>
      <c r="K263" s="19" t="s">
        <v>184</v>
      </c>
      <c r="L263" s="19" t="s">
        <v>684</v>
      </c>
      <c r="Q263" s="20">
        <v>13</v>
      </c>
      <c r="R263" s="65" t="s">
        <v>679</v>
      </c>
      <c r="T263" s="19" t="s">
        <v>307</v>
      </c>
      <c r="V263" s="19" t="s">
        <v>178</v>
      </c>
      <c r="W263" s="19" t="s">
        <v>138</v>
      </c>
      <c r="Z263" s="44" t="s">
        <v>179</v>
      </c>
      <c r="AA263" s="44" t="s">
        <v>180</v>
      </c>
    </row>
    <row r="264" spans="1:27" hidden="1" x14ac:dyDescent="0.25">
      <c r="A264" s="26">
        <v>4</v>
      </c>
      <c r="B264" s="19" t="s">
        <v>685</v>
      </c>
      <c r="C264" s="44" t="s">
        <v>172</v>
      </c>
      <c r="D264" s="19" t="s">
        <v>189</v>
      </c>
      <c r="E264" s="19">
        <v>12</v>
      </c>
      <c r="F264" s="19">
        <v>75</v>
      </c>
      <c r="G264" s="19">
        <v>75</v>
      </c>
      <c r="H264" s="19">
        <v>4</v>
      </c>
      <c r="I264" s="80">
        <v>0.53</v>
      </c>
      <c r="J264" s="80">
        <v>2.12</v>
      </c>
      <c r="K264" s="19" t="s">
        <v>184</v>
      </c>
      <c r="L264" s="19" t="s">
        <v>684</v>
      </c>
      <c r="Q264" s="20">
        <v>13</v>
      </c>
      <c r="R264" s="65" t="s">
        <v>679</v>
      </c>
      <c r="T264" s="19" t="s">
        <v>307</v>
      </c>
      <c r="V264" s="19" t="s">
        <v>178</v>
      </c>
      <c r="W264" s="19" t="s">
        <v>138</v>
      </c>
      <c r="Z264" s="44" t="s">
        <v>179</v>
      </c>
      <c r="AA264" s="44" t="s">
        <v>180</v>
      </c>
    </row>
    <row r="265" spans="1:27" hidden="1" x14ac:dyDescent="0.25">
      <c r="A265" s="26">
        <v>5</v>
      </c>
      <c r="B265" s="19" t="s">
        <v>686</v>
      </c>
      <c r="C265" s="44" t="s">
        <v>172</v>
      </c>
      <c r="D265" s="19" t="s">
        <v>328</v>
      </c>
      <c r="E265" s="19">
        <v>12</v>
      </c>
      <c r="F265" s="19">
        <v>275</v>
      </c>
      <c r="G265" s="19">
        <v>300</v>
      </c>
      <c r="H265" s="19">
        <v>77</v>
      </c>
      <c r="I265" s="80">
        <v>6.71</v>
      </c>
      <c r="J265" s="80">
        <v>516.84</v>
      </c>
      <c r="K265" s="19" t="s">
        <v>184</v>
      </c>
      <c r="L265" s="19" t="s">
        <v>684</v>
      </c>
      <c r="Q265" s="20">
        <v>13</v>
      </c>
      <c r="R265" s="65" t="s">
        <v>679</v>
      </c>
      <c r="T265" s="19" t="s">
        <v>307</v>
      </c>
      <c r="V265" s="19" t="s">
        <v>178</v>
      </c>
      <c r="W265" s="19" t="s">
        <v>138</v>
      </c>
      <c r="Z265" s="44" t="s">
        <v>179</v>
      </c>
      <c r="AA265" s="44" t="s">
        <v>180</v>
      </c>
    </row>
    <row r="266" spans="1:27" hidden="1" x14ac:dyDescent="0.25">
      <c r="A266" s="26">
        <v>6</v>
      </c>
      <c r="B266" s="19" t="s">
        <v>687</v>
      </c>
      <c r="C266" s="44" t="s">
        <v>172</v>
      </c>
      <c r="D266" s="19" t="s">
        <v>187</v>
      </c>
      <c r="E266" s="19">
        <v>12</v>
      </c>
      <c r="F266" s="19">
        <v>295</v>
      </c>
      <c r="G266" s="19">
        <v>300</v>
      </c>
      <c r="H266" s="19">
        <v>28</v>
      </c>
      <c r="I266" s="80">
        <v>7.01</v>
      </c>
      <c r="J266" s="80">
        <v>196.38</v>
      </c>
      <c r="K266" s="19" t="s">
        <v>184</v>
      </c>
      <c r="L266" s="19" t="s">
        <v>684</v>
      </c>
      <c r="Q266" s="20">
        <v>13</v>
      </c>
      <c r="R266" s="65" t="s">
        <v>679</v>
      </c>
      <c r="T266" s="19" t="s">
        <v>307</v>
      </c>
      <c r="V266" s="19" t="s">
        <v>178</v>
      </c>
      <c r="W266" s="19" t="s">
        <v>138</v>
      </c>
      <c r="Z266" s="44" t="s">
        <v>179</v>
      </c>
      <c r="AA266" s="44" t="s">
        <v>180</v>
      </c>
    </row>
    <row r="267" spans="1:27" hidden="1" x14ac:dyDescent="0.25">
      <c r="A267" s="26">
        <v>7</v>
      </c>
      <c r="B267" s="19" t="s">
        <v>688</v>
      </c>
      <c r="C267" s="44" t="s">
        <v>172</v>
      </c>
      <c r="D267" s="19" t="s">
        <v>189</v>
      </c>
      <c r="E267" s="19">
        <v>12</v>
      </c>
      <c r="F267" s="19">
        <v>75</v>
      </c>
      <c r="G267" s="19">
        <v>75</v>
      </c>
      <c r="H267" s="19">
        <v>4</v>
      </c>
      <c r="I267" s="80">
        <v>0.53</v>
      </c>
      <c r="J267" s="80">
        <v>2.12</v>
      </c>
      <c r="K267" s="19" t="s">
        <v>184</v>
      </c>
      <c r="L267" s="19" t="s">
        <v>684</v>
      </c>
      <c r="Q267" s="20">
        <v>13</v>
      </c>
      <c r="R267" s="65" t="s">
        <v>679</v>
      </c>
      <c r="T267" s="19" t="s">
        <v>307</v>
      </c>
      <c r="V267" s="19" t="s">
        <v>178</v>
      </c>
      <c r="W267" s="19" t="s">
        <v>138</v>
      </c>
      <c r="Z267" s="44" t="s">
        <v>179</v>
      </c>
      <c r="AA267" s="44" t="s">
        <v>180</v>
      </c>
    </row>
    <row r="268" spans="1:27" hidden="1" x14ac:dyDescent="0.25">
      <c r="A268" s="26">
        <v>8</v>
      </c>
      <c r="B268" s="19" t="s">
        <v>680</v>
      </c>
      <c r="C268" s="44" t="s">
        <v>172</v>
      </c>
      <c r="D268" s="19" t="s">
        <v>328</v>
      </c>
      <c r="E268" s="19">
        <v>12</v>
      </c>
      <c r="F268" s="19">
        <v>275</v>
      </c>
      <c r="G268" s="19">
        <v>300</v>
      </c>
      <c r="H268" s="19">
        <v>30</v>
      </c>
      <c r="I268" s="80">
        <v>6.71</v>
      </c>
      <c r="J268" s="80">
        <v>201.37</v>
      </c>
      <c r="K268" s="19" t="s">
        <v>184</v>
      </c>
      <c r="L268" s="19" t="s">
        <v>689</v>
      </c>
      <c r="Q268" s="20">
        <v>13</v>
      </c>
      <c r="R268" s="65" t="s">
        <v>679</v>
      </c>
      <c r="T268" s="19" t="s">
        <v>307</v>
      </c>
      <c r="V268" s="19" t="s">
        <v>178</v>
      </c>
      <c r="W268" s="19" t="s">
        <v>138</v>
      </c>
      <c r="Z268" s="44" t="s">
        <v>179</v>
      </c>
      <c r="AA268" s="44" t="s">
        <v>180</v>
      </c>
    </row>
    <row r="269" spans="1:27" hidden="1" x14ac:dyDescent="0.25">
      <c r="A269" s="26">
        <v>9</v>
      </c>
      <c r="B269" s="19" t="s">
        <v>690</v>
      </c>
      <c r="C269" s="44" t="s">
        <v>172</v>
      </c>
      <c r="D269" s="19" t="s">
        <v>198</v>
      </c>
      <c r="E269" s="19">
        <v>20</v>
      </c>
      <c r="F269" s="19">
        <v>30</v>
      </c>
      <c r="G269" s="19">
        <v>30</v>
      </c>
      <c r="H269" s="19">
        <v>8</v>
      </c>
      <c r="I269" s="80">
        <v>0.14000000000000001</v>
      </c>
      <c r="J269" s="80">
        <v>1.1299999999999999</v>
      </c>
      <c r="K269" s="19" t="s">
        <v>691</v>
      </c>
      <c r="L269" s="19" t="s">
        <v>692</v>
      </c>
      <c r="N269" s="19" t="s">
        <v>176</v>
      </c>
      <c r="Q269" s="20">
        <v>13</v>
      </c>
      <c r="R269" s="65" t="s">
        <v>679</v>
      </c>
      <c r="T269" s="19" t="s">
        <v>307</v>
      </c>
      <c r="V269" s="19" t="s">
        <v>178</v>
      </c>
      <c r="X269" s="19" t="s">
        <v>138</v>
      </c>
      <c r="Z269" s="44" t="s">
        <v>179</v>
      </c>
      <c r="AA269" s="44" t="s">
        <v>632</v>
      </c>
    </row>
    <row r="270" spans="1:27" hidden="1" x14ac:dyDescent="0.25">
      <c r="A270" s="26">
        <v>10</v>
      </c>
      <c r="B270" s="19" t="s">
        <v>693</v>
      </c>
      <c r="C270" s="44" t="s">
        <v>172</v>
      </c>
      <c r="D270" s="19" t="s">
        <v>202</v>
      </c>
      <c r="E270" s="19">
        <v>20</v>
      </c>
      <c r="F270" s="19">
        <v>250</v>
      </c>
      <c r="G270" s="19">
        <v>2638</v>
      </c>
      <c r="H270" s="19">
        <v>10</v>
      </c>
      <c r="I270" s="80">
        <v>103.5</v>
      </c>
      <c r="J270" s="80">
        <v>1034.96</v>
      </c>
      <c r="K270" s="19" t="s">
        <v>691</v>
      </c>
      <c r="L270" s="19" t="s">
        <v>692</v>
      </c>
      <c r="Q270" s="20">
        <v>13</v>
      </c>
      <c r="R270" s="65" t="s">
        <v>679</v>
      </c>
      <c r="T270" s="19" t="s">
        <v>307</v>
      </c>
      <c r="V270" s="19" t="s">
        <v>178</v>
      </c>
      <c r="W270" s="19" t="s">
        <v>138</v>
      </c>
      <c r="Z270" s="44" t="s">
        <v>179</v>
      </c>
      <c r="AA270" s="44" t="s">
        <v>632</v>
      </c>
    </row>
    <row r="271" spans="1:27" hidden="1" x14ac:dyDescent="0.25">
      <c r="A271" s="26">
        <v>11</v>
      </c>
      <c r="B271" s="19" t="s">
        <v>694</v>
      </c>
      <c r="C271" s="44" t="s">
        <v>172</v>
      </c>
      <c r="D271" s="19" t="s">
        <v>204</v>
      </c>
      <c r="E271" s="19">
        <v>20</v>
      </c>
      <c r="F271" s="19">
        <v>250</v>
      </c>
      <c r="G271" s="19">
        <v>1218</v>
      </c>
      <c r="H271" s="19">
        <v>2</v>
      </c>
      <c r="I271" s="80">
        <v>47.76</v>
      </c>
      <c r="J271" s="80">
        <v>95.53</v>
      </c>
      <c r="K271" s="19" t="s">
        <v>691</v>
      </c>
      <c r="L271" s="19" t="s">
        <v>692</v>
      </c>
      <c r="Q271" s="20">
        <v>13</v>
      </c>
      <c r="R271" s="65" t="s">
        <v>679</v>
      </c>
      <c r="T271" s="19" t="s">
        <v>307</v>
      </c>
      <c r="V271" s="19" t="s">
        <v>178</v>
      </c>
      <c r="W271" s="19" t="s">
        <v>138</v>
      </c>
      <c r="Z271" s="44" t="s">
        <v>179</v>
      </c>
      <c r="AA271" s="44" t="s">
        <v>632</v>
      </c>
    </row>
    <row r="272" spans="1:27" hidden="1" x14ac:dyDescent="0.25">
      <c r="A272" s="26">
        <v>12</v>
      </c>
      <c r="B272" s="19" t="s">
        <v>695</v>
      </c>
      <c r="C272" s="44" t="s">
        <v>172</v>
      </c>
      <c r="D272" s="19" t="s">
        <v>194</v>
      </c>
      <c r="E272" s="19">
        <v>20</v>
      </c>
      <c r="F272" s="19">
        <v>30</v>
      </c>
      <c r="G272" s="19">
        <v>90</v>
      </c>
      <c r="H272" s="19">
        <v>4</v>
      </c>
      <c r="I272" s="80">
        <v>0.42</v>
      </c>
      <c r="J272" s="80">
        <v>1.7</v>
      </c>
      <c r="K272" s="19" t="s">
        <v>691</v>
      </c>
      <c r="L272" s="19" t="s">
        <v>692</v>
      </c>
      <c r="N272" s="19" t="s">
        <v>176</v>
      </c>
      <c r="Q272" s="20">
        <v>13</v>
      </c>
      <c r="R272" s="65" t="s">
        <v>679</v>
      </c>
      <c r="T272" s="19" t="s">
        <v>307</v>
      </c>
      <c r="V272" s="19" t="s">
        <v>178</v>
      </c>
      <c r="X272" s="19" t="s">
        <v>138</v>
      </c>
      <c r="Z272" s="44" t="s">
        <v>179</v>
      </c>
      <c r="AA272" s="44" t="s">
        <v>632</v>
      </c>
    </row>
    <row r="273" spans="1:27" hidden="1" x14ac:dyDescent="0.25">
      <c r="A273" s="26">
        <v>13</v>
      </c>
      <c r="B273" s="19" t="s">
        <v>696</v>
      </c>
      <c r="C273" s="44" t="s">
        <v>172</v>
      </c>
      <c r="D273" s="19" t="s">
        <v>200</v>
      </c>
      <c r="E273" s="19">
        <v>20</v>
      </c>
      <c r="F273" s="19">
        <v>250</v>
      </c>
      <c r="G273" s="19">
        <v>2658</v>
      </c>
      <c r="H273" s="19">
        <v>4</v>
      </c>
      <c r="I273" s="80">
        <v>104.28</v>
      </c>
      <c r="J273" s="80">
        <v>417.12</v>
      </c>
      <c r="K273" s="19" t="s">
        <v>195</v>
      </c>
      <c r="L273" s="19" t="s">
        <v>697</v>
      </c>
      <c r="Q273" s="20">
        <v>13</v>
      </c>
      <c r="R273" s="65" t="s">
        <v>679</v>
      </c>
      <c r="T273" s="19" t="s">
        <v>307</v>
      </c>
      <c r="V273" s="19" t="s">
        <v>178</v>
      </c>
      <c r="W273" s="19" t="s">
        <v>138</v>
      </c>
      <c r="Z273" s="44" t="s">
        <v>179</v>
      </c>
      <c r="AA273" s="44" t="s">
        <v>180</v>
      </c>
    </row>
    <row r="274" spans="1:27" hidden="1" x14ac:dyDescent="0.25">
      <c r="A274" s="26">
        <v>14</v>
      </c>
      <c r="B274" s="19" t="s">
        <v>698</v>
      </c>
      <c r="C274" s="44" t="s">
        <v>172</v>
      </c>
      <c r="D274" s="19" t="s">
        <v>200</v>
      </c>
      <c r="E274" s="19">
        <v>20</v>
      </c>
      <c r="F274" s="19">
        <v>250</v>
      </c>
      <c r="G274" s="19">
        <v>2658</v>
      </c>
      <c r="H274" s="19">
        <v>4</v>
      </c>
      <c r="I274" s="80">
        <v>104.28</v>
      </c>
      <c r="J274" s="80">
        <v>417.12</v>
      </c>
      <c r="K274" s="19" t="s">
        <v>195</v>
      </c>
      <c r="L274" s="19" t="s">
        <v>697</v>
      </c>
      <c r="Q274" s="20">
        <v>13</v>
      </c>
      <c r="R274" s="65" t="s">
        <v>679</v>
      </c>
      <c r="T274" s="19" t="s">
        <v>307</v>
      </c>
      <c r="V274" s="19" t="s">
        <v>178</v>
      </c>
      <c r="W274" s="19" t="s">
        <v>138</v>
      </c>
      <c r="Z274" s="44" t="s">
        <v>179</v>
      </c>
      <c r="AA274" s="44" t="s">
        <v>180</v>
      </c>
    </row>
    <row r="275" spans="1:27" hidden="1" x14ac:dyDescent="0.25">
      <c r="A275" s="26">
        <v>15</v>
      </c>
      <c r="B275" s="19" t="s">
        <v>699</v>
      </c>
      <c r="C275" s="44" t="s">
        <v>172</v>
      </c>
      <c r="D275" s="19" t="s">
        <v>202</v>
      </c>
      <c r="E275" s="19">
        <v>20</v>
      </c>
      <c r="F275" s="19">
        <v>250</v>
      </c>
      <c r="G275" s="19">
        <v>2638</v>
      </c>
      <c r="H275" s="19">
        <v>10</v>
      </c>
      <c r="I275" s="80">
        <v>103.5</v>
      </c>
      <c r="J275" s="80">
        <v>1034.96</v>
      </c>
      <c r="K275" s="19" t="s">
        <v>195</v>
      </c>
      <c r="L275" s="19" t="s">
        <v>697</v>
      </c>
      <c r="Q275" s="20">
        <v>13</v>
      </c>
      <c r="R275" s="65" t="s">
        <v>679</v>
      </c>
      <c r="T275" s="19" t="s">
        <v>307</v>
      </c>
      <c r="V275" s="19" t="s">
        <v>178</v>
      </c>
      <c r="W275" s="19" t="s">
        <v>138</v>
      </c>
      <c r="Z275" s="44" t="s">
        <v>179</v>
      </c>
      <c r="AA275" s="44" t="s">
        <v>180</v>
      </c>
    </row>
    <row r="276" spans="1:27" hidden="1" x14ac:dyDescent="0.25">
      <c r="A276" s="26">
        <v>16</v>
      </c>
      <c r="B276" s="19" t="s">
        <v>700</v>
      </c>
      <c r="C276" s="44" t="s">
        <v>172</v>
      </c>
      <c r="D276" s="19" t="s">
        <v>204</v>
      </c>
      <c r="E276" s="19">
        <v>20</v>
      </c>
      <c r="F276" s="19">
        <v>250</v>
      </c>
      <c r="G276" s="19">
        <v>1218</v>
      </c>
      <c r="H276" s="19">
        <v>4</v>
      </c>
      <c r="I276" s="80">
        <v>47.77</v>
      </c>
      <c r="J276" s="80">
        <v>191.07</v>
      </c>
      <c r="K276" s="19" t="s">
        <v>195</v>
      </c>
      <c r="L276" s="19" t="s">
        <v>697</v>
      </c>
      <c r="Q276" s="20">
        <v>13</v>
      </c>
      <c r="R276" s="65" t="s">
        <v>679</v>
      </c>
      <c r="T276" s="19" t="s">
        <v>307</v>
      </c>
      <c r="V276" s="19" t="s">
        <v>178</v>
      </c>
      <c r="W276" s="19" t="s">
        <v>138</v>
      </c>
      <c r="Z276" s="44" t="s">
        <v>179</v>
      </c>
      <c r="AA276" s="44" t="s">
        <v>180</v>
      </c>
    </row>
    <row r="277" spans="1:27" hidden="1" x14ac:dyDescent="0.25">
      <c r="A277" s="26">
        <v>17</v>
      </c>
      <c r="B277" s="19" t="s">
        <v>701</v>
      </c>
      <c r="C277" s="44" t="s">
        <v>172</v>
      </c>
      <c r="D277" s="19" t="s">
        <v>214</v>
      </c>
      <c r="E277" s="19">
        <v>25</v>
      </c>
      <c r="F277" s="19">
        <v>65</v>
      </c>
      <c r="G277" s="19">
        <v>346</v>
      </c>
      <c r="H277" s="19">
        <v>2</v>
      </c>
      <c r="I277" s="80">
        <v>4.32</v>
      </c>
      <c r="J277" s="80">
        <v>8.65</v>
      </c>
      <c r="K277" s="19" t="s">
        <v>436</v>
      </c>
      <c r="L277" s="19" t="s">
        <v>702</v>
      </c>
      <c r="Q277" s="20">
        <v>13</v>
      </c>
      <c r="R277" s="65" t="s">
        <v>679</v>
      </c>
      <c r="T277" s="19" t="s">
        <v>307</v>
      </c>
      <c r="V277" s="19" t="s">
        <v>178</v>
      </c>
      <c r="W277" s="19" t="s">
        <v>138</v>
      </c>
      <c r="Z277" s="44" t="s">
        <v>179</v>
      </c>
      <c r="AA277" s="44" t="s">
        <v>639</v>
      </c>
    </row>
    <row r="278" spans="1:27" hidden="1" x14ac:dyDescent="0.25">
      <c r="A278" s="26">
        <v>18</v>
      </c>
      <c r="B278" s="19" t="s">
        <v>703</v>
      </c>
      <c r="C278" s="44" t="s">
        <v>172</v>
      </c>
      <c r="D278" s="19" t="s">
        <v>216</v>
      </c>
      <c r="E278" s="19">
        <v>25</v>
      </c>
      <c r="F278" s="19">
        <v>65</v>
      </c>
      <c r="G278" s="19">
        <v>188</v>
      </c>
      <c r="H278" s="19">
        <v>2</v>
      </c>
      <c r="I278" s="80">
        <v>2.31</v>
      </c>
      <c r="J278" s="80">
        <v>4.62</v>
      </c>
      <c r="K278" s="19" t="s">
        <v>436</v>
      </c>
      <c r="L278" s="19" t="s">
        <v>702</v>
      </c>
      <c r="Q278" s="20">
        <v>13</v>
      </c>
      <c r="R278" s="65" t="s">
        <v>679</v>
      </c>
      <c r="T278" s="19" t="s">
        <v>307</v>
      </c>
      <c r="V278" s="19" t="s">
        <v>178</v>
      </c>
      <c r="W278" s="19" t="s">
        <v>138</v>
      </c>
      <c r="Z278" s="44" t="s">
        <v>179</v>
      </c>
      <c r="AA278" s="44" t="s">
        <v>639</v>
      </c>
    </row>
    <row r="279" spans="1:27" hidden="1" x14ac:dyDescent="0.25">
      <c r="A279" s="26">
        <v>19</v>
      </c>
      <c r="B279" s="19" t="s">
        <v>704</v>
      </c>
      <c r="C279" s="44" t="s">
        <v>172</v>
      </c>
      <c r="D279" s="19" t="s">
        <v>214</v>
      </c>
      <c r="E279" s="19">
        <v>25</v>
      </c>
      <c r="F279" s="19">
        <v>65</v>
      </c>
      <c r="G279" s="19">
        <v>346</v>
      </c>
      <c r="H279" s="19">
        <v>2</v>
      </c>
      <c r="I279" s="80">
        <v>2.7</v>
      </c>
      <c r="J279" s="80">
        <v>5.39</v>
      </c>
      <c r="K279" s="19" t="s">
        <v>436</v>
      </c>
      <c r="L279" s="19" t="s">
        <v>702</v>
      </c>
      <c r="Q279" s="20">
        <v>13</v>
      </c>
      <c r="R279" s="65" t="s">
        <v>679</v>
      </c>
      <c r="T279" s="19" t="s">
        <v>307</v>
      </c>
      <c r="V279" s="19" t="s">
        <v>178</v>
      </c>
      <c r="W279" s="19" t="s">
        <v>138</v>
      </c>
      <c r="Z279" s="44" t="s">
        <v>179</v>
      </c>
      <c r="AA279" s="44" t="s">
        <v>639</v>
      </c>
    </row>
    <row r="280" spans="1:27" hidden="1" x14ac:dyDescent="0.25">
      <c r="A280" s="26">
        <v>20</v>
      </c>
      <c r="B280" s="19" t="s">
        <v>705</v>
      </c>
      <c r="C280" s="44" t="s">
        <v>172</v>
      </c>
      <c r="D280" s="19" t="s">
        <v>219</v>
      </c>
      <c r="E280" s="19">
        <v>25</v>
      </c>
      <c r="F280" s="19">
        <v>330</v>
      </c>
      <c r="G280" s="19">
        <v>1218</v>
      </c>
      <c r="H280" s="19">
        <v>2</v>
      </c>
      <c r="I280" s="80">
        <v>78.84</v>
      </c>
      <c r="J280" s="80">
        <v>157.69</v>
      </c>
      <c r="K280" s="19" t="s">
        <v>436</v>
      </c>
      <c r="L280" s="19" t="s">
        <v>702</v>
      </c>
      <c r="Q280" s="20">
        <v>13</v>
      </c>
      <c r="R280" s="65" t="s">
        <v>679</v>
      </c>
      <c r="T280" s="19" t="s">
        <v>307</v>
      </c>
      <c r="V280" s="19" t="s">
        <v>178</v>
      </c>
      <c r="W280" s="19" t="s">
        <v>138</v>
      </c>
      <c r="Z280" s="44" t="s">
        <v>179</v>
      </c>
      <c r="AA280" s="44" t="s">
        <v>639</v>
      </c>
    </row>
    <row r="281" spans="1:27" hidden="1" x14ac:dyDescent="0.25">
      <c r="A281" s="26">
        <v>21</v>
      </c>
      <c r="B281" s="19" t="s">
        <v>706</v>
      </c>
      <c r="C281" s="44" t="s">
        <v>172</v>
      </c>
      <c r="D281" s="19" t="s">
        <v>214</v>
      </c>
      <c r="E281" s="19">
        <v>25</v>
      </c>
      <c r="F281" s="19">
        <v>65</v>
      </c>
      <c r="G281" s="19">
        <v>346</v>
      </c>
      <c r="H281" s="19">
        <v>2</v>
      </c>
      <c r="I281" s="80">
        <v>4.32</v>
      </c>
      <c r="J281" s="80">
        <v>8.65</v>
      </c>
      <c r="K281" s="19" t="s">
        <v>436</v>
      </c>
      <c r="L281" s="19" t="s">
        <v>702</v>
      </c>
      <c r="Q281" s="20">
        <v>13</v>
      </c>
      <c r="R281" s="65" t="s">
        <v>679</v>
      </c>
      <c r="T281" s="19" t="s">
        <v>307</v>
      </c>
      <c r="V281" s="19" t="s">
        <v>178</v>
      </c>
      <c r="W281" s="19" t="s">
        <v>138</v>
      </c>
      <c r="Z281" s="44" t="s">
        <v>179</v>
      </c>
      <c r="AA281" s="44" t="s">
        <v>639</v>
      </c>
    </row>
    <row r="282" spans="1:27" hidden="1" x14ac:dyDescent="0.25">
      <c r="A282" s="26">
        <v>22</v>
      </c>
      <c r="B282" s="19" t="s">
        <v>707</v>
      </c>
      <c r="C282" s="44" t="s">
        <v>172</v>
      </c>
      <c r="D282" s="19" t="s">
        <v>216</v>
      </c>
      <c r="E282" s="19">
        <v>25</v>
      </c>
      <c r="F282" s="19">
        <v>65</v>
      </c>
      <c r="G282" s="19">
        <v>188</v>
      </c>
      <c r="H282" s="19">
        <v>2</v>
      </c>
      <c r="I282" s="80">
        <v>2.31</v>
      </c>
      <c r="J282" s="80">
        <v>4.62</v>
      </c>
      <c r="K282" s="19" t="s">
        <v>436</v>
      </c>
      <c r="L282" s="19" t="s">
        <v>702</v>
      </c>
      <c r="Q282" s="20">
        <v>13</v>
      </c>
      <c r="R282" s="65" t="s">
        <v>679</v>
      </c>
      <c r="T282" s="19" t="s">
        <v>307</v>
      </c>
      <c r="V282" s="19" t="s">
        <v>178</v>
      </c>
      <c r="W282" s="19" t="s">
        <v>138</v>
      </c>
      <c r="Z282" s="44" t="s">
        <v>179</v>
      </c>
      <c r="AA282" s="44" t="s">
        <v>639</v>
      </c>
    </row>
    <row r="283" spans="1:27" hidden="1" x14ac:dyDescent="0.25">
      <c r="A283" s="26">
        <v>23</v>
      </c>
      <c r="B283" s="19" t="s">
        <v>708</v>
      </c>
      <c r="C283" s="44" t="s">
        <v>172</v>
      </c>
      <c r="D283" s="19" t="s">
        <v>214</v>
      </c>
      <c r="E283" s="19">
        <v>25</v>
      </c>
      <c r="F283" s="19">
        <v>65</v>
      </c>
      <c r="G283" s="19">
        <v>346</v>
      </c>
      <c r="H283" s="19">
        <v>2</v>
      </c>
      <c r="I283" s="80">
        <v>2.7</v>
      </c>
      <c r="J283" s="80">
        <v>5.39</v>
      </c>
      <c r="K283" s="19" t="s">
        <v>436</v>
      </c>
      <c r="L283" s="19" t="s">
        <v>702</v>
      </c>
      <c r="Q283" s="20">
        <v>13</v>
      </c>
      <c r="R283" s="65" t="s">
        <v>679</v>
      </c>
      <c r="T283" s="19" t="s">
        <v>307</v>
      </c>
      <c r="V283" s="19" t="s">
        <v>178</v>
      </c>
      <c r="W283" s="19" t="s">
        <v>138</v>
      </c>
      <c r="Z283" s="44" t="s">
        <v>179</v>
      </c>
      <c r="AA283" s="44" t="s">
        <v>639</v>
      </c>
    </row>
    <row r="284" spans="1:27" hidden="1" x14ac:dyDescent="0.25">
      <c r="A284" s="26">
        <v>24</v>
      </c>
      <c r="B284" s="19" t="s">
        <v>709</v>
      </c>
      <c r="C284" s="44" t="s">
        <v>172</v>
      </c>
      <c r="D284" s="19" t="s">
        <v>219</v>
      </c>
      <c r="E284" s="19">
        <v>25</v>
      </c>
      <c r="F284" s="19">
        <v>330</v>
      </c>
      <c r="G284" s="19">
        <v>1218</v>
      </c>
      <c r="H284" s="19">
        <v>2</v>
      </c>
      <c r="I284" s="80">
        <v>78.84</v>
      </c>
      <c r="J284" s="80">
        <v>157.69</v>
      </c>
      <c r="K284" s="19" t="s">
        <v>436</v>
      </c>
      <c r="L284" s="19" t="s">
        <v>702</v>
      </c>
      <c r="Q284" s="20">
        <v>13</v>
      </c>
      <c r="R284" s="65" t="s">
        <v>679</v>
      </c>
      <c r="T284" s="19" t="s">
        <v>307</v>
      </c>
      <c r="V284" s="19" t="s">
        <v>178</v>
      </c>
      <c r="W284" s="19" t="s">
        <v>138</v>
      </c>
      <c r="Z284" s="44" t="s">
        <v>179</v>
      </c>
      <c r="AA284" s="44" t="s">
        <v>639</v>
      </c>
    </row>
    <row r="285" spans="1:27" hidden="1" x14ac:dyDescent="0.25">
      <c r="A285" s="26">
        <v>25</v>
      </c>
      <c r="B285" s="19" t="s">
        <v>709</v>
      </c>
      <c r="C285" s="44" t="s">
        <v>172</v>
      </c>
      <c r="D285" s="19" t="s">
        <v>219</v>
      </c>
      <c r="E285" s="19">
        <v>25</v>
      </c>
      <c r="F285" s="19">
        <v>330</v>
      </c>
      <c r="G285" s="19">
        <v>1218</v>
      </c>
      <c r="H285" s="19">
        <v>2</v>
      </c>
      <c r="I285" s="80">
        <v>78.84</v>
      </c>
      <c r="J285" s="80">
        <v>157.69</v>
      </c>
      <c r="K285" s="19" t="s">
        <v>436</v>
      </c>
      <c r="L285" s="19" t="s">
        <v>710</v>
      </c>
      <c r="Q285" s="20">
        <v>13</v>
      </c>
      <c r="R285" s="65" t="s">
        <v>679</v>
      </c>
      <c r="T285" s="19" t="s">
        <v>307</v>
      </c>
      <c r="V285" s="19" t="s">
        <v>178</v>
      </c>
      <c r="W285" s="19" t="s">
        <v>138</v>
      </c>
      <c r="Z285" s="44" t="s">
        <v>179</v>
      </c>
      <c r="AA285" s="44" t="s">
        <v>180</v>
      </c>
    </row>
    <row r="286" spans="1:27" hidden="1" x14ac:dyDescent="0.25">
      <c r="A286" s="26">
        <v>26</v>
      </c>
      <c r="B286" s="19" t="s">
        <v>711</v>
      </c>
      <c r="C286" s="44" t="s">
        <v>172</v>
      </c>
      <c r="D286" s="19" t="s">
        <v>521</v>
      </c>
      <c r="E286" s="19">
        <v>32</v>
      </c>
      <c r="F286" s="19">
        <v>2660</v>
      </c>
      <c r="G286" s="19">
        <v>14134</v>
      </c>
      <c r="H286" s="19">
        <v>1</v>
      </c>
      <c r="I286" s="80">
        <v>9173.23</v>
      </c>
      <c r="J286" s="80">
        <v>9173.23</v>
      </c>
      <c r="K286" s="19" t="s">
        <v>227</v>
      </c>
      <c r="L286" s="19" t="s">
        <v>712</v>
      </c>
      <c r="P286" s="19" t="s">
        <v>138</v>
      </c>
      <c r="Q286" s="20">
        <v>13</v>
      </c>
      <c r="R286" s="65" t="s">
        <v>679</v>
      </c>
      <c r="T286" s="19" t="s">
        <v>307</v>
      </c>
      <c r="V286" s="19" t="s">
        <v>178</v>
      </c>
      <c r="Y286" s="19" t="s">
        <v>138</v>
      </c>
      <c r="Z286" s="44" t="s">
        <v>179</v>
      </c>
      <c r="AA286" s="44" t="s">
        <v>180</v>
      </c>
    </row>
    <row r="287" spans="1:27" hidden="1" x14ac:dyDescent="0.25">
      <c r="A287" s="26">
        <v>27</v>
      </c>
      <c r="B287" s="19" t="s">
        <v>713</v>
      </c>
      <c r="C287" s="44" t="s">
        <v>172</v>
      </c>
      <c r="D287" s="19" t="s">
        <v>521</v>
      </c>
      <c r="E287" s="19">
        <v>32</v>
      </c>
      <c r="F287" s="19">
        <v>2660</v>
      </c>
      <c r="G287" s="19">
        <v>14134</v>
      </c>
      <c r="H287" s="19">
        <v>1</v>
      </c>
      <c r="I287" s="80">
        <v>9173.23</v>
      </c>
      <c r="J287" s="80">
        <v>9173.23</v>
      </c>
      <c r="K287" s="19" t="s">
        <v>227</v>
      </c>
      <c r="L287" s="19" t="s">
        <v>714</v>
      </c>
      <c r="P287" s="19" t="s">
        <v>138</v>
      </c>
      <c r="Q287" s="20">
        <v>13</v>
      </c>
      <c r="R287" s="65" t="s">
        <v>679</v>
      </c>
      <c r="T287" s="19" t="s">
        <v>307</v>
      </c>
      <c r="V287" s="19" t="s">
        <v>178</v>
      </c>
      <c r="Y287" s="19" t="s">
        <v>138</v>
      </c>
      <c r="Z287" s="44" t="s">
        <v>179</v>
      </c>
      <c r="AA287" s="44" t="s">
        <v>180</v>
      </c>
    </row>
    <row r="288" spans="1:27" hidden="1" x14ac:dyDescent="0.25">
      <c r="A288" s="26">
        <v>28</v>
      </c>
      <c r="B288" s="19" t="s">
        <v>715</v>
      </c>
      <c r="C288" s="44" t="s">
        <v>172</v>
      </c>
      <c r="D288" s="19" t="s">
        <v>524</v>
      </c>
      <c r="E288" s="19">
        <v>32</v>
      </c>
      <c r="F288" s="19">
        <v>2660</v>
      </c>
      <c r="G288" s="19">
        <v>13686</v>
      </c>
      <c r="H288" s="19">
        <v>1</v>
      </c>
      <c r="I288" s="80">
        <v>8877.4</v>
      </c>
      <c r="J288" s="80">
        <v>8877.4</v>
      </c>
      <c r="K288" s="19" t="s">
        <v>233</v>
      </c>
      <c r="L288" s="19" t="s">
        <v>716</v>
      </c>
      <c r="P288" s="19" t="s">
        <v>138</v>
      </c>
      <c r="Q288" s="20">
        <v>13</v>
      </c>
      <c r="R288" s="65" t="s">
        <v>679</v>
      </c>
      <c r="T288" s="19" t="s">
        <v>307</v>
      </c>
      <c r="V288" s="19" t="s">
        <v>178</v>
      </c>
      <c r="Y288" s="19" t="s">
        <v>138</v>
      </c>
      <c r="Z288" s="44" t="s">
        <v>179</v>
      </c>
      <c r="AA288" s="44" t="s">
        <v>180</v>
      </c>
    </row>
    <row r="289" spans="1:27" hidden="1" x14ac:dyDescent="0.25">
      <c r="A289" s="26">
        <v>29</v>
      </c>
      <c r="B289" s="19" t="s">
        <v>717</v>
      </c>
      <c r="C289" s="44" t="s">
        <v>172</v>
      </c>
      <c r="D289" s="19" t="s">
        <v>524</v>
      </c>
      <c r="E289" s="19">
        <v>32</v>
      </c>
      <c r="F289" s="19">
        <v>2660</v>
      </c>
      <c r="G289" s="19">
        <v>13686</v>
      </c>
      <c r="H289" s="19">
        <v>1</v>
      </c>
      <c r="I289" s="80">
        <v>8877.4</v>
      </c>
      <c r="J289" s="80">
        <v>8877.4</v>
      </c>
      <c r="K289" s="19" t="s">
        <v>233</v>
      </c>
      <c r="L289" s="19" t="s">
        <v>718</v>
      </c>
      <c r="P289" s="19" t="s">
        <v>138</v>
      </c>
      <c r="Q289" s="20">
        <v>13</v>
      </c>
      <c r="R289" s="65" t="s">
        <v>679</v>
      </c>
      <c r="T289" s="19" t="s">
        <v>307</v>
      </c>
      <c r="V289" s="19" t="s">
        <v>178</v>
      </c>
      <c r="Y289" s="19" t="s">
        <v>138</v>
      </c>
      <c r="Z289" s="44" t="s">
        <v>179</v>
      </c>
      <c r="AA289" s="44" t="s">
        <v>180</v>
      </c>
    </row>
    <row r="290" spans="1:27" hidden="1" x14ac:dyDescent="0.25">
      <c r="A290" s="26">
        <v>30</v>
      </c>
      <c r="B290" s="19" t="s">
        <v>719</v>
      </c>
      <c r="C290" s="44" t="s">
        <v>273</v>
      </c>
      <c r="D290" s="19" t="s">
        <v>420</v>
      </c>
      <c r="E290" s="19">
        <v>40</v>
      </c>
      <c r="F290" s="19">
        <v>834</v>
      </c>
      <c r="G290" s="19">
        <v>2658</v>
      </c>
      <c r="H290" s="19">
        <v>2</v>
      </c>
      <c r="I290" s="80">
        <v>497.4</v>
      </c>
      <c r="J290" s="80">
        <v>994.79</v>
      </c>
      <c r="K290" s="19" t="s">
        <v>720</v>
      </c>
      <c r="L290" s="19" t="s">
        <v>721</v>
      </c>
      <c r="N290" s="19" t="s">
        <v>176</v>
      </c>
      <c r="Q290" s="20">
        <v>13</v>
      </c>
      <c r="R290" s="65" t="s">
        <v>679</v>
      </c>
      <c r="T290" s="19" t="s">
        <v>307</v>
      </c>
      <c r="V290" s="19" t="s">
        <v>178</v>
      </c>
      <c r="X290" s="19" t="s">
        <v>138</v>
      </c>
      <c r="Z290" s="44" t="s">
        <v>179</v>
      </c>
      <c r="AA290" s="44" t="s">
        <v>656</v>
      </c>
    </row>
    <row r="291" spans="1:27" hidden="1" x14ac:dyDescent="0.25">
      <c r="A291" s="26">
        <v>31</v>
      </c>
      <c r="B291" s="19" t="s">
        <v>719</v>
      </c>
      <c r="C291" s="44" t="s">
        <v>273</v>
      </c>
      <c r="D291" s="19" t="s">
        <v>420</v>
      </c>
      <c r="E291" s="19">
        <v>40</v>
      </c>
      <c r="F291" s="19">
        <v>834</v>
      </c>
      <c r="G291" s="19">
        <v>2658</v>
      </c>
      <c r="H291" s="19">
        <v>2</v>
      </c>
      <c r="I291" s="80">
        <v>497.4</v>
      </c>
      <c r="J291" s="80">
        <v>994.79</v>
      </c>
      <c r="K291" s="19" t="s">
        <v>240</v>
      </c>
      <c r="L291" s="19" t="s">
        <v>722</v>
      </c>
      <c r="N291" s="19" t="s">
        <v>176</v>
      </c>
      <c r="Q291" s="20">
        <v>13</v>
      </c>
      <c r="R291" s="65" t="s">
        <v>679</v>
      </c>
      <c r="T291" s="19" t="s">
        <v>307</v>
      </c>
      <c r="V291" s="19" t="s">
        <v>178</v>
      </c>
      <c r="X291" s="19" t="s">
        <v>138</v>
      </c>
      <c r="Z291" s="44" t="s">
        <v>179</v>
      </c>
      <c r="AA291" s="44" t="s">
        <v>180</v>
      </c>
    </row>
    <row r="292" spans="1:27" hidden="1" x14ac:dyDescent="0.25">
      <c r="A292" s="26">
        <v>32</v>
      </c>
      <c r="B292" s="86" t="s">
        <v>723</v>
      </c>
      <c r="C292" s="86" t="s">
        <v>172</v>
      </c>
      <c r="D292" s="86" t="s">
        <v>253</v>
      </c>
      <c r="E292" s="86">
        <v>50</v>
      </c>
      <c r="F292" s="86">
        <v>964</v>
      </c>
      <c r="G292" s="86">
        <v>2638</v>
      </c>
      <c r="H292" s="86">
        <v>4</v>
      </c>
      <c r="I292" s="86">
        <v>712.82</v>
      </c>
      <c r="J292" s="86">
        <v>2851.27</v>
      </c>
      <c r="K292" s="86" t="s">
        <v>743</v>
      </c>
      <c r="L292" s="86" t="s">
        <v>724</v>
      </c>
      <c r="M292" s="98"/>
      <c r="N292" s="98"/>
      <c r="O292" s="98"/>
      <c r="P292" s="98"/>
      <c r="Q292" s="98">
        <v>13</v>
      </c>
      <c r="R292" s="99" t="s">
        <v>744</v>
      </c>
      <c r="S292" s="98"/>
      <c r="T292" s="98" t="s">
        <v>434</v>
      </c>
      <c r="U292" s="98"/>
      <c r="V292" s="98" t="s">
        <v>178</v>
      </c>
      <c r="W292" s="98"/>
      <c r="X292" s="98" t="s">
        <v>138</v>
      </c>
      <c r="Y292" s="98"/>
      <c r="Z292" s="98" t="s">
        <v>179</v>
      </c>
      <c r="AA292" s="98" t="s">
        <v>661</v>
      </c>
    </row>
    <row r="293" spans="1:27" hidden="1" x14ac:dyDescent="0.25">
      <c r="A293" s="26">
        <v>33</v>
      </c>
      <c r="B293" s="19" t="s">
        <v>725</v>
      </c>
      <c r="C293" s="44" t="s">
        <v>172</v>
      </c>
      <c r="D293" s="19" t="s">
        <v>427</v>
      </c>
      <c r="E293" s="19">
        <v>60</v>
      </c>
      <c r="F293" s="19">
        <v>1080</v>
      </c>
      <c r="G293" s="19">
        <v>2260</v>
      </c>
      <c r="H293" s="19">
        <v>2</v>
      </c>
      <c r="I293" s="80">
        <v>1149.82</v>
      </c>
      <c r="J293" s="80">
        <v>2299.63</v>
      </c>
      <c r="K293" s="19" t="s">
        <v>265</v>
      </c>
      <c r="L293" s="19" t="s">
        <v>726</v>
      </c>
      <c r="P293" s="19" t="s">
        <v>138</v>
      </c>
      <c r="Q293" s="20">
        <v>13</v>
      </c>
      <c r="R293" s="65" t="s">
        <v>679</v>
      </c>
      <c r="T293" s="19" t="s">
        <v>307</v>
      </c>
      <c r="V293" s="19" t="s">
        <v>178</v>
      </c>
      <c r="Y293" s="19" t="s">
        <v>138</v>
      </c>
      <c r="Z293" s="44" t="s">
        <v>179</v>
      </c>
      <c r="AA293" s="44" t="s">
        <v>180</v>
      </c>
    </row>
    <row r="294" spans="1:27" hidden="1" x14ac:dyDescent="0.25">
      <c r="A294" s="26">
        <v>34</v>
      </c>
      <c r="B294" s="19" t="s">
        <v>727</v>
      </c>
      <c r="C294" s="44" t="s">
        <v>172</v>
      </c>
      <c r="D294" s="19" t="s">
        <v>610</v>
      </c>
      <c r="E294" s="19">
        <v>60</v>
      </c>
      <c r="F294" s="19">
        <v>1080</v>
      </c>
      <c r="G294" s="19">
        <v>4909</v>
      </c>
      <c r="H294" s="19">
        <v>2</v>
      </c>
      <c r="I294" s="80">
        <v>2497.11</v>
      </c>
      <c r="J294" s="80">
        <v>4994.22</v>
      </c>
      <c r="K294" s="19" t="s">
        <v>265</v>
      </c>
      <c r="L294" s="19" t="s">
        <v>726</v>
      </c>
      <c r="P294" s="19" t="s">
        <v>138</v>
      </c>
      <c r="Q294" s="20">
        <v>13</v>
      </c>
      <c r="R294" s="65" t="s">
        <v>679</v>
      </c>
      <c r="T294" s="19" t="s">
        <v>307</v>
      </c>
      <c r="V294" s="19" t="s">
        <v>178</v>
      </c>
      <c r="Y294" s="19" t="s">
        <v>138</v>
      </c>
      <c r="Z294" s="44" t="s">
        <v>179</v>
      </c>
      <c r="AA294" s="44" t="s">
        <v>180</v>
      </c>
    </row>
    <row r="295" spans="1:27" hidden="1" x14ac:dyDescent="0.25">
      <c r="A295" s="26">
        <v>35</v>
      </c>
      <c r="B295" s="19" t="s">
        <v>728</v>
      </c>
      <c r="C295" s="44" t="s">
        <v>172</v>
      </c>
      <c r="D295" s="19" t="s">
        <v>612</v>
      </c>
      <c r="E295" s="19">
        <v>60</v>
      </c>
      <c r="F295" s="19">
        <v>1080</v>
      </c>
      <c r="G295" s="19">
        <v>2809</v>
      </c>
      <c r="H295" s="19">
        <v>2</v>
      </c>
      <c r="I295" s="80">
        <v>1428.88</v>
      </c>
      <c r="J295" s="80">
        <v>2857.76</v>
      </c>
      <c r="K295" s="19" t="s">
        <v>265</v>
      </c>
      <c r="L295" s="19" t="s">
        <v>726</v>
      </c>
      <c r="P295" s="19" t="s">
        <v>138</v>
      </c>
      <c r="Q295" s="20">
        <v>13</v>
      </c>
      <c r="R295" s="65" t="s">
        <v>679</v>
      </c>
      <c r="T295" s="19" t="s">
        <v>307</v>
      </c>
      <c r="V295" s="19" t="s">
        <v>178</v>
      </c>
      <c r="Y295" s="19" t="s">
        <v>138</v>
      </c>
      <c r="Z295" s="44" t="s">
        <v>179</v>
      </c>
      <c r="AA295" s="44" t="s">
        <v>180</v>
      </c>
    </row>
    <row r="296" spans="1:27" hidden="1" x14ac:dyDescent="0.25">
      <c r="A296" s="26">
        <v>36</v>
      </c>
      <c r="B296" s="19" t="s">
        <v>729</v>
      </c>
      <c r="C296" s="44" t="s">
        <v>172</v>
      </c>
      <c r="D296" s="19" t="s">
        <v>427</v>
      </c>
      <c r="E296" s="19">
        <v>60</v>
      </c>
      <c r="F296" s="19">
        <v>1080</v>
      </c>
      <c r="G296" s="19">
        <v>2260</v>
      </c>
      <c r="H296" s="19">
        <v>2</v>
      </c>
      <c r="I296" s="80">
        <v>1149.82</v>
      </c>
      <c r="J296" s="80">
        <v>2299.63</v>
      </c>
      <c r="K296" s="19" t="s">
        <v>265</v>
      </c>
      <c r="L296" s="19" t="s">
        <v>730</v>
      </c>
      <c r="P296" s="19" t="s">
        <v>138</v>
      </c>
      <c r="Q296" s="20">
        <v>13</v>
      </c>
      <c r="R296" s="65" t="s">
        <v>679</v>
      </c>
      <c r="T296" s="19" t="s">
        <v>307</v>
      </c>
      <c r="V296" s="19" t="s">
        <v>178</v>
      </c>
      <c r="Y296" s="19" t="s">
        <v>138</v>
      </c>
      <c r="Z296" s="44" t="s">
        <v>179</v>
      </c>
      <c r="AA296" s="44" t="s">
        <v>180</v>
      </c>
    </row>
    <row r="297" spans="1:27" hidden="1" x14ac:dyDescent="0.25">
      <c r="A297" s="26">
        <v>37</v>
      </c>
      <c r="B297" s="19" t="s">
        <v>731</v>
      </c>
      <c r="C297" s="44" t="s">
        <v>172</v>
      </c>
      <c r="D297" s="19" t="s">
        <v>610</v>
      </c>
      <c r="E297" s="19">
        <v>60</v>
      </c>
      <c r="F297" s="19">
        <v>1080</v>
      </c>
      <c r="G297" s="19">
        <v>4909</v>
      </c>
      <c r="H297" s="19">
        <v>2</v>
      </c>
      <c r="I297" s="80">
        <v>2497.11</v>
      </c>
      <c r="J297" s="80">
        <v>4994.22</v>
      </c>
      <c r="K297" s="19" t="s">
        <v>265</v>
      </c>
      <c r="L297" s="19" t="s">
        <v>730</v>
      </c>
      <c r="P297" s="19" t="s">
        <v>138</v>
      </c>
      <c r="Q297" s="20">
        <v>13</v>
      </c>
      <c r="R297" s="65" t="s">
        <v>679</v>
      </c>
      <c r="T297" s="19" t="s">
        <v>307</v>
      </c>
      <c r="V297" s="19" t="s">
        <v>178</v>
      </c>
      <c r="Y297" s="19" t="s">
        <v>138</v>
      </c>
      <c r="Z297" s="44" t="s">
        <v>179</v>
      </c>
      <c r="AA297" s="44" t="s">
        <v>180</v>
      </c>
    </row>
    <row r="298" spans="1:27" hidden="1" x14ac:dyDescent="0.25">
      <c r="A298" s="26">
        <v>38</v>
      </c>
      <c r="B298" s="19" t="s">
        <v>732</v>
      </c>
      <c r="C298" s="44" t="s">
        <v>172</v>
      </c>
      <c r="D298" s="19" t="s">
        <v>612</v>
      </c>
      <c r="E298" s="19">
        <v>60</v>
      </c>
      <c r="F298" s="19">
        <v>1080</v>
      </c>
      <c r="G298" s="19">
        <v>2809</v>
      </c>
      <c r="H298" s="19">
        <v>2</v>
      </c>
      <c r="I298" s="80">
        <v>1428.88</v>
      </c>
      <c r="J298" s="80">
        <v>2857.76</v>
      </c>
      <c r="K298" s="19" t="s">
        <v>265</v>
      </c>
      <c r="L298" s="19" t="s">
        <v>730</v>
      </c>
      <c r="P298" s="19" t="s">
        <v>138</v>
      </c>
      <c r="Q298" s="20">
        <v>13</v>
      </c>
      <c r="R298" s="65" t="s">
        <v>679</v>
      </c>
      <c r="T298" s="19" t="s">
        <v>307</v>
      </c>
      <c r="V298" s="19" t="s">
        <v>178</v>
      </c>
      <c r="Y298" s="19" t="s">
        <v>138</v>
      </c>
      <c r="Z298" s="44" t="s">
        <v>179</v>
      </c>
      <c r="AA298" s="44" t="s">
        <v>180</v>
      </c>
    </row>
    <row r="299" spans="1:27" hidden="1" x14ac:dyDescent="0.25">
      <c r="A299" s="26">
        <v>39</v>
      </c>
      <c r="B299" s="19" t="s">
        <v>733</v>
      </c>
      <c r="C299" s="44" t="s">
        <v>273</v>
      </c>
      <c r="D299" s="19" t="s">
        <v>537</v>
      </c>
      <c r="E299" s="19">
        <v>80</v>
      </c>
      <c r="F299" s="19">
        <v>1200</v>
      </c>
      <c r="G299" s="19">
        <v>17998</v>
      </c>
      <c r="H299" s="19">
        <v>1</v>
      </c>
      <c r="I299" s="80">
        <v>13503.16</v>
      </c>
      <c r="J299" s="80">
        <v>13503.16</v>
      </c>
      <c r="K299" s="19" t="s">
        <v>275</v>
      </c>
      <c r="L299" s="19" t="s">
        <v>734</v>
      </c>
      <c r="P299" s="19" t="s">
        <v>138</v>
      </c>
      <c r="Q299" s="20">
        <v>13</v>
      </c>
      <c r="R299" s="65" t="s">
        <v>679</v>
      </c>
      <c r="T299" s="19" t="s">
        <v>307</v>
      </c>
      <c r="V299" s="19" t="s">
        <v>178</v>
      </c>
      <c r="Y299" s="19" t="s">
        <v>138</v>
      </c>
      <c r="Z299" s="44" t="s">
        <v>179</v>
      </c>
      <c r="AA299" s="44" t="s">
        <v>180</v>
      </c>
    </row>
    <row r="300" spans="1:27" hidden="1" x14ac:dyDescent="0.25">
      <c r="A300" s="26">
        <v>40</v>
      </c>
      <c r="B300" s="19" t="s">
        <v>733</v>
      </c>
      <c r="C300" s="44" t="s">
        <v>273</v>
      </c>
      <c r="D300" s="19" t="s">
        <v>537</v>
      </c>
      <c r="E300" s="19">
        <v>80</v>
      </c>
      <c r="F300" s="19">
        <v>1200</v>
      </c>
      <c r="G300" s="19">
        <v>17998</v>
      </c>
      <c r="H300" s="19">
        <v>1</v>
      </c>
      <c r="I300" s="80">
        <v>13503.16</v>
      </c>
      <c r="J300" s="80">
        <v>13503.16</v>
      </c>
      <c r="K300" s="19" t="s">
        <v>275</v>
      </c>
      <c r="L300" s="19" t="s">
        <v>735</v>
      </c>
      <c r="P300" s="19" t="s">
        <v>138</v>
      </c>
      <c r="Q300" s="20">
        <v>13</v>
      </c>
      <c r="R300" s="65" t="s">
        <v>679</v>
      </c>
      <c r="T300" s="19" t="s">
        <v>307</v>
      </c>
      <c r="V300" s="19" t="s">
        <v>178</v>
      </c>
      <c r="Y300" s="19" t="s">
        <v>138</v>
      </c>
      <c r="Z300" s="44" t="s">
        <v>179</v>
      </c>
      <c r="AA300" s="44" t="s">
        <v>180</v>
      </c>
    </row>
    <row r="301" spans="1:27" hidden="1" x14ac:dyDescent="0.25">
      <c r="A301" s="26">
        <v>41</v>
      </c>
      <c r="B301" s="19" t="s">
        <v>736</v>
      </c>
      <c r="C301" s="44" t="s">
        <v>273</v>
      </c>
      <c r="D301" s="19" t="s">
        <v>537</v>
      </c>
      <c r="E301" s="19">
        <v>80</v>
      </c>
      <c r="F301" s="19">
        <v>1200</v>
      </c>
      <c r="G301" s="19">
        <v>17998</v>
      </c>
      <c r="H301" s="19">
        <v>1</v>
      </c>
      <c r="I301" s="80">
        <v>13503.16</v>
      </c>
      <c r="J301" s="80">
        <v>13503.16</v>
      </c>
      <c r="K301" s="19" t="s">
        <v>275</v>
      </c>
      <c r="L301" s="19" t="s">
        <v>737</v>
      </c>
      <c r="P301" s="19" t="s">
        <v>138</v>
      </c>
      <c r="Q301" s="20">
        <v>13</v>
      </c>
      <c r="R301" s="65" t="s">
        <v>679</v>
      </c>
      <c r="T301" s="19" t="s">
        <v>307</v>
      </c>
      <c r="V301" s="19" t="s">
        <v>178</v>
      </c>
      <c r="Y301" s="19" t="s">
        <v>138</v>
      </c>
      <c r="Z301" s="44" t="s">
        <v>179</v>
      </c>
      <c r="AA301" s="44" t="s">
        <v>180</v>
      </c>
    </row>
    <row r="302" spans="1:27" hidden="1" x14ac:dyDescent="0.25">
      <c r="A302" s="26">
        <v>42</v>
      </c>
      <c r="B302" s="19" t="s">
        <v>736</v>
      </c>
      <c r="C302" s="44" t="s">
        <v>273</v>
      </c>
      <c r="D302" s="19" t="s">
        <v>537</v>
      </c>
      <c r="E302" s="19">
        <v>80</v>
      </c>
      <c r="F302" s="19">
        <v>1200</v>
      </c>
      <c r="G302" s="19">
        <v>17998</v>
      </c>
      <c r="H302" s="19">
        <v>1</v>
      </c>
      <c r="I302" s="80">
        <v>13503.16</v>
      </c>
      <c r="J302" s="80">
        <v>13503.16</v>
      </c>
      <c r="K302" s="19" t="s">
        <v>275</v>
      </c>
      <c r="L302" s="19" t="s">
        <v>738</v>
      </c>
      <c r="P302" s="19" t="s">
        <v>138</v>
      </c>
      <c r="Q302" s="20">
        <v>13</v>
      </c>
      <c r="R302" s="65" t="s">
        <v>679</v>
      </c>
      <c r="T302" s="19" t="s">
        <v>307</v>
      </c>
      <c r="V302" s="19" t="s">
        <v>178</v>
      </c>
      <c r="Y302" s="19" t="s">
        <v>138</v>
      </c>
      <c r="Z302" s="44" t="s">
        <v>179</v>
      </c>
      <c r="AA302" s="44" t="s">
        <v>180</v>
      </c>
    </row>
    <row r="303" spans="1:27" hidden="1" x14ac:dyDescent="0.25">
      <c r="A303" s="26">
        <v>1</v>
      </c>
      <c r="B303" s="19" t="s">
        <v>748</v>
      </c>
      <c r="C303" s="44" t="s">
        <v>126</v>
      </c>
      <c r="D303" s="19" t="s">
        <v>749</v>
      </c>
      <c r="E303" s="19">
        <v>12</v>
      </c>
      <c r="F303" s="19">
        <v>50</v>
      </c>
      <c r="G303" s="19">
        <v>100</v>
      </c>
      <c r="H303" s="19">
        <v>60</v>
      </c>
      <c r="I303" s="80">
        <v>0.47</v>
      </c>
      <c r="J303" s="80">
        <v>28.26</v>
      </c>
      <c r="K303" s="19" t="s">
        <v>581</v>
      </c>
      <c r="L303" s="19" t="s">
        <v>757</v>
      </c>
      <c r="P303" s="19" t="s">
        <v>138</v>
      </c>
      <c r="Q303" s="20">
        <v>14</v>
      </c>
      <c r="R303" s="65" t="s">
        <v>758</v>
      </c>
      <c r="T303" s="19" t="s">
        <v>22</v>
      </c>
      <c r="V303" s="19" t="s">
        <v>178</v>
      </c>
      <c r="W303" s="19" t="s">
        <v>138</v>
      </c>
      <c r="Z303" s="44" t="s">
        <v>747</v>
      </c>
      <c r="AA303" s="44" t="s">
        <v>759</v>
      </c>
    </row>
    <row r="304" spans="1:27" hidden="1" x14ac:dyDescent="0.25">
      <c r="A304" s="26">
        <v>2</v>
      </c>
      <c r="B304" s="19" t="s">
        <v>746</v>
      </c>
      <c r="C304" s="44" t="s">
        <v>126</v>
      </c>
      <c r="D304" s="19" t="s">
        <v>135</v>
      </c>
      <c r="E304" s="19">
        <v>12</v>
      </c>
      <c r="F304" s="19">
        <v>150</v>
      </c>
      <c r="G304" s="19">
        <v>350</v>
      </c>
      <c r="H304" s="19">
        <v>60</v>
      </c>
      <c r="I304" s="80">
        <v>4.95</v>
      </c>
      <c r="J304" s="80">
        <v>296.73</v>
      </c>
      <c r="K304" s="19" t="s">
        <v>581</v>
      </c>
      <c r="L304" s="19" t="s">
        <v>757</v>
      </c>
      <c r="P304" s="19" t="s">
        <v>138</v>
      </c>
      <c r="Q304" s="20">
        <v>14</v>
      </c>
      <c r="R304" s="65" t="s">
        <v>758</v>
      </c>
      <c r="T304" s="19" t="s">
        <v>22</v>
      </c>
      <c r="V304" s="19" t="s">
        <v>178</v>
      </c>
      <c r="W304" s="19" t="s">
        <v>138</v>
      </c>
      <c r="Z304" s="44" t="s">
        <v>747</v>
      </c>
      <c r="AA304" s="44" t="s">
        <v>759</v>
      </c>
    </row>
    <row r="305" spans="1:27" hidden="1" x14ac:dyDescent="0.25">
      <c r="A305" s="26">
        <v>3</v>
      </c>
      <c r="B305" s="19" t="s">
        <v>750</v>
      </c>
      <c r="C305" s="44" t="s">
        <v>141</v>
      </c>
      <c r="D305" s="19" t="s">
        <v>751</v>
      </c>
      <c r="E305" s="19">
        <v>16</v>
      </c>
      <c r="F305" s="19">
        <v>200</v>
      </c>
      <c r="G305" s="19">
        <v>650</v>
      </c>
      <c r="H305" s="19">
        <v>10</v>
      </c>
      <c r="I305" s="80">
        <v>16.329999999999998</v>
      </c>
      <c r="J305" s="80">
        <v>163.28</v>
      </c>
      <c r="K305" s="19" t="s">
        <v>752</v>
      </c>
      <c r="L305" s="19" t="s">
        <v>760</v>
      </c>
      <c r="P305" s="19" t="s">
        <v>138</v>
      </c>
      <c r="Q305" s="20">
        <v>14</v>
      </c>
      <c r="R305" s="65" t="s">
        <v>758</v>
      </c>
      <c r="T305" s="19" t="s">
        <v>307</v>
      </c>
      <c r="V305" s="19" t="s">
        <v>178</v>
      </c>
      <c r="W305" s="19" t="s">
        <v>138</v>
      </c>
      <c r="Z305" s="44" t="s">
        <v>747</v>
      </c>
      <c r="AA305" s="44" t="s">
        <v>753</v>
      </c>
    </row>
    <row r="306" spans="1:27" hidden="1" x14ac:dyDescent="0.25">
      <c r="A306" s="26">
        <v>4</v>
      </c>
      <c r="B306" s="19" t="s">
        <v>754</v>
      </c>
      <c r="C306" s="44" t="s">
        <v>141</v>
      </c>
      <c r="D306" s="19" t="s">
        <v>142</v>
      </c>
      <c r="E306" s="19">
        <v>16</v>
      </c>
      <c r="F306" s="19">
        <v>50</v>
      </c>
      <c r="G306" s="19">
        <v>100</v>
      </c>
      <c r="H306" s="19">
        <v>10</v>
      </c>
      <c r="I306" s="80">
        <v>0.63</v>
      </c>
      <c r="J306" s="80">
        <v>6.28</v>
      </c>
      <c r="K306" s="19" t="s">
        <v>752</v>
      </c>
      <c r="L306" s="19" t="s">
        <v>760</v>
      </c>
      <c r="P306" s="19" t="s">
        <v>138</v>
      </c>
      <c r="Q306" s="20">
        <v>14</v>
      </c>
      <c r="R306" s="65" t="s">
        <v>758</v>
      </c>
      <c r="T306" s="19" t="s">
        <v>307</v>
      </c>
      <c r="V306" s="19" t="s">
        <v>178</v>
      </c>
      <c r="W306" s="19" t="s">
        <v>138</v>
      </c>
      <c r="Z306" s="44" t="s">
        <v>747</v>
      </c>
      <c r="AA306" s="44" t="s">
        <v>753</v>
      </c>
    </row>
    <row r="307" spans="1:27" hidden="1" x14ac:dyDescent="0.25">
      <c r="A307" s="26">
        <v>1</v>
      </c>
      <c r="B307" s="19" t="s">
        <v>762</v>
      </c>
      <c r="C307" s="44" t="s">
        <v>134</v>
      </c>
      <c r="D307" s="19" t="s">
        <v>763</v>
      </c>
      <c r="E307" s="19">
        <v>20</v>
      </c>
      <c r="F307" s="19">
        <v>170</v>
      </c>
      <c r="G307" s="19">
        <v>2562</v>
      </c>
      <c r="H307" s="19">
        <v>2</v>
      </c>
      <c r="I307" s="80">
        <v>67.12</v>
      </c>
      <c r="J307" s="80">
        <v>134.25</v>
      </c>
      <c r="K307" s="19" t="s">
        <v>764</v>
      </c>
      <c r="L307" s="19" t="s">
        <v>765</v>
      </c>
      <c r="N307" s="19" t="s">
        <v>176</v>
      </c>
      <c r="Q307" s="20">
        <v>15</v>
      </c>
      <c r="R307" s="65" t="s">
        <v>766</v>
      </c>
      <c r="T307" s="19" t="s">
        <v>307</v>
      </c>
      <c r="V307" s="19" t="s">
        <v>178</v>
      </c>
      <c r="X307" s="19" t="s">
        <v>138</v>
      </c>
      <c r="Z307" s="44" t="s">
        <v>767</v>
      </c>
      <c r="AA307" s="44" t="s">
        <v>768</v>
      </c>
    </row>
    <row r="308" spans="1:27" hidden="1" x14ac:dyDescent="0.25">
      <c r="A308" s="26">
        <v>2</v>
      </c>
      <c r="B308" s="19" t="s">
        <v>769</v>
      </c>
      <c r="C308" s="44" t="s">
        <v>134</v>
      </c>
      <c r="D308" s="19" t="s">
        <v>763</v>
      </c>
      <c r="E308" s="19">
        <v>20</v>
      </c>
      <c r="F308" s="19">
        <v>170</v>
      </c>
      <c r="G308" s="19">
        <v>2562</v>
      </c>
      <c r="H308" s="19">
        <v>8</v>
      </c>
      <c r="I308" s="80">
        <v>67.12</v>
      </c>
      <c r="J308" s="80">
        <v>536.99</v>
      </c>
      <c r="K308" s="19" t="s">
        <v>764</v>
      </c>
      <c r="L308" s="19" t="s">
        <v>765</v>
      </c>
      <c r="N308" s="19" t="s">
        <v>176</v>
      </c>
      <c r="Q308" s="20">
        <v>15</v>
      </c>
      <c r="R308" s="65" t="s">
        <v>766</v>
      </c>
      <c r="T308" s="19" t="s">
        <v>307</v>
      </c>
      <c r="V308" s="19" t="s">
        <v>178</v>
      </c>
      <c r="X308" s="19" t="s">
        <v>138</v>
      </c>
      <c r="Z308" s="44" t="s">
        <v>767</v>
      </c>
      <c r="AA308" s="44" t="s">
        <v>768</v>
      </c>
    </row>
    <row r="309" spans="1:27" hidden="1" x14ac:dyDescent="0.25">
      <c r="A309" s="26">
        <v>3</v>
      </c>
      <c r="B309" s="19" t="s">
        <v>762</v>
      </c>
      <c r="C309" s="44" t="s">
        <v>115</v>
      </c>
      <c r="D309" s="19" t="s">
        <v>763</v>
      </c>
      <c r="E309" s="19">
        <v>20</v>
      </c>
      <c r="F309" s="19">
        <v>170</v>
      </c>
      <c r="G309" s="19">
        <v>2562</v>
      </c>
      <c r="H309" s="19">
        <v>6</v>
      </c>
      <c r="I309" s="80">
        <v>67.12</v>
      </c>
      <c r="J309" s="80">
        <v>402.74</v>
      </c>
      <c r="K309" s="19" t="s">
        <v>770</v>
      </c>
      <c r="L309" s="19" t="s">
        <v>771</v>
      </c>
      <c r="N309" s="19" t="s">
        <v>176</v>
      </c>
      <c r="Q309" s="20">
        <v>15</v>
      </c>
      <c r="R309" s="65" t="s">
        <v>766</v>
      </c>
      <c r="T309" s="19" t="s">
        <v>307</v>
      </c>
      <c r="V309" s="19" t="s">
        <v>178</v>
      </c>
      <c r="X309" s="19" t="s">
        <v>138</v>
      </c>
      <c r="Z309" s="44" t="s">
        <v>767</v>
      </c>
      <c r="AA309" s="44" t="s">
        <v>772</v>
      </c>
    </row>
    <row r="310" spans="1:27" hidden="1" x14ac:dyDescent="0.25">
      <c r="A310" s="26">
        <v>4</v>
      </c>
      <c r="B310" s="19" t="s">
        <v>773</v>
      </c>
      <c r="C310" s="44" t="s">
        <v>115</v>
      </c>
      <c r="D310" s="19" t="s">
        <v>774</v>
      </c>
      <c r="E310" s="19">
        <v>20</v>
      </c>
      <c r="F310" s="19">
        <v>170</v>
      </c>
      <c r="G310" s="19">
        <v>982</v>
      </c>
      <c r="H310" s="19">
        <v>8</v>
      </c>
      <c r="I310" s="80">
        <v>25.27</v>
      </c>
      <c r="J310" s="80">
        <v>202.34</v>
      </c>
      <c r="K310" s="19" t="s">
        <v>775</v>
      </c>
      <c r="L310" s="19" t="s">
        <v>776</v>
      </c>
      <c r="N310" s="19" t="s">
        <v>176</v>
      </c>
      <c r="Q310" s="20">
        <v>15</v>
      </c>
      <c r="R310" s="65" t="s">
        <v>766</v>
      </c>
      <c r="T310" s="19" t="s">
        <v>307</v>
      </c>
      <c r="V310" s="19" t="s">
        <v>178</v>
      </c>
      <c r="X310" s="19" t="s">
        <v>138</v>
      </c>
      <c r="Z310" s="44" t="s">
        <v>767</v>
      </c>
      <c r="AA310" s="44" t="s">
        <v>777</v>
      </c>
    </row>
    <row r="311" spans="1:27" hidden="1" x14ac:dyDescent="0.25">
      <c r="A311" s="26">
        <v>5</v>
      </c>
      <c r="B311" s="19" t="s">
        <v>778</v>
      </c>
      <c r="C311" s="44" t="s">
        <v>115</v>
      </c>
      <c r="D311" s="19" t="s">
        <v>774</v>
      </c>
      <c r="E311" s="19">
        <v>20</v>
      </c>
      <c r="F311" s="19">
        <v>170</v>
      </c>
      <c r="G311" s="19">
        <v>982</v>
      </c>
      <c r="H311" s="19">
        <v>4</v>
      </c>
      <c r="I311" s="80">
        <v>25.27</v>
      </c>
      <c r="J311" s="80">
        <v>101.09</v>
      </c>
      <c r="K311" s="19" t="s">
        <v>775</v>
      </c>
      <c r="L311" s="19" t="s">
        <v>776</v>
      </c>
      <c r="N311" s="19" t="s">
        <v>176</v>
      </c>
      <c r="Q311" s="20">
        <v>15</v>
      </c>
      <c r="R311" s="65" t="s">
        <v>766</v>
      </c>
      <c r="T311" s="19" t="s">
        <v>307</v>
      </c>
      <c r="V311" s="19" t="s">
        <v>178</v>
      </c>
      <c r="X311" s="19" t="s">
        <v>138</v>
      </c>
      <c r="Z311" s="44" t="s">
        <v>767</v>
      </c>
      <c r="AA311" s="44" t="s">
        <v>777</v>
      </c>
    </row>
    <row r="312" spans="1:27" hidden="1" x14ac:dyDescent="0.25">
      <c r="A312" s="26">
        <v>6</v>
      </c>
      <c r="B312" s="19" t="s">
        <v>778</v>
      </c>
      <c r="C312" s="44" t="s">
        <v>779</v>
      </c>
      <c r="D312" s="19" t="s">
        <v>774</v>
      </c>
      <c r="E312" s="19">
        <v>20</v>
      </c>
      <c r="F312" s="19">
        <v>170</v>
      </c>
      <c r="G312" s="19">
        <v>982</v>
      </c>
      <c r="H312" s="19">
        <v>4</v>
      </c>
      <c r="I312" s="80">
        <v>25.27</v>
      </c>
      <c r="J312" s="80">
        <v>101.09</v>
      </c>
      <c r="K312" s="19" t="s">
        <v>780</v>
      </c>
      <c r="L312" s="19" t="s">
        <v>781</v>
      </c>
      <c r="N312" s="19" t="s">
        <v>176</v>
      </c>
      <c r="Q312" s="20">
        <v>15</v>
      </c>
      <c r="R312" s="65" t="s">
        <v>766</v>
      </c>
      <c r="T312" s="19" t="s">
        <v>307</v>
      </c>
      <c r="V312" s="19" t="s">
        <v>178</v>
      </c>
      <c r="X312" s="19" t="s">
        <v>138</v>
      </c>
      <c r="Z312" s="44" t="s">
        <v>767</v>
      </c>
      <c r="AA312" s="44" t="s">
        <v>782</v>
      </c>
    </row>
    <row r="313" spans="1:27" hidden="1" x14ac:dyDescent="0.25">
      <c r="A313" s="26">
        <v>7</v>
      </c>
      <c r="B313" s="19" t="s">
        <v>783</v>
      </c>
      <c r="C313" s="44" t="s">
        <v>115</v>
      </c>
      <c r="D313" s="19" t="s">
        <v>784</v>
      </c>
      <c r="E313" s="19">
        <v>30</v>
      </c>
      <c r="F313" s="19">
        <v>432</v>
      </c>
      <c r="G313" s="19">
        <v>461</v>
      </c>
      <c r="H313" s="19">
        <v>2</v>
      </c>
      <c r="I313" s="80">
        <v>34.67</v>
      </c>
      <c r="J313" s="80">
        <v>69.34</v>
      </c>
      <c r="K313" s="19" t="s">
        <v>785</v>
      </c>
      <c r="L313" s="19" t="s">
        <v>786</v>
      </c>
      <c r="N313" s="19" t="s">
        <v>176</v>
      </c>
      <c r="Q313" s="20">
        <v>15</v>
      </c>
      <c r="R313" s="65" t="s">
        <v>766</v>
      </c>
      <c r="T313" s="19" t="s">
        <v>307</v>
      </c>
      <c r="V313" s="19" t="s">
        <v>178</v>
      </c>
      <c r="X313" s="19" t="s">
        <v>138</v>
      </c>
      <c r="Z313" s="44" t="s">
        <v>767</v>
      </c>
      <c r="AA313" s="44" t="s">
        <v>787</v>
      </c>
    </row>
    <row r="314" spans="1:27" hidden="1" x14ac:dyDescent="0.25">
      <c r="A314" s="26">
        <v>8</v>
      </c>
      <c r="B314" s="19" t="s">
        <v>788</v>
      </c>
      <c r="C314" s="44" t="s">
        <v>115</v>
      </c>
      <c r="D314" s="19" t="s">
        <v>789</v>
      </c>
      <c r="E314" s="19">
        <v>30</v>
      </c>
      <c r="F314" s="19">
        <v>420</v>
      </c>
      <c r="G314" s="19">
        <v>432</v>
      </c>
      <c r="H314" s="19">
        <v>2</v>
      </c>
      <c r="I314" s="80">
        <v>32.65</v>
      </c>
      <c r="J314" s="80">
        <v>65.290000000000006</v>
      </c>
      <c r="K314" s="19" t="s">
        <v>785</v>
      </c>
      <c r="L314" s="19" t="s">
        <v>786</v>
      </c>
      <c r="N314" s="19" t="s">
        <v>176</v>
      </c>
      <c r="Q314" s="20">
        <v>15</v>
      </c>
      <c r="R314" s="65" t="s">
        <v>766</v>
      </c>
      <c r="T314" s="19" t="s">
        <v>307</v>
      </c>
      <c r="V314" s="19" t="s">
        <v>178</v>
      </c>
      <c r="X314" s="19" t="s">
        <v>138</v>
      </c>
      <c r="Z314" s="44" t="s">
        <v>767</v>
      </c>
      <c r="AA314" s="44" t="s">
        <v>787</v>
      </c>
    </row>
    <row r="315" spans="1:27" hidden="1" x14ac:dyDescent="0.25">
      <c r="A315" s="26">
        <v>9</v>
      </c>
      <c r="B315" s="19" t="s">
        <v>790</v>
      </c>
      <c r="C315" s="44" t="s">
        <v>115</v>
      </c>
      <c r="D315" s="19" t="s">
        <v>784</v>
      </c>
      <c r="E315" s="19">
        <v>30</v>
      </c>
      <c r="F315" s="19">
        <v>432</v>
      </c>
      <c r="G315" s="19">
        <v>461</v>
      </c>
      <c r="H315" s="19">
        <v>2</v>
      </c>
      <c r="I315" s="80">
        <v>37.020000000000003</v>
      </c>
      <c r="J315" s="80">
        <v>74.05</v>
      </c>
      <c r="K315" s="19" t="s">
        <v>785</v>
      </c>
      <c r="L315" s="19" t="s">
        <v>786</v>
      </c>
      <c r="N315" s="19" t="s">
        <v>176</v>
      </c>
      <c r="Q315" s="20">
        <v>15</v>
      </c>
      <c r="R315" s="65" t="s">
        <v>766</v>
      </c>
      <c r="T315" s="19" t="s">
        <v>307</v>
      </c>
      <c r="V315" s="19" t="s">
        <v>178</v>
      </c>
      <c r="X315" s="19" t="s">
        <v>138</v>
      </c>
      <c r="Z315" s="44" t="s">
        <v>767</v>
      </c>
      <c r="AA315" s="44" t="s">
        <v>787</v>
      </c>
    </row>
    <row r="316" spans="1:27" hidden="1" x14ac:dyDescent="0.25">
      <c r="A316" s="26">
        <v>10</v>
      </c>
      <c r="B316" s="19" t="s">
        <v>791</v>
      </c>
      <c r="C316" s="44" t="s">
        <v>115</v>
      </c>
      <c r="D316" s="19" t="s">
        <v>789</v>
      </c>
      <c r="E316" s="19">
        <v>30</v>
      </c>
      <c r="F316" s="19">
        <v>420</v>
      </c>
      <c r="G316" s="19">
        <v>432</v>
      </c>
      <c r="H316" s="19">
        <v>2</v>
      </c>
      <c r="I316" s="80">
        <v>34.78</v>
      </c>
      <c r="J316" s="80">
        <v>69.569999999999993</v>
      </c>
      <c r="K316" s="19" t="s">
        <v>785</v>
      </c>
      <c r="L316" s="19" t="s">
        <v>786</v>
      </c>
      <c r="N316" s="19" t="s">
        <v>176</v>
      </c>
      <c r="Q316" s="20">
        <v>15</v>
      </c>
      <c r="R316" s="65" t="s">
        <v>766</v>
      </c>
      <c r="T316" s="19" t="s">
        <v>307</v>
      </c>
      <c r="V316" s="19" t="s">
        <v>178</v>
      </c>
      <c r="X316" s="19" t="s">
        <v>138</v>
      </c>
      <c r="Z316" s="44" t="s">
        <v>767</v>
      </c>
      <c r="AA316" s="44" t="s">
        <v>787</v>
      </c>
    </row>
    <row r="317" spans="1:27" hidden="1" x14ac:dyDescent="0.25">
      <c r="A317" s="26">
        <v>11</v>
      </c>
      <c r="B317" s="19" t="s">
        <v>792</v>
      </c>
      <c r="C317" s="44" t="s">
        <v>115</v>
      </c>
      <c r="D317" s="19" t="s">
        <v>789</v>
      </c>
      <c r="E317" s="19">
        <v>30</v>
      </c>
      <c r="F317" s="19">
        <v>420</v>
      </c>
      <c r="G317" s="19">
        <v>432</v>
      </c>
      <c r="H317" s="19">
        <v>2</v>
      </c>
      <c r="I317" s="80">
        <v>36.119999999999997</v>
      </c>
      <c r="J317" s="80">
        <v>72.23</v>
      </c>
      <c r="K317" s="19" t="s">
        <v>785</v>
      </c>
      <c r="L317" s="19" t="s">
        <v>786</v>
      </c>
      <c r="N317" s="19" t="s">
        <v>176</v>
      </c>
      <c r="Q317" s="20">
        <v>15</v>
      </c>
      <c r="R317" s="65" t="s">
        <v>766</v>
      </c>
      <c r="T317" s="19" t="s">
        <v>307</v>
      </c>
      <c r="V317" s="19" t="s">
        <v>178</v>
      </c>
      <c r="X317" s="19" t="s">
        <v>138</v>
      </c>
      <c r="Z317" s="44" t="s">
        <v>767</v>
      </c>
      <c r="AA317" s="44" t="s">
        <v>787</v>
      </c>
    </row>
    <row r="318" spans="1:27" hidden="1" x14ac:dyDescent="0.25">
      <c r="A318" s="26">
        <v>12</v>
      </c>
      <c r="B318" s="19" t="s">
        <v>793</v>
      </c>
      <c r="C318" s="44" t="s">
        <v>115</v>
      </c>
      <c r="D318" s="19" t="s">
        <v>784</v>
      </c>
      <c r="E318" s="19">
        <v>30</v>
      </c>
      <c r="F318" s="19">
        <v>432</v>
      </c>
      <c r="G318" s="19">
        <v>461</v>
      </c>
      <c r="H318" s="19">
        <v>2</v>
      </c>
      <c r="I318" s="80">
        <v>38.67</v>
      </c>
      <c r="J318" s="80">
        <v>77.34</v>
      </c>
      <c r="K318" s="19" t="s">
        <v>785</v>
      </c>
      <c r="L318" s="19" t="s">
        <v>786</v>
      </c>
      <c r="N318" s="19" t="s">
        <v>176</v>
      </c>
      <c r="Q318" s="20">
        <v>15</v>
      </c>
      <c r="R318" s="65" t="s">
        <v>766</v>
      </c>
      <c r="T318" s="19" t="s">
        <v>307</v>
      </c>
      <c r="V318" s="19" t="s">
        <v>178</v>
      </c>
      <c r="X318" s="19" t="s">
        <v>138</v>
      </c>
      <c r="Z318" s="44" t="s">
        <v>767</v>
      </c>
      <c r="AA318" s="44" t="s">
        <v>787</v>
      </c>
    </row>
    <row r="319" spans="1:27" hidden="1" x14ac:dyDescent="0.25">
      <c r="A319" s="26">
        <v>13</v>
      </c>
      <c r="B319" s="19" t="s">
        <v>794</v>
      </c>
      <c r="C319" s="44" t="s">
        <v>115</v>
      </c>
      <c r="D319" s="19" t="s">
        <v>784</v>
      </c>
      <c r="E319" s="19">
        <v>30</v>
      </c>
      <c r="F319" s="19">
        <v>432</v>
      </c>
      <c r="G319" s="19">
        <v>461</v>
      </c>
      <c r="H319" s="19">
        <v>2</v>
      </c>
      <c r="I319" s="80">
        <v>38.67</v>
      </c>
      <c r="J319" s="80">
        <v>77.34</v>
      </c>
      <c r="K319" s="19" t="s">
        <v>785</v>
      </c>
      <c r="L319" s="19" t="s">
        <v>786</v>
      </c>
      <c r="N319" s="19" t="s">
        <v>176</v>
      </c>
      <c r="Q319" s="20">
        <v>15</v>
      </c>
      <c r="R319" s="65" t="s">
        <v>766</v>
      </c>
      <c r="T319" s="19" t="s">
        <v>307</v>
      </c>
      <c r="V319" s="19" t="s">
        <v>178</v>
      </c>
      <c r="X319" s="19" t="s">
        <v>138</v>
      </c>
      <c r="Z319" s="44" t="s">
        <v>767</v>
      </c>
      <c r="AA319" s="44" t="s">
        <v>787</v>
      </c>
    </row>
    <row r="320" spans="1:27" hidden="1" x14ac:dyDescent="0.25">
      <c r="A320" s="26">
        <v>14</v>
      </c>
      <c r="B320" s="19" t="s">
        <v>795</v>
      </c>
      <c r="C320" s="44" t="s">
        <v>115</v>
      </c>
      <c r="D320" s="19" t="s">
        <v>789</v>
      </c>
      <c r="E320" s="19">
        <v>30</v>
      </c>
      <c r="F320" s="19">
        <v>420</v>
      </c>
      <c r="G320" s="19">
        <v>432</v>
      </c>
      <c r="H320" s="19">
        <v>2</v>
      </c>
      <c r="I320" s="80">
        <v>36.28</v>
      </c>
      <c r="J320" s="80">
        <v>72.569999999999993</v>
      </c>
      <c r="K320" s="19" t="s">
        <v>785</v>
      </c>
      <c r="L320" s="19" t="s">
        <v>786</v>
      </c>
      <c r="N320" s="19" t="s">
        <v>176</v>
      </c>
      <c r="Q320" s="20">
        <v>15</v>
      </c>
      <c r="R320" s="65" t="s">
        <v>766</v>
      </c>
      <c r="T320" s="19" t="s">
        <v>307</v>
      </c>
      <c r="V320" s="19" t="s">
        <v>178</v>
      </c>
      <c r="X320" s="19" t="s">
        <v>138</v>
      </c>
      <c r="Z320" s="44" t="s">
        <v>767</v>
      </c>
      <c r="AA320" s="44" t="s">
        <v>787</v>
      </c>
    </row>
    <row r="321" spans="1:27" hidden="1" x14ac:dyDescent="0.25">
      <c r="A321" s="26">
        <v>1</v>
      </c>
      <c r="B321" s="19" t="s">
        <v>802</v>
      </c>
      <c r="C321" s="44" t="s">
        <v>172</v>
      </c>
      <c r="D321" s="19" t="s">
        <v>803</v>
      </c>
      <c r="E321" s="19">
        <v>12</v>
      </c>
      <c r="F321" s="19">
        <v>135</v>
      </c>
      <c r="G321" s="19">
        <v>488</v>
      </c>
      <c r="H321" s="19">
        <v>1</v>
      </c>
      <c r="I321" s="80">
        <v>6.19</v>
      </c>
      <c r="J321" s="80">
        <v>6.19</v>
      </c>
      <c r="K321" s="19" t="s">
        <v>804</v>
      </c>
      <c r="L321" s="19" t="s">
        <v>805</v>
      </c>
      <c r="Q321" s="20">
        <v>16</v>
      </c>
      <c r="R321" s="65" t="s">
        <v>806</v>
      </c>
      <c r="T321" s="19" t="s">
        <v>22</v>
      </c>
      <c r="V321" s="19" t="s">
        <v>178</v>
      </c>
      <c r="W321" s="19" t="s">
        <v>138</v>
      </c>
      <c r="Z321" s="44" t="s">
        <v>807</v>
      </c>
      <c r="AA321" s="44" t="s">
        <v>329</v>
      </c>
    </row>
    <row r="322" spans="1:27" hidden="1" x14ac:dyDescent="0.25">
      <c r="A322" s="26">
        <v>2</v>
      </c>
      <c r="B322" s="19" t="s">
        <v>808</v>
      </c>
      <c r="C322" s="44" t="s">
        <v>172</v>
      </c>
      <c r="D322" s="19" t="s">
        <v>803</v>
      </c>
      <c r="E322" s="19">
        <v>12</v>
      </c>
      <c r="F322" s="19">
        <v>135</v>
      </c>
      <c r="G322" s="19">
        <v>488</v>
      </c>
      <c r="H322" s="19">
        <v>2</v>
      </c>
      <c r="I322" s="80">
        <v>6.19</v>
      </c>
      <c r="J322" s="80">
        <v>12.38</v>
      </c>
      <c r="K322" s="19" t="s">
        <v>804</v>
      </c>
      <c r="L322" s="19" t="s">
        <v>805</v>
      </c>
      <c r="Q322" s="20">
        <v>16</v>
      </c>
      <c r="R322" s="65" t="s">
        <v>806</v>
      </c>
      <c r="T322" s="19" t="s">
        <v>22</v>
      </c>
      <c r="V322" s="19" t="s">
        <v>178</v>
      </c>
      <c r="W322" s="19" t="s">
        <v>138</v>
      </c>
      <c r="Z322" s="44" t="s">
        <v>807</v>
      </c>
      <c r="AA322" s="44" t="s">
        <v>329</v>
      </c>
    </row>
    <row r="323" spans="1:27" hidden="1" x14ac:dyDescent="0.25">
      <c r="A323" s="26">
        <v>3</v>
      </c>
      <c r="B323" s="19" t="s">
        <v>809</v>
      </c>
      <c r="C323" s="44" t="s">
        <v>172</v>
      </c>
      <c r="D323" s="19" t="s">
        <v>803</v>
      </c>
      <c r="E323" s="19">
        <v>12</v>
      </c>
      <c r="F323" s="19">
        <v>135</v>
      </c>
      <c r="G323" s="19">
        <v>488</v>
      </c>
      <c r="H323" s="19">
        <v>2</v>
      </c>
      <c r="I323" s="80">
        <v>6.19</v>
      </c>
      <c r="J323" s="80">
        <v>12.38</v>
      </c>
      <c r="K323" s="19" t="s">
        <v>804</v>
      </c>
      <c r="L323" s="19" t="s">
        <v>805</v>
      </c>
      <c r="Q323" s="20">
        <v>16</v>
      </c>
      <c r="R323" s="65" t="s">
        <v>806</v>
      </c>
      <c r="T323" s="19" t="s">
        <v>22</v>
      </c>
      <c r="V323" s="19" t="s">
        <v>178</v>
      </c>
      <c r="W323" s="19" t="s">
        <v>138</v>
      </c>
      <c r="Z323" s="44" t="s">
        <v>807</v>
      </c>
      <c r="AA323" s="44" t="s">
        <v>329</v>
      </c>
    </row>
    <row r="324" spans="1:27" hidden="1" x14ac:dyDescent="0.25">
      <c r="A324" s="26">
        <v>4</v>
      </c>
      <c r="B324" s="19" t="s">
        <v>810</v>
      </c>
      <c r="C324" s="44" t="s">
        <v>172</v>
      </c>
      <c r="D324" s="19" t="s">
        <v>803</v>
      </c>
      <c r="E324" s="19">
        <v>12</v>
      </c>
      <c r="F324" s="19">
        <v>135</v>
      </c>
      <c r="G324" s="19">
        <v>488</v>
      </c>
      <c r="H324" s="19">
        <v>1</v>
      </c>
      <c r="I324" s="80">
        <v>6.19</v>
      </c>
      <c r="J324" s="80">
        <v>6.19</v>
      </c>
      <c r="K324" s="19" t="s">
        <v>804</v>
      </c>
      <c r="L324" s="19" t="s">
        <v>805</v>
      </c>
      <c r="Q324" s="20">
        <v>16</v>
      </c>
      <c r="R324" s="65" t="s">
        <v>806</v>
      </c>
      <c r="T324" s="19" t="s">
        <v>22</v>
      </c>
      <c r="V324" s="19" t="s">
        <v>178</v>
      </c>
      <c r="W324" s="19" t="s">
        <v>138</v>
      </c>
      <c r="Z324" s="44" t="s">
        <v>807</v>
      </c>
      <c r="AA324" s="44" t="s">
        <v>329</v>
      </c>
    </row>
    <row r="325" spans="1:27" hidden="1" x14ac:dyDescent="0.25">
      <c r="A325" s="26">
        <v>5</v>
      </c>
      <c r="B325" s="19" t="s">
        <v>811</v>
      </c>
      <c r="C325" s="44" t="s">
        <v>172</v>
      </c>
      <c r="D325" s="19" t="s">
        <v>812</v>
      </c>
      <c r="E325" s="19">
        <v>12</v>
      </c>
      <c r="F325" s="19">
        <v>490</v>
      </c>
      <c r="G325" s="19">
        <v>6464</v>
      </c>
      <c r="H325" s="19">
        <v>1</v>
      </c>
      <c r="I325" s="80">
        <v>298.16000000000003</v>
      </c>
      <c r="J325" s="80">
        <v>298.16000000000003</v>
      </c>
      <c r="K325" s="19" t="s">
        <v>804</v>
      </c>
      <c r="L325" s="19" t="s">
        <v>805</v>
      </c>
      <c r="Q325" s="20">
        <v>16</v>
      </c>
      <c r="R325" s="65" t="s">
        <v>806</v>
      </c>
      <c r="T325" s="19" t="s">
        <v>22</v>
      </c>
      <c r="V325" s="19" t="s">
        <v>178</v>
      </c>
      <c r="Y325" s="19" t="s">
        <v>138</v>
      </c>
      <c r="Z325" s="44" t="s">
        <v>807</v>
      </c>
      <c r="AA325" s="44" t="s">
        <v>329</v>
      </c>
    </row>
    <row r="326" spans="1:27" hidden="1" x14ac:dyDescent="0.25">
      <c r="A326" s="26">
        <v>6</v>
      </c>
      <c r="B326" s="19" t="s">
        <v>813</v>
      </c>
      <c r="C326" s="44" t="s">
        <v>172</v>
      </c>
      <c r="D326" s="19" t="s">
        <v>814</v>
      </c>
      <c r="E326" s="19">
        <v>12</v>
      </c>
      <c r="F326" s="19">
        <v>1460</v>
      </c>
      <c r="G326" s="19">
        <v>6688</v>
      </c>
      <c r="H326" s="19">
        <v>1</v>
      </c>
      <c r="I326" s="80">
        <v>917.29</v>
      </c>
      <c r="J326" s="80">
        <v>917.29</v>
      </c>
      <c r="K326" s="19" t="s">
        <v>804</v>
      </c>
      <c r="L326" s="19" t="s">
        <v>805</v>
      </c>
      <c r="P326" s="19" t="s">
        <v>138</v>
      </c>
      <c r="Q326" s="20">
        <v>16</v>
      </c>
      <c r="R326" s="65" t="s">
        <v>806</v>
      </c>
      <c r="T326" s="19" t="s">
        <v>22</v>
      </c>
      <c r="V326" s="19" t="s">
        <v>178</v>
      </c>
      <c r="Y326" s="19" t="s">
        <v>138</v>
      </c>
      <c r="Z326" s="44" t="s">
        <v>807</v>
      </c>
      <c r="AA326" s="44" t="s">
        <v>329</v>
      </c>
    </row>
    <row r="327" spans="1:27" hidden="1" x14ac:dyDescent="0.25">
      <c r="A327" s="26">
        <v>7</v>
      </c>
      <c r="B327" s="19" t="s">
        <v>815</v>
      </c>
      <c r="C327" s="44" t="s">
        <v>172</v>
      </c>
      <c r="D327" s="19" t="s">
        <v>803</v>
      </c>
      <c r="E327" s="19">
        <v>12</v>
      </c>
      <c r="F327" s="19">
        <v>135</v>
      </c>
      <c r="G327" s="19">
        <v>488</v>
      </c>
      <c r="H327" s="19">
        <v>4</v>
      </c>
      <c r="I327" s="80">
        <v>6.19</v>
      </c>
      <c r="J327" s="80">
        <v>24.76</v>
      </c>
      <c r="K327" s="19" t="s">
        <v>804</v>
      </c>
      <c r="L327" s="19" t="s">
        <v>816</v>
      </c>
      <c r="Q327" s="20">
        <v>16</v>
      </c>
      <c r="R327" s="65" t="s">
        <v>806</v>
      </c>
      <c r="T327" s="19" t="s">
        <v>22</v>
      </c>
      <c r="V327" s="19" t="s">
        <v>178</v>
      </c>
      <c r="W327" s="19" t="s">
        <v>138</v>
      </c>
      <c r="Z327" s="44" t="s">
        <v>807</v>
      </c>
      <c r="AA327" s="44" t="s">
        <v>335</v>
      </c>
    </row>
    <row r="328" spans="1:27" hidden="1" x14ac:dyDescent="0.25">
      <c r="A328" s="26">
        <v>8</v>
      </c>
      <c r="B328" s="19" t="s">
        <v>817</v>
      </c>
      <c r="C328" s="44" t="s">
        <v>172</v>
      </c>
      <c r="D328" s="19" t="s">
        <v>803</v>
      </c>
      <c r="E328" s="19">
        <v>12</v>
      </c>
      <c r="F328" s="19">
        <v>135</v>
      </c>
      <c r="G328" s="19">
        <v>488</v>
      </c>
      <c r="H328" s="19">
        <v>2</v>
      </c>
      <c r="I328" s="80">
        <v>6.19</v>
      </c>
      <c r="J328" s="80">
        <v>12.38</v>
      </c>
      <c r="K328" s="19" t="s">
        <v>804</v>
      </c>
      <c r="L328" s="19" t="s">
        <v>816</v>
      </c>
      <c r="Q328" s="20">
        <v>16</v>
      </c>
      <c r="R328" s="65" t="s">
        <v>806</v>
      </c>
      <c r="T328" s="19" t="s">
        <v>22</v>
      </c>
      <c r="V328" s="19" t="s">
        <v>178</v>
      </c>
      <c r="W328" s="19" t="s">
        <v>138</v>
      </c>
      <c r="Z328" s="44" t="s">
        <v>807</v>
      </c>
      <c r="AA328" s="44" t="s">
        <v>335</v>
      </c>
    </row>
    <row r="329" spans="1:27" hidden="1" x14ac:dyDescent="0.25">
      <c r="A329" s="26">
        <v>9</v>
      </c>
      <c r="B329" s="19" t="s">
        <v>818</v>
      </c>
      <c r="C329" s="44" t="s">
        <v>172</v>
      </c>
      <c r="D329" s="19" t="s">
        <v>812</v>
      </c>
      <c r="E329" s="19">
        <v>12</v>
      </c>
      <c r="F329" s="19">
        <v>490</v>
      </c>
      <c r="G329" s="19">
        <v>6464</v>
      </c>
      <c r="H329" s="19">
        <v>1</v>
      </c>
      <c r="I329" s="80">
        <v>298.16000000000003</v>
      </c>
      <c r="J329" s="80">
        <v>298.16000000000003</v>
      </c>
      <c r="K329" s="19" t="s">
        <v>804</v>
      </c>
      <c r="L329" s="19" t="s">
        <v>816</v>
      </c>
      <c r="Q329" s="20">
        <v>16</v>
      </c>
      <c r="R329" s="65" t="s">
        <v>806</v>
      </c>
      <c r="T329" s="19" t="s">
        <v>22</v>
      </c>
      <c r="V329" s="19" t="s">
        <v>178</v>
      </c>
      <c r="Y329" s="19" t="s">
        <v>138</v>
      </c>
      <c r="Z329" s="44" t="s">
        <v>807</v>
      </c>
      <c r="AA329" s="44" t="s">
        <v>335</v>
      </c>
    </row>
    <row r="330" spans="1:27" hidden="1" x14ac:dyDescent="0.25">
      <c r="A330" s="26">
        <v>10</v>
      </c>
      <c r="B330" s="19" t="s">
        <v>819</v>
      </c>
      <c r="C330" s="44" t="s">
        <v>172</v>
      </c>
      <c r="D330" s="19" t="s">
        <v>814</v>
      </c>
      <c r="E330" s="19">
        <v>12</v>
      </c>
      <c r="F330" s="19">
        <v>1460</v>
      </c>
      <c r="G330" s="19">
        <v>6688</v>
      </c>
      <c r="H330" s="19">
        <v>1</v>
      </c>
      <c r="I330" s="80">
        <v>917.29</v>
      </c>
      <c r="J330" s="80">
        <v>917.29</v>
      </c>
      <c r="K330" s="19" t="s">
        <v>804</v>
      </c>
      <c r="L330" s="19" t="s">
        <v>816</v>
      </c>
      <c r="P330" s="19" t="s">
        <v>138</v>
      </c>
      <c r="Q330" s="20">
        <v>16</v>
      </c>
      <c r="R330" s="65" t="s">
        <v>806</v>
      </c>
      <c r="T330" s="19" t="s">
        <v>22</v>
      </c>
      <c r="V330" s="19" t="s">
        <v>178</v>
      </c>
      <c r="Y330" s="19" t="s">
        <v>138</v>
      </c>
      <c r="Z330" s="44" t="s">
        <v>807</v>
      </c>
      <c r="AA330" s="44" t="s">
        <v>335</v>
      </c>
    </row>
    <row r="331" spans="1:27" hidden="1" x14ac:dyDescent="0.25">
      <c r="A331" s="26">
        <v>11</v>
      </c>
      <c r="B331" s="19" t="s">
        <v>820</v>
      </c>
      <c r="C331" s="44" t="s">
        <v>172</v>
      </c>
      <c r="D331" s="19" t="s">
        <v>803</v>
      </c>
      <c r="E331" s="19">
        <v>12</v>
      </c>
      <c r="F331" s="19">
        <v>135</v>
      </c>
      <c r="G331" s="19">
        <v>488</v>
      </c>
      <c r="H331" s="19">
        <v>4</v>
      </c>
      <c r="I331" s="80">
        <v>6.19</v>
      </c>
      <c r="J331" s="80">
        <v>24.76</v>
      </c>
      <c r="K331" s="19" t="s">
        <v>184</v>
      </c>
      <c r="L331" s="19" t="s">
        <v>821</v>
      </c>
      <c r="Q331" s="20">
        <v>16</v>
      </c>
      <c r="R331" s="65" t="s">
        <v>806</v>
      </c>
      <c r="T331" s="19" t="s">
        <v>22</v>
      </c>
      <c r="V331" s="19" t="s">
        <v>178</v>
      </c>
      <c r="W331" s="19" t="s">
        <v>138</v>
      </c>
      <c r="Z331" s="44" t="s">
        <v>807</v>
      </c>
      <c r="AA331" s="44" t="s">
        <v>180</v>
      </c>
    </row>
    <row r="332" spans="1:27" hidden="1" x14ac:dyDescent="0.25">
      <c r="A332" s="26">
        <v>12</v>
      </c>
      <c r="B332" s="19" t="s">
        <v>822</v>
      </c>
      <c r="C332" s="44" t="s">
        <v>172</v>
      </c>
      <c r="D332" s="19" t="s">
        <v>803</v>
      </c>
      <c r="E332" s="19">
        <v>12</v>
      </c>
      <c r="F332" s="19">
        <v>135</v>
      </c>
      <c r="G332" s="19">
        <v>488</v>
      </c>
      <c r="H332" s="19">
        <v>4</v>
      </c>
      <c r="I332" s="80">
        <v>6.19</v>
      </c>
      <c r="J332" s="80">
        <v>24.76</v>
      </c>
      <c r="K332" s="19" t="s">
        <v>184</v>
      </c>
      <c r="L332" s="19" t="s">
        <v>821</v>
      </c>
      <c r="Q332" s="20">
        <v>16</v>
      </c>
      <c r="R332" s="65" t="s">
        <v>806</v>
      </c>
      <c r="T332" s="19" t="s">
        <v>22</v>
      </c>
      <c r="V332" s="19" t="s">
        <v>178</v>
      </c>
      <c r="W332" s="19" t="s">
        <v>138</v>
      </c>
      <c r="Z332" s="44" t="s">
        <v>807</v>
      </c>
      <c r="AA332" s="44" t="s">
        <v>180</v>
      </c>
    </row>
    <row r="333" spans="1:27" hidden="1" x14ac:dyDescent="0.25">
      <c r="A333" s="26">
        <v>13</v>
      </c>
      <c r="B333" s="19" t="s">
        <v>823</v>
      </c>
      <c r="C333" s="44" t="s">
        <v>172</v>
      </c>
      <c r="D333" s="19" t="s">
        <v>803</v>
      </c>
      <c r="E333" s="19">
        <v>12</v>
      </c>
      <c r="F333" s="19">
        <v>135</v>
      </c>
      <c r="G333" s="19">
        <v>488</v>
      </c>
      <c r="H333" s="19">
        <v>6</v>
      </c>
      <c r="I333" s="80">
        <v>6.19</v>
      </c>
      <c r="J333" s="80">
        <v>37.14</v>
      </c>
      <c r="K333" s="19" t="s">
        <v>184</v>
      </c>
      <c r="L333" s="19" t="s">
        <v>821</v>
      </c>
      <c r="Q333" s="20">
        <v>16</v>
      </c>
      <c r="R333" s="65" t="s">
        <v>806</v>
      </c>
      <c r="T333" s="19" t="s">
        <v>22</v>
      </c>
      <c r="V333" s="19" t="s">
        <v>178</v>
      </c>
      <c r="W333" s="19" t="s">
        <v>138</v>
      </c>
      <c r="Z333" s="44" t="s">
        <v>807</v>
      </c>
      <c r="AA333" s="44" t="s">
        <v>180</v>
      </c>
    </row>
    <row r="334" spans="1:27" hidden="1" x14ac:dyDescent="0.25">
      <c r="A334" s="26">
        <v>14</v>
      </c>
      <c r="B334" s="19" t="s">
        <v>824</v>
      </c>
      <c r="C334" s="44" t="s">
        <v>172</v>
      </c>
      <c r="D334" s="19" t="s">
        <v>803</v>
      </c>
      <c r="E334" s="19">
        <v>12</v>
      </c>
      <c r="F334" s="19">
        <v>135</v>
      </c>
      <c r="G334" s="19">
        <v>488</v>
      </c>
      <c r="H334" s="19">
        <v>12</v>
      </c>
      <c r="I334" s="80">
        <v>6.19</v>
      </c>
      <c r="J334" s="80">
        <v>74.28</v>
      </c>
      <c r="K334" s="19" t="s">
        <v>184</v>
      </c>
      <c r="L334" s="19" t="s">
        <v>821</v>
      </c>
      <c r="Q334" s="20">
        <v>16</v>
      </c>
      <c r="R334" s="65" t="s">
        <v>806</v>
      </c>
      <c r="T334" s="19" t="s">
        <v>22</v>
      </c>
      <c r="V334" s="19" t="s">
        <v>178</v>
      </c>
      <c r="W334" s="19" t="s">
        <v>138</v>
      </c>
      <c r="Z334" s="44" t="s">
        <v>807</v>
      </c>
      <c r="AA334" s="44" t="s">
        <v>180</v>
      </c>
    </row>
    <row r="335" spans="1:27" hidden="1" x14ac:dyDescent="0.25">
      <c r="A335" s="26">
        <v>15</v>
      </c>
      <c r="B335" s="19" t="s">
        <v>825</v>
      </c>
      <c r="C335" s="44" t="s">
        <v>172</v>
      </c>
      <c r="D335" s="19" t="s">
        <v>803</v>
      </c>
      <c r="E335" s="19">
        <v>12</v>
      </c>
      <c r="F335" s="19">
        <v>135</v>
      </c>
      <c r="G335" s="19">
        <v>488</v>
      </c>
      <c r="H335" s="19">
        <v>17</v>
      </c>
      <c r="I335" s="80">
        <v>6.19</v>
      </c>
      <c r="J335" s="80">
        <v>105.23</v>
      </c>
      <c r="K335" s="19" t="s">
        <v>184</v>
      </c>
      <c r="L335" s="19" t="s">
        <v>821</v>
      </c>
      <c r="Q335" s="20">
        <v>16</v>
      </c>
      <c r="R335" s="65" t="s">
        <v>806</v>
      </c>
      <c r="T335" s="19" t="s">
        <v>22</v>
      </c>
      <c r="V335" s="19" t="s">
        <v>178</v>
      </c>
      <c r="W335" s="19" t="s">
        <v>138</v>
      </c>
      <c r="Z335" s="44" t="s">
        <v>807</v>
      </c>
      <c r="AA335" s="44" t="s">
        <v>180</v>
      </c>
    </row>
    <row r="336" spans="1:27" hidden="1" x14ac:dyDescent="0.25">
      <c r="A336" s="26">
        <v>16</v>
      </c>
      <c r="B336" s="19" t="s">
        <v>826</v>
      </c>
      <c r="C336" s="44" t="s">
        <v>172</v>
      </c>
      <c r="D336" s="19" t="s">
        <v>803</v>
      </c>
      <c r="E336" s="19">
        <v>12</v>
      </c>
      <c r="F336" s="19">
        <v>135</v>
      </c>
      <c r="G336" s="19">
        <v>488</v>
      </c>
      <c r="H336" s="19">
        <v>17</v>
      </c>
      <c r="I336" s="80">
        <v>6.19</v>
      </c>
      <c r="J336" s="80">
        <v>105.23</v>
      </c>
      <c r="K336" s="19" t="s">
        <v>184</v>
      </c>
      <c r="L336" s="19" t="s">
        <v>821</v>
      </c>
      <c r="Q336" s="20">
        <v>16</v>
      </c>
      <c r="R336" s="65" t="s">
        <v>806</v>
      </c>
      <c r="T336" s="19" t="s">
        <v>22</v>
      </c>
      <c r="V336" s="19" t="s">
        <v>178</v>
      </c>
      <c r="W336" s="19" t="s">
        <v>138</v>
      </c>
      <c r="Z336" s="44" t="s">
        <v>807</v>
      </c>
      <c r="AA336" s="44" t="s">
        <v>180</v>
      </c>
    </row>
    <row r="337" spans="1:27" hidden="1" x14ac:dyDescent="0.25">
      <c r="A337" s="26">
        <v>17</v>
      </c>
      <c r="B337" s="19" t="s">
        <v>827</v>
      </c>
      <c r="C337" s="44" t="s">
        <v>172</v>
      </c>
      <c r="D337" s="19" t="s">
        <v>828</v>
      </c>
      <c r="E337" s="19">
        <v>12</v>
      </c>
      <c r="F337" s="19">
        <v>490</v>
      </c>
      <c r="G337" s="19">
        <v>9980</v>
      </c>
      <c r="H337" s="19">
        <v>1</v>
      </c>
      <c r="I337" s="80">
        <v>460.46</v>
      </c>
      <c r="J337" s="80">
        <v>460.46</v>
      </c>
      <c r="K337" s="19" t="s">
        <v>184</v>
      </c>
      <c r="L337" s="19" t="s">
        <v>821</v>
      </c>
      <c r="Q337" s="20">
        <v>16</v>
      </c>
      <c r="R337" s="65" t="s">
        <v>806</v>
      </c>
      <c r="T337" s="19" t="s">
        <v>22</v>
      </c>
      <c r="V337" s="19" t="s">
        <v>178</v>
      </c>
      <c r="Y337" s="19" t="s">
        <v>138</v>
      </c>
      <c r="Z337" s="44" t="s">
        <v>807</v>
      </c>
      <c r="AA337" s="44" t="s">
        <v>180</v>
      </c>
    </row>
    <row r="338" spans="1:27" hidden="1" x14ac:dyDescent="0.25">
      <c r="A338" s="26">
        <v>18</v>
      </c>
      <c r="B338" s="19" t="s">
        <v>829</v>
      </c>
      <c r="C338" s="44" t="s">
        <v>172</v>
      </c>
      <c r="D338" s="19" t="s">
        <v>803</v>
      </c>
      <c r="E338" s="19">
        <v>12</v>
      </c>
      <c r="F338" s="19">
        <v>135</v>
      </c>
      <c r="G338" s="19">
        <v>488</v>
      </c>
      <c r="H338" s="19">
        <v>2</v>
      </c>
      <c r="I338" s="80">
        <v>6.19</v>
      </c>
      <c r="J338" s="80">
        <v>12.38</v>
      </c>
      <c r="K338" s="19" t="s">
        <v>184</v>
      </c>
      <c r="L338" s="19" t="s">
        <v>821</v>
      </c>
      <c r="Q338" s="20">
        <v>16</v>
      </c>
      <c r="R338" s="65" t="s">
        <v>806</v>
      </c>
      <c r="T338" s="19" t="s">
        <v>22</v>
      </c>
      <c r="V338" s="19" t="s">
        <v>178</v>
      </c>
      <c r="W338" s="19" t="s">
        <v>138</v>
      </c>
      <c r="Z338" s="44" t="s">
        <v>807</v>
      </c>
      <c r="AA338" s="44" t="s">
        <v>180</v>
      </c>
    </row>
    <row r="339" spans="1:27" hidden="1" x14ac:dyDescent="0.25">
      <c r="A339" s="26">
        <v>19</v>
      </c>
      <c r="B339" s="19" t="s">
        <v>830</v>
      </c>
      <c r="C339" s="44" t="s">
        <v>172</v>
      </c>
      <c r="D339" s="19" t="s">
        <v>803</v>
      </c>
      <c r="E339" s="19">
        <v>12</v>
      </c>
      <c r="F339" s="19">
        <v>135</v>
      </c>
      <c r="G339" s="19">
        <v>488</v>
      </c>
      <c r="H339" s="19">
        <v>4</v>
      </c>
      <c r="I339" s="80">
        <v>6.19</v>
      </c>
      <c r="J339" s="80">
        <v>24.76</v>
      </c>
      <c r="K339" s="19" t="s">
        <v>184</v>
      </c>
      <c r="L339" s="19" t="s">
        <v>821</v>
      </c>
      <c r="Q339" s="20">
        <v>16</v>
      </c>
      <c r="R339" s="65" t="s">
        <v>806</v>
      </c>
      <c r="T339" s="19" t="s">
        <v>22</v>
      </c>
      <c r="V339" s="19" t="s">
        <v>178</v>
      </c>
      <c r="W339" s="19" t="s">
        <v>138</v>
      </c>
      <c r="Z339" s="44" t="s">
        <v>807</v>
      </c>
      <c r="AA339" s="44" t="s">
        <v>180</v>
      </c>
    </row>
    <row r="340" spans="1:27" hidden="1" x14ac:dyDescent="0.25">
      <c r="A340" s="26">
        <v>20</v>
      </c>
      <c r="B340" s="19" t="s">
        <v>831</v>
      </c>
      <c r="C340" s="44" t="s">
        <v>172</v>
      </c>
      <c r="D340" s="19" t="s">
        <v>803</v>
      </c>
      <c r="E340" s="19">
        <v>12</v>
      </c>
      <c r="F340" s="19">
        <v>135</v>
      </c>
      <c r="G340" s="19">
        <v>488</v>
      </c>
      <c r="H340" s="19">
        <v>4</v>
      </c>
      <c r="I340" s="80">
        <v>6.19</v>
      </c>
      <c r="J340" s="80">
        <v>24.76</v>
      </c>
      <c r="K340" s="19" t="s">
        <v>184</v>
      </c>
      <c r="L340" s="19" t="s">
        <v>821</v>
      </c>
      <c r="Q340" s="20">
        <v>16</v>
      </c>
      <c r="R340" s="65" t="s">
        <v>806</v>
      </c>
      <c r="T340" s="19" t="s">
        <v>22</v>
      </c>
      <c r="V340" s="19" t="s">
        <v>178</v>
      </c>
      <c r="W340" s="19" t="s">
        <v>138</v>
      </c>
      <c r="Z340" s="44" t="s">
        <v>807</v>
      </c>
      <c r="AA340" s="44" t="s">
        <v>180</v>
      </c>
    </row>
    <row r="341" spans="1:27" hidden="1" x14ac:dyDescent="0.25">
      <c r="A341" s="26">
        <v>21</v>
      </c>
      <c r="B341" s="19" t="s">
        <v>832</v>
      </c>
      <c r="C341" s="44" t="s">
        <v>172</v>
      </c>
      <c r="D341" s="19" t="s">
        <v>803</v>
      </c>
      <c r="E341" s="19">
        <v>12</v>
      </c>
      <c r="F341" s="19">
        <v>135</v>
      </c>
      <c r="G341" s="19">
        <v>488</v>
      </c>
      <c r="H341" s="19">
        <v>4</v>
      </c>
      <c r="I341" s="80">
        <v>6.19</v>
      </c>
      <c r="J341" s="80">
        <v>24.76</v>
      </c>
      <c r="K341" s="19" t="s">
        <v>184</v>
      </c>
      <c r="L341" s="19" t="s">
        <v>821</v>
      </c>
      <c r="Q341" s="20">
        <v>16</v>
      </c>
      <c r="R341" s="65" t="s">
        <v>806</v>
      </c>
      <c r="T341" s="19" t="s">
        <v>22</v>
      </c>
      <c r="V341" s="19" t="s">
        <v>178</v>
      </c>
      <c r="W341" s="19" t="s">
        <v>138</v>
      </c>
      <c r="Z341" s="44" t="s">
        <v>807</v>
      </c>
      <c r="AA341" s="44" t="s">
        <v>180</v>
      </c>
    </row>
    <row r="342" spans="1:27" hidden="1" x14ac:dyDescent="0.25">
      <c r="A342" s="26">
        <v>22</v>
      </c>
      <c r="B342" s="19" t="s">
        <v>833</v>
      </c>
      <c r="C342" s="44" t="s">
        <v>172</v>
      </c>
      <c r="D342" s="19" t="s">
        <v>803</v>
      </c>
      <c r="E342" s="19">
        <v>12</v>
      </c>
      <c r="F342" s="19">
        <v>135</v>
      </c>
      <c r="G342" s="19">
        <v>488</v>
      </c>
      <c r="H342" s="19">
        <v>4</v>
      </c>
      <c r="I342" s="80">
        <v>6.19</v>
      </c>
      <c r="J342" s="80">
        <v>24.76</v>
      </c>
      <c r="K342" s="19" t="s">
        <v>184</v>
      </c>
      <c r="L342" s="19" t="s">
        <v>821</v>
      </c>
      <c r="Q342" s="20">
        <v>16</v>
      </c>
      <c r="R342" s="65" t="s">
        <v>806</v>
      </c>
      <c r="T342" s="19" t="s">
        <v>22</v>
      </c>
      <c r="V342" s="19" t="s">
        <v>178</v>
      </c>
      <c r="W342" s="19" t="s">
        <v>138</v>
      </c>
      <c r="Z342" s="44" t="s">
        <v>807</v>
      </c>
      <c r="AA342" s="44" t="s">
        <v>180</v>
      </c>
    </row>
    <row r="343" spans="1:27" hidden="1" x14ac:dyDescent="0.25">
      <c r="A343" s="26">
        <v>23</v>
      </c>
      <c r="B343" s="19" t="s">
        <v>834</v>
      </c>
      <c r="C343" s="44" t="s">
        <v>172</v>
      </c>
      <c r="D343" s="19" t="s">
        <v>835</v>
      </c>
      <c r="E343" s="19">
        <v>12</v>
      </c>
      <c r="F343" s="19">
        <v>1460</v>
      </c>
      <c r="G343" s="19">
        <v>9068</v>
      </c>
      <c r="H343" s="19">
        <v>1</v>
      </c>
      <c r="I343" s="80">
        <v>1240.54</v>
      </c>
      <c r="J343" s="80">
        <v>1240.54</v>
      </c>
      <c r="K343" s="19" t="s">
        <v>184</v>
      </c>
      <c r="L343" s="19" t="s">
        <v>821</v>
      </c>
      <c r="Q343" s="20">
        <v>16</v>
      </c>
      <c r="R343" s="65" t="s">
        <v>806</v>
      </c>
      <c r="T343" s="19" t="s">
        <v>22</v>
      </c>
      <c r="V343" s="19" t="s">
        <v>178</v>
      </c>
      <c r="Y343" s="19" t="s">
        <v>138</v>
      </c>
      <c r="Z343" s="44" t="s">
        <v>807</v>
      </c>
      <c r="AA343" s="44" t="s">
        <v>180</v>
      </c>
    </row>
    <row r="344" spans="1:27" hidden="1" x14ac:dyDescent="0.25">
      <c r="A344" s="26">
        <v>24</v>
      </c>
      <c r="B344" s="19" t="s">
        <v>836</v>
      </c>
      <c r="C344" s="44" t="s">
        <v>172</v>
      </c>
      <c r="D344" s="19" t="s">
        <v>803</v>
      </c>
      <c r="E344" s="19">
        <v>12</v>
      </c>
      <c r="F344" s="19">
        <v>135</v>
      </c>
      <c r="G344" s="19">
        <v>488</v>
      </c>
      <c r="H344" s="19">
        <v>12</v>
      </c>
      <c r="I344" s="80">
        <v>6.19</v>
      </c>
      <c r="J344" s="80">
        <v>74.28</v>
      </c>
      <c r="K344" s="19" t="s">
        <v>184</v>
      </c>
      <c r="L344" s="19" t="s">
        <v>837</v>
      </c>
      <c r="Q344" s="20">
        <v>16</v>
      </c>
      <c r="R344" s="65" t="s">
        <v>806</v>
      </c>
      <c r="T344" s="19" t="s">
        <v>22</v>
      </c>
      <c r="V344" s="19" t="s">
        <v>178</v>
      </c>
      <c r="W344" s="19" t="s">
        <v>138</v>
      </c>
      <c r="Z344" s="44" t="s">
        <v>807</v>
      </c>
      <c r="AA344" s="44" t="s">
        <v>180</v>
      </c>
    </row>
    <row r="345" spans="1:27" hidden="1" x14ac:dyDescent="0.25">
      <c r="A345" s="26">
        <v>25</v>
      </c>
      <c r="B345" s="19" t="s">
        <v>823</v>
      </c>
      <c r="C345" s="44" t="s">
        <v>172</v>
      </c>
      <c r="D345" s="19" t="s">
        <v>803</v>
      </c>
      <c r="E345" s="19">
        <v>12</v>
      </c>
      <c r="F345" s="19">
        <v>135</v>
      </c>
      <c r="G345" s="19">
        <v>488</v>
      </c>
      <c r="H345" s="19">
        <v>6</v>
      </c>
      <c r="I345" s="80">
        <v>6.19</v>
      </c>
      <c r="J345" s="80">
        <v>37.14</v>
      </c>
      <c r="K345" s="19" t="s">
        <v>184</v>
      </c>
      <c r="L345" s="19" t="s">
        <v>837</v>
      </c>
      <c r="Q345" s="20">
        <v>16</v>
      </c>
      <c r="R345" s="65" t="s">
        <v>806</v>
      </c>
      <c r="T345" s="19" t="s">
        <v>22</v>
      </c>
      <c r="V345" s="19" t="s">
        <v>178</v>
      </c>
      <c r="W345" s="19" t="s">
        <v>138</v>
      </c>
      <c r="Z345" s="44" t="s">
        <v>807</v>
      </c>
      <c r="AA345" s="44" t="s">
        <v>180</v>
      </c>
    </row>
    <row r="346" spans="1:27" hidden="1" x14ac:dyDescent="0.25">
      <c r="A346" s="26">
        <v>26</v>
      </c>
      <c r="B346" s="19" t="s">
        <v>838</v>
      </c>
      <c r="C346" s="44" t="s">
        <v>172</v>
      </c>
      <c r="D346" s="19" t="s">
        <v>839</v>
      </c>
      <c r="E346" s="19">
        <v>12</v>
      </c>
      <c r="F346" s="19">
        <v>120</v>
      </c>
      <c r="G346" s="19">
        <v>129</v>
      </c>
      <c r="H346" s="19">
        <v>24</v>
      </c>
      <c r="I346" s="80">
        <v>1.32</v>
      </c>
      <c r="J346" s="80">
        <v>31.78</v>
      </c>
      <c r="K346" s="19" t="s">
        <v>184</v>
      </c>
      <c r="L346" s="19" t="s">
        <v>837</v>
      </c>
      <c r="Q346" s="20">
        <v>16</v>
      </c>
      <c r="R346" s="65" t="s">
        <v>806</v>
      </c>
      <c r="T346" s="19" t="s">
        <v>22</v>
      </c>
      <c r="V346" s="19" t="s">
        <v>178</v>
      </c>
      <c r="W346" s="19" t="s">
        <v>138</v>
      </c>
      <c r="Z346" s="44" t="s">
        <v>807</v>
      </c>
      <c r="AA346" s="44" t="s">
        <v>180</v>
      </c>
    </row>
    <row r="347" spans="1:27" hidden="1" x14ac:dyDescent="0.25">
      <c r="A347" s="26">
        <v>27</v>
      </c>
      <c r="B347" s="19" t="s">
        <v>840</v>
      </c>
      <c r="C347" s="44" t="s">
        <v>172</v>
      </c>
      <c r="D347" s="19" t="s">
        <v>839</v>
      </c>
      <c r="E347" s="19">
        <v>12</v>
      </c>
      <c r="F347" s="19">
        <v>120</v>
      </c>
      <c r="G347" s="19">
        <v>129</v>
      </c>
      <c r="H347" s="19">
        <v>24</v>
      </c>
      <c r="I347" s="80">
        <v>1.32</v>
      </c>
      <c r="J347" s="80">
        <v>31.78</v>
      </c>
      <c r="K347" s="19" t="s">
        <v>184</v>
      </c>
      <c r="L347" s="19" t="s">
        <v>837</v>
      </c>
      <c r="Q347" s="20">
        <v>16</v>
      </c>
      <c r="R347" s="65" t="s">
        <v>806</v>
      </c>
      <c r="T347" s="19" t="s">
        <v>22</v>
      </c>
      <c r="V347" s="19" t="s">
        <v>178</v>
      </c>
      <c r="W347" s="19" t="s">
        <v>138</v>
      </c>
      <c r="Z347" s="44" t="s">
        <v>807</v>
      </c>
      <c r="AA347" s="44" t="s">
        <v>180</v>
      </c>
    </row>
    <row r="348" spans="1:27" hidden="1" x14ac:dyDescent="0.25">
      <c r="A348" s="26">
        <v>28</v>
      </c>
      <c r="B348" s="19" t="s">
        <v>841</v>
      </c>
      <c r="C348" s="44" t="s">
        <v>172</v>
      </c>
      <c r="D348" s="19" t="s">
        <v>839</v>
      </c>
      <c r="E348" s="19">
        <v>12</v>
      </c>
      <c r="F348" s="19">
        <v>120</v>
      </c>
      <c r="G348" s="19">
        <v>129</v>
      </c>
      <c r="H348" s="19">
        <v>24</v>
      </c>
      <c r="I348" s="80">
        <v>1.32</v>
      </c>
      <c r="J348" s="80">
        <v>31.78</v>
      </c>
      <c r="K348" s="19" t="s">
        <v>184</v>
      </c>
      <c r="L348" s="19" t="s">
        <v>837</v>
      </c>
      <c r="Q348" s="20">
        <v>16</v>
      </c>
      <c r="R348" s="65" t="s">
        <v>806</v>
      </c>
      <c r="T348" s="19" t="s">
        <v>22</v>
      </c>
      <c r="V348" s="19" t="s">
        <v>178</v>
      </c>
      <c r="W348" s="19" t="s">
        <v>138</v>
      </c>
      <c r="Z348" s="44" t="s">
        <v>807</v>
      </c>
      <c r="AA348" s="44" t="s">
        <v>180</v>
      </c>
    </row>
    <row r="349" spans="1:27" hidden="1" x14ac:dyDescent="0.25">
      <c r="A349" s="26">
        <v>29</v>
      </c>
      <c r="B349" s="19" t="s">
        <v>842</v>
      </c>
      <c r="C349" s="44" t="s">
        <v>172</v>
      </c>
      <c r="D349" s="19" t="s">
        <v>839</v>
      </c>
      <c r="E349" s="19">
        <v>12</v>
      </c>
      <c r="F349" s="19">
        <v>120</v>
      </c>
      <c r="G349" s="19">
        <v>129</v>
      </c>
      <c r="H349" s="19">
        <v>24</v>
      </c>
      <c r="I349" s="80">
        <v>1.32</v>
      </c>
      <c r="J349" s="80">
        <v>31.78</v>
      </c>
      <c r="K349" s="19" t="s">
        <v>184</v>
      </c>
      <c r="L349" s="19" t="s">
        <v>837</v>
      </c>
      <c r="Q349" s="20">
        <v>16</v>
      </c>
      <c r="R349" s="65" t="s">
        <v>806</v>
      </c>
      <c r="T349" s="19" t="s">
        <v>22</v>
      </c>
      <c r="V349" s="19" t="s">
        <v>178</v>
      </c>
      <c r="W349" s="19" t="s">
        <v>138</v>
      </c>
      <c r="Z349" s="44" t="s">
        <v>807</v>
      </c>
      <c r="AA349" s="44" t="s">
        <v>180</v>
      </c>
    </row>
    <row r="350" spans="1:27" hidden="1" x14ac:dyDescent="0.25">
      <c r="A350" s="26">
        <v>30</v>
      </c>
      <c r="B350" s="19" t="s">
        <v>843</v>
      </c>
      <c r="C350" s="44" t="s">
        <v>172</v>
      </c>
      <c r="D350" s="19" t="s">
        <v>839</v>
      </c>
      <c r="E350" s="19">
        <v>12</v>
      </c>
      <c r="F350" s="19">
        <v>120</v>
      </c>
      <c r="G350" s="19">
        <v>129</v>
      </c>
      <c r="H350" s="19">
        <v>24</v>
      </c>
      <c r="I350" s="80">
        <v>1.32</v>
      </c>
      <c r="J350" s="80">
        <v>31.78</v>
      </c>
      <c r="K350" s="19" t="s">
        <v>184</v>
      </c>
      <c r="L350" s="19" t="s">
        <v>837</v>
      </c>
      <c r="Q350" s="20">
        <v>16</v>
      </c>
      <c r="R350" s="65" t="s">
        <v>806</v>
      </c>
      <c r="T350" s="19" t="s">
        <v>22</v>
      </c>
      <c r="V350" s="19" t="s">
        <v>178</v>
      </c>
      <c r="W350" s="19" t="s">
        <v>138</v>
      </c>
      <c r="Z350" s="44" t="s">
        <v>807</v>
      </c>
      <c r="AA350" s="44" t="s">
        <v>180</v>
      </c>
    </row>
    <row r="351" spans="1:27" hidden="1" x14ac:dyDescent="0.25">
      <c r="A351" s="26">
        <v>31</v>
      </c>
      <c r="B351" s="19" t="s">
        <v>844</v>
      </c>
      <c r="C351" s="44" t="s">
        <v>172</v>
      </c>
      <c r="D351" s="19" t="s">
        <v>839</v>
      </c>
      <c r="E351" s="19">
        <v>12</v>
      </c>
      <c r="F351" s="19">
        <v>120</v>
      </c>
      <c r="G351" s="19">
        <v>129</v>
      </c>
      <c r="H351" s="19">
        <v>24</v>
      </c>
      <c r="I351" s="80">
        <v>1.32</v>
      </c>
      <c r="J351" s="80">
        <v>31.78</v>
      </c>
      <c r="K351" s="19" t="s">
        <v>184</v>
      </c>
      <c r="L351" s="19" t="s">
        <v>837</v>
      </c>
      <c r="Q351" s="20">
        <v>16</v>
      </c>
      <c r="R351" s="65" t="s">
        <v>806</v>
      </c>
      <c r="T351" s="19" t="s">
        <v>22</v>
      </c>
      <c r="V351" s="19" t="s">
        <v>178</v>
      </c>
      <c r="W351" s="19" t="s">
        <v>138</v>
      </c>
      <c r="Z351" s="44" t="s">
        <v>807</v>
      </c>
      <c r="AA351" s="44" t="s">
        <v>180</v>
      </c>
    </row>
    <row r="352" spans="1:27" hidden="1" x14ac:dyDescent="0.25">
      <c r="A352" s="26">
        <v>32</v>
      </c>
      <c r="B352" s="19" t="s">
        <v>845</v>
      </c>
      <c r="C352" s="44" t="s">
        <v>172</v>
      </c>
      <c r="D352" s="19" t="s">
        <v>839</v>
      </c>
      <c r="E352" s="19">
        <v>12</v>
      </c>
      <c r="F352" s="19">
        <v>120</v>
      </c>
      <c r="G352" s="19">
        <v>129</v>
      </c>
      <c r="H352" s="19">
        <v>24</v>
      </c>
      <c r="I352" s="80">
        <v>1.32</v>
      </c>
      <c r="J352" s="80">
        <v>31.78</v>
      </c>
      <c r="K352" s="19" t="s">
        <v>184</v>
      </c>
      <c r="L352" s="19" t="s">
        <v>837</v>
      </c>
      <c r="Q352" s="20">
        <v>16</v>
      </c>
      <c r="R352" s="65" t="s">
        <v>806</v>
      </c>
      <c r="T352" s="19" t="s">
        <v>22</v>
      </c>
      <c r="V352" s="19" t="s">
        <v>178</v>
      </c>
      <c r="W352" s="19" t="s">
        <v>138</v>
      </c>
      <c r="Z352" s="44" t="s">
        <v>807</v>
      </c>
      <c r="AA352" s="44" t="s">
        <v>180</v>
      </c>
    </row>
    <row r="353" spans="1:27" hidden="1" x14ac:dyDescent="0.25">
      <c r="A353" s="26">
        <v>33</v>
      </c>
      <c r="B353" s="19" t="s">
        <v>846</v>
      </c>
      <c r="C353" s="44" t="s">
        <v>172</v>
      </c>
      <c r="D353" s="19" t="s">
        <v>839</v>
      </c>
      <c r="E353" s="19">
        <v>12</v>
      </c>
      <c r="F353" s="19">
        <v>120</v>
      </c>
      <c r="G353" s="19">
        <v>129</v>
      </c>
      <c r="H353" s="19">
        <v>24</v>
      </c>
      <c r="I353" s="80">
        <v>1.32</v>
      </c>
      <c r="J353" s="80">
        <v>31.78</v>
      </c>
      <c r="K353" s="19" t="s">
        <v>184</v>
      </c>
      <c r="L353" s="19" t="s">
        <v>837</v>
      </c>
      <c r="Q353" s="20">
        <v>16</v>
      </c>
      <c r="R353" s="65" t="s">
        <v>806</v>
      </c>
      <c r="T353" s="19" t="s">
        <v>22</v>
      </c>
      <c r="V353" s="19" t="s">
        <v>178</v>
      </c>
      <c r="W353" s="19" t="s">
        <v>138</v>
      </c>
      <c r="Z353" s="44" t="s">
        <v>807</v>
      </c>
      <c r="AA353" s="44" t="s">
        <v>180</v>
      </c>
    </row>
    <row r="354" spans="1:27" hidden="1" x14ac:dyDescent="0.25">
      <c r="A354" s="26">
        <v>34</v>
      </c>
      <c r="B354" s="19" t="s">
        <v>847</v>
      </c>
      <c r="C354" s="44" t="s">
        <v>172</v>
      </c>
      <c r="D354" s="19" t="s">
        <v>839</v>
      </c>
      <c r="E354" s="19">
        <v>12</v>
      </c>
      <c r="F354" s="19">
        <v>120</v>
      </c>
      <c r="G354" s="19">
        <v>129</v>
      </c>
      <c r="H354" s="19">
        <v>24</v>
      </c>
      <c r="I354" s="80">
        <v>1.32</v>
      </c>
      <c r="J354" s="80">
        <v>31.78</v>
      </c>
      <c r="K354" s="19" t="s">
        <v>184</v>
      </c>
      <c r="L354" s="19" t="s">
        <v>837</v>
      </c>
      <c r="Q354" s="20">
        <v>16</v>
      </c>
      <c r="R354" s="65" t="s">
        <v>806</v>
      </c>
      <c r="T354" s="19" t="s">
        <v>22</v>
      </c>
      <c r="V354" s="19" t="s">
        <v>178</v>
      </c>
      <c r="W354" s="19" t="s">
        <v>138</v>
      </c>
      <c r="Z354" s="44" t="s">
        <v>807</v>
      </c>
      <c r="AA354" s="44" t="s">
        <v>180</v>
      </c>
    </row>
    <row r="355" spans="1:27" hidden="1" x14ac:dyDescent="0.25">
      <c r="A355" s="26">
        <v>35</v>
      </c>
      <c r="B355" s="19" t="s">
        <v>848</v>
      </c>
      <c r="C355" s="44" t="s">
        <v>172</v>
      </c>
      <c r="D355" s="19" t="s">
        <v>839</v>
      </c>
      <c r="E355" s="19">
        <v>12</v>
      </c>
      <c r="F355" s="19">
        <v>120</v>
      </c>
      <c r="G355" s="19">
        <v>129</v>
      </c>
      <c r="H355" s="19">
        <v>24</v>
      </c>
      <c r="I355" s="80">
        <v>1.32</v>
      </c>
      <c r="J355" s="80">
        <v>31.78</v>
      </c>
      <c r="K355" s="19" t="s">
        <v>184</v>
      </c>
      <c r="L355" s="19" t="s">
        <v>837</v>
      </c>
      <c r="Q355" s="20">
        <v>16</v>
      </c>
      <c r="R355" s="65" t="s">
        <v>806</v>
      </c>
      <c r="T355" s="19" t="s">
        <v>22</v>
      </c>
      <c r="V355" s="19" t="s">
        <v>178</v>
      </c>
      <c r="W355" s="19" t="s">
        <v>138</v>
      </c>
      <c r="Z355" s="44" t="s">
        <v>807</v>
      </c>
      <c r="AA355" s="44" t="s">
        <v>180</v>
      </c>
    </row>
    <row r="356" spans="1:27" hidden="1" x14ac:dyDescent="0.25">
      <c r="A356" s="26">
        <v>36</v>
      </c>
      <c r="B356" s="19" t="s">
        <v>849</v>
      </c>
      <c r="C356" s="44" t="s">
        <v>172</v>
      </c>
      <c r="D356" s="19" t="s">
        <v>839</v>
      </c>
      <c r="E356" s="19">
        <v>12</v>
      </c>
      <c r="F356" s="19">
        <v>120</v>
      </c>
      <c r="G356" s="19">
        <v>129</v>
      </c>
      <c r="H356" s="19">
        <v>2</v>
      </c>
      <c r="I356" s="80">
        <v>1.32</v>
      </c>
      <c r="J356" s="80">
        <v>2.65</v>
      </c>
      <c r="K356" s="19" t="s">
        <v>184</v>
      </c>
      <c r="L356" s="19" t="s">
        <v>837</v>
      </c>
      <c r="Q356" s="20">
        <v>16</v>
      </c>
      <c r="R356" s="65" t="s">
        <v>806</v>
      </c>
      <c r="T356" s="19" t="s">
        <v>22</v>
      </c>
      <c r="V356" s="19" t="s">
        <v>178</v>
      </c>
      <c r="W356" s="19" t="s">
        <v>138</v>
      </c>
      <c r="Z356" s="44" t="s">
        <v>807</v>
      </c>
      <c r="AA356" s="44" t="s">
        <v>180</v>
      </c>
    </row>
    <row r="357" spans="1:27" hidden="1" x14ac:dyDescent="0.25">
      <c r="A357" s="26">
        <v>37</v>
      </c>
      <c r="B357" s="19" t="s">
        <v>850</v>
      </c>
      <c r="C357" s="44" t="s">
        <v>172</v>
      </c>
      <c r="D357" s="19" t="s">
        <v>828</v>
      </c>
      <c r="E357" s="19">
        <v>12</v>
      </c>
      <c r="F357" s="19">
        <v>490</v>
      </c>
      <c r="G357" s="19">
        <v>9980</v>
      </c>
      <c r="H357" s="19">
        <v>1</v>
      </c>
      <c r="I357" s="80">
        <v>460.46</v>
      </c>
      <c r="J357" s="80">
        <v>460.46</v>
      </c>
      <c r="K357" s="19" t="s">
        <v>184</v>
      </c>
      <c r="L357" s="19" t="s">
        <v>837</v>
      </c>
      <c r="Q357" s="20">
        <v>16</v>
      </c>
      <c r="R357" s="65" t="s">
        <v>806</v>
      </c>
      <c r="T357" s="19" t="s">
        <v>22</v>
      </c>
      <c r="V357" s="19" t="s">
        <v>178</v>
      </c>
      <c r="Y357" s="19" t="s">
        <v>138</v>
      </c>
      <c r="Z357" s="44" t="s">
        <v>807</v>
      </c>
      <c r="AA357" s="44" t="s">
        <v>180</v>
      </c>
    </row>
    <row r="358" spans="1:27" hidden="1" x14ac:dyDescent="0.25">
      <c r="A358" s="26">
        <v>38</v>
      </c>
      <c r="B358" s="19" t="s">
        <v>851</v>
      </c>
      <c r="C358" s="44" t="s">
        <v>172</v>
      </c>
      <c r="D358" s="19" t="s">
        <v>839</v>
      </c>
      <c r="E358" s="19">
        <v>12</v>
      </c>
      <c r="F358" s="19">
        <v>120</v>
      </c>
      <c r="G358" s="19">
        <v>129</v>
      </c>
      <c r="H358" s="19">
        <v>18</v>
      </c>
      <c r="I358" s="80">
        <v>1.32</v>
      </c>
      <c r="J358" s="80">
        <v>23.83</v>
      </c>
      <c r="K358" s="19" t="s">
        <v>184</v>
      </c>
      <c r="L358" s="19" t="s">
        <v>837</v>
      </c>
      <c r="Q358" s="20">
        <v>16</v>
      </c>
      <c r="R358" s="65" t="s">
        <v>806</v>
      </c>
      <c r="T358" s="19" t="s">
        <v>22</v>
      </c>
      <c r="V358" s="19" t="s">
        <v>178</v>
      </c>
      <c r="W358" s="19" t="s">
        <v>138</v>
      </c>
      <c r="Z358" s="44" t="s">
        <v>807</v>
      </c>
      <c r="AA358" s="44" t="s">
        <v>180</v>
      </c>
    </row>
    <row r="359" spans="1:27" hidden="1" x14ac:dyDescent="0.25">
      <c r="A359" s="26">
        <v>39</v>
      </c>
      <c r="B359" s="19" t="s">
        <v>852</v>
      </c>
      <c r="C359" s="44" t="s">
        <v>172</v>
      </c>
      <c r="D359" s="19" t="s">
        <v>839</v>
      </c>
      <c r="E359" s="19">
        <v>12</v>
      </c>
      <c r="F359" s="19">
        <v>120</v>
      </c>
      <c r="G359" s="19">
        <v>129</v>
      </c>
      <c r="H359" s="19">
        <v>18</v>
      </c>
      <c r="I359" s="80">
        <v>1.32</v>
      </c>
      <c r="J359" s="80">
        <v>23.83</v>
      </c>
      <c r="K359" s="19" t="s">
        <v>184</v>
      </c>
      <c r="L359" s="19" t="s">
        <v>837</v>
      </c>
      <c r="Q359" s="20">
        <v>16</v>
      </c>
      <c r="R359" s="65" t="s">
        <v>806</v>
      </c>
      <c r="T359" s="19" t="s">
        <v>22</v>
      </c>
      <c r="V359" s="19" t="s">
        <v>178</v>
      </c>
      <c r="W359" s="19" t="s">
        <v>138</v>
      </c>
      <c r="Z359" s="44" t="s">
        <v>807</v>
      </c>
      <c r="AA359" s="44" t="s">
        <v>180</v>
      </c>
    </row>
    <row r="360" spans="1:27" hidden="1" x14ac:dyDescent="0.25">
      <c r="A360" s="26">
        <v>40</v>
      </c>
      <c r="B360" s="19" t="s">
        <v>853</v>
      </c>
      <c r="C360" s="44" t="s">
        <v>172</v>
      </c>
      <c r="D360" s="19" t="s">
        <v>839</v>
      </c>
      <c r="E360" s="19">
        <v>12</v>
      </c>
      <c r="F360" s="19">
        <v>120</v>
      </c>
      <c r="G360" s="19">
        <v>129</v>
      </c>
      <c r="H360" s="19">
        <v>18</v>
      </c>
      <c r="I360" s="80">
        <v>1.32</v>
      </c>
      <c r="J360" s="80">
        <v>23.83</v>
      </c>
      <c r="K360" s="19" t="s">
        <v>184</v>
      </c>
      <c r="L360" s="19" t="s">
        <v>837</v>
      </c>
      <c r="Q360" s="20">
        <v>16</v>
      </c>
      <c r="R360" s="65" t="s">
        <v>806</v>
      </c>
      <c r="T360" s="19" t="s">
        <v>22</v>
      </c>
      <c r="V360" s="19" t="s">
        <v>178</v>
      </c>
      <c r="W360" s="19" t="s">
        <v>138</v>
      </c>
      <c r="Z360" s="44" t="s">
        <v>807</v>
      </c>
      <c r="AA360" s="44" t="s">
        <v>180</v>
      </c>
    </row>
    <row r="361" spans="1:27" hidden="1" x14ac:dyDescent="0.25">
      <c r="A361" s="26">
        <v>41</v>
      </c>
      <c r="B361" s="19" t="s">
        <v>854</v>
      </c>
      <c r="C361" s="44" t="s">
        <v>172</v>
      </c>
      <c r="D361" s="19" t="s">
        <v>835</v>
      </c>
      <c r="E361" s="19">
        <v>12</v>
      </c>
      <c r="F361" s="19">
        <v>1460</v>
      </c>
      <c r="G361" s="19">
        <v>9068</v>
      </c>
      <c r="H361" s="19">
        <v>1</v>
      </c>
      <c r="I361" s="80">
        <v>1240.54</v>
      </c>
      <c r="J361" s="80">
        <v>1240.54</v>
      </c>
      <c r="K361" s="19" t="s">
        <v>184</v>
      </c>
      <c r="L361" s="19" t="s">
        <v>837</v>
      </c>
      <c r="Q361" s="20">
        <v>16</v>
      </c>
      <c r="R361" s="65" t="s">
        <v>806</v>
      </c>
      <c r="T361" s="19" t="s">
        <v>22</v>
      </c>
      <c r="V361" s="19" t="s">
        <v>178</v>
      </c>
      <c r="Y361" s="19" t="s">
        <v>138</v>
      </c>
      <c r="Z361" s="44" t="s">
        <v>807</v>
      </c>
      <c r="AA361" s="44" t="s">
        <v>180</v>
      </c>
    </row>
    <row r="362" spans="1:27" hidden="1" x14ac:dyDescent="0.25">
      <c r="A362" s="26">
        <v>42</v>
      </c>
      <c r="B362" s="19" t="s">
        <v>855</v>
      </c>
      <c r="C362" s="44" t="s">
        <v>172</v>
      </c>
      <c r="D362" s="19" t="s">
        <v>828</v>
      </c>
      <c r="E362" s="19">
        <v>12</v>
      </c>
      <c r="F362" s="19">
        <v>490</v>
      </c>
      <c r="G362" s="19">
        <v>9980</v>
      </c>
      <c r="H362" s="19">
        <v>1</v>
      </c>
      <c r="I362" s="80">
        <v>460.46</v>
      </c>
      <c r="J362" s="80">
        <v>460.46</v>
      </c>
      <c r="K362" s="19" t="s">
        <v>184</v>
      </c>
      <c r="L362" s="19" t="s">
        <v>856</v>
      </c>
      <c r="Q362" s="20">
        <v>16</v>
      </c>
      <c r="R362" s="65" t="s">
        <v>806</v>
      </c>
      <c r="T362" s="19" t="s">
        <v>22</v>
      </c>
      <c r="V362" s="19" t="s">
        <v>178</v>
      </c>
      <c r="Y362" s="19" t="s">
        <v>138</v>
      </c>
      <c r="Z362" s="44" t="s">
        <v>807</v>
      </c>
      <c r="AA362" s="44" t="s">
        <v>180</v>
      </c>
    </row>
    <row r="363" spans="1:27" hidden="1" x14ac:dyDescent="0.25">
      <c r="A363" s="26">
        <v>43</v>
      </c>
      <c r="B363" s="19" t="s">
        <v>849</v>
      </c>
      <c r="C363" s="44" t="s">
        <v>172</v>
      </c>
      <c r="D363" s="19" t="s">
        <v>839</v>
      </c>
      <c r="E363" s="19">
        <v>12</v>
      </c>
      <c r="F363" s="19">
        <v>120</v>
      </c>
      <c r="G363" s="19">
        <v>129</v>
      </c>
      <c r="H363" s="19">
        <v>1</v>
      </c>
      <c r="I363" s="80">
        <v>1.32</v>
      </c>
      <c r="J363" s="80">
        <v>1.32</v>
      </c>
      <c r="K363" s="19" t="s">
        <v>184</v>
      </c>
      <c r="L363" s="19" t="s">
        <v>856</v>
      </c>
      <c r="Q363" s="20">
        <v>16</v>
      </c>
      <c r="R363" s="65" t="s">
        <v>806</v>
      </c>
      <c r="T363" s="19" t="s">
        <v>22</v>
      </c>
      <c r="V363" s="19" t="s">
        <v>178</v>
      </c>
      <c r="W363" s="19" t="s">
        <v>138</v>
      </c>
      <c r="Z363" s="44" t="s">
        <v>807</v>
      </c>
      <c r="AA363" s="44" t="s">
        <v>180</v>
      </c>
    </row>
    <row r="364" spans="1:27" hidden="1" x14ac:dyDescent="0.25">
      <c r="A364" s="26">
        <v>44</v>
      </c>
      <c r="B364" s="19" t="s">
        <v>857</v>
      </c>
      <c r="C364" s="44" t="s">
        <v>172</v>
      </c>
      <c r="D364" s="19" t="s">
        <v>812</v>
      </c>
      <c r="E364" s="19">
        <v>12</v>
      </c>
      <c r="F364" s="19">
        <v>490</v>
      </c>
      <c r="G364" s="19">
        <v>6464</v>
      </c>
      <c r="H364" s="19">
        <v>1</v>
      </c>
      <c r="I364" s="80">
        <v>298.26</v>
      </c>
      <c r="J364" s="80">
        <v>298.26</v>
      </c>
      <c r="K364" s="19" t="s">
        <v>184</v>
      </c>
      <c r="L364" s="19" t="s">
        <v>856</v>
      </c>
      <c r="Q364" s="20">
        <v>16</v>
      </c>
      <c r="R364" s="65" t="s">
        <v>806</v>
      </c>
      <c r="T364" s="19" t="s">
        <v>22</v>
      </c>
      <c r="V364" s="19" t="s">
        <v>178</v>
      </c>
      <c r="Y364" s="19" t="s">
        <v>138</v>
      </c>
      <c r="Z364" s="44" t="s">
        <v>807</v>
      </c>
      <c r="AA364" s="44" t="s">
        <v>180</v>
      </c>
    </row>
    <row r="365" spans="1:27" hidden="1" x14ac:dyDescent="0.25">
      <c r="A365" s="26">
        <v>45</v>
      </c>
      <c r="B365" s="19" t="s">
        <v>858</v>
      </c>
      <c r="C365" s="44" t="s">
        <v>172</v>
      </c>
      <c r="D365" s="19" t="s">
        <v>828</v>
      </c>
      <c r="E365" s="19">
        <v>12</v>
      </c>
      <c r="F365" s="19">
        <v>490</v>
      </c>
      <c r="G365" s="19">
        <v>9980</v>
      </c>
      <c r="H365" s="19">
        <v>1</v>
      </c>
      <c r="I365" s="80">
        <v>460.46</v>
      </c>
      <c r="J365" s="80">
        <v>460.46</v>
      </c>
      <c r="K365" s="19" t="s">
        <v>184</v>
      </c>
      <c r="L365" s="19" t="s">
        <v>856</v>
      </c>
      <c r="Q365" s="20">
        <v>16</v>
      </c>
      <c r="R365" s="65" t="s">
        <v>806</v>
      </c>
      <c r="T365" s="19" t="s">
        <v>22</v>
      </c>
      <c r="V365" s="19" t="s">
        <v>178</v>
      </c>
      <c r="Y365" s="19" t="s">
        <v>138</v>
      </c>
      <c r="Z365" s="44" t="s">
        <v>807</v>
      </c>
      <c r="AA365" s="44" t="s">
        <v>180</v>
      </c>
    </row>
    <row r="366" spans="1:27" hidden="1" x14ac:dyDescent="0.25">
      <c r="A366" s="26">
        <v>46</v>
      </c>
      <c r="B366" s="19" t="s">
        <v>859</v>
      </c>
      <c r="C366" s="44" t="s">
        <v>172</v>
      </c>
      <c r="D366" s="19" t="s">
        <v>828</v>
      </c>
      <c r="E366" s="19">
        <v>12</v>
      </c>
      <c r="F366" s="19">
        <v>490</v>
      </c>
      <c r="G366" s="19">
        <v>9980</v>
      </c>
      <c r="H366" s="19">
        <v>1</v>
      </c>
      <c r="I366" s="80">
        <v>460.46</v>
      </c>
      <c r="J366" s="80">
        <v>460.46</v>
      </c>
      <c r="K366" s="19" t="s">
        <v>184</v>
      </c>
      <c r="L366" s="19" t="s">
        <v>856</v>
      </c>
      <c r="Q366" s="20">
        <v>16</v>
      </c>
      <c r="R366" s="65" t="s">
        <v>806</v>
      </c>
      <c r="T366" s="19" t="s">
        <v>22</v>
      </c>
      <c r="V366" s="19" t="s">
        <v>178</v>
      </c>
      <c r="Y366" s="19" t="s">
        <v>138</v>
      </c>
      <c r="Z366" s="44" t="s">
        <v>807</v>
      </c>
      <c r="AA366" s="44" t="s">
        <v>180</v>
      </c>
    </row>
    <row r="367" spans="1:27" hidden="1" x14ac:dyDescent="0.25">
      <c r="A367" s="26">
        <v>47</v>
      </c>
      <c r="B367" s="19" t="s">
        <v>860</v>
      </c>
      <c r="C367" s="44" t="s">
        <v>172</v>
      </c>
      <c r="D367" s="19" t="s">
        <v>803</v>
      </c>
      <c r="E367" s="19">
        <v>12</v>
      </c>
      <c r="F367" s="19">
        <v>135</v>
      </c>
      <c r="G367" s="19">
        <v>488</v>
      </c>
      <c r="H367" s="19">
        <v>12</v>
      </c>
      <c r="I367" s="80">
        <v>6.19</v>
      </c>
      <c r="J367" s="80">
        <v>74.28</v>
      </c>
      <c r="K367" s="19" t="s">
        <v>184</v>
      </c>
      <c r="L367" s="19" t="s">
        <v>856</v>
      </c>
      <c r="Q367" s="20">
        <v>16</v>
      </c>
      <c r="R367" s="65" t="s">
        <v>806</v>
      </c>
      <c r="T367" s="19" t="s">
        <v>22</v>
      </c>
      <c r="V367" s="19" t="s">
        <v>178</v>
      </c>
      <c r="W367" s="19" t="s">
        <v>138</v>
      </c>
      <c r="Z367" s="44" t="s">
        <v>807</v>
      </c>
      <c r="AA367" s="44" t="s">
        <v>180</v>
      </c>
    </row>
    <row r="368" spans="1:27" hidden="1" x14ac:dyDescent="0.25">
      <c r="A368" s="26">
        <v>48</v>
      </c>
      <c r="B368" s="19" t="s">
        <v>861</v>
      </c>
      <c r="C368" s="44" t="s">
        <v>172</v>
      </c>
      <c r="D368" s="19" t="s">
        <v>803</v>
      </c>
      <c r="E368" s="19">
        <v>12</v>
      </c>
      <c r="F368" s="19">
        <v>135</v>
      </c>
      <c r="G368" s="19">
        <v>488</v>
      </c>
      <c r="H368" s="19">
        <v>14</v>
      </c>
      <c r="I368" s="80">
        <v>6.19</v>
      </c>
      <c r="J368" s="80">
        <v>86.66</v>
      </c>
      <c r="K368" s="19" t="s">
        <v>184</v>
      </c>
      <c r="L368" s="19" t="s">
        <v>856</v>
      </c>
      <c r="Q368" s="20">
        <v>16</v>
      </c>
      <c r="R368" s="65" t="s">
        <v>806</v>
      </c>
      <c r="T368" s="19" t="s">
        <v>22</v>
      </c>
      <c r="V368" s="19" t="s">
        <v>178</v>
      </c>
      <c r="W368" s="19" t="s">
        <v>138</v>
      </c>
      <c r="Z368" s="44" t="s">
        <v>807</v>
      </c>
      <c r="AA368" s="44" t="s">
        <v>180</v>
      </c>
    </row>
    <row r="369" spans="1:27" hidden="1" x14ac:dyDescent="0.25">
      <c r="A369" s="26">
        <v>49</v>
      </c>
      <c r="B369" s="19" t="s">
        <v>862</v>
      </c>
      <c r="C369" s="44" t="s">
        <v>172</v>
      </c>
      <c r="D369" s="19" t="s">
        <v>803</v>
      </c>
      <c r="E369" s="19">
        <v>12</v>
      </c>
      <c r="F369" s="19">
        <v>135</v>
      </c>
      <c r="G369" s="19">
        <v>488</v>
      </c>
      <c r="H369" s="19">
        <v>2</v>
      </c>
      <c r="I369" s="80">
        <v>6.19</v>
      </c>
      <c r="J369" s="80">
        <v>12.38</v>
      </c>
      <c r="K369" s="19" t="s">
        <v>184</v>
      </c>
      <c r="L369" s="19" t="s">
        <v>856</v>
      </c>
      <c r="Q369" s="20">
        <v>16</v>
      </c>
      <c r="R369" s="65" t="s">
        <v>806</v>
      </c>
      <c r="T369" s="19" t="s">
        <v>22</v>
      </c>
      <c r="V369" s="19" t="s">
        <v>178</v>
      </c>
      <c r="W369" s="19" t="s">
        <v>138</v>
      </c>
      <c r="Z369" s="44" t="s">
        <v>807</v>
      </c>
      <c r="AA369" s="44" t="s">
        <v>180</v>
      </c>
    </row>
    <row r="370" spans="1:27" hidden="1" x14ac:dyDescent="0.25">
      <c r="A370" s="26">
        <v>50</v>
      </c>
      <c r="B370" s="19" t="s">
        <v>863</v>
      </c>
      <c r="C370" s="44" t="s">
        <v>172</v>
      </c>
      <c r="D370" s="19" t="s">
        <v>803</v>
      </c>
      <c r="E370" s="19">
        <v>12</v>
      </c>
      <c r="F370" s="19">
        <v>135</v>
      </c>
      <c r="G370" s="19">
        <v>488</v>
      </c>
      <c r="H370" s="19">
        <v>4</v>
      </c>
      <c r="I370" s="80">
        <v>6.19</v>
      </c>
      <c r="J370" s="80">
        <v>24.76</v>
      </c>
      <c r="K370" s="19" t="s">
        <v>184</v>
      </c>
      <c r="L370" s="19" t="s">
        <v>856</v>
      </c>
      <c r="Q370" s="20">
        <v>16</v>
      </c>
      <c r="R370" s="65" t="s">
        <v>806</v>
      </c>
      <c r="T370" s="19" t="s">
        <v>22</v>
      </c>
      <c r="V370" s="19" t="s">
        <v>178</v>
      </c>
      <c r="W370" s="19" t="s">
        <v>138</v>
      </c>
      <c r="Z370" s="44" t="s">
        <v>807</v>
      </c>
      <c r="AA370" s="44" t="s">
        <v>180</v>
      </c>
    </row>
    <row r="371" spans="1:27" hidden="1" x14ac:dyDescent="0.25">
      <c r="A371" s="26">
        <v>51</v>
      </c>
      <c r="B371" s="19" t="s">
        <v>864</v>
      </c>
      <c r="C371" s="44" t="s">
        <v>172</v>
      </c>
      <c r="D371" s="19" t="s">
        <v>803</v>
      </c>
      <c r="E371" s="19">
        <v>12</v>
      </c>
      <c r="F371" s="19">
        <v>135</v>
      </c>
      <c r="G371" s="19">
        <v>488</v>
      </c>
      <c r="H371" s="19">
        <v>4</v>
      </c>
      <c r="I371" s="80">
        <v>6.19</v>
      </c>
      <c r="J371" s="80">
        <v>24.76</v>
      </c>
      <c r="K371" s="19" t="s">
        <v>184</v>
      </c>
      <c r="L371" s="19" t="s">
        <v>856</v>
      </c>
      <c r="Q371" s="20">
        <v>16</v>
      </c>
      <c r="R371" s="65" t="s">
        <v>806</v>
      </c>
      <c r="T371" s="19" t="s">
        <v>22</v>
      </c>
      <c r="V371" s="19" t="s">
        <v>178</v>
      </c>
      <c r="W371" s="19" t="s">
        <v>138</v>
      </c>
      <c r="Z371" s="44" t="s">
        <v>807</v>
      </c>
      <c r="AA371" s="44" t="s">
        <v>180</v>
      </c>
    </row>
    <row r="372" spans="1:27" hidden="1" x14ac:dyDescent="0.25">
      <c r="A372" s="26">
        <v>52</v>
      </c>
      <c r="B372" s="19" t="s">
        <v>865</v>
      </c>
      <c r="C372" s="44" t="s">
        <v>172</v>
      </c>
      <c r="D372" s="19" t="s">
        <v>803</v>
      </c>
      <c r="E372" s="19">
        <v>12</v>
      </c>
      <c r="F372" s="19">
        <v>135</v>
      </c>
      <c r="G372" s="19">
        <v>488</v>
      </c>
      <c r="H372" s="19">
        <v>4</v>
      </c>
      <c r="I372" s="80">
        <v>6.19</v>
      </c>
      <c r="J372" s="80">
        <v>24.76</v>
      </c>
      <c r="K372" s="19" t="s">
        <v>184</v>
      </c>
      <c r="L372" s="19" t="s">
        <v>856</v>
      </c>
      <c r="Q372" s="20">
        <v>16</v>
      </c>
      <c r="R372" s="65" t="s">
        <v>806</v>
      </c>
      <c r="T372" s="19" t="s">
        <v>22</v>
      </c>
      <c r="V372" s="19" t="s">
        <v>178</v>
      </c>
      <c r="W372" s="19" t="s">
        <v>138</v>
      </c>
      <c r="Z372" s="44" t="s">
        <v>807</v>
      </c>
      <c r="AA372" s="44" t="s">
        <v>180</v>
      </c>
    </row>
    <row r="373" spans="1:27" hidden="1" x14ac:dyDescent="0.25">
      <c r="A373" s="26">
        <v>53</v>
      </c>
      <c r="B373" s="19" t="s">
        <v>866</v>
      </c>
      <c r="C373" s="44" t="s">
        <v>172</v>
      </c>
      <c r="D373" s="19" t="s">
        <v>803</v>
      </c>
      <c r="E373" s="19">
        <v>12</v>
      </c>
      <c r="F373" s="19">
        <v>135</v>
      </c>
      <c r="G373" s="19">
        <v>488</v>
      </c>
      <c r="H373" s="19">
        <v>4</v>
      </c>
      <c r="I373" s="80">
        <v>6.19</v>
      </c>
      <c r="J373" s="80">
        <v>24.76</v>
      </c>
      <c r="K373" s="19" t="s">
        <v>184</v>
      </c>
      <c r="L373" s="19" t="s">
        <v>856</v>
      </c>
      <c r="Q373" s="20">
        <v>16</v>
      </c>
      <c r="R373" s="65" t="s">
        <v>806</v>
      </c>
      <c r="T373" s="19" t="s">
        <v>22</v>
      </c>
      <c r="V373" s="19" t="s">
        <v>178</v>
      </c>
      <c r="W373" s="19" t="s">
        <v>138</v>
      </c>
      <c r="Z373" s="44" t="s">
        <v>807</v>
      </c>
      <c r="AA373" s="44" t="s">
        <v>180</v>
      </c>
    </row>
    <row r="374" spans="1:27" hidden="1" x14ac:dyDescent="0.25">
      <c r="A374" s="26">
        <v>54</v>
      </c>
      <c r="B374" s="19" t="s">
        <v>867</v>
      </c>
      <c r="C374" s="44" t="s">
        <v>172</v>
      </c>
      <c r="D374" s="19" t="s">
        <v>803</v>
      </c>
      <c r="E374" s="19">
        <v>12</v>
      </c>
      <c r="F374" s="19">
        <v>135</v>
      </c>
      <c r="G374" s="19">
        <v>488</v>
      </c>
      <c r="H374" s="19">
        <v>4</v>
      </c>
      <c r="I374" s="80">
        <v>6.19</v>
      </c>
      <c r="J374" s="80">
        <v>24.76</v>
      </c>
      <c r="K374" s="19" t="s">
        <v>184</v>
      </c>
      <c r="L374" s="19" t="s">
        <v>856</v>
      </c>
      <c r="Q374" s="20">
        <v>16</v>
      </c>
      <c r="R374" s="65" t="s">
        <v>806</v>
      </c>
      <c r="T374" s="19" t="s">
        <v>22</v>
      </c>
      <c r="V374" s="19" t="s">
        <v>178</v>
      </c>
      <c r="W374" s="19" t="s">
        <v>138</v>
      </c>
      <c r="Z374" s="44" t="s">
        <v>807</v>
      </c>
      <c r="AA374" s="44" t="s">
        <v>180</v>
      </c>
    </row>
    <row r="375" spans="1:27" hidden="1" x14ac:dyDescent="0.25">
      <c r="A375" s="26">
        <v>55</v>
      </c>
      <c r="B375" s="19" t="s">
        <v>868</v>
      </c>
      <c r="C375" s="44" t="s">
        <v>172</v>
      </c>
      <c r="D375" s="19" t="s">
        <v>869</v>
      </c>
      <c r="E375" s="19">
        <v>12</v>
      </c>
      <c r="F375" s="19">
        <v>490</v>
      </c>
      <c r="G375" s="19">
        <v>1514</v>
      </c>
      <c r="H375" s="19">
        <v>1</v>
      </c>
      <c r="I375" s="80">
        <v>69.78</v>
      </c>
      <c r="J375" s="80">
        <v>69.78</v>
      </c>
      <c r="K375" s="19" t="s">
        <v>184</v>
      </c>
      <c r="L375" s="19" t="s">
        <v>856</v>
      </c>
      <c r="Q375" s="20">
        <v>16</v>
      </c>
      <c r="R375" s="65" t="s">
        <v>806</v>
      </c>
      <c r="T375" s="19" t="s">
        <v>22</v>
      </c>
      <c r="V375" s="19" t="s">
        <v>178</v>
      </c>
      <c r="Y375" s="19" t="s">
        <v>138</v>
      </c>
      <c r="Z375" s="44" t="s">
        <v>807</v>
      </c>
      <c r="AA375" s="44" t="s">
        <v>180</v>
      </c>
    </row>
    <row r="376" spans="1:27" hidden="1" x14ac:dyDescent="0.25">
      <c r="A376" s="26">
        <v>56</v>
      </c>
      <c r="B376" s="19" t="s">
        <v>870</v>
      </c>
      <c r="C376" s="44" t="s">
        <v>172</v>
      </c>
      <c r="D376" s="19" t="s">
        <v>803</v>
      </c>
      <c r="E376" s="19">
        <v>12</v>
      </c>
      <c r="F376" s="19">
        <v>135</v>
      </c>
      <c r="G376" s="19">
        <v>488</v>
      </c>
      <c r="H376" s="19">
        <v>4</v>
      </c>
      <c r="I376" s="80">
        <v>6.19</v>
      </c>
      <c r="J376" s="80">
        <v>24.76</v>
      </c>
      <c r="K376" s="19" t="s">
        <v>184</v>
      </c>
      <c r="L376" s="19" t="s">
        <v>856</v>
      </c>
      <c r="Q376" s="20">
        <v>16</v>
      </c>
      <c r="R376" s="65" t="s">
        <v>806</v>
      </c>
      <c r="T376" s="19" t="s">
        <v>22</v>
      </c>
      <c r="V376" s="19" t="s">
        <v>178</v>
      </c>
      <c r="W376" s="19" t="s">
        <v>138</v>
      </c>
      <c r="Z376" s="44" t="s">
        <v>807</v>
      </c>
      <c r="AA376" s="44" t="s">
        <v>180</v>
      </c>
    </row>
    <row r="377" spans="1:27" hidden="1" x14ac:dyDescent="0.25">
      <c r="A377" s="26">
        <v>57</v>
      </c>
      <c r="B377" s="19" t="s">
        <v>871</v>
      </c>
      <c r="C377" s="44" t="s">
        <v>172</v>
      </c>
      <c r="D377" s="19" t="s">
        <v>803</v>
      </c>
      <c r="E377" s="19">
        <v>12</v>
      </c>
      <c r="F377" s="19">
        <v>135</v>
      </c>
      <c r="G377" s="19">
        <v>488</v>
      </c>
      <c r="H377" s="19">
        <v>4</v>
      </c>
      <c r="I377" s="80">
        <v>6.19</v>
      </c>
      <c r="J377" s="80">
        <v>24.76</v>
      </c>
      <c r="K377" s="19" t="s">
        <v>184</v>
      </c>
      <c r="L377" s="19" t="s">
        <v>856</v>
      </c>
      <c r="Q377" s="20">
        <v>16</v>
      </c>
      <c r="R377" s="65" t="s">
        <v>806</v>
      </c>
      <c r="T377" s="19" t="s">
        <v>22</v>
      </c>
      <c r="V377" s="19" t="s">
        <v>178</v>
      </c>
      <c r="W377" s="19" t="s">
        <v>138</v>
      </c>
      <c r="Z377" s="44" t="s">
        <v>807</v>
      </c>
      <c r="AA377" s="44" t="s">
        <v>180</v>
      </c>
    </row>
    <row r="378" spans="1:27" hidden="1" x14ac:dyDescent="0.25">
      <c r="A378" s="26">
        <v>58</v>
      </c>
      <c r="B378" s="19" t="s">
        <v>872</v>
      </c>
      <c r="C378" s="44" t="s">
        <v>172</v>
      </c>
      <c r="D378" s="19" t="s">
        <v>839</v>
      </c>
      <c r="E378" s="19">
        <v>12</v>
      </c>
      <c r="F378" s="19">
        <v>120</v>
      </c>
      <c r="G378" s="19">
        <v>129</v>
      </c>
      <c r="H378" s="19">
        <v>1</v>
      </c>
      <c r="I378" s="80">
        <v>1.32</v>
      </c>
      <c r="J378" s="80">
        <v>1.32</v>
      </c>
      <c r="K378" s="19" t="s">
        <v>184</v>
      </c>
      <c r="L378" s="19" t="s">
        <v>856</v>
      </c>
      <c r="Q378" s="20">
        <v>16</v>
      </c>
      <c r="R378" s="65" t="s">
        <v>806</v>
      </c>
      <c r="T378" s="19" t="s">
        <v>22</v>
      </c>
      <c r="V378" s="19" t="s">
        <v>178</v>
      </c>
      <c r="W378" s="19" t="s">
        <v>138</v>
      </c>
      <c r="Z378" s="44" t="s">
        <v>807</v>
      </c>
      <c r="AA378" s="44" t="s">
        <v>180</v>
      </c>
    </row>
    <row r="379" spans="1:27" hidden="1" x14ac:dyDescent="0.25">
      <c r="A379" s="26">
        <v>59</v>
      </c>
      <c r="B379" s="19" t="s">
        <v>873</v>
      </c>
      <c r="C379" s="44" t="s">
        <v>172</v>
      </c>
      <c r="D379" s="19" t="s">
        <v>874</v>
      </c>
      <c r="E379" s="19">
        <v>12</v>
      </c>
      <c r="F379" s="19">
        <v>100</v>
      </c>
      <c r="G379" s="19">
        <v>150</v>
      </c>
      <c r="H379" s="19">
        <v>1</v>
      </c>
      <c r="I379" s="80">
        <v>1.41</v>
      </c>
      <c r="J379" s="80">
        <v>1.41</v>
      </c>
      <c r="K379" s="19" t="s">
        <v>184</v>
      </c>
      <c r="L379" s="19" t="s">
        <v>856</v>
      </c>
      <c r="Q379" s="20">
        <v>16</v>
      </c>
      <c r="R379" s="65" t="s">
        <v>806</v>
      </c>
      <c r="T379" s="19" t="s">
        <v>22</v>
      </c>
      <c r="V379" s="19" t="s">
        <v>178</v>
      </c>
      <c r="W379" s="19" t="s">
        <v>138</v>
      </c>
      <c r="Z379" s="44" t="s">
        <v>807</v>
      </c>
      <c r="AA379" s="44" t="s">
        <v>180</v>
      </c>
    </row>
    <row r="380" spans="1:27" hidden="1" x14ac:dyDescent="0.25">
      <c r="A380" s="26">
        <v>60</v>
      </c>
      <c r="B380" s="19" t="s">
        <v>875</v>
      </c>
      <c r="C380" s="44" t="s">
        <v>172</v>
      </c>
      <c r="D380" s="19" t="s">
        <v>869</v>
      </c>
      <c r="E380" s="19">
        <v>12</v>
      </c>
      <c r="F380" s="19">
        <v>490</v>
      </c>
      <c r="G380" s="19">
        <v>1514</v>
      </c>
      <c r="H380" s="19">
        <v>1</v>
      </c>
      <c r="I380" s="80">
        <v>69.78</v>
      </c>
      <c r="J380" s="80">
        <v>69.78</v>
      </c>
      <c r="K380" s="19" t="s">
        <v>184</v>
      </c>
      <c r="L380" s="19" t="s">
        <v>856</v>
      </c>
      <c r="Q380" s="20">
        <v>16</v>
      </c>
      <c r="R380" s="65" t="s">
        <v>806</v>
      </c>
      <c r="T380" s="19" t="s">
        <v>22</v>
      </c>
      <c r="V380" s="19" t="s">
        <v>178</v>
      </c>
      <c r="Y380" s="19" t="s">
        <v>138</v>
      </c>
      <c r="Z380" s="44" t="s">
        <v>807</v>
      </c>
      <c r="AA380" s="44" t="s">
        <v>180</v>
      </c>
    </row>
    <row r="381" spans="1:27" hidden="1" x14ac:dyDescent="0.25">
      <c r="A381" s="26">
        <v>61</v>
      </c>
      <c r="B381" s="19" t="s">
        <v>876</v>
      </c>
      <c r="C381" s="44" t="s">
        <v>172</v>
      </c>
      <c r="D381" s="19" t="s">
        <v>877</v>
      </c>
      <c r="E381" s="19">
        <v>12</v>
      </c>
      <c r="F381" s="19">
        <v>130</v>
      </c>
      <c r="G381" s="19">
        <v>1458</v>
      </c>
      <c r="H381" s="19">
        <v>1</v>
      </c>
      <c r="I381" s="80">
        <v>17.84</v>
      </c>
      <c r="J381" s="80">
        <v>17.84</v>
      </c>
      <c r="K381" s="19" t="s">
        <v>184</v>
      </c>
      <c r="L381" s="19" t="s">
        <v>856</v>
      </c>
      <c r="Q381" s="20">
        <v>16</v>
      </c>
      <c r="R381" s="65" t="s">
        <v>806</v>
      </c>
      <c r="T381" s="19" t="s">
        <v>22</v>
      </c>
      <c r="V381" s="19" t="s">
        <v>178</v>
      </c>
      <c r="W381" s="19" t="s">
        <v>138</v>
      </c>
      <c r="Z381" s="44" t="s">
        <v>807</v>
      </c>
      <c r="AA381" s="44" t="s">
        <v>180</v>
      </c>
    </row>
    <row r="382" spans="1:27" hidden="1" x14ac:dyDescent="0.25">
      <c r="A382" s="26">
        <v>62</v>
      </c>
      <c r="B382" s="19" t="s">
        <v>878</v>
      </c>
      <c r="C382" s="44" t="s">
        <v>172</v>
      </c>
      <c r="D382" s="19" t="s">
        <v>879</v>
      </c>
      <c r="E382" s="19">
        <v>12</v>
      </c>
      <c r="F382" s="19">
        <v>130</v>
      </c>
      <c r="G382" s="19">
        <v>263</v>
      </c>
      <c r="H382" s="19">
        <v>1</v>
      </c>
      <c r="I382" s="80">
        <v>3.21</v>
      </c>
      <c r="J382" s="80">
        <v>3.21</v>
      </c>
      <c r="K382" s="19" t="s">
        <v>184</v>
      </c>
      <c r="L382" s="19" t="s">
        <v>856</v>
      </c>
      <c r="Q382" s="20">
        <v>16</v>
      </c>
      <c r="R382" s="65" t="s">
        <v>806</v>
      </c>
      <c r="T382" s="19" t="s">
        <v>22</v>
      </c>
      <c r="V382" s="19" t="s">
        <v>178</v>
      </c>
      <c r="W382" s="19" t="s">
        <v>138</v>
      </c>
      <c r="Z382" s="44" t="s">
        <v>807</v>
      </c>
      <c r="AA382" s="44" t="s">
        <v>180</v>
      </c>
    </row>
    <row r="383" spans="1:27" hidden="1" x14ac:dyDescent="0.25">
      <c r="A383" s="26">
        <v>63</v>
      </c>
      <c r="B383" s="19" t="s">
        <v>880</v>
      </c>
      <c r="C383" s="44" t="s">
        <v>172</v>
      </c>
      <c r="D383" s="19" t="s">
        <v>877</v>
      </c>
      <c r="E383" s="19">
        <v>12</v>
      </c>
      <c r="F383" s="19">
        <v>130</v>
      </c>
      <c r="G383" s="19">
        <v>1458</v>
      </c>
      <c r="H383" s="19">
        <v>1</v>
      </c>
      <c r="I383" s="80">
        <v>17.84</v>
      </c>
      <c r="J383" s="80">
        <v>17.84</v>
      </c>
      <c r="K383" s="19" t="s">
        <v>184</v>
      </c>
      <c r="L383" s="19" t="s">
        <v>856</v>
      </c>
      <c r="Q383" s="20">
        <v>16</v>
      </c>
      <c r="R383" s="65" t="s">
        <v>806</v>
      </c>
      <c r="T383" s="19" t="s">
        <v>22</v>
      </c>
      <c r="V383" s="19" t="s">
        <v>178</v>
      </c>
      <c r="W383" s="19" t="s">
        <v>138</v>
      </c>
      <c r="Z383" s="44" t="s">
        <v>807</v>
      </c>
      <c r="AA383" s="44" t="s">
        <v>180</v>
      </c>
    </row>
    <row r="384" spans="1:27" hidden="1" x14ac:dyDescent="0.25">
      <c r="A384" s="26">
        <v>64</v>
      </c>
      <c r="B384" s="19" t="s">
        <v>881</v>
      </c>
      <c r="C384" s="44" t="s">
        <v>172</v>
      </c>
      <c r="D384" s="19" t="s">
        <v>879</v>
      </c>
      <c r="E384" s="19">
        <v>12</v>
      </c>
      <c r="F384" s="19">
        <v>130</v>
      </c>
      <c r="G384" s="19">
        <v>263</v>
      </c>
      <c r="H384" s="19">
        <v>1</v>
      </c>
      <c r="I384" s="80">
        <v>3.21</v>
      </c>
      <c r="J384" s="80">
        <v>3.21</v>
      </c>
      <c r="K384" s="19" t="s">
        <v>184</v>
      </c>
      <c r="L384" s="19" t="s">
        <v>856</v>
      </c>
      <c r="Q384" s="20">
        <v>16</v>
      </c>
      <c r="R384" s="65" t="s">
        <v>806</v>
      </c>
      <c r="T384" s="19" t="s">
        <v>22</v>
      </c>
      <c r="V384" s="19" t="s">
        <v>178</v>
      </c>
      <c r="W384" s="19" t="s">
        <v>138</v>
      </c>
      <c r="Z384" s="44" t="s">
        <v>807</v>
      </c>
      <c r="AA384" s="44" t="s">
        <v>180</v>
      </c>
    </row>
    <row r="385" spans="1:27" hidden="1" x14ac:dyDescent="0.25">
      <c r="A385" s="26">
        <v>65</v>
      </c>
      <c r="B385" s="19" t="s">
        <v>882</v>
      </c>
      <c r="C385" s="44" t="s">
        <v>172</v>
      </c>
      <c r="D385" s="19" t="s">
        <v>803</v>
      </c>
      <c r="E385" s="19">
        <v>12</v>
      </c>
      <c r="F385" s="19">
        <v>135</v>
      </c>
      <c r="G385" s="19">
        <v>488</v>
      </c>
      <c r="H385" s="19">
        <v>4</v>
      </c>
      <c r="I385" s="80">
        <v>6.19</v>
      </c>
      <c r="J385" s="80">
        <v>24.76</v>
      </c>
      <c r="K385" s="19" t="s">
        <v>184</v>
      </c>
      <c r="L385" s="19" t="s">
        <v>883</v>
      </c>
      <c r="Q385" s="20">
        <v>16</v>
      </c>
      <c r="R385" s="65" t="s">
        <v>806</v>
      </c>
      <c r="T385" s="19" t="s">
        <v>22</v>
      </c>
      <c r="V385" s="19" t="s">
        <v>178</v>
      </c>
      <c r="W385" s="19" t="s">
        <v>138</v>
      </c>
      <c r="Z385" s="44" t="s">
        <v>807</v>
      </c>
      <c r="AA385" s="44" t="s">
        <v>180</v>
      </c>
    </row>
    <row r="386" spans="1:27" hidden="1" x14ac:dyDescent="0.25">
      <c r="A386" s="26">
        <v>66</v>
      </c>
      <c r="B386" s="19" t="s">
        <v>884</v>
      </c>
      <c r="C386" s="44" t="s">
        <v>172</v>
      </c>
      <c r="D386" s="19" t="s">
        <v>869</v>
      </c>
      <c r="E386" s="19">
        <v>12</v>
      </c>
      <c r="F386" s="19">
        <v>490</v>
      </c>
      <c r="G386" s="19">
        <v>1514</v>
      </c>
      <c r="H386" s="19">
        <v>1</v>
      </c>
      <c r="I386" s="80">
        <v>69.78</v>
      </c>
      <c r="J386" s="80">
        <v>69.78</v>
      </c>
      <c r="K386" s="19" t="s">
        <v>184</v>
      </c>
      <c r="L386" s="19" t="s">
        <v>883</v>
      </c>
      <c r="Q386" s="20">
        <v>16</v>
      </c>
      <c r="R386" s="65" t="s">
        <v>806</v>
      </c>
      <c r="T386" s="19" t="s">
        <v>22</v>
      </c>
      <c r="V386" s="19" t="s">
        <v>178</v>
      </c>
      <c r="Y386" s="19" t="s">
        <v>138</v>
      </c>
      <c r="Z386" s="44" t="s">
        <v>807</v>
      </c>
      <c r="AA386" s="44" t="s">
        <v>180</v>
      </c>
    </row>
    <row r="387" spans="1:27" hidden="1" x14ac:dyDescent="0.25">
      <c r="A387" s="26">
        <v>67</v>
      </c>
      <c r="B387" s="19" t="s">
        <v>885</v>
      </c>
      <c r="C387" s="44" t="s">
        <v>172</v>
      </c>
      <c r="D387" s="19" t="s">
        <v>812</v>
      </c>
      <c r="E387" s="19">
        <v>12</v>
      </c>
      <c r="F387" s="19">
        <v>490</v>
      </c>
      <c r="G387" s="19">
        <v>6464</v>
      </c>
      <c r="H387" s="19">
        <v>1</v>
      </c>
      <c r="I387" s="80">
        <v>298.16000000000003</v>
      </c>
      <c r="J387" s="80">
        <v>298.16000000000003</v>
      </c>
      <c r="K387" s="19" t="s">
        <v>184</v>
      </c>
      <c r="L387" s="19" t="s">
        <v>883</v>
      </c>
      <c r="Q387" s="20">
        <v>16</v>
      </c>
      <c r="R387" s="65" t="s">
        <v>806</v>
      </c>
      <c r="T387" s="19" t="s">
        <v>22</v>
      </c>
      <c r="V387" s="19" t="s">
        <v>178</v>
      </c>
      <c r="Y387" s="19" t="s">
        <v>138</v>
      </c>
      <c r="Z387" s="44" t="s">
        <v>807</v>
      </c>
      <c r="AA387" s="44" t="s">
        <v>180</v>
      </c>
    </row>
    <row r="388" spans="1:27" hidden="1" x14ac:dyDescent="0.25">
      <c r="A388" s="26">
        <v>68</v>
      </c>
      <c r="B388" s="19" t="s">
        <v>836</v>
      </c>
      <c r="C388" s="44" t="s">
        <v>172</v>
      </c>
      <c r="D388" s="19" t="s">
        <v>803</v>
      </c>
      <c r="E388" s="19">
        <v>12</v>
      </c>
      <c r="F388" s="19">
        <v>135</v>
      </c>
      <c r="G388" s="19">
        <v>488</v>
      </c>
      <c r="H388" s="19">
        <v>6</v>
      </c>
      <c r="I388" s="80">
        <v>6.19</v>
      </c>
      <c r="J388" s="80">
        <v>37.14</v>
      </c>
      <c r="K388" s="19" t="s">
        <v>184</v>
      </c>
      <c r="L388" s="19" t="s">
        <v>883</v>
      </c>
      <c r="Q388" s="20">
        <v>16</v>
      </c>
      <c r="R388" s="65" t="s">
        <v>806</v>
      </c>
      <c r="T388" s="19" t="s">
        <v>22</v>
      </c>
      <c r="V388" s="19" t="s">
        <v>178</v>
      </c>
      <c r="W388" s="19" t="s">
        <v>138</v>
      </c>
      <c r="Z388" s="44" t="s">
        <v>807</v>
      </c>
      <c r="AA388" s="44" t="s">
        <v>180</v>
      </c>
    </row>
    <row r="389" spans="1:27" hidden="1" x14ac:dyDescent="0.25">
      <c r="A389" s="26">
        <v>69</v>
      </c>
      <c r="B389" s="19" t="s">
        <v>886</v>
      </c>
      <c r="C389" s="44" t="s">
        <v>172</v>
      </c>
      <c r="D389" s="19" t="s">
        <v>869</v>
      </c>
      <c r="E389" s="19">
        <v>12</v>
      </c>
      <c r="F389" s="19">
        <v>490</v>
      </c>
      <c r="G389" s="19">
        <v>1514</v>
      </c>
      <c r="H389" s="19">
        <v>1</v>
      </c>
      <c r="I389" s="80">
        <v>69.78</v>
      </c>
      <c r="J389" s="80">
        <v>69.78</v>
      </c>
      <c r="K389" s="19" t="s">
        <v>184</v>
      </c>
      <c r="L389" s="19" t="s">
        <v>883</v>
      </c>
      <c r="Q389" s="20">
        <v>16</v>
      </c>
      <c r="R389" s="65" t="s">
        <v>806</v>
      </c>
      <c r="T389" s="19" t="s">
        <v>22</v>
      </c>
      <c r="V389" s="19" t="s">
        <v>178</v>
      </c>
      <c r="Y389" s="19" t="s">
        <v>138</v>
      </c>
      <c r="Z389" s="44" t="s">
        <v>807</v>
      </c>
      <c r="AA389" s="44" t="s">
        <v>180</v>
      </c>
    </row>
    <row r="390" spans="1:27" hidden="1" x14ac:dyDescent="0.25">
      <c r="A390" s="26">
        <v>70</v>
      </c>
      <c r="B390" s="19" t="s">
        <v>887</v>
      </c>
      <c r="C390" s="44" t="s">
        <v>172</v>
      </c>
      <c r="D390" s="19" t="s">
        <v>812</v>
      </c>
      <c r="E390" s="19">
        <v>12</v>
      </c>
      <c r="F390" s="19">
        <v>490</v>
      </c>
      <c r="G390" s="19">
        <v>6464</v>
      </c>
      <c r="H390" s="19">
        <v>1</v>
      </c>
      <c r="I390" s="80">
        <v>298.26</v>
      </c>
      <c r="J390" s="80">
        <v>298.26</v>
      </c>
      <c r="K390" s="19" t="s">
        <v>184</v>
      </c>
      <c r="L390" s="19" t="s">
        <v>883</v>
      </c>
      <c r="Q390" s="20">
        <v>16</v>
      </c>
      <c r="R390" s="65" t="s">
        <v>806</v>
      </c>
      <c r="T390" s="19" t="s">
        <v>22</v>
      </c>
      <c r="V390" s="19" t="s">
        <v>178</v>
      </c>
      <c r="Y390" s="19" t="s">
        <v>138</v>
      </c>
      <c r="Z390" s="44" t="s">
        <v>807</v>
      </c>
      <c r="AA390" s="44" t="s">
        <v>180</v>
      </c>
    </row>
    <row r="391" spans="1:27" hidden="1" x14ac:dyDescent="0.25">
      <c r="A391" s="26">
        <v>71</v>
      </c>
      <c r="B391" s="19" t="s">
        <v>888</v>
      </c>
      <c r="C391" s="44" t="s">
        <v>172</v>
      </c>
      <c r="D391" s="19" t="s">
        <v>812</v>
      </c>
      <c r="E391" s="19">
        <v>12</v>
      </c>
      <c r="F391" s="19">
        <v>490</v>
      </c>
      <c r="G391" s="19">
        <v>6464</v>
      </c>
      <c r="H391" s="19">
        <v>1</v>
      </c>
      <c r="I391" s="80">
        <v>298.26</v>
      </c>
      <c r="J391" s="80">
        <v>298.26</v>
      </c>
      <c r="K391" s="19" t="s">
        <v>184</v>
      </c>
      <c r="L391" s="19" t="s">
        <v>883</v>
      </c>
      <c r="Q391" s="20">
        <v>16</v>
      </c>
      <c r="R391" s="65" t="s">
        <v>806</v>
      </c>
      <c r="T391" s="19" t="s">
        <v>22</v>
      </c>
      <c r="V391" s="19" t="s">
        <v>178</v>
      </c>
      <c r="Y391" s="19" t="s">
        <v>138</v>
      </c>
      <c r="Z391" s="44" t="s">
        <v>807</v>
      </c>
      <c r="AA391" s="44" t="s">
        <v>180</v>
      </c>
    </row>
    <row r="392" spans="1:27" hidden="1" x14ac:dyDescent="0.25">
      <c r="A392" s="26">
        <v>72</v>
      </c>
      <c r="B392" s="19" t="s">
        <v>849</v>
      </c>
      <c r="C392" s="44" t="s">
        <v>172</v>
      </c>
      <c r="D392" s="19" t="s">
        <v>839</v>
      </c>
      <c r="E392" s="19">
        <v>12</v>
      </c>
      <c r="F392" s="19">
        <v>120</v>
      </c>
      <c r="G392" s="19">
        <v>129</v>
      </c>
      <c r="H392" s="19">
        <v>3</v>
      </c>
      <c r="I392" s="80">
        <v>1.32</v>
      </c>
      <c r="J392" s="80">
        <v>3.97</v>
      </c>
      <c r="K392" s="19" t="s">
        <v>184</v>
      </c>
      <c r="L392" s="19" t="s">
        <v>883</v>
      </c>
      <c r="Q392" s="20">
        <v>16</v>
      </c>
      <c r="R392" s="65" t="s">
        <v>806</v>
      </c>
      <c r="T392" s="19" t="s">
        <v>22</v>
      </c>
      <c r="V392" s="19" t="s">
        <v>178</v>
      </c>
      <c r="W392" s="19" t="s">
        <v>138</v>
      </c>
      <c r="Z392" s="44" t="s">
        <v>807</v>
      </c>
      <c r="AA392" s="44" t="s">
        <v>180</v>
      </c>
    </row>
    <row r="393" spans="1:27" hidden="1" x14ac:dyDescent="0.25">
      <c r="A393" s="26">
        <v>73</v>
      </c>
      <c r="B393" s="19" t="s">
        <v>889</v>
      </c>
      <c r="C393" s="44" t="s">
        <v>172</v>
      </c>
      <c r="D393" s="19" t="s">
        <v>803</v>
      </c>
      <c r="E393" s="19">
        <v>12</v>
      </c>
      <c r="F393" s="19">
        <v>135</v>
      </c>
      <c r="G393" s="19">
        <v>488</v>
      </c>
      <c r="H393" s="19">
        <v>4</v>
      </c>
      <c r="I393" s="80">
        <v>6.19</v>
      </c>
      <c r="J393" s="80">
        <v>24.76</v>
      </c>
      <c r="K393" s="19" t="s">
        <v>184</v>
      </c>
      <c r="L393" s="19" t="s">
        <v>883</v>
      </c>
      <c r="Q393" s="20">
        <v>16</v>
      </c>
      <c r="R393" s="65" t="s">
        <v>806</v>
      </c>
      <c r="T393" s="19" t="s">
        <v>22</v>
      </c>
      <c r="V393" s="19" t="s">
        <v>178</v>
      </c>
      <c r="W393" s="19" t="s">
        <v>138</v>
      </c>
      <c r="Z393" s="44" t="s">
        <v>807</v>
      </c>
      <c r="AA393" s="44" t="s">
        <v>180</v>
      </c>
    </row>
    <row r="394" spans="1:27" hidden="1" x14ac:dyDescent="0.25">
      <c r="A394" s="26">
        <v>74</v>
      </c>
      <c r="B394" s="19" t="s">
        <v>890</v>
      </c>
      <c r="C394" s="44" t="s">
        <v>172</v>
      </c>
      <c r="D394" s="19" t="s">
        <v>803</v>
      </c>
      <c r="E394" s="19">
        <v>12</v>
      </c>
      <c r="F394" s="19">
        <v>135</v>
      </c>
      <c r="G394" s="19">
        <v>488</v>
      </c>
      <c r="H394" s="19">
        <v>4</v>
      </c>
      <c r="I394" s="80">
        <v>6.19</v>
      </c>
      <c r="J394" s="80">
        <v>24.76</v>
      </c>
      <c r="K394" s="19" t="s">
        <v>184</v>
      </c>
      <c r="L394" s="19" t="s">
        <v>883</v>
      </c>
      <c r="Q394" s="20">
        <v>16</v>
      </c>
      <c r="R394" s="65" t="s">
        <v>806</v>
      </c>
      <c r="T394" s="19" t="s">
        <v>22</v>
      </c>
      <c r="V394" s="19" t="s">
        <v>178</v>
      </c>
      <c r="W394" s="19" t="s">
        <v>138</v>
      </c>
      <c r="Z394" s="44" t="s">
        <v>807</v>
      </c>
      <c r="AA394" s="44" t="s">
        <v>180</v>
      </c>
    </row>
    <row r="395" spans="1:27" hidden="1" x14ac:dyDescent="0.25">
      <c r="A395" s="26">
        <v>75</v>
      </c>
      <c r="B395" s="19" t="s">
        <v>829</v>
      </c>
      <c r="C395" s="44" t="s">
        <v>172</v>
      </c>
      <c r="D395" s="19" t="s">
        <v>803</v>
      </c>
      <c r="E395" s="19">
        <v>12</v>
      </c>
      <c r="F395" s="19">
        <v>135</v>
      </c>
      <c r="G395" s="19">
        <v>488</v>
      </c>
      <c r="H395" s="19">
        <v>2</v>
      </c>
      <c r="I395" s="80">
        <v>6.19</v>
      </c>
      <c r="J395" s="80">
        <v>12.38</v>
      </c>
      <c r="K395" s="19" t="s">
        <v>184</v>
      </c>
      <c r="L395" s="19" t="s">
        <v>883</v>
      </c>
      <c r="Q395" s="20">
        <v>16</v>
      </c>
      <c r="R395" s="65" t="s">
        <v>806</v>
      </c>
      <c r="T395" s="19" t="s">
        <v>22</v>
      </c>
      <c r="V395" s="19" t="s">
        <v>178</v>
      </c>
      <c r="W395" s="19" t="s">
        <v>138</v>
      </c>
      <c r="Z395" s="44" t="s">
        <v>807</v>
      </c>
      <c r="AA395" s="44" t="s">
        <v>180</v>
      </c>
    </row>
    <row r="396" spans="1:27" hidden="1" x14ac:dyDescent="0.25">
      <c r="A396" s="26">
        <v>76</v>
      </c>
      <c r="B396" s="19" t="s">
        <v>891</v>
      </c>
      <c r="C396" s="44" t="s">
        <v>172</v>
      </c>
      <c r="D396" s="19" t="s">
        <v>812</v>
      </c>
      <c r="E396" s="19">
        <v>12</v>
      </c>
      <c r="F396" s="19">
        <v>490</v>
      </c>
      <c r="G396" s="19">
        <v>6464</v>
      </c>
      <c r="H396" s="19">
        <v>1</v>
      </c>
      <c r="I396" s="80">
        <v>298.16000000000003</v>
      </c>
      <c r="J396" s="80">
        <v>298.16000000000003</v>
      </c>
      <c r="K396" s="19" t="s">
        <v>184</v>
      </c>
      <c r="L396" s="19" t="s">
        <v>883</v>
      </c>
      <c r="Q396" s="20">
        <v>16</v>
      </c>
      <c r="R396" s="65" t="s">
        <v>806</v>
      </c>
      <c r="T396" s="19" t="s">
        <v>22</v>
      </c>
      <c r="V396" s="19" t="s">
        <v>178</v>
      </c>
      <c r="Y396" s="19" t="s">
        <v>138</v>
      </c>
      <c r="Z396" s="44" t="s">
        <v>807</v>
      </c>
      <c r="AA396" s="44" t="s">
        <v>180</v>
      </c>
    </row>
    <row r="397" spans="1:27" hidden="1" x14ac:dyDescent="0.25">
      <c r="A397" s="26">
        <v>77</v>
      </c>
      <c r="B397" s="19" t="s">
        <v>892</v>
      </c>
      <c r="C397" s="44" t="s">
        <v>172</v>
      </c>
      <c r="D397" s="19" t="s">
        <v>803</v>
      </c>
      <c r="E397" s="19">
        <v>12</v>
      </c>
      <c r="F397" s="19">
        <v>135</v>
      </c>
      <c r="G397" s="19">
        <v>488</v>
      </c>
      <c r="H397" s="19">
        <v>7</v>
      </c>
      <c r="I397" s="80">
        <v>6.19</v>
      </c>
      <c r="J397" s="80">
        <v>43.33</v>
      </c>
      <c r="K397" s="19" t="s">
        <v>184</v>
      </c>
      <c r="L397" s="19" t="s">
        <v>883</v>
      </c>
      <c r="Q397" s="20">
        <v>16</v>
      </c>
      <c r="R397" s="65" t="s">
        <v>806</v>
      </c>
      <c r="T397" s="19" t="s">
        <v>22</v>
      </c>
      <c r="V397" s="19" t="s">
        <v>178</v>
      </c>
      <c r="W397" s="19" t="s">
        <v>138</v>
      </c>
      <c r="Z397" s="44" t="s">
        <v>807</v>
      </c>
      <c r="AA397" s="44" t="s">
        <v>180</v>
      </c>
    </row>
    <row r="398" spans="1:27" hidden="1" x14ac:dyDescent="0.25">
      <c r="A398" s="26">
        <v>78</v>
      </c>
      <c r="B398" s="19" t="s">
        <v>893</v>
      </c>
      <c r="C398" s="44" t="s">
        <v>172</v>
      </c>
      <c r="D398" s="19" t="s">
        <v>803</v>
      </c>
      <c r="E398" s="19">
        <v>12</v>
      </c>
      <c r="F398" s="19">
        <v>135</v>
      </c>
      <c r="G398" s="19">
        <v>488</v>
      </c>
      <c r="H398" s="19">
        <v>8</v>
      </c>
      <c r="I398" s="80">
        <v>6.19</v>
      </c>
      <c r="J398" s="80">
        <v>49.52</v>
      </c>
      <c r="K398" s="19" t="s">
        <v>184</v>
      </c>
      <c r="L398" s="19" t="s">
        <v>883</v>
      </c>
      <c r="Q398" s="20">
        <v>16</v>
      </c>
      <c r="R398" s="65" t="s">
        <v>806</v>
      </c>
      <c r="T398" s="19" t="s">
        <v>22</v>
      </c>
      <c r="V398" s="19" t="s">
        <v>178</v>
      </c>
      <c r="W398" s="19" t="s">
        <v>138</v>
      </c>
      <c r="Z398" s="44" t="s">
        <v>807</v>
      </c>
      <c r="AA398" s="44" t="s">
        <v>180</v>
      </c>
    </row>
    <row r="399" spans="1:27" hidden="1" x14ac:dyDescent="0.25">
      <c r="A399" s="26">
        <v>79</v>
      </c>
      <c r="B399" s="19" t="s">
        <v>894</v>
      </c>
      <c r="C399" s="44" t="s">
        <v>172</v>
      </c>
      <c r="D399" s="19" t="s">
        <v>803</v>
      </c>
      <c r="E399" s="19">
        <v>12</v>
      </c>
      <c r="F399" s="19">
        <v>135</v>
      </c>
      <c r="G399" s="19">
        <v>488</v>
      </c>
      <c r="H399" s="19">
        <v>17</v>
      </c>
      <c r="I399" s="80">
        <v>6.19</v>
      </c>
      <c r="J399" s="80">
        <v>105.23</v>
      </c>
      <c r="K399" s="19" t="s">
        <v>184</v>
      </c>
      <c r="L399" s="19" t="s">
        <v>883</v>
      </c>
      <c r="Q399" s="20">
        <v>16</v>
      </c>
      <c r="R399" s="65" t="s">
        <v>806</v>
      </c>
      <c r="T399" s="19" t="s">
        <v>22</v>
      </c>
      <c r="V399" s="19" t="s">
        <v>178</v>
      </c>
      <c r="W399" s="19" t="s">
        <v>138</v>
      </c>
      <c r="Z399" s="44" t="s">
        <v>807</v>
      </c>
      <c r="AA399" s="44" t="s">
        <v>180</v>
      </c>
    </row>
    <row r="400" spans="1:27" hidden="1" x14ac:dyDescent="0.25">
      <c r="A400" s="26">
        <v>80</v>
      </c>
      <c r="B400" s="19" t="s">
        <v>895</v>
      </c>
      <c r="C400" s="44" t="s">
        <v>172</v>
      </c>
      <c r="D400" s="19" t="s">
        <v>803</v>
      </c>
      <c r="E400" s="19">
        <v>12</v>
      </c>
      <c r="F400" s="19">
        <v>135</v>
      </c>
      <c r="G400" s="19">
        <v>488</v>
      </c>
      <c r="H400" s="19">
        <v>17</v>
      </c>
      <c r="I400" s="80">
        <v>6.19</v>
      </c>
      <c r="J400" s="80">
        <v>105.23</v>
      </c>
      <c r="K400" s="19" t="s">
        <v>184</v>
      </c>
      <c r="L400" s="19" t="s">
        <v>883</v>
      </c>
      <c r="Q400" s="20">
        <v>16</v>
      </c>
      <c r="R400" s="65" t="s">
        <v>806</v>
      </c>
      <c r="T400" s="19" t="s">
        <v>22</v>
      </c>
      <c r="V400" s="19" t="s">
        <v>178</v>
      </c>
      <c r="W400" s="19" t="s">
        <v>138</v>
      </c>
      <c r="Z400" s="44" t="s">
        <v>807</v>
      </c>
      <c r="AA400" s="44" t="s">
        <v>180</v>
      </c>
    </row>
    <row r="401" spans="1:27" hidden="1" x14ac:dyDescent="0.25">
      <c r="A401" s="26">
        <v>81</v>
      </c>
      <c r="B401" s="19" t="s">
        <v>896</v>
      </c>
      <c r="C401" s="44" t="s">
        <v>172</v>
      </c>
      <c r="D401" s="19" t="s">
        <v>803</v>
      </c>
      <c r="E401" s="19">
        <v>12</v>
      </c>
      <c r="F401" s="19">
        <v>135</v>
      </c>
      <c r="G401" s="19">
        <v>488</v>
      </c>
      <c r="H401" s="19">
        <v>1</v>
      </c>
      <c r="I401" s="80">
        <v>6.19</v>
      </c>
      <c r="J401" s="80">
        <v>6.19</v>
      </c>
      <c r="K401" s="19" t="s">
        <v>184</v>
      </c>
      <c r="L401" s="19" t="s">
        <v>883</v>
      </c>
      <c r="Q401" s="20">
        <v>16</v>
      </c>
      <c r="R401" s="65" t="s">
        <v>806</v>
      </c>
      <c r="T401" s="19" t="s">
        <v>22</v>
      </c>
      <c r="V401" s="19" t="s">
        <v>178</v>
      </c>
      <c r="W401" s="19" t="s">
        <v>138</v>
      </c>
      <c r="Z401" s="44" t="s">
        <v>807</v>
      </c>
      <c r="AA401" s="44" t="s">
        <v>180</v>
      </c>
    </row>
    <row r="402" spans="1:27" hidden="1" x14ac:dyDescent="0.25">
      <c r="A402" s="26">
        <v>82</v>
      </c>
      <c r="B402" s="19" t="s">
        <v>860</v>
      </c>
      <c r="C402" s="44" t="s">
        <v>172</v>
      </c>
      <c r="D402" s="19" t="s">
        <v>803</v>
      </c>
      <c r="E402" s="19">
        <v>12</v>
      </c>
      <c r="F402" s="19">
        <v>135</v>
      </c>
      <c r="G402" s="19">
        <v>488</v>
      </c>
      <c r="H402" s="19">
        <v>4</v>
      </c>
      <c r="I402" s="80">
        <v>6.19</v>
      </c>
      <c r="J402" s="80">
        <v>24.76</v>
      </c>
      <c r="K402" s="19" t="s">
        <v>184</v>
      </c>
      <c r="L402" s="19" t="s">
        <v>883</v>
      </c>
      <c r="Q402" s="20">
        <v>16</v>
      </c>
      <c r="R402" s="65" t="s">
        <v>806</v>
      </c>
      <c r="T402" s="19" t="s">
        <v>22</v>
      </c>
      <c r="V402" s="19" t="s">
        <v>178</v>
      </c>
      <c r="W402" s="19" t="s">
        <v>138</v>
      </c>
      <c r="Z402" s="44" t="s">
        <v>807</v>
      </c>
      <c r="AA402" s="44" t="s">
        <v>180</v>
      </c>
    </row>
    <row r="403" spans="1:27" hidden="1" x14ac:dyDescent="0.25">
      <c r="A403" s="26">
        <v>83</v>
      </c>
      <c r="B403" s="19" t="s">
        <v>897</v>
      </c>
      <c r="C403" s="44" t="s">
        <v>172</v>
      </c>
      <c r="D403" s="19" t="s">
        <v>869</v>
      </c>
      <c r="E403" s="19">
        <v>12</v>
      </c>
      <c r="F403" s="19">
        <v>490</v>
      </c>
      <c r="G403" s="19">
        <v>1514</v>
      </c>
      <c r="H403" s="19">
        <v>1</v>
      </c>
      <c r="I403" s="80">
        <v>69.78</v>
      </c>
      <c r="J403" s="80">
        <v>69.78</v>
      </c>
      <c r="K403" s="19" t="s">
        <v>184</v>
      </c>
      <c r="L403" s="19" t="s">
        <v>883</v>
      </c>
      <c r="Q403" s="20">
        <v>16</v>
      </c>
      <c r="R403" s="65" t="s">
        <v>806</v>
      </c>
      <c r="T403" s="19" t="s">
        <v>22</v>
      </c>
      <c r="V403" s="19" t="s">
        <v>178</v>
      </c>
      <c r="Y403" s="19" t="s">
        <v>138</v>
      </c>
      <c r="Z403" s="44" t="s">
        <v>807</v>
      </c>
      <c r="AA403" s="44" t="s">
        <v>180</v>
      </c>
    </row>
    <row r="404" spans="1:27" hidden="1" x14ac:dyDescent="0.25">
      <c r="A404" s="26">
        <v>84</v>
      </c>
      <c r="B404" s="19" t="s">
        <v>898</v>
      </c>
      <c r="C404" s="44" t="s">
        <v>172</v>
      </c>
      <c r="D404" s="19" t="s">
        <v>869</v>
      </c>
      <c r="E404" s="19">
        <v>12</v>
      </c>
      <c r="F404" s="19">
        <v>490</v>
      </c>
      <c r="G404" s="19">
        <v>1514</v>
      </c>
      <c r="H404" s="19">
        <v>1</v>
      </c>
      <c r="I404" s="80">
        <v>69.78</v>
      </c>
      <c r="J404" s="80">
        <v>69.78</v>
      </c>
      <c r="K404" s="19" t="s">
        <v>184</v>
      </c>
      <c r="L404" s="19" t="s">
        <v>883</v>
      </c>
      <c r="Q404" s="20">
        <v>16</v>
      </c>
      <c r="R404" s="65" t="s">
        <v>806</v>
      </c>
      <c r="T404" s="19" t="s">
        <v>22</v>
      </c>
      <c r="V404" s="19" t="s">
        <v>178</v>
      </c>
      <c r="Y404" s="19" t="s">
        <v>138</v>
      </c>
      <c r="Z404" s="44" t="s">
        <v>807</v>
      </c>
      <c r="AA404" s="44" t="s">
        <v>180</v>
      </c>
    </row>
    <row r="405" spans="1:27" hidden="1" x14ac:dyDescent="0.25">
      <c r="A405" s="26">
        <v>85</v>
      </c>
      <c r="B405" s="19" t="s">
        <v>899</v>
      </c>
      <c r="C405" s="44" t="s">
        <v>172</v>
      </c>
      <c r="D405" s="19" t="s">
        <v>869</v>
      </c>
      <c r="E405" s="19">
        <v>12</v>
      </c>
      <c r="F405" s="19">
        <v>490</v>
      </c>
      <c r="G405" s="19">
        <v>1514</v>
      </c>
      <c r="H405" s="19">
        <v>1</v>
      </c>
      <c r="I405" s="80">
        <v>69.78</v>
      </c>
      <c r="J405" s="80">
        <v>69.78</v>
      </c>
      <c r="K405" s="19" t="s">
        <v>184</v>
      </c>
      <c r="L405" s="19" t="s">
        <v>883</v>
      </c>
      <c r="Q405" s="20">
        <v>16</v>
      </c>
      <c r="R405" s="65" t="s">
        <v>806</v>
      </c>
      <c r="T405" s="19" t="s">
        <v>22</v>
      </c>
      <c r="V405" s="19" t="s">
        <v>178</v>
      </c>
      <c r="Y405" s="19" t="s">
        <v>138</v>
      </c>
      <c r="Z405" s="44" t="s">
        <v>807</v>
      </c>
      <c r="AA405" s="44" t="s">
        <v>180</v>
      </c>
    </row>
    <row r="406" spans="1:27" hidden="1" x14ac:dyDescent="0.25">
      <c r="A406" s="26">
        <v>86</v>
      </c>
      <c r="B406" s="19" t="s">
        <v>900</v>
      </c>
      <c r="C406" s="44" t="s">
        <v>172</v>
      </c>
      <c r="D406" s="19" t="s">
        <v>869</v>
      </c>
      <c r="E406" s="19">
        <v>12</v>
      </c>
      <c r="F406" s="19">
        <v>490</v>
      </c>
      <c r="G406" s="19">
        <v>1514</v>
      </c>
      <c r="H406" s="19">
        <v>1</v>
      </c>
      <c r="I406" s="80">
        <v>69.78</v>
      </c>
      <c r="J406" s="80">
        <v>69.78</v>
      </c>
      <c r="K406" s="19" t="s">
        <v>184</v>
      </c>
      <c r="L406" s="19" t="s">
        <v>883</v>
      </c>
      <c r="Q406" s="20">
        <v>16</v>
      </c>
      <c r="R406" s="65" t="s">
        <v>806</v>
      </c>
      <c r="T406" s="19" t="s">
        <v>22</v>
      </c>
      <c r="V406" s="19" t="s">
        <v>178</v>
      </c>
      <c r="Y406" s="19" t="s">
        <v>138</v>
      </c>
      <c r="Z406" s="44" t="s">
        <v>807</v>
      </c>
      <c r="AA406" s="44" t="s">
        <v>180</v>
      </c>
    </row>
    <row r="407" spans="1:27" hidden="1" x14ac:dyDescent="0.25">
      <c r="A407" s="26">
        <v>87</v>
      </c>
      <c r="B407" s="19" t="s">
        <v>901</v>
      </c>
      <c r="C407" s="44" t="s">
        <v>172</v>
      </c>
      <c r="D407" s="19" t="s">
        <v>869</v>
      </c>
      <c r="E407" s="19">
        <v>12</v>
      </c>
      <c r="F407" s="19">
        <v>490</v>
      </c>
      <c r="G407" s="19">
        <v>1514</v>
      </c>
      <c r="H407" s="19">
        <v>1</v>
      </c>
      <c r="I407" s="80">
        <v>69.78</v>
      </c>
      <c r="J407" s="80">
        <v>69.78</v>
      </c>
      <c r="K407" s="19" t="s">
        <v>184</v>
      </c>
      <c r="L407" s="19" t="s">
        <v>883</v>
      </c>
      <c r="Q407" s="20">
        <v>16</v>
      </c>
      <c r="R407" s="65" t="s">
        <v>806</v>
      </c>
      <c r="T407" s="19" t="s">
        <v>22</v>
      </c>
      <c r="V407" s="19" t="s">
        <v>178</v>
      </c>
      <c r="Y407" s="19" t="s">
        <v>138</v>
      </c>
      <c r="Z407" s="44" t="s">
        <v>807</v>
      </c>
      <c r="AA407" s="44" t="s">
        <v>180</v>
      </c>
    </row>
    <row r="408" spans="1:27" hidden="1" x14ac:dyDescent="0.25">
      <c r="A408" s="26">
        <v>88</v>
      </c>
      <c r="B408" s="19" t="s">
        <v>902</v>
      </c>
      <c r="C408" s="44" t="s">
        <v>172</v>
      </c>
      <c r="D408" s="19" t="s">
        <v>869</v>
      </c>
      <c r="E408" s="19">
        <v>12</v>
      </c>
      <c r="F408" s="19">
        <v>490</v>
      </c>
      <c r="G408" s="19">
        <v>1514</v>
      </c>
      <c r="H408" s="19">
        <v>1</v>
      </c>
      <c r="I408" s="80">
        <v>69.78</v>
      </c>
      <c r="J408" s="80">
        <v>69.78</v>
      </c>
      <c r="K408" s="19" t="s">
        <v>184</v>
      </c>
      <c r="L408" s="19" t="s">
        <v>883</v>
      </c>
      <c r="Q408" s="20">
        <v>16</v>
      </c>
      <c r="R408" s="65" t="s">
        <v>806</v>
      </c>
      <c r="T408" s="19" t="s">
        <v>22</v>
      </c>
      <c r="V408" s="19" t="s">
        <v>178</v>
      </c>
      <c r="Y408" s="19" t="s">
        <v>138</v>
      </c>
      <c r="Z408" s="44" t="s">
        <v>807</v>
      </c>
      <c r="AA408" s="44" t="s">
        <v>180</v>
      </c>
    </row>
    <row r="409" spans="1:27" hidden="1" x14ac:dyDescent="0.25">
      <c r="A409" s="26">
        <v>89</v>
      </c>
      <c r="B409" s="19" t="s">
        <v>815</v>
      </c>
      <c r="C409" s="44" t="s">
        <v>172</v>
      </c>
      <c r="D409" s="19" t="s">
        <v>803</v>
      </c>
      <c r="E409" s="19">
        <v>12</v>
      </c>
      <c r="F409" s="19">
        <v>135</v>
      </c>
      <c r="G409" s="19">
        <v>488</v>
      </c>
      <c r="H409" s="19">
        <v>6</v>
      </c>
      <c r="I409" s="80">
        <v>6.19</v>
      </c>
      <c r="J409" s="80">
        <v>37.14</v>
      </c>
      <c r="K409" s="19" t="s">
        <v>184</v>
      </c>
      <c r="L409" s="19" t="s">
        <v>903</v>
      </c>
      <c r="Q409" s="20">
        <v>16</v>
      </c>
      <c r="R409" s="65" t="s">
        <v>806</v>
      </c>
      <c r="T409" s="19" t="s">
        <v>22</v>
      </c>
      <c r="V409" s="19" t="s">
        <v>178</v>
      </c>
      <c r="W409" s="19" t="s">
        <v>138</v>
      </c>
      <c r="Z409" s="44" t="s">
        <v>807</v>
      </c>
      <c r="AA409" s="44" t="s">
        <v>180</v>
      </c>
    </row>
    <row r="410" spans="1:27" hidden="1" x14ac:dyDescent="0.25">
      <c r="A410" s="26">
        <v>90</v>
      </c>
      <c r="B410" s="19" t="s">
        <v>817</v>
      </c>
      <c r="C410" s="44" t="s">
        <v>172</v>
      </c>
      <c r="D410" s="19" t="s">
        <v>803</v>
      </c>
      <c r="E410" s="19">
        <v>12</v>
      </c>
      <c r="F410" s="19">
        <v>135</v>
      </c>
      <c r="G410" s="19">
        <v>488</v>
      </c>
      <c r="H410" s="19">
        <v>4</v>
      </c>
      <c r="I410" s="80">
        <v>6.19</v>
      </c>
      <c r="J410" s="80">
        <v>24.76</v>
      </c>
      <c r="K410" s="19" t="s">
        <v>184</v>
      </c>
      <c r="L410" s="19" t="s">
        <v>903</v>
      </c>
      <c r="Q410" s="20">
        <v>16</v>
      </c>
      <c r="R410" s="65" t="s">
        <v>806</v>
      </c>
      <c r="T410" s="19" t="s">
        <v>22</v>
      </c>
      <c r="V410" s="19" t="s">
        <v>178</v>
      </c>
      <c r="W410" s="19" t="s">
        <v>138</v>
      </c>
      <c r="Z410" s="44" t="s">
        <v>807</v>
      </c>
      <c r="AA410" s="44" t="s">
        <v>180</v>
      </c>
    </row>
    <row r="411" spans="1:27" hidden="1" x14ac:dyDescent="0.25">
      <c r="A411" s="26">
        <v>91</v>
      </c>
      <c r="B411" s="19" t="s">
        <v>802</v>
      </c>
      <c r="C411" s="44" t="s">
        <v>172</v>
      </c>
      <c r="D411" s="19" t="s">
        <v>803</v>
      </c>
      <c r="E411" s="19">
        <v>12</v>
      </c>
      <c r="F411" s="19">
        <v>135</v>
      </c>
      <c r="G411" s="19">
        <v>488</v>
      </c>
      <c r="H411" s="19">
        <v>5</v>
      </c>
      <c r="I411" s="80">
        <v>6.19</v>
      </c>
      <c r="J411" s="80">
        <v>30.95</v>
      </c>
      <c r="K411" s="19" t="s">
        <v>184</v>
      </c>
      <c r="L411" s="19" t="s">
        <v>903</v>
      </c>
      <c r="Q411" s="20">
        <v>16</v>
      </c>
      <c r="R411" s="65" t="s">
        <v>806</v>
      </c>
      <c r="T411" s="19" t="s">
        <v>22</v>
      </c>
      <c r="V411" s="19" t="s">
        <v>178</v>
      </c>
      <c r="W411" s="19" t="s">
        <v>138</v>
      </c>
      <c r="Z411" s="44" t="s">
        <v>807</v>
      </c>
      <c r="AA411" s="44" t="s">
        <v>180</v>
      </c>
    </row>
    <row r="412" spans="1:27" hidden="1" x14ac:dyDescent="0.25">
      <c r="A412" s="26">
        <v>92</v>
      </c>
      <c r="B412" s="19" t="s">
        <v>808</v>
      </c>
      <c r="C412" s="44" t="s">
        <v>172</v>
      </c>
      <c r="D412" s="19" t="s">
        <v>803</v>
      </c>
      <c r="E412" s="19">
        <v>12</v>
      </c>
      <c r="F412" s="19">
        <v>135</v>
      </c>
      <c r="G412" s="19">
        <v>488</v>
      </c>
      <c r="H412" s="19">
        <v>2</v>
      </c>
      <c r="I412" s="80">
        <v>6.19</v>
      </c>
      <c r="J412" s="80">
        <v>12.38</v>
      </c>
      <c r="K412" s="19" t="s">
        <v>184</v>
      </c>
      <c r="L412" s="19" t="s">
        <v>903</v>
      </c>
      <c r="Q412" s="20">
        <v>16</v>
      </c>
      <c r="R412" s="65" t="s">
        <v>806</v>
      </c>
      <c r="T412" s="19" t="s">
        <v>22</v>
      </c>
      <c r="V412" s="19" t="s">
        <v>178</v>
      </c>
      <c r="W412" s="19" t="s">
        <v>138</v>
      </c>
      <c r="Z412" s="44" t="s">
        <v>807</v>
      </c>
      <c r="AA412" s="44" t="s">
        <v>180</v>
      </c>
    </row>
    <row r="413" spans="1:27" hidden="1" x14ac:dyDescent="0.25">
      <c r="A413" s="26">
        <v>93</v>
      </c>
      <c r="B413" s="19" t="s">
        <v>904</v>
      </c>
      <c r="C413" s="44" t="s">
        <v>172</v>
      </c>
      <c r="D413" s="19" t="s">
        <v>812</v>
      </c>
      <c r="E413" s="19">
        <v>12</v>
      </c>
      <c r="F413" s="19">
        <v>490</v>
      </c>
      <c r="G413" s="19">
        <v>6464</v>
      </c>
      <c r="H413" s="19">
        <v>1</v>
      </c>
      <c r="I413" s="80">
        <v>298.16000000000003</v>
      </c>
      <c r="J413" s="80">
        <v>298.16000000000003</v>
      </c>
      <c r="K413" s="19" t="s">
        <v>184</v>
      </c>
      <c r="L413" s="19" t="s">
        <v>903</v>
      </c>
      <c r="Q413" s="20">
        <v>16</v>
      </c>
      <c r="R413" s="65" t="s">
        <v>806</v>
      </c>
      <c r="T413" s="19" t="s">
        <v>22</v>
      </c>
      <c r="V413" s="19" t="s">
        <v>178</v>
      </c>
      <c r="Y413" s="19" t="s">
        <v>138</v>
      </c>
      <c r="Z413" s="44" t="s">
        <v>807</v>
      </c>
      <c r="AA413" s="44" t="s">
        <v>180</v>
      </c>
    </row>
    <row r="414" spans="1:27" hidden="1" x14ac:dyDescent="0.25">
      <c r="A414" s="26">
        <v>94</v>
      </c>
      <c r="B414" s="19" t="s">
        <v>810</v>
      </c>
      <c r="C414" s="44" t="s">
        <v>172</v>
      </c>
      <c r="D414" s="19" t="s">
        <v>803</v>
      </c>
      <c r="E414" s="19">
        <v>12</v>
      </c>
      <c r="F414" s="19">
        <v>135</v>
      </c>
      <c r="G414" s="19">
        <v>488</v>
      </c>
      <c r="H414" s="19">
        <v>10</v>
      </c>
      <c r="I414" s="80">
        <v>6.19</v>
      </c>
      <c r="J414" s="80">
        <v>61.9</v>
      </c>
      <c r="K414" s="19" t="s">
        <v>184</v>
      </c>
      <c r="L414" s="19" t="s">
        <v>903</v>
      </c>
      <c r="Q414" s="20">
        <v>16</v>
      </c>
      <c r="R414" s="65" t="s">
        <v>806</v>
      </c>
      <c r="T414" s="19" t="s">
        <v>22</v>
      </c>
      <c r="V414" s="19" t="s">
        <v>178</v>
      </c>
      <c r="W414" s="19" t="s">
        <v>138</v>
      </c>
      <c r="Z414" s="44" t="s">
        <v>807</v>
      </c>
      <c r="AA414" s="44" t="s">
        <v>180</v>
      </c>
    </row>
    <row r="415" spans="1:27" hidden="1" x14ac:dyDescent="0.25">
      <c r="A415" s="26">
        <v>95</v>
      </c>
      <c r="B415" s="19" t="s">
        <v>905</v>
      </c>
      <c r="C415" s="44" t="s">
        <v>172</v>
      </c>
      <c r="D415" s="19" t="s">
        <v>812</v>
      </c>
      <c r="E415" s="19">
        <v>12</v>
      </c>
      <c r="F415" s="19">
        <v>490</v>
      </c>
      <c r="G415" s="19">
        <v>6464</v>
      </c>
      <c r="H415" s="19">
        <v>1</v>
      </c>
      <c r="I415" s="80">
        <v>298.16000000000003</v>
      </c>
      <c r="J415" s="80">
        <v>298.16000000000003</v>
      </c>
      <c r="K415" s="19" t="s">
        <v>184</v>
      </c>
      <c r="L415" s="19" t="s">
        <v>903</v>
      </c>
      <c r="Q415" s="20">
        <v>16</v>
      </c>
      <c r="R415" s="65" t="s">
        <v>806</v>
      </c>
      <c r="T415" s="19" t="s">
        <v>22</v>
      </c>
      <c r="V415" s="19" t="s">
        <v>178</v>
      </c>
      <c r="Y415" s="19" t="s">
        <v>138</v>
      </c>
      <c r="Z415" s="44" t="s">
        <v>807</v>
      </c>
      <c r="AA415" s="44" t="s">
        <v>180</v>
      </c>
    </row>
    <row r="416" spans="1:27" hidden="1" x14ac:dyDescent="0.25">
      <c r="A416" s="26">
        <v>96</v>
      </c>
      <c r="B416" s="19" t="s">
        <v>906</v>
      </c>
      <c r="C416" s="44" t="s">
        <v>172</v>
      </c>
      <c r="D416" s="19" t="s">
        <v>803</v>
      </c>
      <c r="E416" s="19">
        <v>12</v>
      </c>
      <c r="F416" s="19">
        <v>135</v>
      </c>
      <c r="G416" s="19">
        <v>488</v>
      </c>
      <c r="H416" s="19">
        <v>12</v>
      </c>
      <c r="I416" s="80">
        <v>6.19</v>
      </c>
      <c r="J416" s="80">
        <v>74.28</v>
      </c>
      <c r="K416" s="19" t="s">
        <v>184</v>
      </c>
      <c r="L416" s="19" t="s">
        <v>903</v>
      </c>
      <c r="Q416" s="20">
        <v>16</v>
      </c>
      <c r="R416" s="65" t="s">
        <v>806</v>
      </c>
      <c r="T416" s="19" t="s">
        <v>22</v>
      </c>
      <c r="V416" s="19" t="s">
        <v>178</v>
      </c>
      <c r="W416" s="19" t="s">
        <v>138</v>
      </c>
      <c r="Z416" s="44" t="s">
        <v>807</v>
      </c>
      <c r="AA416" s="44" t="s">
        <v>180</v>
      </c>
    </row>
    <row r="417" spans="1:27" hidden="1" x14ac:dyDescent="0.25">
      <c r="A417" s="26">
        <v>97</v>
      </c>
      <c r="B417" s="19" t="s">
        <v>907</v>
      </c>
      <c r="C417" s="44" t="s">
        <v>172</v>
      </c>
      <c r="D417" s="19" t="s">
        <v>812</v>
      </c>
      <c r="E417" s="19">
        <v>12</v>
      </c>
      <c r="F417" s="19">
        <v>490</v>
      </c>
      <c r="G417" s="19">
        <v>6464</v>
      </c>
      <c r="H417" s="19">
        <v>1</v>
      </c>
      <c r="I417" s="80">
        <v>298.16000000000003</v>
      </c>
      <c r="J417" s="80">
        <v>298.16000000000003</v>
      </c>
      <c r="K417" s="19" t="s">
        <v>184</v>
      </c>
      <c r="L417" s="19" t="s">
        <v>903</v>
      </c>
      <c r="Q417" s="20">
        <v>16</v>
      </c>
      <c r="R417" s="65" t="s">
        <v>806</v>
      </c>
      <c r="T417" s="19" t="s">
        <v>22</v>
      </c>
      <c r="V417" s="19" t="s">
        <v>178</v>
      </c>
      <c r="Y417" s="19" t="s">
        <v>138</v>
      </c>
      <c r="Z417" s="44" t="s">
        <v>807</v>
      </c>
      <c r="AA417" s="44" t="s">
        <v>180</v>
      </c>
    </row>
    <row r="418" spans="1:27" hidden="1" x14ac:dyDescent="0.25">
      <c r="A418" s="26">
        <v>98</v>
      </c>
      <c r="B418" s="19" t="s">
        <v>908</v>
      </c>
      <c r="C418" s="44" t="s">
        <v>172</v>
      </c>
      <c r="D418" s="19" t="s">
        <v>803</v>
      </c>
      <c r="E418" s="19">
        <v>12</v>
      </c>
      <c r="F418" s="19">
        <v>135</v>
      </c>
      <c r="G418" s="19">
        <v>488</v>
      </c>
      <c r="H418" s="19">
        <v>12</v>
      </c>
      <c r="I418" s="80">
        <v>6.19</v>
      </c>
      <c r="J418" s="80">
        <v>74.28</v>
      </c>
      <c r="K418" s="19" t="s">
        <v>184</v>
      </c>
      <c r="L418" s="19" t="s">
        <v>903</v>
      </c>
      <c r="Q418" s="20">
        <v>16</v>
      </c>
      <c r="R418" s="65" t="s">
        <v>806</v>
      </c>
      <c r="T418" s="19" t="s">
        <v>22</v>
      </c>
      <c r="V418" s="19" t="s">
        <v>178</v>
      </c>
      <c r="W418" s="19" t="s">
        <v>138</v>
      </c>
      <c r="Z418" s="44" t="s">
        <v>807</v>
      </c>
      <c r="AA418" s="44" t="s">
        <v>180</v>
      </c>
    </row>
    <row r="419" spans="1:27" hidden="1" x14ac:dyDescent="0.25">
      <c r="A419" s="26">
        <v>99</v>
      </c>
      <c r="B419" s="19" t="s">
        <v>909</v>
      </c>
      <c r="C419" s="44" t="s">
        <v>172</v>
      </c>
      <c r="D419" s="19" t="s">
        <v>812</v>
      </c>
      <c r="E419" s="19">
        <v>12</v>
      </c>
      <c r="F419" s="19">
        <v>490</v>
      </c>
      <c r="G419" s="19">
        <v>6464</v>
      </c>
      <c r="H419" s="19">
        <v>1</v>
      </c>
      <c r="I419" s="80">
        <v>298.16000000000003</v>
      </c>
      <c r="J419" s="80">
        <v>298.16000000000003</v>
      </c>
      <c r="K419" s="19" t="s">
        <v>184</v>
      </c>
      <c r="L419" s="19" t="s">
        <v>903</v>
      </c>
      <c r="Q419" s="20">
        <v>16</v>
      </c>
      <c r="R419" s="65" t="s">
        <v>806</v>
      </c>
      <c r="T419" s="19" t="s">
        <v>22</v>
      </c>
      <c r="V419" s="19" t="s">
        <v>178</v>
      </c>
      <c r="Y419" s="19" t="s">
        <v>138</v>
      </c>
      <c r="Z419" s="44" t="s">
        <v>807</v>
      </c>
      <c r="AA419" s="44" t="s">
        <v>180</v>
      </c>
    </row>
    <row r="420" spans="1:27" hidden="1" x14ac:dyDescent="0.25">
      <c r="A420" s="26">
        <v>100</v>
      </c>
      <c r="B420" s="19" t="s">
        <v>892</v>
      </c>
      <c r="C420" s="44" t="s">
        <v>172</v>
      </c>
      <c r="D420" s="19" t="s">
        <v>803</v>
      </c>
      <c r="E420" s="19">
        <v>12</v>
      </c>
      <c r="F420" s="19">
        <v>135</v>
      </c>
      <c r="G420" s="19">
        <v>488</v>
      </c>
      <c r="H420" s="19">
        <v>5</v>
      </c>
      <c r="I420" s="80">
        <v>6.19</v>
      </c>
      <c r="J420" s="80">
        <v>30.95</v>
      </c>
      <c r="K420" s="19" t="s">
        <v>184</v>
      </c>
      <c r="L420" s="19" t="s">
        <v>903</v>
      </c>
      <c r="Q420" s="20">
        <v>16</v>
      </c>
      <c r="R420" s="65" t="s">
        <v>806</v>
      </c>
      <c r="T420" s="19" t="s">
        <v>22</v>
      </c>
      <c r="V420" s="19" t="s">
        <v>178</v>
      </c>
      <c r="W420" s="19" t="s">
        <v>138</v>
      </c>
      <c r="Z420" s="44" t="s">
        <v>807</v>
      </c>
      <c r="AA420" s="44" t="s">
        <v>180</v>
      </c>
    </row>
    <row r="421" spans="1:27" hidden="1" x14ac:dyDescent="0.25">
      <c r="A421" s="26">
        <v>101</v>
      </c>
      <c r="B421" s="19" t="s">
        <v>893</v>
      </c>
      <c r="C421" s="44" t="s">
        <v>172</v>
      </c>
      <c r="D421" s="19" t="s">
        <v>803</v>
      </c>
      <c r="E421" s="19">
        <v>12</v>
      </c>
      <c r="F421" s="19">
        <v>135</v>
      </c>
      <c r="G421" s="19">
        <v>488</v>
      </c>
      <c r="H421" s="19">
        <v>1</v>
      </c>
      <c r="I421" s="80">
        <v>6.19</v>
      </c>
      <c r="J421" s="80">
        <v>6.19</v>
      </c>
      <c r="K421" s="19" t="s">
        <v>184</v>
      </c>
      <c r="L421" s="19" t="s">
        <v>903</v>
      </c>
      <c r="Q421" s="20">
        <v>16</v>
      </c>
      <c r="R421" s="65" t="s">
        <v>806</v>
      </c>
      <c r="T421" s="19" t="s">
        <v>22</v>
      </c>
      <c r="V421" s="19" t="s">
        <v>178</v>
      </c>
      <c r="W421" s="19" t="s">
        <v>138</v>
      </c>
      <c r="Z421" s="44" t="s">
        <v>807</v>
      </c>
      <c r="AA421" s="44" t="s">
        <v>180</v>
      </c>
    </row>
    <row r="422" spans="1:27" hidden="1" x14ac:dyDescent="0.25">
      <c r="A422" s="26">
        <v>102</v>
      </c>
      <c r="B422" s="19" t="s">
        <v>815</v>
      </c>
      <c r="C422" s="44" t="s">
        <v>172</v>
      </c>
      <c r="D422" s="19" t="s">
        <v>803</v>
      </c>
      <c r="E422" s="19">
        <v>12</v>
      </c>
      <c r="F422" s="19">
        <v>135</v>
      </c>
      <c r="G422" s="19">
        <v>488</v>
      </c>
      <c r="H422" s="19">
        <v>2</v>
      </c>
      <c r="I422" s="80">
        <v>6.19</v>
      </c>
      <c r="J422" s="80">
        <v>12.38</v>
      </c>
      <c r="K422" s="19" t="s">
        <v>184</v>
      </c>
      <c r="L422" s="19" t="s">
        <v>910</v>
      </c>
      <c r="Q422" s="20">
        <v>16</v>
      </c>
      <c r="R422" s="65" t="s">
        <v>806</v>
      </c>
      <c r="T422" s="19" t="s">
        <v>22</v>
      </c>
      <c r="V422" s="19" t="s">
        <v>178</v>
      </c>
      <c r="W422" s="19" t="s">
        <v>138</v>
      </c>
      <c r="Z422" s="44" t="s">
        <v>807</v>
      </c>
      <c r="AA422" s="44" t="s">
        <v>180</v>
      </c>
    </row>
    <row r="423" spans="1:27" hidden="1" x14ac:dyDescent="0.25">
      <c r="A423" s="26">
        <v>103</v>
      </c>
      <c r="B423" s="19" t="s">
        <v>817</v>
      </c>
      <c r="C423" s="44" t="s">
        <v>172</v>
      </c>
      <c r="D423" s="19" t="s">
        <v>803</v>
      </c>
      <c r="E423" s="19">
        <v>12</v>
      </c>
      <c r="F423" s="19">
        <v>135</v>
      </c>
      <c r="G423" s="19">
        <v>488</v>
      </c>
      <c r="H423" s="19">
        <v>6</v>
      </c>
      <c r="I423" s="80">
        <v>6.19</v>
      </c>
      <c r="J423" s="80">
        <v>37.14</v>
      </c>
      <c r="K423" s="19" t="s">
        <v>184</v>
      </c>
      <c r="L423" s="19" t="s">
        <v>910</v>
      </c>
      <c r="Q423" s="20">
        <v>16</v>
      </c>
      <c r="R423" s="65" t="s">
        <v>806</v>
      </c>
      <c r="T423" s="19" t="s">
        <v>22</v>
      </c>
      <c r="V423" s="19" t="s">
        <v>178</v>
      </c>
      <c r="W423" s="19" t="s">
        <v>138</v>
      </c>
      <c r="Z423" s="44" t="s">
        <v>807</v>
      </c>
      <c r="AA423" s="44" t="s">
        <v>180</v>
      </c>
    </row>
    <row r="424" spans="1:27" hidden="1" x14ac:dyDescent="0.25">
      <c r="A424" s="26">
        <v>104</v>
      </c>
      <c r="B424" s="19" t="s">
        <v>911</v>
      </c>
      <c r="C424" s="44" t="s">
        <v>172</v>
      </c>
      <c r="D424" s="19" t="s">
        <v>812</v>
      </c>
      <c r="E424" s="19">
        <v>12</v>
      </c>
      <c r="F424" s="19">
        <v>490</v>
      </c>
      <c r="G424" s="19">
        <v>6464</v>
      </c>
      <c r="H424" s="19">
        <v>1</v>
      </c>
      <c r="I424" s="80">
        <v>298.26</v>
      </c>
      <c r="J424" s="80">
        <v>298.26</v>
      </c>
      <c r="K424" s="19" t="s">
        <v>184</v>
      </c>
      <c r="L424" s="19" t="s">
        <v>910</v>
      </c>
      <c r="Q424" s="20">
        <v>16</v>
      </c>
      <c r="R424" s="65" t="s">
        <v>806</v>
      </c>
      <c r="T424" s="19" t="s">
        <v>22</v>
      </c>
      <c r="V424" s="19" t="s">
        <v>178</v>
      </c>
      <c r="Y424" s="19" t="s">
        <v>138</v>
      </c>
      <c r="Z424" s="44" t="s">
        <v>807</v>
      </c>
      <c r="AA424" s="44" t="s">
        <v>180</v>
      </c>
    </row>
    <row r="425" spans="1:27" hidden="1" x14ac:dyDescent="0.25">
      <c r="A425" s="26">
        <v>105</v>
      </c>
      <c r="B425" s="19" t="s">
        <v>802</v>
      </c>
      <c r="C425" s="44" t="s">
        <v>172</v>
      </c>
      <c r="D425" s="19" t="s">
        <v>803</v>
      </c>
      <c r="E425" s="19">
        <v>12</v>
      </c>
      <c r="F425" s="19">
        <v>135</v>
      </c>
      <c r="G425" s="19">
        <v>488</v>
      </c>
      <c r="H425" s="19">
        <v>6</v>
      </c>
      <c r="I425" s="80">
        <v>6.19</v>
      </c>
      <c r="J425" s="80">
        <v>37.14</v>
      </c>
      <c r="K425" s="19" t="s">
        <v>184</v>
      </c>
      <c r="L425" s="19" t="s">
        <v>910</v>
      </c>
      <c r="Q425" s="20">
        <v>16</v>
      </c>
      <c r="R425" s="65" t="s">
        <v>806</v>
      </c>
      <c r="T425" s="19" t="s">
        <v>22</v>
      </c>
      <c r="V425" s="19" t="s">
        <v>178</v>
      </c>
      <c r="W425" s="19" t="s">
        <v>138</v>
      </c>
      <c r="Z425" s="44" t="s">
        <v>807</v>
      </c>
      <c r="AA425" s="44" t="s">
        <v>180</v>
      </c>
    </row>
    <row r="426" spans="1:27" hidden="1" x14ac:dyDescent="0.25">
      <c r="A426" s="26">
        <v>106</v>
      </c>
      <c r="B426" s="19" t="s">
        <v>912</v>
      </c>
      <c r="C426" s="44" t="s">
        <v>172</v>
      </c>
      <c r="D426" s="19" t="s">
        <v>812</v>
      </c>
      <c r="E426" s="19">
        <v>12</v>
      </c>
      <c r="F426" s="19">
        <v>490</v>
      </c>
      <c r="G426" s="19">
        <v>6464</v>
      </c>
      <c r="H426" s="19">
        <v>1</v>
      </c>
      <c r="I426" s="80">
        <v>298.16000000000003</v>
      </c>
      <c r="J426" s="80">
        <v>298.16000000000003</v>
      </c>
      <c r="K426" s="19" t="s">
        <v>184</v>
      </c>
      <c r="L426" s="19" t="s">
        <v>910</v>
      </c>
      <c r="Q426" s="20">
        <v>16</v>
      </c>
      <c r="R426" s="65" t="s">
        <v>806</v>
      </c>
      <c r="T426" s="19" t="s">
        <v>22</v>
      </c>
      <c r="V426" s="19" t="s">
        <v>178</v>
      </c>
      <c r="Y426" s="19" t="s">
        <v>138</v>
      </c>
      <c r="Z426" s="44" t="s">
        <v>807</v>
      </c>
      <c r="AA426" s="44" t="s">
        <v>180</v>
      </c>
    </row>
    <row r="427" spans="1:27" hidden="1" x14ac:dyDescent="0.25">
      <c r="A427" s="26">
        <v>107</v>
      </c>
      <c r="B427" s="19" t="s">
        <v>808</v>
      </c>
      <c r="C427" s="44" t="s">
        <v>172</v>
      </c>
      <c r="D427" s="19" t="s">
        <v>803</v>
      </c>
      <c r="E427" s="19">
        <v>12</v>
      </c>
      <c r="F427" s="19">
        <v>135</v>
      </c>
      <c r="G427" s="19">
        <v>488</v>
      </c>
      <c r="H427" s="19">
        <v>8</v>
      </c>
      <c r="I427" s="80">
        <v>6.19</v>
      </c>
      <c r="J427" s="80">
        <v>49.52</v>
      </c>
      <c r="K427" s="19" t="s">
        <v>184</v>
      </c>
      <c r="L427" s="19" t="s">
        <v>910</v>
      </c>
      <c r="Q427" s="20">
        <v>16</v>
      </c>
      <c r="R427" s="65" t="s">
        <v>806</v>
      </c>
      <c r="T427" s="19" t="s">
        <v>22</v>
      </c>
      <c r="V427" s="19" t="s">
        <v>178</v>
      </c>
      <c r="W427" s="19" t="s">
        <v>138</v>
      </c>
      <c r="Z427" s="44" t="s">
        <v>807</v>
      </c>
      <c r="AA427" s="44" t="s">
        <v>180</v>
      </c>
    </row>
    <row r="428" spans="1:27" hidden="1" x14ac:dyDescent="0.25">
      <c r="A428" s="26">
        <v>108</v>
      </c>
      <c r="B428" s="19" t="s">
        <v>809</v>
      </c>
      <c r="C428" s="44" t="s">
        <v>172</v>
      </c>
      <c r="D428" s="19" t="s">
        <v>803</v>
      </c>
      <c r="E428" s="19">
        <v>12</v>
      </c>
      <c r="F428" s="19">
        <v>135</v>
      </c>
      <c r="G428" s="19">
        <v>488</v>
      </c>
      <c r="H428" s="19">
        <v>10</v>
      </c>
      <c r="I428" s="80">
        <v>6.19</v>
      </c>
      <c r="J428" s="80">
        <v>61.9</v>
      </c>
      <c r="K428" s="19" t="s">
        <v>184</v>
      </c>
      <c r="L428" s="19" t="s">
        <v>910</v>
      </c>
      <c r="Q428" s="20">
        <v>16</v>
      </c>
      <c r="R428" s="65" t="s">
        <v>806</v>
      </c>
      <c r="T428" s="19" t="s">
        <v>22</v>
      </c>
      <c r="V428" s="19" t="s">
        <v>178</v>
      </c>
      <c r="W428" s="19" t="s">
        <v>138</v>
      </c>
      <c r="Z428" s="44" t="s">
        <v>807</v>
      </c>
      <c r="AA428" s="44" t="s">
        <v>180</v>
      </c>
    </row>
    <row r="429" spans="1:27" hidden="1" x14ac:dyDescent="0.25">
      <c r="A429" s="26">
        <v>109</v>
      </c>
      <c r="B429" s="19" t="s">
        <v>810</v>
      </c>
      <c r="C429" s="44" t="s">
        <v>172</v>
      </c>
      <c r="D429" s="19" t="s">
        <v>803</v>
      </c>
      <c r="E429" s="19">
        <v>12</v>
      </c>
      <c r="F429" s="19">
        <v>135</v>
      </c>
      <c r="G429" s="19">
        <v>488</v>
      </c>
      <c r="H429" s="19">
        <v>1</v>
      </c>
      <c r="I429" s="80">
        <v>6.19</v>
      </c>
      <c r="J429" s="80">
        <v>6.19</v>
      </c>
      <c r="K429" s="19" t="s">
        <v>184</v>
      </c>
      <c r="L429" s="19" t="s">
        <v>910</v>
      </c>
      <c r="Q429" s="20">
        <v>16</v>
      </c>
      <c r="R429" s="65" t="s">
        <v>806</v>
      </c>
      <c r="T429" s="19" t="s">
        <v>22</v>
      </c>
      <c r="V429" s="19" t="s">
        <v>178</v>
      </c>
      <c r="W429" s="19" t="s">
        <v>138</v>
      </c>
      <c r="Z429" s="44" t="s">
        <v>807</v>
      </c>
      <c r="AA429" s="44" t="s">
        <v>180</v>
      </c>
    </row>
    <row r="430" spans="1:27" hidden="1" x14ac:dyDescent="0.25">
      <c r="A430" s="26">
        <v>110</v>
      </c>
      <c r="B430" s="19" t="s">
        <v>893</v>
      </c>
      <c r="C430" s="44" t="s">
        <v>172</v>
      </c>
      <c r="D430" s="19" t="s">
        <v>803</v>
      </c>
      <c r="E430" s="19">
        <v>12</v>
      </c>
      <c r="F430" s="19">
        <v>135</v>
      </c>
      <c r="G430" s="19">
        <v>488</v>
      </c>
      <c r="H430" s="19">
        <v>3</v>
      </c>
      <c r="I430" s="80">
        <v>6.19</v>
      </c>
      <c r="J430" s="80">
        <v>18.57</v>
      </c>
      <c r="K430" s="19" t="s">
        <v>184</v>
      </c>
      <c r="L430" s="19" t="s">
        <v>910</v>
      </c>
      <c r="Q430" s="20">
        <v>16</v>
      </c>
      <c r="R430" s="65" t="s">
        <v>806</v>
      </c>
      <c r="T430" s="19" t="s">
        <v>22</v>
      </c>
      <c r="V430" s="19" t="s">
        <v>178</v>
      </c>
      <c r="W430" s="19" t="s">
        <v>138</v>
      </c>
      <c r="Z430" s="44" t="s">
        <v>807</v>
      </c>
      <c r="AA430" s="44" t="s">
        <v>180</v>
      </c>
    </row>
    <row r="431" spans="1:27" hidden="1" x14ac:dyDescent="0.25">
      <c r="A431" s="26">
        <v>111</v>
      </c>
      <c r="B431" s="19" t="s">
        <v>861</v>
      </c>
      <c r="C431" s="44" t="s">
        <v>172</v>
      </c>
      <c r="D431" s="19" t="s">
        <v>803</v>
      </c>
      <c r="E431" s="19">
        <v>12</v>
      </c>
      <c r="F431" s="19">
        <v>135</v>
      </c>
      <c r="G431" s="19">
        <v>488</v>
      </c>
      <c r="H431" s="19">
        <v>2</v>
      </c>
      <c r="I431" s="80">
        <v>6.19</v>
      </c>
      <c r="J431" s="80">
        <v>12.38</v>
      </c>
      <c r="K431" s="19" t="s">
        <v>184</v>
      </c>
      <c r="L431" s="19" t="s">
        <v>910</v>
      </c>
      <c r="Q431" s="20">
        <v>16</v>
      </c>
      <c r="R431" s="65" t="s">
        <v>806</v>
      </c>
      <c r="T431" s="19" t="s">
        <v>22</v>
      </c>
      <c r="V431" s="19" t="s">
        <v>178</v>
      </c>
      <c r="W431" s="19" t="s">
        <v>138</v>
      </c>
      <c r="Z431" s="44" t="s">
        <v>807</v>
      </c>
      <c r="AA431" s="44" t="s">
        <v>180</v>
      </c>
    </row>
    <row r="432" spans="1:27" hidden="1" x14ac:dyDescent="0.25">
      <c r="A432" s="26">
        <v>112</v>
      </c>
      <c r="B432" s="19" t="s">
        <v>862</v>
      </c>
      <c r="C432" s="44" t="s">
        <v>172</v>
      </c>
      <c r="D432" s="19" t="s">
        <v>803</v>
      </c>
      <c r="E432" s="19">
        <v>12</v>
      </c>
      <c r="F432" s="19">
        <v>135</v>
      </c>
      <c r="G432" s="19">
        <v>488</v>
      </c>
      <c r="H432" s="19">
        <v>2</v>
      </c>
      <c r="I432" s="80">
        <v>6.19</v>
      </c>
      <c r="J432" s="80">
        <v>12.38</v>
      </c>
      <c r="K432" s="19" t="s">
        <v>184</v>
      </c>
      <c r="L432" s="19" t="s">
        <v>910</v>
      </c>
      <c r="Q432" s="20">
        <v>16</v>
      </c>
      <c r="R432" s="65" t="s">
        <v>806</v>
      </c>
      <c r="T432" s="19" t="s">
        <v>22</v>
      </c>
      <c r="V432" s="19" t="s">
        <v>178</v>
      </c>
      <c r="W432" s="19" t="s">
        <v>138</v>
      </c>
      <c r="Z432" s="44" t="s">
        <v>807</v>
      </c>
      <c r="AA432" s="44" t="s">
        <v>180</v>
      </c>
    </row>
    <row r="433" spans="1:27" hidden="1" x14ac:dyDescent="0.25">
      <c r="A433" s="26">
        <v>113</v>
      </c>
      <c r="B433" s="19" t="s">
        <v>913</v>
      </c>
      <c r="C433" s="44" t="s">
        <v>172</v>
      </c>
      <c r="D433" s="19" t="s">
        <v>914</v>
      </c>
      <c r="E433" s="19">
        <v>12</v>
      </c>
      <c r="F433" s="19">
        <v>95</v>
      </c>
      <c r="G433" s="19">
        <v>263</v>
      </c>
      <c r="H433" s="19">
        <v>2</v>
      </c>
      <c r="I433" s="80">
        <v>2.34</v>
      </c>
      <c r="J433" s="80">
        <v>4.68</v>
      </c>
      <c r="K433" s="19" t="s">
        <v>184</v>
      </c>
      <c r="L433" s="19" t="s">
        <v>915</v>
      </c>
      <c r="Q433" s="20">
        <v>16</v>
      </c>
      <c r="R433" s="65" t="s">
        <v>806</v>
      </c>
      <c r="T433" s="19" t="s">
        <v>22</v>
      </c>
      <c r="V433" s="19" t="s">
        <v>178</v>
      </c>
      <c r="W433" s="19" t="s">
        <v>138</v>
      </c>
      <c r="Z433" s="44" t="s">
        <v>807</v>
      </c>
      <c r="AA433" s="44" t="s">
        <v>180</v>
      </c>
    </row>
    <row r="434" spans="1:27" hidden="1" x14ac:dyDescent="0.25">
      <c r="A434" s="26">
        <v>114</v>
      </c>
      <c r="B434" s="19" t="s">
        <v>916</v>
      </c>
      <c r="C434" s="44" t="s">
        <v>172</v>
      </c>
      <c r="D434" s="19" t="s">
        <v>917</v>
      </c>
      <c r="E434" s="19">
        <v>12</v>
      </c>
      <c r="F434" s="19">
        <v>1434</v>
      </c>
      <c r="G434" s="19">
        <v>1460</v>
      </c>
      <c r="H434" s="19">
        <v>1</v>
      </c>
      <c r="I434" s="80">
        <v>194.55</v>
      </c>
      <c r="J434" s="80">
        <v>194.55</v>
      </c>
      <c r="K434" s="19" t="s">
        <v>184</v>
      </c>
      <c r="L434" s="19" t="s">
        <v>915</v>
      </c>
      <c r="Q434" s="20">
        <v>16</v>
      </c>
      <c r="R434" s="65" t="s">
        <v>806</v>
      </c>
      <c r="T434" s="19" t="s">
        <v>22</v>
      </c>
      <c r="V434" s="19" t="s">
        <v>178</v>
      </c>
      <c r="Y434" s="19" t="s">
        <v>138</v>
      </c>
      <c r="Z434" s="44" t="s">
        <v>807</v>
      </c>
      <c r="AA434" s="44" t="s">
        <v>180</v>
      </c>
    </row>
    <row r="435" spans="1:27" hidden="1" x14ac:dyDescent="0.25">
      <c r="A435" s="26">
        <v>115</v>
      </c>
      <c r="B435" s="19" t="s">
        <v>918</v>
      </c>
      <c r="C435" s="44" t="s">
        <v>172</v>
      </c>
      <c r="D435" s="19" t="s">
        <v>914</v>
      </c>
      <c r="E435" s="19">
        <v>12</v>
      </c>
      <c r="F435" s="19">
        <v>95</v>
      </c>
      <c r="G435" s="19">
        <v>263</v>
      </c>
      <c r="H435" s="19">
        <v>2</v>
      </c>
      <c r="I435" s="80">
        <v>2.34</v>
      </c>
      <c r="J435" s="80">
        <v>4.68</v>
      </c>
      <c r="K435" s="19" t="s">
        <v>184</v>
      </c>
      <c r="L435" s="19" t="s">
        <v>915</v>
      </c>
      <c r="Q435" s="20">
        <v>16</v>
      </c>
      <c r="R435" s="65" t="s">
        <v>806</v>
      </c>
      <c r="T435" s="19" t="s">
        <v>22</v>
      </c>
      <c r="V435" s="19" t="s">
        <v>178</v>
      </c>
      <c r="W435" s="19" t="s">
        <v>138</v>
      </c>
      <c r="Z435" s="44" t="s">
        <v>807</v>
      </c>
      <c r="AA435" s="44" t="s">
        <v>180</v>
      </c>
    </row>
    <row r="436" spans="1:27" hidden="1" x14ac:dyDescent="0.25">
      <c r="A436" s="26">
        <v>116</v>
      </c>
      <c r="B436" s="19" t="s">
        <v>919</v>
      </c>
      <c r="C436" s="44" t="s">
        <v>172</v>
      </c>
      <c r="D436" s="19" t="s">
        <v>917</v>
      </c>
      <c r="E436" s="19">
        <v>12</v>
      </c>
      <c r="F436" s="19">
        <v>1434</v>
      </c>
      <c r="G436" s="19">
        <v>1460</v>
      </c>
      <c r="H436" s="19">
        <v>1</v>
      </c>
      <c r="I436" s="80">
        <v>194.55</v>
      </c>
      <c r="J436" s="80">
        <v>194.55</v>
      </c>
      <c r="K436" s="19" t="s">
        <v>184</v>
      </c>
      <c r="L436" s="19" t="s">
        <v>915</v>
      </c>
      <c r="Q436" s="20">
        <v>16</v>
      </c>
      <c r="R436" s="65" t="s">
        <v>806</v>
      </c>
      <c r="T436" s="19" t="s">
        <v>22</v>
      </c>
      <c r="V436" s="19" t="s">
        <v>178</v>
      </c>
      <c r="Y436" s="19" t="s">
        <v>138</v>
      </c>
      <c r="Z436" s="44" t="s">
        <v>807</v>
      </c>
      <c r="AA436" s="44" t="s">
        <v>180</v>
      </c>
    </row>
    <row r="437" spans="1:27" hidden="1" x14ac:dyDescent="0.25">
      <c r="A437" s="26">
        <v>117</v>
      </c>
      <c r="B437" s="19" t="s">
        <v>920</v>
      </c>
      <c r="C437" s="44" t="s">
        <v>172</v>
      </c>
      <c r="D437" s="19" t="s">
        <v>914</v>
      </c>
      <c r="E437" s="19">
        <v>12</v>
      </c>
      <c r="F437" s="19">
        <v>95</v>
      </c>
      <c r="G437" s="19">
        <v>263</v>
      </c>
      <c r="H437" s="19">
        <v>8</v>
      </c>
      <c r="I437" s="80">
        <v>2.34</v>
      </c>
      <c r="J437" s="80">
        <v>18.7</v>
      </c>
      <c r="K437" s="19" t="s">
        <v>184</v>
      </c>
      <c r="L437" s="19" t="s">
        <v>915</v>
      </c>
      <c r="Q437" s="20">
        <v>16</v>
      </c>
      <c r="R437" s="65" t="s">
        <v>806</v>
      </c>
      <c r="T437" s="19" t="s">
        <v>22</v>
      </c>
      <c r="V437" s="19" t="s">
        <v>178</v>
      </c>
      <c r="W437" s="19" t="s">
        <v>138</v>
      </c>
      <c r="Z437" s="44" t="s">
        <v>807</v>
      </c>
      <c r="AA437" s="44" t="s">
        <v>180</v>
      </c>
    </row>
    <row r="438" spans="1:27" hidden="1" x14ac:dyDescent="0.25">
      <c r="A438" s="26">
        <v>118</v>
      </c>
      <c r="B438" s="19" t="s">
        <v>921</v>
      </c>
      <c r="C438" s="44" t="s">
        <v>172</v>
      </c>
      <c r="D438" s="19" t="s">
        <v>879</v>
      </c>
      <c r="E438" s="19">
        <v>12</v>
      </c>
      <c r="F438" s="19">
        <v>130</v>
      </c>
      <c r="G438" s="19">
        <v>263</v>
      </c>
      <c r="H438" s="19">
        <v>1</v>
      </c>
      <c r="I438" s="80">
        <v>3.21</v>
      </c>
      <c r="J438" s="80">
        <v>3.21</v>
      </c>
      <c r="K438" s="19" t="s">
        <v>184</v>
      </c>
      <c r="L438" s="19" t="s">
        <v>915</v>
      </c>
      <c r="Q438" s="20">
        <v>16</v>
      </c>
      <c r="R438" s="65" t="s">
        <v>806</v>
      </c>
      <c r="T438" s="19" t="s">
        <v>22</v>
      </c>
      <c r="V438" s="19" t="s">
        <v>178</v>
      </c>
      <c r="W438" s="19" t="s">
        <v>138</v>
      </c>
      <c r="Z438" s="44" t="s">
        <v>807</v>
      </c>
      <c r="AA438" s="44" t="s">
        <v>180</v>
      </c>
    </row>
    <row r="439" spans="1:27" hidden="1" x14ac:dyDescent="0.25">
      <c r="A439" s="26">
        <v>119</v>
      </c>
      <c r="B439" s="19" t="s">
        <v>922</v>
      </c>
      <c r="C439" s="44" t="s">
        <v>172</v>
      </c>
      <c r="D439" s="19" t="s">
        <v>914</v>
      </c>
      <c r="E439" s="19">
        <v>12</v>
      </c>
      <c r="F439" s="19">
        <v>95</v>
      </c>
      <c r="G439" s="19">
        <v>263</v>
      </c>
      <c r="H439" s="19">
        <v>8</v>
      </c>
      <c r="I439" s="80">
        <v>2.34</v>
      </c>
      <c r="J439" s="80">
        <v>18.7</v>
      </c>
      <c r="K439" s="19" t="s">
        <v>184</v>
      </c>
      <c r="L439" s="19" t="s">
        <v>915</v>
      </c>
      <c r="Q439" s="20">
        <v>16</v>
      </c>
      <c r="R439" s="65" t="s">
        <v>806</v>
      </c>
      <c r="T439" s="19" t="s">
        <v>22</v>
      </c>
      <c r="V439" s="19" t="s">
        <v>178</v>
      </c>
      <c r="W439" s="19" t="s">
        <v>138</v>
      </c>
      <c r="Z439" s="44" t="s">
        <v>807</v>
      </c>
      <c r="AA439" s="44" t="s">
        <v>180</v>
      </c>
    </row>
    <row r="440" spans="1:27" hidden="1" x14ac:dyDescent="0.25">
      <c r="A440" s="26">
        <v>120</v>
      </c>
      <c r="B440" s="19" t="s">
        <v>923</v>
      </c>
      <c r="C440" s="44" t="s">
        <v>172</v>
      </c>
      <c r="D440" s="19" t="s">
        <v>879</v>
      </c>
      <c r="E440" s="19">
        <v>12</v>
      </c>
      <c r="F440" s="19">
        <v>130</v>
      </c>
      <c r="G440" s="19">
        <v>263</v>
      </c>
      <c r="H440" s="19">
        <v>1</v>
      </c>
      <c r="I440" s="80">
        <v>3.21</v>
      </c>
      <c r="J440" s="80">
        <v>3.21</v>
      </c>
      <c r="K440" s="19" t="s">
        <v>184</v>
      </c>
      <c r="L440" s="19" t="s">
        <v>915</v>
      </c>
      <c r="Q440" s="20">
        <v>16</v>
      </c>
      <c r="R440" s="65" t="s">
        <v>806</v>
      </c>
      <c r="T440" s="19" t="s">
        <v>22</v>
      </c>
      <c r="V440" s="19" t="s">
        <v>178</v>
      </c>
      <c r="W440" s="19" t="s">
        <v>138</v>
      </c>
      <c r="Z440" s="44" t="s">
        <v>807</v>
      </c>
      <c r="AA440" s="44" t="s">
        <v>180</v>
      </c>
    </row>
    <row r="441" spans="1:27" hidden="1" x14ac:dyDescent="0.25">
      <c r="A441" s="26">
        <v>121</v>
      </c>
      <c r="B441" s="19" t="s">
        <v>924</v>
      </c>
      <c r="C441" s="44" t="s">
        <v>172</v>
      </c>
      <c r="D441" s="19" t="s">
        <v>914</v>
      </c>
      <c r="E441" s="19">
        <v>12</v>
      </c>
      <c r="F441" s="19">
        <v>95</v>
      </c>
      <c r="G441" s="19">
        <v>263</v>
      </c>
      <c r="H441" s="19">
        <v>8</v>
      </c>
      <c r="I441" s="80">
        <v>2.34</v>
      </c>
      <c r="J441" s="80">
        <v>18.7</v>
      </c>
      <c r="K441" s="19" t="s">
        <v>184</v>
      </c>
      <c r="L441" s="19" t="s">
        <v>915</v>
      </c>
      <c r="Q441" s="20">
        <v>16</v>
      </c>
      <c r="R441" s="65" t="s">
        <v>806</v>
      </c>
      <c r="T441" s="19" t="s">
        <v>22</v>
      </c>
      <c r="V441" s="19" t="s">
        <v>178</v>
      </c>
      <c r="W441" s="19" t="s">
        <v>138</v>
      </c>
      <c r="Z441" s="44" t="s">
        <v>807</v>
      </c>
      <c r="AA441" s="44" t="s">
        <v>180</v>
      </c>
    </row>
    <row r="442" spans="1:27" hidden="1" x14ac:dyDescent="0.25">
      <c r="A442" s="26">
        <v>122</v>
      </c>
      <c r="B442" s="19" t="s">
        <v>925</v>
      </c>
      <c r="C442" s="44" t="s">
        <v>172</v>
      </c>
      <c r="D442" s="19" t="s">
        <v>914</v>
      </c>
      <c r="E442" s="19">
        <v>12</v>
      </c>
      <c r="F442" s="19">
        <v>95</v>
      </c>
      <c r="G442" s="19">
        <v>263</v>
      </c>
      <c r="H442" s="19">
        <v>8</v>
      </c>
      <c r="I442" s="80">
        <v>2.34</v>
      </c>
      <c r="J442" s="80">
        <v>18.7</v>
      </c>
      <c r="K442" s="19" t="s">
        <v>184</v>
      </c>
      <c r="L442" s="19" t="s">
        <v>915</v>
      </c>
      <c r="Q442" s="20">
        <v>16</v>
      </c>
      <c r="R442" s="65" t="s">
        <v>806</v>
      </c>
      <c r="T442" s="19" t="s">
        <v>22</v>
      </c>
      <c r="V442" s="19" t="s">
        <v>178</v>
      </c>
      <c r="W442" s="19" t="s">
        <v>138</v>
      </c>
      <c r="Z442" s="44" t="s">
        <v>807</v>
      </c>
      <c r="AA442" s="44" t="s">
        <v>180</v>
      </c>
    </row>
    <row r="443" spans="1:27" hidden="1" x14ac:dyDescent="0.25">
      <c r="A443" s="26">
        <v>123</v>
      </c>
      <c r="B443" s="19" t="s">
        <v>926</v>
      </c>
      <c r="C443" s="44" t="s">
        <v>172</v>
      </c>
      <c r="D443" s="19" t="s">
        <v>874</v>
      </c>
      <c r="E443" s="19">
        <v>12</v>
      </c>
      <c r="F443" s="19">
        <v>100</v>
      </c>
      <c r="G443" s="19">
        <v>150</v>
      </c>
      <c r="H443" s="19">
        <v>1</v>
      </c>
      <c r="I443" s="80">
        <v>1.41</v>
      </c>
      <c r="J443" s="80">
        <v>1.41</v>
      </c>
      <c r="K443" s="19" t="s">
        <v>184</v>
      </c>
      <c r="L443" s="19" t="s">
        <v>927</v>
      </c>
      <c r="Q443" s="20">
        <v>16</v>
      </c>
      <c r="R443" s="65" t="s">
        <v>806</v>
      </c>
      <c r="T443" s="19" t="s">
        <v>22</v>
      </c>
      <c r="V443" s="19" t="s">
        <v>178</v>
      </c>
      <c r="W443" s="19" t="s">
        <v>138</v>
      </c>
      <c r="Z443" s="44" t="s">
        <v>807</v>
      </c>
      <c r="AA443" s="44" t="s">
        <v>180</v>
      </c>
    </row>
    <row r="444" spans="1:27" hidden="1" x14ac:dyDescent="0.25">
      <c r="A444" s="26">
        <v>124</v>
      </c>
      <c r="B444" s="19" t="s">
        <v>928</v>
      </c>
      <c r="C444" s="44" t="s">
        <v>172</v>
      </c>
      <c r="D444" s="19" t="s">
        <v>874</v>
      </c>
      <c r="E444" s="19">
        <v>12</v>
      </c>
      <c r="F444" s="19">
        <v>100</v>
      </c>
      <c r="G444" s="19">
        <v>150</v>
      </c>
      <c r="H444" s="19">
        <v>2</v>
      </c>
      <c r="I444" s="80">
        <v>1.42</v>
      </c>
      <c r="J444" s="80">
        <v>2.83</v>
      </c>
      <c r="K444" s="19" t="s">
        <v>184</v>
      </c>
      <c r="L444" s="19" t="s">
        <v>927</v>
      </c>
      <c r="Q444" s="20">
        <v>16</v>
      </c>
      <c r="R444" s="65" t="s">
        <v>806</v>
      </c>
      <c r="T444" s="19" t="s">
        <v>22</v>
      </c>
      <c r="V444" s="19" t="s">
        <v>178</v>
      </c>
      <c r="W444" s="19" t="s">
        <v>138</v>
      </c>
      <c r="Z444" s="44" t="s">
        <v>807</v>
      </c>
      <c r="AA444" s="44" t="s">
        <v>180</v>
      </c>
    </row>
    <row r="445" spans="1:27" hidden="1" x14ac:dyDescent="0.25">
      <c r="A445" s="26">
        <v>125</v>
      </c>
      <c r="B445" s="19" t="s">
        <v>929</v>
      </c>
      <c r="C445" s="44" t="s">
        <v>172</v>
      </c>
      <c r="D445" s="19" t="s">
        <v>930</v>
      </c>
      <c r="E445" s="19">
        <v>12</v>
      </c>
      <c r="F445" s="19">
        <v>128</v>
      </c>
      <c r="G445" s="19">
        <v>145</v>
      </c>
      <c r="H445" s="19">
        <v>4</v>
      </c>
      <c r="I445" s="80">
        <v>1.67</v>
      </c>
      <c r="J445" s="80">
        <v>6.69</v>
      </c>
      <c r="K445" s="19" t="s">
        <v>184</v>
      </c>
      <c r="L445" s="19" t="s">
        <v>927</v>
      </c>
      <c r="Q445" s="20">
        <v>16</v>
      </c>
      <c r="R445" s="65" t="s">
        <v>806</v>
      </c>
      <c r="T445" s="19" t="s">
        <v>22</v>
      </c>
      <c r="V445" s="19" t="s">
        <v>178</v>
      </c>
      <c r="W445" s="19" t="s">
        <v>138</v>
      </c>
      <c r="Z445" s="44" t="s">
        <v>807</v>
      </c>
      <c r="AA445" s="44" t="s">
        <v>180</v>
      </c>
    </row>
    <row r="446" spans="1:27" hidden="1" x14ac:dyDescent="0.25">
      <c r="A446" s="26">
        <v>126</v>
      </c>
      <c r="B446" s="19" t="s">
        <v>931</v>
      </c>
      <c r="C446" s="44" t="s">
        <v>172</v>
      </c>
      <c r="D446" s="19" t="s">
        <v>932</v>
      </c>
      <c r="E446" s="19">
        <v>12</v>
      </c>
      <c r="F446" s="19">
        <v>130</v>
      </c>
      <c r="G446" s="19">
        <v>1315</v>
      </c>
      <c r="H446" s="19">
        <v>1</v>
      </c>
      <c r="I446" s="80">
        <v>16.100000000000001</v>
      </c>
      <c r="J446" s="80">
        <v>16.100000000000001</v>
      </c>
      <c r="K446" s="19" t="s">
        <v>184</v>
      </c>
      <c r="L446" s="19" t="s">
        <v>927</v>
      </c>
      <c r="Q446" s="20">
        <v>16</v>
      </c>
      <c r="R446" s="65" t="s">
        <v>806</v>
      </c>
      <c r="T446" s="19" t="s">
        <v>22</v>
      </c>
      <c r="V446" s="19" t="s">
        <v>178</v>
      </c>
      <c r="W446" s="19" t="s">
        <v>138</v>
      </c>
      <c r="Z446" s="44" t="s">
        <v>807</v>
      </c>
      <c r="AA446" s="44" t="s">
        <v>180</v>
      </c>
    </row>
    <row r="447" spans="1:27" hidden="1" x14ac:dyDescent="0.25">
      <c r="A447" s="26">
        <v>127</v>
      </c>
      <c r="B447" s="19" t="s">
        <v>933</v>
      </c>
      <c r="C447" s="44" t="s">
        <v>172</v>
      </c>
      <c r="D447" s="19" t="s">
        <v>874</v>
      </c>
      <c r="E447" s="19">
        <v>12</v>
      </c>
      <c r="F447" s="19">
        <v>100</v>
      </c>
      <c r="G447" s="19">
        <v>150</v>
      </c>
      <c r="H447" s="19">
        <v>4</v>
      </c>
      <c r="I447" s="80">
        <v>1.41</v>
      </c>
      <c r="J447" s="80">
        <v>5.65</v>
      </c>
      <c r="K447" s="19" t="s">
        <v>184</v>
      </c>
      <c r="L447" s="19" t="s">
        <v>927</v>
      </c>
      <c r="Q447" s="20">
        <v>16</v>
      </c>
      <c r="R447" s="65" t="s">
        <v>806</v>
      </c>
      <c r="T447" s="19" t="s">
        <v>22</v>
      </c>
      <c r="V447" s="19" t="s">
        <v>178</v>
      </c>
      <c r="W447" s="19" t="s">
        <v>138</v>
      </c>
      <c r="Z447" s="44" t="s">
        <v>807</v>
      </c>
      <c r="AA447" s="44" t="s">
        <v>180</v>
      </c>
    </row>
    <row r="448" spans="1:27" hidden="1" x14ac:dyDescent="0.25">
      <c r="A448" s="26">
        <v>128</v>
      </c>
      <c r="B448" s="19" t="s">
        <v>934</v>
      </c>
      <c r="C448" s="44" t="s">
        <v>172</v>
      </c>
      <c r="D448" s="19" t="s">
        <v>930</v>
      </c>
      <c r="E448" s="19">
        <v>12</v>
      </c>
      <c r="F448" s="19">
        <v>128</v>
      </c>
      <c r="G448" s="19">
        <v>145</v>
      </c>
      <c r="H448" s="19">
        <v>12</v>
      </c>
      <c r="I448" s="80">
        <v>1.67</v>
      </c>
      <c r="J448" s="80">
        <v>20.07</v>
      </c>
      <c r="K448" s="19" t="s">
        <v>184</v>
      </c>
      <c r="L448" s="19" t="s">
        <v>927</v>
      </c>
      <c r="Q448" s="20">
        <v>16</v>
      </c>
      <c r="R448" s="65" t="s">
        <v>806</v>
      </c>
      <c r="T448" s="19" t="s">
        <v>22</v>
      </c>
      <c r="V448" s="19" t="s">
        <v>178</v>
      </c>
      <c r="W448" s="19" t="s">
        <v>138</v>
      </c>
      <c r="Z448" s="44" t="s">
        <v>807</v>
      </c>
      <c r="AA448" s="44" t="s">
        <v>180</v>
      </c>
    </row>
    <row r="449" spans="1:27" hidden="1" x14ac:dyDescent="0.25">
      <c r="A449" s="26">
        <v>129</v>
      </c>
      <c r="B449" s="19" t="s">
        <v>935</v>
      </c>
      <c r="C449" s="44" t="s">
        <v>172</v>
      </c>
      <c r="D449" s="19" t="s">
        <v>874</v>
      </c>
      <c r="E449" s="19">
        <v>12</v>
      </c>
      <c r="F449" s="19">
        <v>100</v>
      </c>
      <c r="G449" s="19">
        <v>150</v>
      </c>
      <c r="H449" s="19">
        <v>6</v>
      </c>
      <c r="I449" s="80">
        <v>1.41</v>
      </c>
      <c r="J449" s="80">
        <v>8.48</v>
      </c>
      <c r="K449" s="19" t="s">
        <v>184</v>
      </c>
      <c r="L449" s="19" t="s">
        <v>927</v>
      </c>
      <c r="Q449" s="20">
        <v>16</v>
      </c>
      <c r="R449" s="65" t="s">
        <v>806</v>
      </c>
      <c r="T449" s="19" t="s">
        <v>22</v>
      </c>
      <c r="V449" s="19" t="s">
        <v>178</v>
      </c>
      <c r="W449" s="19" t="s">
        <v>138</v>
      </c>
      <c r="Z449" s="44" t="s">
        <v>807</v>
      </c>
      <c r="AA449" s="44" t="s">
        <v>180</v>
      </c>
    </row>
    <row r="450" spans="1:27" hidden="1" x14ac:dyDescent="0.25">
      <c r="A450" s="26">
        <v>130</v>
      </c>
      <c r="B450" s="19" t="s">
        <v>936</v>
      </c>
      <c r="C450" s="44" t="s">
        <v>172</v>
      </c>
      <c r="D450" s="19" t="s">
        <v>930</v>
      </c>
      <c r="E450" s="19">
        <v>12</v>
      </c>
      <c r="F450" s="19">
        <v>128</v>
      </c>
      <c r="G450" s="19">
        <v>145</v>
      </c>
      <c r="H450" s="19">
        <v>18</v>
      </c>
      <c r="I450" s="80">
        <v>1.67</v>
      </c>
      <c r="J450" s="80">
        <v>30.1</v>
      </c>
      <c r="K450" s="19" t="s">
        <v>184</v>
      </c>
      <c r="L450" s="19" t="s">
        <v>927</v>
      </c>
      <c r="Q450" s="20">
        <v>16</v>
      </c>
      <c r="R450" s="65" t="s">
        <v>806</v>
      </c>
      <c r="T450" s="19" t="s">
        <v>22</v>
      </c>
      <c r="V450" s="19" t="s">
        <v>178</v>
      </c>
      <c r="W450" s="19" t="s">
        <v>138</v>
      </c>
      <c r="Z450" s="44" t="s">
        <v>807</v>
      </c>
      <c r="AA450" s="44" t="s">
        <v>180</v>
      </c>
    </row>
    <row r="451" spans="1:27" hidden="1" x14ac:dyDescent="0.25">
      <c r="A451" s="26">
        <v>131</v>
      </c>
      <c r="B451" s="19" t="s">
        <v>937</v>
      </c>
      <c r="C451" s="44" t="s">
        <v>172</v>
      </c>
      <c r="D451" s="19" t="s">
        <v>930</v>
      </c>
      <c r="E451" s="19">
        <v>12</v>
      </c>
      <c r="F451" s="19">
        <v>128</v>
      </c>
      <c r="G451" s="19">
        <v>145</v>
      </c>
      <c r="H451" s="19">
        <v>12</v>
      </c>
      <c r="I451" s="80">
        <v>1.67</v>
      </c>
      <c r="J451" s="80">
        <v>20.07</v>
      </c>
      <c r="K451" s="19" t="s">
        <v>184</v>
      </c>
      <c r="L451" s="19" t="s">
        <v>927</v>
      </c>
      <c r="Q451" s="20">
        <v>16</v>
      </c>
      <c r="R451" s="65" t="s">
        <v>806</v>
      </c>
      <c r="T451" s="19" t="s">
        <v>22</v>
      </c>
      <c r="V451" s="19" t="s">
        <v>178</v>
      </c>
      <c r="W451" s="19" t="s">
        <v>138</v>
      </c>
      <c r="Z451" s="44" t="s">
        <v>807</v>
      </c>
      <c r="AA451" s="44" t="s">
        <v>180</v>
      </c>
    </row>
    <row r="452" spans="1:27" hidden="1" x14ac:dyDescent="0.25">
      <c r="A452" s="26">
        <v>132</v>
      </c>
      <c r="B452" s="19" t="s">
        <v>938</v>
      </c>
      <c r="C452" s="44" t="s">
        <v>172</v>
      </c>
      <c r="D452" s="19" t="s">
        <v>874</v>
      </c>
      <c r="E452" s="19">
        <v>12</v>
      </c>
      <c r="F452" s="19">
        <v>100</v>
      </c>
      <c r="G452" s="19">
        <v>150</v>
      </c>
      <c r="H452" s="19">
        <v>2</v>
      </c>
      <c r="I452" s="80">
        <v>1.42</v>
      </c>
      <c r="J452" s="80">
        <v>2.83</v>
      </c>
      <c r="K452" s="19" t="s">
        <v>184</v>
      </c>
      <c r="L452" s="19" t="s">
        <v>927</v>
      </c>
      <c r="Q452" s="20">
        <v>16</v>
      </c>
      <c r="R452" s="65" t="s">
        <v>806</v>
      </c>
      <c r="T452" s="19" t="s">
        <v>22</v>
      </c>
      <c r="V452" s="19" t="s">
        <v>178</v>
      </c>
      <c r="W452" s="19" t="s">
        <v>138</v>
      </c>
      <c r="Z452" s="44" t="s">
        <v>807</v>
      </c>
      <c r="AA452" s="44" t="s">
        <v>180</v>
      </c>
    </row>
    <row r="453" spans="1:27" hidden="1" x14ac:dyDescent="0.25">
      <c r="A453" s="26">
        <v>133</v>
      </c>
      <c r="B453" s="19" t="s">
        <v>939</v>
      </c>
      <c r="C453" s="44" t="s">
        <v>172</v>
      </c>
      <c r="D453" s="19" t="s">
        <v>930</v>
      </c>
      <c r="E453" s="19">
        <v>12</v>
      </c>
      <c r="F453" s="19">
        <v>128</v>
      </c>
      <c r="G453" s="19">
        <v>145</v>
      </c>
      <c r="H453" s="19">
        <v>4</v>
      </c>
      <c r="I453" s="80">
        <v>1.67</v>
      </c>
      <c r="J453" s="80">
        <v>6.69</v>
      </c>
      <c r="K453" s="19" t="s">
        <v>184</v>
      </c>
      <c r="L453" s="19" t="s">
        <v>927</v>
      </c>
      <c r="Q453" s="20">
        <v>16</v>
      </c>
      <c r="R453" s="65" t="s">
        <v>806</v>
      </c>
      <c r="T453" s="19" t="s">
        <v>22</v>
      </c>
      <c r="V453" s="19" t="s">
        <v>178</v>
      </c>
      <c r="W453" s="19" t="s">
        <v>138</v>
      </c>
      <c r="Z453" s="44" t="s">
        <v>807</v>
      </c>
      <c r="AA453" s="44" t="s">
        <v>180</v>
      </c>
    </row>
    <row r="454" spans="1:27" hidden="1" x14ac:dyDescent="0.25">
      <c r="A454" s="26">
        <v>134</v>
      </c>
      <c r="B454" s="19" t="s">
        <v>940</v>
      </c>
      <c r="C454" s="44" t="s">
        <v>172</v>
      </c>
      <c r="D454" s="19" t="s">
        <v>932</v>
      </c>
      <c r="E454" s="19">
        <v>12</v>
      </c>
      <c r="F454" s="19">
        <v>130</v>
      </c>
      <c r="G454" s="19">
        <v>1315</v>
      </c>
      <c r="H454" s="19">
        <v>1</v>
      </c>
      <c r="I454" s="80">
        <v>16.100000000000001</v>
      </c>
      <c r="J454" s="80">
        <v>16.100000000000001</v>
      </c>
      <c r="K454" s="19" t="s">
        <v>184</v>
      </c>
      <c r="L454" s="19" t="s">
        <v>927</v>
      </c>
      <c r="Q454" s="20">
        <v>16</v>
      </c>
      <c r="R454" s="65" t="s">
        <v>806</v>
      </c>
      <c r="T454" s="19" t="s">
        <v>22</v>
      </c>
      <c r="V454" s="19" t="s">
        <v>178</v>
      </c>
      <c r="W454" s="19" t="s">
        <v>138</v>
      </c>
      <c r="Z454" s="44" t="s">
        <v>807</v>
      </c>
      <c r="AA454" s="44" t="s">
        <v>180</v>
      </c>
    </row>
    <row r="455" spans="1:27" hidden="1" x14ac:dyDescent="0.25">
      <c r="A455" s="26">
        <v>135</v>
      </c>
      <c r="B455" s="19" t="s">
        <v>849</v>
      </c>
      <c r="C455" s="44" t="s">
        <v>172</v>
      </c>
      <c r="D455" s="19" t="s">
        <v>839</v>
      </c>
      <c r="E455" s="19">
        <v>12</v>
      </c>
      <c r="F455" s="19">
        <v>120</v>
      </c>
      <c r="G455" s="19">
        <v>129</v>
      </c>
      <c r="H455" s="19">
        <v>12</v>
      </c>
      <c r="I455" s="80">
        <v>1.32</v>
      </c>
      <c r="J455" s="80">
        <v>15.89</v>
      </c>
      <c r="K455" s="19" t="s">
        <v>184</v>
      </c>
      <c r="L455" s="19" t="s">
        <v>927</v>
      </c>
      <c r="Q455" s="20">
        <v>16</v>
      </c>
      <c r="R455" s="65" t="s">
        <v>806</v>
      </c>
      <c r="T455" s="19" t="s">
        <v>22</v>
      </c>
      <c r="V455" s="19" t="s">
        <v>178</v>
      </c>
      <c r="W455" s="19" t="s">
        <v>138</v>
      </c>
      <c r="Z455" s="44" t="s">
        <v>807</v>
      </c>
      <c r="AA455" s="44" t="s">
        <v>180</v>
      </c>
    </row>
    <row r="456" spans="1:27" hidden="1" x14ac:dyDescent="0.25">
      <c r="A456" s="26">
        <v>136</v>
      </c>
      <c r="B456" s="19" t="s">
        <v>941</v>
      </c>
      <c r="C456" s="44" t="s">
        <v>172</v>
      </c>
      <c r="D456" s="19" t="s">
        <v>839</v>
      </c>
      <c r="E456" s="19">
        <v>12</v>
      </c>
      <c r="F456" s="19">
        <v>120</v>
      </c>
      <c r="G456" s="19">
        <v>129</v>
      </c>
      <c r="H456" s="19">
        <v>18</v>
      </c>
      <c r="I456" s="80">
        <v>1.32</v>
      </c>
      <c r="J456" s="80">
        <v>23.83</v>
      </c>
      <c r="K456" s="19" t="s">
        <v>184</v>
      </c>
      <c r="L456" s="19" t="s">
        <v>927</v>
      </c>
      <c r="Q456" s="20">
        <v>16</v>
      </c>
      <c r="R456" s="65" t="s">
        <v>806</v>
      </c>
      <c r="T456" s="19" t="s">
        <v>22</v>
      </c>
      <c r="V456" s="19" t="s">
        <v>178</v>
      </c>
      <c r="W456" s="19" t="s">
        <v>138</v>
      </c>
      <c r="Z456" s="44" t="s">
        <v>807</v>
      </c>
      <c r="AA456" s="44" t="s">
        <v>180</v>
      </c>
    </row>
    <row r="457" spans="1:27" hidden="1" x14ac:dyDescent="0.25">
      <c r="A457" s="26">
        <v>137</v>
      </c>
      <c r="B457" s="19" t="s">
        <v>942</v>
      </c>
      <c r="C457" s="44" t="s">
        <v>172</v>
      </c>
      <c r="D457" s="19" t="s">
        <v>839</v>
      </c>
      <c r="E457" s="19">
        <v>12</v>
      </c>
      <c r="F457" s="19">
        <v>120</v>
      </c>
      <c r="G457" s="19">
        <v>129</v>
      </c>
      <c r="H457" s="19">
        <v>4</v>
      </c>
      <c r="I457" s="80">
        <v>1.32</v>
      </c>
      <c r="J457" s="80">
        <v>5.3</v>
      </c>
      <c r="K457" s="19" t="s">
        <v>184</v>
      </c>
      <c r="L457" s="19" t="s">
        <v>927</v>
      </c>
      <c r="Q457" s="20">
        <v>16</v>
      </c>
      <c r="R457" s="65" t="s">
        <v>806</v>
      </c>
      <c r="T457" s="19" t="s">
        <v>22</v>
      </c>
      <c r="V457" s="19" t="s">
        <v>178</v>
      </c>
      <c r="W457" s="19" t="s">
        <v>138</v>
      </c>
      <c r="Z457" s="44" t="s">
        <v>807</v>
      </c>
      <c r="AA457" s="44" t="s">
        <v>180</v>
      </c>
    </row>
    <row r="458" spans="1:27" hidden="1" x14ac:dyDescent="0.25">
      <c r="A458" s="26">
        <v>138</v>
      </c>
      <c r="B458" s="19" t="s">
        <v>943</v>
      </c>
      <c r="C458" s="44" t="s">
        <v>172</v>
      </c>
      <c r="D458" s="19" t="s">
        <v>874</v>
      </c>
      <c r="E458" s="19">
        <v>12</v>
      </c>
      <c r="F458" s="19">
        <v>100</v>
      </c>
      <c r="G458" s="19">
        <v>150</v>
      </c>
      <c r="H458" s="19">
        <v>1</v>
      </c>
      <c r="I458" s="80">
        <v>1.41</v>
      </c>
      <c r="J458" s="80">
        <v>1.41</v>
      </c>
      <c r="K458" s="19" t="s">
        <v>184</v>
      </c>
      <c r="L458" s="19" t="s">
        <v>927</v>
      </c>
      <c r="Q458" s="20">
        <v>16</v>
      </c>
      <c r="R458" s="65" t="s">
        <v>806</v>
      </c>
      <c r="T458" s="19" t="s">
        <v>22</v>
      </c>
      <c r="V458" s="19" t="s">
        <v>178</v>
      </c>
      <c r="W458" s="19" t="s">
        <v>138</v>
      </c>
      <c r="Z458" s="44" t="s">
        <v>807</v>
      </c>
      <c r="AA458" s="44" t="s">
        <v>180</v>
      </c>
    </row>
    <row r="459" spans="1:27" hidden="1" x14ac:dyDescent="0.25">
      <c r="A459" s="26">
        <v>139</v>
      </c>
      <c r="B459" s="19" t="s">
        <v>944</v>
      </c>
      <c r="C459" s="44" t="s">
        <v>172</v>
      </c>
      <c r="D459" s="19" t="s">
        <v>839</v>
      </c>
      <c r="E459" s="19">
        <v>12</v>
      </c>
      <c r="F459" s="19">
        <v>120</v>
      </c>
      <c r="G459" s="19">
        <v>129</v>
      </c>
      <c r="H459" s="19">
        <v>4</v>
      </c>
      <c r="I459" s="80">
        <v>1.32</v>
      </c>
      <c r="J459" s="80">
        <v>5.3</v>
      </c>
      <c r="K459" s="19" t="s">
        <v>184</v>
      </c>
      <c r="L459" s="19" t="s">
        <v>927</v>
      </c>
      <c r="Q459" s="20">
        <v>16</v>
      </c>
      <c r="R459" s="65" t="s">
        <v>806</v>
      </c>
      <c r="T459" s="19" t="s">
        <v>22</v>
      </c>
      <c r="V459" s="19" t="s">
        <v>178</v>
      </c>
      <c r="W459" s="19" t="s">
        <v>138</v>
      </c>
      <c r="Z459" s="44" t="s">
        <v>807</v>
      </c>
      <c r="AA459" s="44" t="s">
        <v>180</v>
      </c>
    </row>
    <row r="460" spans="1:27" hidden="1" x14ac:dyDescent="0.25">
      <c r="A460" s="26">
        <v>140</v>
      </c>
      <c r="B460" s="19" t="s">
        <v>945</v>
      </c>
      <c r="C460" s="44" t="s">
        <v>172</v>
      </c>
      <c r="D460" s="19" t="s">
        <v>874</v>
      </c>
      <c r="E460" s="19">
        <v>12</v>
      </c>
      <c r="F460" s="19">
        <v>100</v>
      </c>
      <c r="G460" s="19">
        <v>150</v>
      </c>
      <c r="H460" s="19">
        <v>1</v>
      </c>
      <c r="I460" s="80">
        <v>1.41</v>
      </c>
      <c r="J460" s="80">
        <v>1.41</v>
      </c>
      <c r="K460" s="19" t="s">
        <v>184</v>
      </c>
      <c r="L460" s="19" t="s">
        <v>927</v>
      </c>
      <c r="Q460" s="20">
        <v>16</v>
      </c>
      <c r="R460" s="65" t="s">
        <v>806</v>
      </c>
      <c r="T460" s="19" t="s">
        <v>22</v>
      </c>
      <c r="V460" s="19" t="s">
        <v>178</v>
      </c>
      <c r="W460" s="19" t="s">
        <v>138</v>
      </c>
      <c r="Z460" s="44" t="s">
        <v>807</v>
      </c>
      <c r="AA460" s="44" t="s">
        <v>180</v>
      </c>
    </row>
    <row r="461" spans="1:27" hidden="1" x14ac:dyDescent="0.25">
      <c r="A461" s="26">
        <v>141</v>
      </c>
      <c r="B461" s="19" t="s">
        <v>946</v>
      </c>
      <c r="C461" s="44" t="s">
        <v>172</v>
      </c>
      <c r="D461" s="19" t="s">
        <v>839</v>
      </c>
      <c r="E461" s="19">
        <v>12</v>
      </c>
      <c r="F461" s="19">
        <v>120</v>
      </c>
      <c r="G461" s="19">
        <v>129</v>
      </c>
      <c r="H461" s="19">
        <v>4</v>
      </c>
      <c r="I461" s="80">
        <v>1.32</v>
      </c>
      <c r="J461" s="80">
        <v>5.3</v>
      </c>
      <c r="K461" s="19" t="s">
        <v>184</v>
      </c>
      <c r="L461" s="19" t="s">
        <v>927</v>
      </c>
      <c r="Q461" s="20">
        <v>16</v>
      </c>
      <c r="R461" s="65" t="s">
        <v>806</v>
      </c>
      <c r="T461" s="19" t="s">
        <v>22</v>
      </c>
      <c r="V461" s="19" t="s">
        <v>178</v>
      </c>
      <c r="W461" s="19" t="s">
        <v>138</v>
      </c>
      <c r="Z461" s="44" t="s">
        <v>807</v>
      </c>
      <c r="AA461" s="44" t="s">
        <v>180</v>
      </c>
    </row>
    <row r="462" spans="1:27" hidden="1" x14ac:dyDescent="0.25">
      <c r="A462" s="26">
        <v>142</v>
      </c>
      <c r="B462" s="19" t="s">
        <v>947</v>
      </c>
      <c r="C462" s="44" t="s">
        <v>172</v>
      </c>
      <c r="D462" s="19" t="s">
        <v>839</v>
      </c>
      <c r="E462" s="19">
        <v>12</v>
      </c>
      <c r="F462" s="19">
        <v>120</v>
      </c>
      <c r="G462" s="19">
        <v>129</v>
      </c>
      <c r="H462" s="19">
        <v>4</v>
      </c>
      <c r="I462" s="80">
        <v>1.32</v>
      </c>
      <c r="J462" s="80">
        <v>5.3</v>
      </c>
      <c r="K462" s="19" t="s">
        <v>184</v>
      </c>
      <c r="L462" s="19" t="s">
        <v>927</v>
      </c>
      <c r="Q462" s="20">
        <v>16</v>
      </c>
      <c r="R462" s="65" t="s">
        <v>806</v>
      </c>
      <c r="T462" s="19" t="s">
        <v>22</v>
      </c>
      <c r="V462" s="19" t="s">
        <v>178</v>
      </c>
      <c r="W462" s="19" t="s">
        <v>138</v>
      </c>
      <c r="Z462" s="44" t="s">
        <v>807</v>
      </c>
      <c r="AA462" s="44" t="s">
        <v>180</v>
      </c>
    </row>
    <row r="463" spans="1:27" hidden="1" x14ac:dyDescent="0.25">
      <c r="A463" s="26">
        <v>143</v>
      </c>
      <c r="B463" s="19" t="s">
        <v>948</v>
      </c>
      <c r="C463" s="44" t="s">
        <v>172</v>
      </c>
      <c r="D463" s="19" t="s">
        <v>874</v>
      </c>
      <c r="E463" s="19">
        <v>12</v>
      </c>
      <c r="F463" s="19">
        <v>100</v>
      </c>
      <c r="G463" s="19">
        <v>150</v>
      </c>
      <c r="H463" s="19">
        <v>1</v>
      </c>
      <c r="I463" s="80">
        <v>1.41</v>
      </c>
      <c r="J463" s="80">
        <v>1.41</v>
      </c>
      <c r="K463" s="19" t="s">
        <v>184</v>
      </c>
      <c r="L463" s="19" t="s">
        <v>927</v>
      </c>
      <c r="Q463" s="20">
        <v>16</v>
      </c>
      <c r="R463" s="65" t="s">
        <v>806</v>
      </c>
      <c r="T463" s="19" t="s">
        <v>22</v>
      </c>
      <c r="V463" s="19" t="s">
        <v>178</v>
      </c>
      <c r="W463" s="19" t="s">
        <v>138</v>
      </c>
      <c r="Z463" s="44" t="s">
        <v>807</v>
      </c>
      <c r="AA463" s="44" t="s">
        <v>180</v>
      </c>
    </row>
    <row r="464" spans="1:27" hidden="1" x14ac:dyDescent="0.25">
      <c r="A464" s="26">
        <v>144</v>
      </c>
      <c r="B464" s="19" t="s">
        <v>949</v>
      </c>
      <c r="C464" s="44" t="s">
        <v>172</v>
      </c>
      <c r="D464" s="19" t="s">
        <v>839</v>
      </c>
      <c r="E464" s="19">
        <v>12</v>
      </c>
      <c r="F464" s="19">
        <v>120</v>
      </c>
      <c r="G464" s="19">
        <v>129</v>
      </c>
      <c r="H464" s="19">
        <v>4</v>
      </c>
      <c r="I464" s="80">
        <v>1.32</v>
      </c>
      <c r="J464" s="80">
        <v>5.3</v>
      </c>
      <c r="K464" s="19" t="s">
        <v>184</v>
      </c>
      <c r="L464" s="19" t="s">
        <v>927</v>
      </c>
      <c r="Q464" s="20">
        <v>16</v>
      </c>
      <c r="R464" s="65" t="s">
        <v>806</v>
      </c>
      <c r="T464" s="19" t="s">
        <v>22</v>
      </c>
      <c r="V464" s="19" t="s">
        <v>178</v>
      </c>
      <c r="W464" s="19" t="s">
        <v>138</v>
      </c>
      <c r="Z464" s="44" t="s">
        <v>807</v>
      </c>
      <c r="AA464" s="44" t="s">
        <v>180</v>
      </c>
    </row>
    <row r="465" spans="1:27" hidden="1" x14ac:dyDescent="0.25">
      <c r="A465" s="26">
        <v>145</v>
      </c>
      <c r="B465" s="19" t="s">
        <v>950</v>
      </c>
      <c r="C465" s="44" t="s">
        <v>172</v>
      </c>
      <c r="D465" s="19" t="s">
        <v>874</v>
      </c>
      <c r="E465" s="19">
        <v>12</v>
      </c>
      <c r="F465" s="19">
        <v>100</v>
      </c>
      <c r="G465" s="19">
        <v>150</v>
      </c>
      <c r="H465" s="19">
        <v>1</v>
      </c>
      <c r="I465" s="80">
        <v>1.41</v>
      </c>
      <c r="J465" s="80">
        <v>1.41</v>
      </c>
      <c r="K465" s="19" t="s">
        <v>184</v>
      </c>
      <c r="L465" s="19" t="s">
        <v>927</v>
      </c>
      <c r="Q465" s="20">
        <v>16</v>
      </c>
      <c r="R465" s="65" t="s">
        <v>806</v>
      </c>
      <c r="T465" s="19" t="s">
        <v>22</v>
      </c>
      <c r="V465" s="19" t="s">
        <v>178</v>
      </c>
      <c r="W465" s="19" t="s">
        <v>138</v>
      </c>
      <c r="Z465" s="44" t="s">
        <v>807</v>
      </c>
      <c r="AA465" s="44" t="s">
        <v>180</v>
      </c>
    </row>
    <row r="466" spans="1:27" hidden="1" x14ac:dyDescent="0.25">
      <c r="A466" s="26">
        <v>146</v>
      </c>
      <c r="B466" s="19" t="s">
        <v>951</v>
      </c>
      <c r="C466" s="44" t="s">
        <v>172</v>
      </c>
      <c r="D466" s="19" t="s">
        <v>839</v>
      </c>
      <c r="E466" s="19">
        <v>12</v>
      </c>
      <c r="F466" s="19">
        <v>120</v>
      </c>
      <c r="G466" s="19">
        <v>129</v>
      </c>
      <c r="H466" s="19">
        <v>4</v>
      </c>
      <c r="I466" s="80">
        <v>1.32</v>
      </c>
      <c r="J466" s="80">
        <v>5.3</v>
      </c>
      <c r="K466" s="19" t="s">
        <v>184</v>
      </c>
      <c r="L466" s="19" t="s">
        <v>927</v>
      </c>
      <c r="Q466" s="20">
        <v>16</v>
      </c>
      <c r="R466" s="65" t="s">
        <v>806</v>
      </c>
      <c r="T466" s="19" t="s">
        <v>22</v>
      </c>
      <c r="V466" s="19" t="s">
        <v>178</v>
      </c>
      <c r="W466" s="19" t="s">
        <v>138</v>
      </c>
      <c r="Z466" s="44" t="s">
        <v>807</v>
      </c>
      <c r="AA466" s="44" t="s">
        <v>180</v>
      </c>
    </row>
    <row r="467" spans="1:27" hidden="1" x14ac:dyDescent="0.25">
      <c r="A467" s="26">
        <v>147</v>
      </c>
      <c r="B467" s="19" t="s">
        <v>952</v>
      </c>
      <c r="C467" s="44" t="s">
        <v>172</v>
      </c>
      <c r="D467" s="19" t="s">
        <v>874</v>
      </c>
      <c r="E467" s="19">
        <v>12</v>
      </c>
      <c r="F467" s="19">
        <v>100</v>
      </c>
      <c r="G467" s="19">
        <v>150</v>
      </c>
      <c r="H467" s="19">
        <v>1</v>
      </c>
      <c r="I467" s="80">
        <v>1.41</v>
      </c>
      <c r="J467" s="80">
        <v>1.41</v>
      </c>
      <c r="K467" s="19" t="s">
        <v>184</v>
      </c>
      <c r="L467" s="19" t="s">
        <v>927</v>
      </c>
      <c r="Q467" s="20">
        <v>16</v>
      </c>
      <c r="R467" s="65" t="s">
        <v>806</v>
      </c>
      <c r="T467" s="19" t="s">
        <v>22</v>
      </c>
      <c r="V467" s="19" t="s">
        <v>178</v>
      </c>
      <c r="W467" s="19" t="s">
        <v>138</v>
      </c>
      <c r="Z467" s="44" t="s">
        <v>807</v>
      </c>
      <c r="AA467" s="44" t="s">
        <v>180</v>
      </c>
    </row>
    <row r="468" spans="1:27" hidden="1" x14ac:dyDescent="0.25">
      <c r="A468" s="26">
        <v>148</v>
      </c>
      <c r="B468" s="19" t="s">
        <v>953</v>
      </c>
      <c r="C468" s="44" t="s">
        <v>172</v>
      </c>
      <c r="D468" s="19" t="s">
        <v>839</v>
      </c>
      <c r="E468" s="19">
        <v>12</v>
      </c>
      <c r="F468" s="19">
        <v>120</v>
      </c>
      <c r="G468" s="19">
        <v>129</v>
      </c>
      <c r="H468" s="19">
        <v>4</v>
      </c>
      <c r="I468" s="80">
        <v>1.32</v>
      </c>
      <c r="J468" s="80">
        <v>5.3</v>
      </c>
      <c r="K468" s="19" t="s">
        <v>184</v>
      </c>
      <c r="L468" s="19" t="s">
        <v>927</v>
      </c>
      <c r="Q468" s="20">
        <v>16</v>
      </c>
      <c r="R468" s="65" t="s">
        <v>806</v>
      </c>
      <c r="T468" s="19" t="s">
        <v>22</v>
      </c>
      <c r="V468" s="19" t="s">
        <v>178</v>
      </c>
      <c r="W468" s="19" t="s">
        <v>138</v>
      </c>
      <c r="Z468" s="44" t="s">
        <v>807</v>
      </c>
      <c r="AA468" s="44" t="s">
        <v>180</v>
      </c>
    </row>
    <row r="469" spans="1:27" hidden="1" x14ac:dyDescent="0.25">
      <c r="A469" s="26">
        <v>149</v>
      </c>
      <c r="B469" s="19" t="s">
        <v>954</v>
      </c>
      <c r="C469" s="44" t="s">
        <v>172</v>
      </c>
      <c r="D469" s="19" t="s">
        <v>874</v>
      </c>
      <c r="E469" s="19">
        <v>12</v>
      </c>
      <c r="F469" s="19">
        <v>100</v>
      </c>
      <c r="G469" s="19">
        <v>150</v>
      </c>
      <c r="H469" s="19">
        <v>1</v>
      </c>
      <c r="I469" s="80">
        <v>1.41</v>
      </c>
      <c r="J469" s="80">
        <v>1.41</v>
      </c>
      <c r="K469" s="19" t="s">
        <v>184</v>
      </c>
      <c r="L469" s="19" t="s">
        <v>927</v>
      </c>
      <c r="Q469" s="20">
        <v>16</v>
      </c>
      <c r="R469" s="65" t="s">
        <v>806</v>
      </c>
      <c r="T469" s="19" t="s">
        <v>22</v>
      </c>
      <c r="V469" s="19" t="s">
        <v>178</v>
      </c>
      <c r="W469" s="19" t="s">
        <v>138</v>
      </c>
      <c r="Z469" s="44" t="s">
        <v>807</v>
      </c>
      <c r="AA469" s="44" t="s">
        <v>180</v>
      </c>
    </row>
    <row r="470" spans="1:27" hidden="1" x14ac:dyDescent="0.25">
      <c r="A470" s="26">
        <v>150</v>
      </c>
      <c r="B470" s="19" t="s">
        <v>955</v>
      </c>
      <c r="C470" s="44" t="s">
        <v>172</v>
      </c>
      <c r="D470" s="19" t="s">
        <v>839</v>
      </c>
      <c r="E470" s="19">
        <v>12</v>
      </c>
      <c r="F470" s="19">
        <v>120</v>
      </c>
      <c r="G470" s="19">
        <v>129</v>
      </c>
      <c r="H470" s="19">
        <v>4</v>
      </c>
      <c r="I470" s="80">
        <v>1.32</v>
      </c>
      <c r="J470" s="80">
        <v>5.3</v>
      </c>
      <c r="K470" s="19" t="s">
        <v>184</v>
      </c>
      <c r="L470" s="19" t="s">
        <v>927</v>
      </c>
      <c r="Q470" s="20">
        <v>16</v>
      </c>
      <c r="R470" s="65" t="s">
        <v>806</v>
      </c>
      <c r="T470" s="19" t="s">
        <v>22</v>
      </c>
      <c r="V470" s="19" t="s">
        <v>178</v>
      </c>
      <c r="W470" s="19" t="s">
        <v>138</v>
      </c>
      <c r="Z470" s="44" t="s">
        <v>807</v>
      </c>
      <c r="AA470" s="44" t="s">
        <v>180</v>
      </c>
    </row>
    <row r="471" spans="1:27" hidden="1" x14ac:dyDescent="0.25">
      <c r="A471" s="26">
        <v>151</v>
      </c>
      <c r="B471" s="19" t="s">
        <v>956</v>
      </c>
      <c r="C471" s="44" t="s">
        <v>172</v>
      </c>
      <c r="D471" s="19" t="s">
        <v>874</v>
      </c>
      <c r="E471" s="19">
        <v>12</v>
      </c>
      <c r="F471" s="19">
        <v>100</v>
      </c>
      <c r="G471" s="19">
        <v>150</v>
      </c>
      <c r="H471" s="19">
        <v>1</v>
      </c>
      <c r="I471" s="80">
        <v>1.41</v>
      </c>
      <c r="J471" s="80">
        <v>1.41</v>
      </c>
      <c r="K471" s="19" t="s">
        <v>184</v>
      </c>
      <c r="L471" s="19" t="s">
        <v>927</v>
      </c>
      <c r="Q471" s="20">
        <v>16</v>
      </c>
      <c r="R471" s="65" t="s">
        <v>806</v>
      </c>
      <c r="T471" s="19" t="s">
        <v>22</v>
      </c>
      <c r="V471" s="19" t="s">
        <v>178</v>
      </c>
      <c r="W471" s="19" t="s">
        <v>138</v>
      </c>
      <c r="Z471" s="44" t="s">
        <v>807</v>
      </c>
      <c r="AA471" s="44" t="s">
        <v>180</v>
      </c>
    </row>
    <row r="472" spans="1:27" hidden="1" x14ac:dyDescent="0.25">
      <c r="A472" s="26">
        <v>152</v>
      </c>
      <c r="B472" s="19" t="s">
        <v>957</v>
      </c>
      <c r="C472" s="44" t="s">
        <v>172</v>
      </c>
      <c r="D472" s="19" t="s">
        <v>877</v>
      </c>
      <c r="E472" s="19">
        <v>12</v>
      </c>
      <c r="F472" s="19">
        <v>130</v>
      </c>
      <c r="G472" s="19">
        <v>1458</v>
      </c>
      <c r="H472" s="19">
        <v>1</v>
      </c>
      <c r="I472" s="80">
        <v>17.84</v>
      </c>
      <c r="J472" s="80">
        <v>17.84</v>
      </c>
      <c r="K472" s="19" t="s">
        <v>184</v>
      </c>
      <c r="L472" s="19" t="s">
        <v>927</v>
      </c>
      <c r="Q472" s="20">
        <v>16</v>
      </c>
      <c r="R472" s="65" t="s">
        <v>806</v>
      </c>
      <c r="T472" s="19" t="s">
        <v>22</v>
      </c>
      <c r="V472" s="19" t="s">
        <v>178</v>
      </c>
      <c r="W472" s="19" t="s">
        <v>138</v>
      </c>
      <c r="Z472" s="44" t="s">
        <v>807</v>
      </c>
      <c r="AA472" s="44" t="s">
        <v>180</v>
      </c>
    </row>
    <row r="473" spans="1:27" hidden="1" x14ac:dyDescent="0.25">
      <c r="A473" s="26">
        <v>153</v>
      </c>
      <c r="B473" s="19" t="s">
        <v>958</v>
      </c>
      <c r="C473" s="44" t="s">
        <v>172</v>
      </c>
      <c r="D473" s="19" t="s">
        <v>877</v>
      </c>
      <c r="E473" s="19">
        <v>12</v>
      </c>
      <c r="F473" s="19">
        <v>130</v>
      </c>
      <c r="G473" s="19">
        <v>1458</v>
      </c>
      <c r="H473" s="19">
        <v>1</v>
      </c>
      <c r="I473" s="80">
        <v>17.84</v>
      </c>
      <c r="J473" s="80">
        <v>17.84</v>
      </c>
      <c r="K473" s="19" t="s">
        <v>184</v>
      </c>
      <c r="L473" s="19" t="s">
        <v>927</v>
      </c>
      <c r="Q473" s="20">
        <v>16</v>
      </c>
      <c r="R473" s="65" t="s">
        <v>806</v>
      </c>
      <c r="T473" s="19" t="s">
        <v>22</v>
      </c>
      <c r="V473" s="19" t="s">
        <v>178</v>
      </c>
      <c r="W473" s="19" t="s">
        <v>138</v>
      </c>
      <c r="Z473" s="44" t="s">
        <v>807</v>
      </c>
      <c r="AA473" s="44" t="s">
        <v>180</v>
      </c>
    </row>
    <row r="474" spans="1:27" hidden="1" x14ac:dyDescent="0.25">
      <c r="A474" s="26">
        <v>154</v>
      </c>
      <c r="B474" s="19" t="s">
        <v>959</v>
      </c>
      <c r="C474" s="44" t="s">
        <v>172</v>
      </c>
      <c r="D474" s="19" t="s">
        <v>960</v>
      </c>
      <c r="E474" s="19">
        <v>12</v>
      </c>
      <c r="F474" s="19">
        <v>70</v>
      </c>
      <c r="G474" s="19">
        <v>155</v>
      </c>
      <c r="H474" s="19">
        <v>2</v>
      </c>
      <c r="I474" s="80">
        <v>0.76</v>
      </c>
      <c r="J474" s="80">
        <v>1.53</v>
      </c>
      <c r="K474" s="19" t="s">
        <v>184</v>
      </c>
      <c r="L474" s="19" t="s">
        <v>927</v>
      </c>
      <c r="N474" s="19" t="s">
        <v>176</v>
      </c>
      <c r="Q474" s="20">
        <v>16</v>
      </c>
      <c r="R474" s="65" t="s">
        <v>806</v>
      </c>
      <c r="T474" s="19" t="s">
        <v>22</v>
      </c>
      <c r="V474" s="19" t="s">
        <v>178</v>
      </c>
      <c r="X474" s="19" t="s">
        <v>138</v>
      </c>
      <c r="Z474" s="44" t="s">
        <v>807</v>
      </c>
      <c r="AA474" s="44" t="s">
        <v>180</v>
      </c>
    </row>
    <row r="475" spans="1:27" hidden="1" x14ac:dyDescent="0.25">
      <c r="A475" s="26">
        <v>155</v>
      </c>
      <c r="B475" s="19" t="s">
        <v>961</v>
      </c>
      <c r="C475" s="44" t="s">
        <v>172</v>
      </c>
      <c r="D475" s="19" t="s">
        <v>960</v>
      </c>
      <c r="E475" s="19">
        <v>12</v>
      </c>
      <c r="F475" s="19">
        <v>70</v>
      </c>
      <c r="G475" s="19">
        <v>155</v>
      </c>
      <c r="H475" s="19">
        <v>2</v>
      </c>
      <c r="I475" s="80">
        <v>0.76</v>
      </c>
      <c r="J475" s="80">
        <v>1.53</v>
      </c>
      <c r="K475" s="19" t="s">
        <v>184</v>
      </c>
      <c r="L475" s="19" t="s">
        <v>927</v>
      </c>
      <c r="N475" s="19" t="s">
        <v>176</v>
      </c>
      <c r="Q475" s="20">
        <v>16</v>
      </c>
      <c r="R475" s="65" t="s">
        <v>806</v>
      </c>
      <c r="T475" s="19" t="s">
        <v>22</v>
      </c>
      <c r="V475" s="19" t="s">
        <v>178</v>
      </c>
      <c r="X475" s="19" t="s">
        <v>138</v>
      </c>
      <c r="Z475" s="44" t="s">
        <v>807</v>
      </c>
      <c r="AA475" s="44" t="s">
        <v>180</v>
      </c>
    </row>
    <row r="476" spans="1:27" hidden="1" x14ac:dyDescent="0.25">
      <c r="A476" s="26">
        <v>156</v>
      </c>
      <c r="B476" s="19" t="s">
        <v>962</v>
      </c>
      <c r="C476" s="44" t="s">
        <v>172</v>
      </c>
      <c r="D476" s="19" t="s">
        <v>960</v>
      </c>
      <c r="E476" s="19">
        <v>12</v>
      </c>
      <c r="F476" s="19">
        <v>70</v>
      </c>
      <c r="G476" s="19">
        <v>155</v>
      </c>
      <c r="H476" s="19">
        <v>2</v>
      </c>
      <c r="I476" s="80">
        <v>0.76</v>
      </c>
      <c r="J476" s="80">
        <v>1.53</v>
      </c>
      <c r="K476" s="19" t="s">
        <v>184</v>
      </c>
      <c r="L476" s="19" t="s">
        <v>927</v>
      </c>
      <c r="N476" s="19" t="s">
        <v>176</v>
      </c>
      <c r="Q476" s="20">
        <v>16</v>
      </c>
      <c r="R476" s="65" t="s">
        <v>806</v>
      </c>
      <c r="T476" s="19" t="s">
        <v>22</v>
      </c>
      <c r="V476" s="19" t="s">
        <v>178</v>
      </c>
      <c r="X476" s="19" t="s">
        <v>138</v>
      </c>
      <c r="Z476" s="44" t="s">
        <v>807</v>
      </c>
      <c r="AA476" s="44" t="s">
        <v>180</v>
      </c>
    </row>
    <row r="477" spans="1:27" hidden="1" x14ac:dyDescent="0.25">
      <c r="A477" s="26">
        <v>157</v>
      </c>
      <c r="B477" s="19" t="s">
        <v>963</v>
      </c>
      <c r="C477" s="44" t="s">
        <v>172</v>
      </c>
      <c r="D477" s="19" t="s">
        <v>960</v>
      </c>
      <c r="E477" s="19">
        <v>12</v>
      </c>
      <c r="F477" s="19">
        <v>70</v>
      </c>
      <c r="G477" s="19">
        <v>155</v>
      </c>
      <c r="H477" s="19">
        <v>2</v>
      </c>
      <c r="I477" s="80">
        <v>0.76</v>
      </c>
      <c r="J477" s="80">
        <v>1.53</v>
      </c>
      <c r="K477" s="19" t="s">
        <v>184</v>
      </c>
      <c r="L477" s="19" t="s">
        <v>927</v>
      </c>
      <c r="N477" s="19" t="s">
        <v>176</v>
      </c>
      <c r="Q477" s="20">
        <v>16</v>
      </c>
      <c r="R477" s="65" t="s">
        <v>806</v>
      </c>
      <c r="T477" s="19" t="s">
        <v>22</v>
      </c>
      <c r="V477" s="19" t="s">
        <v>178</v>
      </c>
      <c r="X477" s="19" t="s">
        <v>138</v>
      </c>
      <c r="Z477" s="44" t="s">
        <v>807</v>
      </c>
      <c r="AA477" s="44" t="s">
        <v>180</v>
      </c>
    </row>
    <row r="478" spans="1:27" hidden="1" x14ac:dyDescent="0.25">
      <c r="A478" s="26">
        <v>158</v>
      </c>
      <c r="B478" s="19" t="s">
        <v>964</v>
      </c>
      <c r="C478" s="44" t="s">
        <v>172</v>
      </c>
      <c r="D478" s="19" t="s">
        <v>965</v>
      </c>
      <c r="E478" s="19">
        <v>12</v>
      </c>
      <c r="F478" s="19">
        <v>70</v>
      </c>
      <c r="G478" s="19">
        <v>165</v>
      </c>
      <c r="H478" s="19">
        <v>2</v>
      </c>
      <c r="I478" s="80">
        <v>0.84</v>
      </c>
      <c r="J478" s="80">
        <v>1.67</v>
      </c>
      <c r="K478" s="19" t="s">
        <v>184</v>
      </c>
      <c r="L478" s="19" t="s">
        <v>927</v>
      </c>
      <c r="N478" s="19" t="s">
        <v>176</v>
      </c>
      <c r="Q478" s="20">
        <v>16</v>
      </c>
      <c r="R478" s="65" t="s">
        <v>806</v>
      </c>
      <c r="T478" s="19" t="s">
        <v>22</v>
      </c>
      <c r="V478" s="19" t="s">
        <v>178</v>
      </c>
      <c r="X478" s="19" t="s">
        <v>138</v>
      </c>
      <c r="Z478" s="44" t="s">
        <v>807</v>
      </c>
      <c r="AA478" s="44" t="s">
        <v>180</v>
      </c>
    </row>
    <row r="479" spans="1:27" hidden="1" x14ac:dyDescent="0.25">
      <c r="A479" s="26">
        <v>159</v>
      </c>
      <c r="B479" s="19" t="s">
        <v>966</v>
      </c>
      <c r="C479" s="44" t="s">
        <v>172</v>
      </c>
      <c r="D479" s="19" t="s">
        <v>965</v>
      </c>
      <c r="E479" s="19">
        <v>12</v>
      </c>
      <c r="F479" s="19">
        <v>70</v>
      </c>
      <c r="G479" s="19">
        <v>165</v>
      </c>
      <c r="H479" s="19">
        <v>2</v>
      </c>
      <c r="I479" s="80">
        <v>0.84</v>
      </c>
      <c r="J479" s="80">
        <v>1.67</v>
      </c>
      <c r="K479" s="19" t="s">
        <v>184</v>
      </c>
      <c r="L479" s="19" t="s">
        <v>927</v>
      </c>
      <c r="N479" s="19" t="s">
        <v>176</v>
      </c>
      <c r="Q479" s="20">
        <v>16</v>
      </c>
      <c r="R479" s="65" t="s">
        <v>806</v>
      </c>
      <c r="T479" s="19" t="s">
        <v>22</v>
      </c>
      <c r="V479" s="19" t="s">
        <v>178</v>
      </c>
      <c r="X479" s="19" t="s">
        <v>138</v>
      </c>
      <c r="Z479" s="44" t="s">
        <v>807</v>
      </c>
      <c r="AA479" s="44" t="s">
        <v>180</v>
      </c>
    </row>
    <row r="480" spans="1:27" hidden="1" x14ac:dyDescent="0.25">
      <c r="A480" s="26">
        <v>160</v>
      </c>
      <c r="B480" s="19" t="s">
        <v>967</v>
      </c>
      <c r="C480" s="44" t="s">
        <v>172</v>
      </c>
      <c r="D480" s="19" t="s">
        <v>965</v>
      </c>
      <c r="E480" s="19">
        <v>12</v>
      </c>
      <c r="F480" s="19">
        <v>70</v>
      </c>
      <c r="G480" s="19">
        <v>165</v>
      </c>
      <c r="H480" s="19">
        <v>2</v>
      </c>
      <c r="I480" s="80">
        <v>0.84</v>
      </c>
      <c r="J480" s="80">
        <v>1.67</v>
      </c>
      <c r="K480" s="19" t="s">
        <v>184</v>
      </c>
      <c r="L480" s="19" t="s">
        <v>927</v>
      </c>
      <c r="N480" s="19" t="s">
        <v>176</v>
      </c>
      <c r="Q480" s="20">
        <v>16</v>
      </c>
      <c r="R480" s="65" t="s">
        <v>806</v>
      </c>
      <c r="T480" s="19" t="s">
        <v>22</v>
      </c>
      <c r="V480" s="19" t="s">
        <v>178</v>
      </c>
      <c r="X480" s="19" t="s">
        <v>138</v>
      </c>
      <c r="Z480" s="44" t="s">
        <v>807</v>
      </c>
      <c r="AA480" s="44" t="s">
        <v>180</v>
      </c>
    </row>
    <row r="481" spans="1:27" hidden="1" x14ac:dyDescent="0.25">
      <c r="A481" s="26">
        <v>161</v>
      </c>
      <c r="B481" s="19" t="s">
        <v>968</v>
      </c>
      <c r="C481" s="44" t="s">
        <v>172</v>
      </c>
      <c r="D481" s="19" t="s">
        <v>965</v>
      </c>
      <c r="E481" s="19">
        <v>12</v>
      </c>
      <c r="F481" s="19">
        <v>70</v>
      </c>
      <c r="G481" s="19">
        <v>165</v>
      </c>
      <c r="H481" s="19">
        <v>2</v>
      </c>
      <c r="I481" s="80">
        <v>0.84</v>
      </c>
      <c r="J481" s="80">
        <v>1.67</v>
      </c>
      <c r="K481" s="19" t="s">
        <v>184</v>
      </c>
      <c r="L481" s="19" t="s">
        <v>927</v>
      </c>
      <c r="N481" s="19" t="s">
        <v>176</v>
      </c>
      <c r="Q481" s="20">
        <v>16</v>
      </c>
      <c r="R481" s="65" t="s">
        <v>806</v>
      </c>
      <c r="T481" s="19" t="s">
        <v>22</v>
      </c>
      <c r="V481" s="19" t="s">
        <v>178</v>
      </c>
      <c r="X481" s="19" t="s">
        <v>138</v>
      </c>
      <c r="Z481" s="44" t="s">
        <v>807</v>
      </c>
      <c r="AA481" s="44" t="s">
        <v>180</v>
      </c>
    </row>
    <row r="482" spans="1:27" hidden="1" x14ac:dyDescent="0.25">
      <c r="A482" s="26">
        <v>162</v>
      </c>
      <c r="B482" s="19" t="s">
        <v>969</v>
      </c>
      <c r="C482" s="44" t="s">
        <v>172</v>
      </c>
      <c r="D482" s="19" t="s">
        <v>839</v>
      </c>
      <c r="E482" s="19">
        <v>12</v>
      </c>
      <c r="F482" s="19">
        <v>120</v>
      </c>
      <c r="G482" s="19">
        <v>129</v>
      </c>
      <c r="H482" s="19">
        <v>24</v>
      </c>
      <c r="I482" s="80">
        <v>1.32</v>
      </c>
      <c r="J482" s="80">
        <v>31.78</v>
      </c>
      <c r="K482" s="19" t="s">
        <v>184</v>
      </c>
      <c r="L482" s="19" t="s">
        <v>927</v>
      </c>
      <c r="Q482" s="20">
        <v>16</v>
      </c>
      <c r="R482" s="65" t="s">
        <v>806</v>
      </c>
      <c r="T482" s="19" t="s">
        <v>22</v>
      </c>
      <c r="V482" s="19" t="s">
        <v>178</v>
      </c>
      <c r="W482" s="19" t="s">
        <v>138</v>
      </c>
      <c r="Z482" s="44" t="s">
        <v>807</v>
      </c>
      <c r="AA482" s="44" t="s">
        <v>180</v>
      </c>
    </row>
    <row r="483" spans="1:27" hidden="1" x14ac:dyDescent="0.25">
      <c r="A483" s="26">
        <v>163</v>
      </c>
      <c r="B483" s="19" t="s">
        <v>970</v>
      </c>
      <c r="C483" s="44" t="s">
        <v>172</v>
      </c>
      <c r="D483" s="19" t="s">
        <v>839</v>
      </c>
      <c r="E483" s="19">
        <v>12</v>
      </c>
      <c r="F483" s="19">
        <v>120</v>
      </c>
      <c r="G483" s="19">
        <v>129</v>
      </c>
      <c r="H483" s="19">
        <v>24</v>
      </c>
      <c r="I483" s="80">
        <v>1.32</v>
      </c>
      <c r="J483" s="80">
        <v>31.78</v>
      </c>
      <c r="K483" s="19" t="s">
        <v>184</v>
      </c>
      <c r="L483" s="19" t="s">
        <v>927</v>
      </c>
      <c r="Q483" s="20">
        <v>16</v>
      </c>
      <c r="R483" s="65" t="s">
        <v>806</v>
      </c>
      <c r="T483" s="19" t="s">
        <v>22</v>
      </c>
      <c r="V483" s="19" t="s">
        <v>178</v>
      </c>
      <c r="W483" s="19" t="s">
        <v>138</v>
      </c>
      <c r="Z483" s="44" t="s">
        <v>807</v>
      </c>
      <c r="AA483" s="44" t="s">
        <v>180</v>
      </c>
    </row>
    <row r="484" spans="1:27" hidden="1" x14ac:dyDescent="0.25">
      <c r="A484" s="26">
        <v>164</v>
      </c>
      <c r="B484" s="19" t="s">
        <v>971</v>
      </c>
      <c r="C484" s="44" t="s">
        <v>172</v>
      </c>
      <c r="D484" s="19" t="s">
        <v>839</v>
      </c>
      <c r="E484" s="19">
        <v>12</v>
      </c>
      <c r="F484" s="19">
        <v>120</v>
      </c>
      <c r="G484" s="19">
        <v>129</v>
      </c>
      <c r="H484" s="19">
        <v>24</v>
      </c>
      <c r="I484" s="80">
        <v>1.32</v>
      </c>
      <c r="J484" s="80">
        <v>31.78</v>
      </c>
      <c r="K484" s="19" t="s">
        <v>184</v>
      </c>
      <c r="L484" s="19" t="s">
        <v>927</v>
      </c>
      <c r="Q484" s="20">
        <v>16</v>
      </c>
      <c r="R484" s="65" t="s">
        <v>806</v>
      </c>
      <c r="T484" s="19" t="s">
        <v>22</v>
      </c>
      <c r="V484" s="19" t="s">
        <v>178</v>
      </c>
      <c r="W484" s="19" t="s">
        <v>138</v>
      </c>
      <c r="Z484" s="44" t="s">
        <v>807</v>
      </c>
      <c r="AA484" s="44" t="s">
        <v>180</v>
      </c>
    </row>
    <row r="485" spans="1:27" hidden="1" x14ac:dyDescent="0.25">
      <c r="A485" s="26">
        <v>165</v>
      </c>
      <c r="B485" s="19" t="s">
        <v>972</v>
      </c>
      <c r="C485" s="44" t="s">
        <v>172</v>
      </c>
      <c r="D485" s="19" t="s">
        <v>839</v>
      </c>
      <c r="E485" s="19">
        <v>12</v>
      </c>
      <c r="F485" s="19">
        <v>120</v>
      </c>
      <c r="G485" s="19">
        <v>129</v>
      </c>
      <c r="H485" s="19">
        <v>24</v>
      </c>
      <c r="I485" s="80">
        <v>1.32</v>
      </c>
      <c r="J485" s="80">
        <v>31.78</v>
      </c>
      <c r="K485" s="19" t="s">
        <v>184</v>
      </c>
      <c r="L485" s="19" t="s">
        <v>927</v>
      </c>
      <c r="Q485" s="20">
        <v>16</v>
      </c>
      <c r="R485" s="65" t="s">
        <v>806</v>
      </c>
      <c r="T485" s="19" t="s">
        <v>22</v>
      </c>
      <c r="V485" s="19" t="s">
        <v>178</v>
      </c>
      <c r="W485" s="19" t="s">
        <v>138</v>
      </c>
      <c r="Z485" s="44" t="s">
        <v>807</v>
      </c>
      <c r="AA485" s="44" t="s">
        <v>180</v>
      </c>
    </row>
    <row r="486" spans="1:27" hidden="1" x14ac:dyDescent="0.25">
      <c r="A486" s="26">
        <v>166</v>
      </c>
      <c r="B486" s="19" t="s">
        <v>973</v>
      </c>
      <c r="C486" s="44" t="s">
        <v>172</v>
      </c>
      <c r="D486" s="19" t="s">
        <v>839</v>
      </c>
      <c r="E486" s="19">
        <v>12</v>
      </c>
      <c r="F486" s="19">
        <v>120</v>
      </c>
      <c r="G486" s="19">
        <v>129</v>
      </c>
      <c r="H486" s="19">
        <v>24</v>
      </c>
      <c r="I486" s="80">
        <v>1.32</v>
      </c>
      <c r="J486" s="80">
        <v>31.78</v>
      </c>
      <c r="K486" s="19" t="s">
        <v>184</v>
      </c>
      <c r="L486" s="19" t="s">
        <v>927</v>
      </c>
      <c r="Q486" s="20">
        <v>16</v>
      </c>
      <c r="R486" s="65" t="s">
        <v>806</v>
      </c>
      <c r="T486" s="19" t="s">
        <v>22</v>
      </c>
      <c r="V486" s="19" t="s">
        <v>178</v>
      </c>
      <c r="W486" s="19" t="s">
        <v>138</v>
      </c>
      <c r="Z486" s="44" t="s">
        <v>807</v>
      </c>
      <c r="AA486" s="44" t="s">
        <v>180</v>
      </c>
    </row>
    <row r="487" spans="1:27" hidden="1" x14ac:dyDescent="0.25">
      <c r="A487" s="26">
        <v>167</v>
      </c>
      <c r="B487" s="19" t="s">
        <v>974</v>
      </c>
      <c r="C487" s="44" t="s">
        <v>172</v>
      </c>
      <c r="D487" s="19" t="s">
        <v>839</v>
      </c>
      <c r="E487" s="19">
        <v>12</v>
      </c>
      <c r="F487" s="19">
        <v>120</v>
      </c>
      <c r="G487" s="19">
        <v>129</v>
      </c>
      <c r="H487" s="19">
        <v>24</v>
      </c>
      <c r="I487" s="80">
        <v>1.32</v>
      </c>
      <c r="J487" s="80">
        <v>31.78</v>
      </c>
      <c r="K487" s="19" t="s">
        <v>184</v>
      </c>
      <c r="L487" s="19" t="s">
        <v>927</v>
      </c>
      <c r="Q487" s="20">
        <v>16</v>
      </c>
      <c r="R487" s="65" t="s">
        <v>806</v>
      </c>
      <c r="T487" s="19" t="s">
        <v>22</v>
      </c>
      <c r="V487" s="19" t="s">
        <v>178</v>
      </c>
      <c r="W487" s="19" t="s">
        <v>138</v>
      </c>
      <c r="Z487" s="44" t="s">
        <v>807</v>
      </c>
      <c r="AA487" s="44" t="s">
        <v>180</v>
      </c>
    </row>
    <row r="488" spans="1:27" hidden="1" x14ac:dyDescent="0.25">
      <c r="A488" s="26">
        <v>168</v>
      </c>
      <c r="B488" s="19" t="s">
        <v>975</v>
      </c>
      <c r="C488" s="44" t="s">
        <v>172</v>
      </c>
      <c r="D488" s="19" t="s">
        <v>839</v>
      </c>
      <c r="E488" s="19">
        <v>12</v>
      </c>
      <c r="F488" s="19">
        <v>120</v>
      </c>
      <c r="G488" s="19">
        <v>129</v>
      </c>
      <c r="H488" s="19">
        <v>24</v>
      </c>
      <c r="I488" s="80">
        <v>1.32</v>
      </c>
      <c r="J488" s="80">
        <v>31.78</v>
      </c>
      <c r="K488" s="19" t="s">
        <v>184</v>
      </c>
      <c r="L488" s="19" t="s">
        <v>927</v>
      </c>
      <c r="Q488" s="20">
        <v>16</v>
      </c>
      <c r="R488" s="65" t="s">
        <v>806</v>
      </c>
      <c r="T488" s="19" t="s">
        <v>22</v>
      </c>
      <c r="V488" s="19" t="s">
        <v>178</v>
      </c>
      <c r="W488" s="19" t="s">
        <v>138</v>
      </c>
      <c r="Z488" s="44" t="s">
        <v>807</v>
      </c>
      <c r="AA488" s="44" t="s">
        <v>180</v>
      </c>
    </row>
    <row r="489" spans="1:27" hidden="1" x14ac:dyDescent="0.25">
      <c r="A489" s="26">
        <v>169</v>
      </c>
      <c r="B489" s="19" t="s">
        <v>976</v>
      </c>
      <c r="C489" s="44" t="s">
        <v>172</v>
      </c>
      <c r="D489" s="19" t="s">
        <v>839</v>
      </c>
      <c r="E489" s="19">
        <v>12</v>
      </c>
      <c r="F489" s="19">
        <v>120</v>
      </c>
      <c r="G489" s="19">
        <v>129</v>
      </c>
      <c r="H489" s="19">
        <v>24</v>
      </c>
      <c r="I489" s="80">
        <v>1.32</v>
      </c>
      <c r="J489" s="80">
        <v>31.78</v>
      </c>
      <c r="K489" s="19" t="s">
        <v>184</v>
      </c>
      <c r="L489" s="19" t="s">
        <v>927</v>
      </c>
      <c r="Q489" s="20">
        <v>16</v>
      </c>
      <c r="R489" s="65" t="s">
        <v>806</v>
      </c>
      <c r="T489" s="19" t="s">
        <v>22</v>
      </c>
      <c r="V489" s="19" t="s">
        <v>178</v>
      </c>
      <c r="W489" s="19" t="s">
        <v>138</v>
      </c>
      <c r="Z489" s="44" t="s">
        <v>807</v>
      </c>
      <c r="AA489" s="44" t="s">
        <v>180</v>
      </c>
    </row>
    <row r="490" spans="1:27" hidden="1" x14ac:dyDescent="0.25">
      <c r="A490" s="26">
        <v>170</v>
      </c>
      <c r="B490" s="19" t="s">
        <v>977</v>
      </c>
      <c r="C490" s="44" t="s">
        <v>172</v>
      </c>
      <c r="D490" s="19" t="s">
        <v>839</v>
      </c>
      <c r="E490" s="19">
        <v>12</v>
      </c>
      <c r="F490" s="19">
        <v>120</v>
      </c>
      <c r="G490" s="19">
        <v>129</v>
      </c>
      <c r="H490" s="19">
        <v>24</v>
      </c>
      <c r="I490" s="80">
        <v>1.32</v>
      </c>
      <c r="J490" s="80">
        <v>31.78</v>
      </c>
      <c r="K490" s="19" t="s">
        <v>184</v>
      </c>
      <c r="L490" s="19" t="s">
        <v>927</v>
      </c>
      <c r="Q490" s="20">
        <v>16</v>
      </c>
      <c r="R490" s="65" t="s">
        <v>806</v>
      </c>
      <c r="T490" s="19" t="s">
        <v>22</v>
      </c>
      <c r="V490" s="19" t="s">
        <v>178</v>
      </c>
      <c r="W490" s="19" t="s">
        <v>138</v>
      </c>
      <c r="Z490" s="44" t="s">
        <v>807</v>
      </c>
      <c r="AA490" s="44" t="s">
        <v>180</v>
      </c>
    </row>
    <row r="491" spans="1:27" hidden="1" x14ac:dyDescent="0.25">
      <c r="A491" s="26">
        <v>171</v>
      </c>
      <c r="B491" s="19" t="s">
        <v>978</v>
      </c>
      <c r="C491" s="44" t="s">
        <v>172</v>
      </c>
      <c r="D491" s="19" t="s">
        <v>839</v>
      </c>
      <c r="E491" s="19">
        <v>12</v>
      </c>
      <c r="F491" s="19">
        <v>120</v>
      </c>
      <c r="G491" s="19">
        <v>129</v>
      </c>
      <c r="H491" s="19">
        <v>24</v>
      </c>
      <c r="I491" s="80">
        <v>1.32</v>
      </c>
      <c r="J491" s="80">
        <v>31.78</v>
      </c>
      <c r="K491" s="19" t="s">
        <v>184</v>
      </c>
      <c r="L491" s="19" t="s">
        <v>927</v>
      </c>
      <c r="Q491" s="20">
        <v>16</v>
      </c>
      <c r="R491" s="65" t="s">
        <v>806</v>
      </c>
      <c r="T491" s="19" t="s">
        <v>22</v>
      </c>
      <c r="V491" s="19" t="s">
        <v>178</v>
      </c>
      <c r="W491" s="19" t="s">
        <v>138</v>
      </c>
      <c r="Z491" s="44" t="s">
        <v>807</v>
      </c>
      <c r="AA491" s="44" t="s">
        <v>180</v>
      </c>
    </row>
    <row r="492" spans="1:27" hidden="1" x14ac:dyDescent="0.25">
      <c r="A492" s="26">
        <v>172</v>
      </c>
      <c r="B492" s="19" t="s">
        <v>979</v>
      </c>
      <c r="C492" s="44" t="s">
        <v>172</v>
      </c>
      <c r="D492" s="19" t="s">
        <v>839</v>
      </c>
      <c r="E492" s="19">
        <v>12</v>
      </c>
      <c r="F492" s="19">
        <v>120</v>
      </c>
      <c r="G492" s="19">
        <v>129</v>
      </c>
      <c r="H492" s="19">
        <v>18</v>
      </c>
      <c r="I492" s="80">
        <v>1.32</v>
      </c>
      <c r="J492" s="80">
        <v>23.83</v>
      </c>
      <c r="K492" s="19" t="s">
        <v>184</v>
      </c>
      <c r="L492" s="19" t="s">
        <v>927</v>
      </c>
      <c r="Q492" s="20">
        <v>16</v>
      </c>
      <c r="R492" s="65" t="s">
        <v>806</v>
      </c>
      <c r="T492" s="19" t="s">
        <v>22</v>
      </c>
      <c r="V492" s="19" t="s">
        <v>178</v>
      </c>
      <c r="W492" s="19" t="s">
        <v>138</v>
      </c>
      <c r="Z492" s="44" t="s">
        <v>807</v>
      </c>
      <c r="AA492" s="44" t="s">
        <v>180</v>
      </c>
    </row>
    <row r="493" spans="1:27" hidden="1" x14ac:dyDescent="0.25">
      <c r="A493" s="26">
        <v>173</v>
      </c>
      <c r="B493" s="19" t="s">
        <v>980</v>
      </c>
      <c r="C493" s="44" t="s">
        <v>172</v>
      </c>
      <c r="D493" s="19" t="s">
        <v>839</v>
      </c>
      <c r="E493" s="19">
        <v>12</v>
      </c>
      <c r="F493" s="19">
        <v>120</v>
      </c>
      <c r="G493" s="19">
        <v>129</v>
      </c>
      <c r="H493" s="19">
        <v>18</v>
      </c>
      <c r="I493" s="80">
        <v>1.32</v>
      </c>
      <c r="J493" s="80">
        <v>23.83</v>
      </c>
      <c r="K493" s="19" t="s">
        <v>184</v>
      </c>
      <c r="L493" s="19" t="s">
        <v>927</v>
      </c>
      <c r="Q493" s="20">
        <v>16</v>
      </c>
      <c r="R493" s="65" t="s">
        <v>806</v>
      </c>
      <c r="T493" s="19" t="s">
        <v>22</v>
      </c>
      <c r="V493" s="19" t="s">
        <v>178</v>
      </c>
      <c r="W493" s="19" t="s">
        <v>138</v>
      </c>
      <c r="Z493" s="44" t="s">
        <v>807</v>
      </c>
      <c r="AA493" s="44" t="s">
        <v>180</v>
      </c>
    </row>
    <row r="494" spans="1:27" hidden="1" x14ac:dyDescent="0.25">
      <c r="A494" s="26">
        <v>174</v>
      </c>
      <c r="B494" s="19" t="s">
        <v>981</v>
      </c>
      <c r="C494" s="44" t="s">
        <v>172</v>
      </c>
      <c r="D494" s="19" t="s">
        <v>839</v>
      </c>
      <c r="E494" s="19">
        <v>12</v>
      </c>
      <c r="F494" s="19">
        <v>120</v>
      </c>
      <c r="G494" s="19">
        <v>129</v>
      </c>
      <c r="H494" s="19">
        <v>18</v>
      </c>
      <c r="I494" s="80">
        <v>1.32</v>
      </c>
      <c r="J494" s="80">
        <v>23.83</v>
      </c>
      <c r="K494" s="19" t="s">
        <v>184</v>
      </c>
      <c r="L494" s="19" t="s">
        <v>927</v>
      </c>
      <c r="Q494" s="20">
        <v>16</v>
      </c>
      <c r="R494" s="65" t="s">
        <v>806</v>
      </c>
      <c r="T494" s="19" t="s">
        <v>22</v>
      </c>
      <c r="V494" s="19" t="s">
        <v>178</v>
      </c>
      <c r="W494" s="19" t="s">
        <v>138</v>
      </c>
      <c r="Z494" s="44" t="s">
        <v>807</v>
      </c>
      <c r="AA494" s="44" t="s">
        <v>180</v>
      </c>
    </row>
    <row r="495" spans="1:27" hidden="1" x14ac:dyDescent="0.25">
      <c r="A495" s="26">
        <v>175</v>
      </c>
      <c r="B495" s="19" t="s">
        <v>982</v>
      </c>
      <c r="C495" s="44" t="s">
        <v>172</v>
      </c>
      <c r="D495" s="19" t="s">
        <v>839</v>
      </c>
      <c r="E495" s="19">
        <v>12</v>
      </c>
      <c r="F495" s="19">
        <v>120</v>
      </c>
      <c r="G495" s="19">
        <v>129</v>
      </c>
      <c r="H495" s="19">
        <v>18</v>
      </c>
      <c r="I495" s="80">
        <v>1.32</v>
      </c>
      <c r="J495" s="80">
        <v>23.83</v>
      </c>
      <c r="K495" s="19" t="s">
        <v>184</v>
      </c>
      <c r="L495" s="19" t="s">
        <v>927</v>
      </c>
      <c r="Q495" s="20">
        <v>16</v>
      </c>
      <c r="R495" s="65" t="s">
        <v>806</v>
      </c>
      <c r="T495" s="19" t="s">
        <v>22</v>
      </c>
      <c r="V495" s="19" t="s">
        <v>178</v>
      </c>
      <c r="W495" s="19" t="s">
        <v>138</v>
      </c>
      <c r="Z495" s="44" t="s">
        <v>807</v>
      </c>
      <c r="AA495" s="44" t="s">
        <v>180</v>
      </c>
    </row>
    <row r="496" spans="1:27" hidden="1" x14ac:dyDescent="0.25">
      <c r="A496" s="26">
        <v>176</v>
      </c>
      <c r="B496" s="19" t="s">
        <v>983</v>
      </c>
      <c r="C496" s="44" t="s">
        <v>172</v>
      </c>
      <c r="D496" s="19" t="s">
        <v>839</v>
      </c>
      <c r="E496" s="19">
        <v>12</v>
      </c>
      <c r="F496" s="19">
        <v>120</v>
      </c>
      <c r="G496" s="19">
        <v>129</v>
      </c>
      <c r="H496" s="19">
        <v>18</v>
      </c>
      <c r="I496" s="80">
        <v>1.32</v>
      </c>
      <c r="J496" s="80">
        <v>23.83</v>
      </c>
      <c r="K496" s="19" t="s">
        <v>184</v>
      </c>
      <c r="L496" s="19" t="s">
        <v>927</v>
      </c>
      <c r="Q496" s="20">
        <v>16</v>
      </c>
      <c r="R496" s="65" t="s">
        <v>806</v>
      </c>
      <c r="T496" s="19" t="s">
        <v>22</v>
      </c>
      <c r="V496" s="19" t="s">
        <v>178</v>
      </c>
      <c r="W496" s="19" t="s">
        <v>138</v>
      </c>
      <c r="Z496" s="44" t="s">
        <v>807</v>
      </c>
      <c r="AA496" s="44" t="s">
        <v>180</v>
      </c>
    </row>
    <row r="497" spans="1:27" hidden="1" x14ac:dyDescent="0.25">
      <c r="A497" s="26">
        <v>177</v>
      </c>
      <c r="B497" s="19" t="s">
        <v>984</v>
      </c>
      <c r="C497" s="44" t="s">
        <v>172</v>
      </c>
      <c r="D497" s="19" t="s">
        <v>839</v>
      </c>
      <c r="E497" s="19">
        <v>12</v>
      </c>
      <c r="F497" s="19">
        <v>120</v>
      </c>
      <c r="G497" s="19">
        <v>129</v>
      </c>
      <c r="H497" s="19">
        <v>4</v>
      </c>
      <c r="I497" s="80">
        <v>1.32</v>
      </c>
      <c r="J497" s="80">
        <v>5.3</v>
      </c>
      <c r="K497" s="19" t="s">
        <v>184</v>
      </c>
      <c r="L497" s="19" t="s">
        <v>927</v>
      </c>
      <c r="Q497" s="20">
        <v>16</v>
      </c>
      <c r="R497" s="65" t="s">
        <v>806</v>
      </c>
      <c r="T497" s="19" t="s">
        <v>22</v>
      </c>
      <c r="V497" s="19" t="s">
        <v>178</v>
      </c>
      <c r="W497" s="19" t="s">
        <v>138</v>
      </c>
      <c r="Z497" s="44" t="s">
        <v>807</v>
      </c>
      <c r="AA497" s="44" t="s">
        <v>180</v>
      </c>
    </row>
    <row r="498" spans="1:27" hidden="1" x14ac:dyDescent="0.25">
      <c r="A498" s="26">
        <v>178</v>
      </c>
      <c r="B498" s="19" t="s">
        <v>985</v>
      </c>
      <c r="C498" s="44" t="s">
        <v>172</v>
      </c>
      <c r="D498" s="19" t="s">
        <v>874</v>
      </c>
      <c r="E498" s="19">
        <v>12</v>
      </c>
      <c r="F498" s="19">
        <v>100</v>
      </c>
      <c r="G498" s="19">
        <v>150</v>
      </c>
      <c r="H498" s="19">
        <v>1</v>
      </c>
      <c r="I498" s="80">
        <v>1.41</v>
      </c>
      <c r="J498" s="80">
        <v>1.41</v>
      </c>
      <c r="K498" s="19" t="s">
        <v>184</v>
      </c>
      <c r="L498" s="19" t="s">
        <v>927</v>
      </c>
      <c r="Q498" s="20">
        <v>16</v>
      </c>
      <c r="R498" s="65" t="s">
        <v>806</v>
      </c>
      <c r="T498" s="19" t="s">
        <v>22</v>
      </c>
      <c r="V498" s="19" t="s">
        <v>178</v>
      </c>
      <c r="W498" s="19" t="s">
        <v>138</v>
      </c>
      <c r="Z498" s="44" t="s">
        <v>807</v>
      </c>
      <c r="AA498" s="44" t="s">
        <v>180</v>
      </c>
    </row>
    <row r="499" spans="1:27" hidden="1" x14ac:dyDescent="0.25">
      <c r="A499" s="26">
        <v>179</v>
      </c>
      <c r="B499" s="19" t="s">
        <v>986</v>
      </c>
      <c r="C499" s="44" t="s">
        <v>172</v>
      </c>
      <c r="D499" s="19" t="s">
        <v>839</v>
      </c>
      <c r="E499" s="19">
        <v>12</v>
      </c>
      <c r="F499" s="19">
        <v>120</v>
      </c>
      <c r="G499" s="19">
        <v>129</v>
      </c>
      <c r="H499" s="19">
        <v>4</v>
      </c>
      <c r="I499" s="80">
        <v>1.32</v>
      </c>
      <c r="J499" s="80">
        <v>5.3</v>
      </c>
      <c r="K499" s="19" t="s">
        <v>184</v>
      </c>
      <c r="L499" s="19" t="s">
        <v>927</v>
      </c>
      <c r="Q499" s="20">
        <v>16</v>
      </c>
      <c r="R499" s="65" t="s">
        <v>806</v>
      </c>
      <c r="T499" s="19" t="s">
        <v>22</v>
      </c>
      <c r="V499" s="19" t="s">
        <v>178</v>
      </c>
      <c r="W499" s="19" t="s">
        <v>138</v>
      </c>
      <c r="Z499" s="44" t="s">
        <v>807</v>
      </c>
      <c r="AA499" s="44" t="s">
        <v>180</v>
      </c>
    </row>
    <row r="500" spans="1:27" hidden="1" x14ac:dyDescent="0.25">
      <c r="A500" s="26">
        <v>180</v>
      </c>
      <c r="B500" s="19" t="s">
        <v>987</v>
      </c>
      <c r="C500" s="44" t="s">
        <v>172</v>
      </c>
      <c r="D500" s="19" t="s">
        <v>874</v>
      </c>
      <c r="E500" s="19">
        <v>12</v>
      </c>
      <c r="F500" s="19">
        <v>100</v>
      </c>
      <c r="G500" s="19">
        <v>150</v>
      </c>
      <c r="H500" s="19">
        <v>1</v>
      </c>
      <c r="I500" s="80">
        <v>1.41</v>
      </c>
      <c r="J500" s="80">
        <v>1.41</v>
      </c>
      <c r="K500" s="19" t="s">
        <v>184</v>
      </c>
      <c r="L500" s="19" t="s">
        <v>927</v>
      </c>
      <c r="Q500" s="20">
        <v>16</v>
      </c>
      <c r="R500" s="65" t="s">
        <v>806</v>
      </c>
      <c r="T500" s="19" t="s">
        <v>22</v>
      </c>
      <c r="V500" s="19" t="s">
        <v>178</v>
      </c>
      <c r="W500" s="19" t="s">
        <v>138</v>
      </c>
      <c r="Z500" s="44" t="s">
        <v>807</v>
      </c>
      <c r="AA500" s="44" t="s">
        <v>180</v>
      </c>
    </row>
    <row r="501" spans="1:27" hidden="1" x14ac:dyDescent="0.25">
      <c r="A501" s="26">
        <v>181</v>
      </c>
      <c r="B501" s="19" t="s">
        <v>988</v>
      </c>
      <c r="C501" s="44" t="s">
        <v>172</v>
      </c>
      <c r="D501" s="19" t="s">
        <v>839</v>
      </c>
      <c r="E501" s="19">
        <v>12</v>
      </c>
      <c r="F501" s="19">
        <v>120</v>
      </c>
      <c r="G501" s="19">
        <v>129</v>
      </c>
      <c r="H501" s="19">
        <v>4</v>
      </c>
      <c r="I501" s="80">
        <v>1.32</v>
      </c>
      <c r="J501" s="80">
        <v>5.3</v>
      </c>
      <c r="K501" s="19" t="s">
        <v>184</v>
      </c>
      <c r="L501" s="19" t="s">
        <v>927</v>
      </c>
      <c r="Q501" s="20">
        <v>16</v>
      </c>
      <c r="R501" s="65" t="s">
        <v>806</v>
      </c>
      <c r="T501" s="19" t="s">
        <v>22</v>
      </c>
      <c r="V501" s="19" t="s">
        <v>178</v>
      </c>
      <c r="W501" s="19" t="s">
        <v>138</v>
      </c>
      <c r="Z501" s="44" t="s">
        <v>807</v>
      </c>
      <c r="AA501" s="44" t="s">
        <v>180</v>
      </c>
    </row>
    <row r="502" spans="1:27" hidden="1" x14ac:dyDescent="0.25">
      <c r="A502" s="26">
        <v>182</v>
      </c>
      <c r="B502" s="19" t="s">
        <v>989</v>
      </c>
      <c r="C502" s="44" t="s">
        <v>172</v>
      </c>
      <c r="D502" s="19" t="s">
        <v>874</v>
      </c>
      <c r="E502" s="19">
        <v>12</v>
      </c>
      <c r="F502" s="19">
        <v>100</v>
      </c>
      <c r="G502" s="19">
        <v>150</v>
      </c>
      <c r="H502" s="19">
        <v>1</v>
      </c>
      <c r="I502" s="80">
        <v>1.41</v>
      </c>
      <c r="J502" s="80">
        <v>1.41</v>
      </c>
      <c r="K502" s="19" t="s">
        <v>184</v>
      </c>
      <c r="L502" s="19" t="s">
        <v>927</v>
      </c>
      <c r="Q502" s="20">
        <v>16</v>
      </c>
      <c r="R502" s="65" t="s">
        <v>806</v>
      </c>
      <c r="T502" s="19" t="s">
        <v>22</v>
      </c>
      <c r="V502" s="19" t="s">
        <v>178</v>
      </c>
      <c r="W502" s="19" t="s">
        <v>138</v>
      </c>
      <c r="Z502" s="44" t="s">
        <v>807</v>
      </c>
      <c r="AA502" s="44" t="s">
        <v>180</v>
      </c>
    </row>
    <row r="503" spans="1:27" hidden="1" x14ac:dyDescent="0.25">
      <c r="A503" s="26">
        <v>183</v>
      </c>
      <c r="B503" s="19" t="s">
        <v>990</v>
      </c>
      <c r="C503" s="44" t="s">
        <v>172</v>
      </c>
      <c r="D503" s="19" t="s">
        <v>839</v>
      </c>
      <c r="E503" s="19">
        <v>12</v>
      </c>
      <c r="F503" s="19">
        <v>120</v>
      </c>
      <c r="G503" s="19">
        <v>129</v>
      </c>
      <c r="H503" s="19">
        <v>4</v>
      </c>
      <c r="I503" s="80">
        <v>1.32</v>
      </c>
      <c r="J503" s="80">
        <v>5.3</v>
      </c>
      <c r="K503" s="19" t="s">
        <v>184</v>
      </c>
      <c r="L503" s="19" t="s">
        <v>927</v>
      </c>
      <c r="Q503" s="20">
        <v>16</v>
      </c>
      <c r="R503" s="65" t="s">
        <v>806</v>
      </c>
      <c r="T503" s="19" t="s">
        <v>22</v>
      </c>
      <c r="V503" s="19" t="s">
        <v>178</v>
      </c>
      <c r="W503" s="19" t="s">
        <v>138</v>
      </c>
      <c r="Z503" s="44" t="s">
        <v>807</v>
      </c>
      <c r="AA503" s="44" t="s">
        <v>180</v>
      </c>
    </row>
    <row r="504" spans="1:27" hidden="1" x14ac:dyDescent="0.25">
      <c r="A504" s="26">
        <v>184</v>
      </c>
      <c r="B504" s="19" t="s">
        <v>991</v>
      </c>
      <c r="C504" s="44" t="s">
        <v>172</v>
      </c>
      <c r="D504" s="19" t="s">
        <v>874</v>
      </c>
      <c r="E504" s="19">
        <v>12</v>
      </c>
      <c r="F504" s="19">
        <v>100</v>
      </c>
      <c r="G504" s="19">
        <v>150</v>
      </c>
      <c r="H504" s="19">
        <v>1</v>
      </c>
      <c r="I504" s="80">
        <v>1.41</v>
      </c>
      <c r="J504" s="80">
        <v>1.41</v>
      </c>
      <c r="K504" s="19" t="s">
        <v>184</v>
      </c>
      <c r="L504" s="19" t="s">
        <v>927</v>
      </c>
      <c r="Q504" s="20">
        <v>16</v>
      </c>
      <c r="R504" s="65" t="s">
        <v>806</v>
      </c>
      <c r="T504" s="19" t="s">
        <v>22</v>
      </c>
      <c r="V504" s="19" t="s">
        <v>178</v>
      </c>
      <c r="W504" s="19" t="s">
        <v>138</v>
      </c>
      <c r="Z504" s="44" t="s">
        <v>807</v>
      </c>
      <c r="AA504" s="44" t="s">
        <v>180</v>
      </c>
    </row>
    <row r="505" spans="1:27" hidden="1" x14ac:dyDescent="0.25">
      <c r="A505" s="26">
        <v>185</v>
      </c>
      <c r="B505" s="19" t="s">
        <v>992</v>
      </c>
      <c r="C505" s="44" t="s">
        <v>172</v>
      </c>
      <c r="D505" s="19" t="s">
        <v>839</v>
      </c>
      <c r="E505" s="19">
        <v>12</v>
      </c>
      <c r="F505" s="19">
        <v>120</v>
      </c>
      <c r="G505" s="19">
        <v>129</v>
      </c>
      <c r="H505" s="19">
        <v>4</v>
      </c>
      <c r="I505" s="80">
        <v>1.32</v>
      </c>
      <c r="J505" s="80">
        <v>5.3</v>
      </c>
      <c r="K505" s="19" t="s">
        <v>184</v>
      </c>
      <c r="L505" s="19" t="s">
        <v>927</v>
      </c>
      <c r="Q505" s="20">
        <v>16</v>
      </c>
      <c r="R505" s="65" t="s">
        <v>806</v>
      </c>
      <c r="T505" s="19" t="s">
        <v>22</v>
      </c>
      <c r="V505" s="19" t="s">
        <v>178</v>
      </c>
      <c r="W505" s="19" t="s">
        <v>138</v>
      </c>
      <c r="Z505" s="44" t="s">
        <v>807</v>
      </c>
      <c r="AA505" s="44" t="s">
        <v>180</v>
      </c>
    </row>
    <row r="506" spans="1:27" hidden="1" x14ac:dyDescent="0.25">
      <c r="A506" s="26">
        <v>186</v>
      </c>
      <c r="B506" s="19" t="s">
        <v>993</v>
      </c>
      <c r="C506" s="44" t="s">
        <v>172</v>
      </c>
      <c r="D506" s="19" t="s">
        <v>874</v>
      </c>
      <c r="E506" s="19">
        <v>12</v>
      </c>
      <c r="F506" s="19">
        <v>100</v>
      </c>
      <c r="G506" s="19">
        <v>150</v>
      </c>
      <c r="H506" s="19">
        <v>1</v>
      </c>
      <c r="I506" s="80">
        <v>1.41</v>
      </c>
      <c r="J506" s="80">
        <v>1.41</v>
      </c>
      <c r="K506" s="19" t="s">
        <v>184</v>
      </c>
      <c r="L506" s="19" t="s">
        <v>927</v>
      </c>
      <c r="Q506" s="20">
        <v>16</v>
      </c>
      <c r="R506" s="65" t="s">
        <v>806</v>
      </c>
      <c r="T506" s="19" t="s">
        <v>22</v>
      </c>
      <c r="V506" s="19" t="s">
        <v>178</v>
      </c>
      <c r="W506" s="19" t="s">
        <v>138</v>
      </c>
      <c r="Z506" s="44" t="s">
        <v>807</v>
      </c>
      <c r="AA506" s="44" t="s">
        <v>180</v>
      </c>
    </row>
    <row r="507" spans="1:27" hidden="1" x14ac:dyDescent="0.25">
      <c r="A507" s="26">
        <v>187</v>
      </c>
      <c r="B507" s="19" t="s">
        <v>994</v>
      </c>
      <c r="C507" s="44" t="s">
        <v>172</v>
      </c>
      <c r="D507" s="19" t="s">
        <v>839</v>
      </c>
      <c r="E507" s="19">
        <v>12</v>
      </c>
      <c r="F507" s="19">
        <v>120</v>
      </c>
      <c r="G507" s="19">
        <v>129</v>
      </c>
      <c r="H507" s="19">
        <v>4</v>
      </c>
      <c r="I507" s="80">
        <v>1.32</v>
      </c>
      <c r="J507" s="80">
        <v>5.3</v>
      </c>
      <c r="K507" s="19" t="s">
        <v>184</v>
      </c>
      <c r="L507" s="19" t="s">
        <v>927</v>
      </c>
      <c r="Q507" s="20">
        <v>16</v>
      </c>
      <c r="R507" s="65" t="s">
        <v>806</v>
      </c>
      <c r="T507" s="19" t="s">
        <v>22</v>
      </c>
      <c r="V507" s="19" t="s">
        <v>178</v>
      </c>
      <c r="W507" s="19" t="s">
        <v>138</v>
      </c>
      <c r="Z507" s="44" t="s">
        <v>807</v>
      </c>
      <c r="AA507" s="44" t="s">
        <v>180</v>
      </c>
    </row>
    <row r="508" spans="1:27" hidden="1" x14ac:dyDescent="0.25">
      <c r="A508" s="26">
        <v>188</v>
      </c>
      <c r="B508" s="19" t="s">
        <v>995</v>
      </c>
      <c r="C508" s="44" t="s">
        <v>172</v>
      </c>
      <c r="D508" s="19" t="s">
        <v>874</v>
      </c>
      <c r="E508" s="19">
        <v>12</v>
      </c>
      <c r="F508" s="19">
        <v>100</v>
      </c>
      <c r="G508" s="19">
        <v>150</v>
      </c>
      <c r="H508" s="19">
        <v>1</v>
      </c>
      <c r="I508" s="80">
        <v>1.41</v>
      </c>
      <c r="J508" s="80">
        <v>1.41</v>
      </c>
      <c r="K508" s="19" t="s">
        <v>184</v>
      </c>
      <c r="L508" s="19" t="s">
        <v>927</v>
      </c>
      <c r="Q508" s="20">
        <v>16</v>
      </c>
      <c r="R508" s="65" t="s">
        <v>806</v>
      </c>
      <c r="T508" s="19" t="s">
        <v>22</v>
      </c>
      <c r="V508" s="19" t="s">
        <v>178</v>
      </c>
      <c r="W508" s="19" t="s">
        <v>138</v>
      </c>
      <c r="Z508" s="44" t="s">
        <v>807</v>
      </c>
      <c r="AA508" s="44" t="s">
        <v>180</v>
      </c>
    </row>
    <row r="509" spans="1:27" hidden="1" x14ac:dyDescent="0.25">
      <c r="A509" s="26">
        <v>189</v>
      </c>
      <c r="B509" s="19" t="s">
        <v>996</v>
      </c>
      <c r="C509" s="44" t="s">
        <v>172</v>
      </c>
      <c r="D509" s="19" t="s">
        <v>839</v>
      </c>
      <c r="E509" s="19">
        <v>12</v>
      </c>
      <c r="F509" s="19">
        <v>120</v>
      </c>
      <c r="G509" s="19">
        <v>129</v>
      </c>
      <c r="H509" s="19">
        <v>4</v>
      </c>
      <c r="I509" s="80">
        <v>1.32</v>
      </c>
      <c r="J509" s="80">
        <v>5.3</v>
      </c>
      <c r="K509" s="19" t="s">
        <v>184</v>
      </c>
      <c r="L509" s="19" t="s">
        <v>927</v>
      </c>
      <c r="Q509" s="20">
        <v>16</v>
      </c>
      <c r="R509" s="65" t="s">
        <v>806</v>
      </c>
      <c r="T509" s="19" t="s">
        <v>22</v>
      </c>
      <c r="V509" s="19" t="s">
        <v>178</v>
      </c>
      <c r="W509" s="19" t="s">
        <v>138</v>
      </c>
      <c r="Z509" s="44" t="s">
        <v>807</v>
      </c>
      <c r="AA509" s="44" t="s">
        <v>180</v>
      </c>
    </row>
    <row r="510" spans="1:27" hidden="1" x14ac:dyDescent="0.25">
      <c r="A510" s="26">
        <v>190</v>
      </c>
      <c r="B510" s="19" t="s">
        <v>997</v>
      </c>
      <c r="C510" s="44" t="s">
        <v>172</v>
      </c>
      <c r="D510" s="19" t="s">
        <v>874</v>
      </c>
      <c r="E510" s="19">
        <v>12</v>
      </c>
      <c r="F510" s="19">
        <v>100</v>
      </c>
      <c r="G510" s="19">
        <v>150</v>
      </c>
      <c r="H510" s="19">
        <v>1</v>
      </c>
      <c r="I510" s="80">
        <v>1.41</v>
      </c>
      <c r="J510" s="80">
        <v>1.41</v>
      </c>
      <c r="K510" s="19" t="s">
        <v>184</v>
      </c>
      <c r="L510" s="19" t="s">
        <v>927</v>
      </c>
      <c r="Q510" s="20">
        <v>16</v>
      </c>
      <c r="R510" s="65" t="s">
        <v>806</v>
      </c>
      <c r="T510" s="19" t="s">
        <v>22</v>
      </c>
      <c r="V510" s="19" t="s">
        <v>178</v>
      </c>
      <c r="W510" s="19" t="s">
        <v>138</v>
      </c>
      <c r="Z510" s="44" t="s">
        <v>807</v>
      </c>
      <c r="AA510" s="44" t="s">
        <v>180</v>
      </c>
    </row>
    <row r="511" spans="1:27" hidden="1" x14ac:dyDescent="0.25">
      <c r="A511" s="26">
        <v>191</v>
      </c>
      <c r="B511" s="19" t="s">
        <v>872</v>
      </c>
      <c r="C511" s="44" t="s">
        <v>172</v>
      </c>
      <c r="D511" s="19" t="s">
        <v>839</v>
      </c>
      <c r="E511" s="19">
        <v>12</v>
      </c>
      <c r="F511" s="19">
        <v>120</v>
      </c>
      <c r="G511" s="19">
        <v>129</v>
      </c>
      <c r="H511" s="19">
        <v>3</v>
      </c>
      <c r="I511" s="80">
        <v>1.32</v>
      </c>
      <c r="J511" s="80">
        <v>3.97</v>
      </c>
      <c r="K511" s="19" t="s">
        <v>184</v>
      </c>
      <c r="L511" s="19" t="s">
        <v>927</v>
      </c>
      <c r="Q511" s="20">
        <v>16</v>
      </c>
      <c r="R511" s="65" t="s">
        <v>806</v>
      </c>
      <c r="T511" s="19" t="s">
        <v>22</v>
      </c>
      <c r="V511" s="19" t="s">
        <v>178</v>
      </c>
      <c r="W511" s="19" t="s">
        <v>138</v>
      </c>
      <c r="Z511" s="44" t="s">
        <v>807</v>
      </c>
      <c r="AA511" s="44" t="s">
        <v>180</v>
      </c>
    </row>
    <row r="512" spans="1:27" hidden="1" x14ac:dyDescent="0.25">
      <c r="A512" s="26">
        <v>192</v>
      </c>
      <c r="B512" s="19" t="s">
        <v>998</v>
      </c>
      <c r="C512" s="44" t="s">
        <v>172</v>
      </c>
      <c r="D512" s="19" t="s">
        <v>999</v>
      </c>
      <c r="E512" s="19">
        <v>16</v>
      </c>
      <c r="F512" s="19">
        <v>340</v>
      </c>
      <c r="G512" s="19">
        <v>369</v>
      </c>
      <c r="H512" s="19">
        <v>1</v>
      </c>
      <c r="I512" s="80">
        <v>15.76</v>
      </c>
      <c r="J512" s="80">
        <v>15.76</v>
      </c>
      <c r="K512" s="19" t="s">
        <v>1000</v>
      </c>
      <c r="L512" s="19" t="s">
        <v>1001</v>
      </c>
      <c r="O512" s="19" t="s">
        <v>138</v>
      </c>
      <c r="Q512" s="20">
        <v>16</v>
      </c>
      <c r="R512" s="65" t="s">
        <v>806</v>
      </c>
      <c r="T512" s="19" t="s">
        <v>307</v>
      </c>
      <c r="V512" s="19" t="s">
        <v>178</v>
      </c>
      <c r="X512" s="19" t="s">
        <v>138</v>
      </c>
      <c r="Z512" s="44" t="s">
        <v>807</v>
      </c>
      <c r="AA512" s="44" t="s">
        <v>180</v>
      </c>
    </row>
    <row r="513" spans="1:27" hidden="1" x14ac:dyDescent="0.25">
      <c r="A513" s="26">
        <v>193</v>
      </c>
      <c r="B513" s="19" t="s">
        <v>1002</v>
      </c>
      <c r="C513" s="44" t="s">
        <v>172</v>
      </c>
      <c r="D513" s="19" t="s">
        <v>999</v>
      </c>
      <c r="E513" s="19">
        <v>16</v>
      </c>
      <c r="F513" s="19">
        <v>340</v>
      </c>
      <c r="G513" s="19">
        <v>369</v>
      </c>
      <c r="H513" s="19">
        <v>1</v>
      </c>
      <c r="I513" s="80">
        <v>15.76</v>
      </c>
      <c r="J513" s="80">
        <v>15.76</v>
      </c>
      <c r="K513" s="19" t="s">
        <v>1000</v>
      </c>
      <c r="L513" s="19" t="s">
        <v>1001</v>
      </c>
      <c r="O513" s="19" t="s">
        <v>138</v>
      </c>
      <c r="Q513" s="20">
        <v>16</v>
      </c>
      <c r="R513" s="65" t="s">
        <v>806</v>
      </c>
      <c r="T513" s="19" t="s">
        <v>307</v>
      </c>
      <c r="V513" s="19" t="s">
        <v>178</v>
      </c>
      <c r="X513" s="19" t="s">
        <v>138</v>
      </c>
      <c r="Z513" s="44" t="s">
        <v>807</v>
      </c>
      <c r="AA513" s="44" t="s">
        <v>180</v>
      </c>
    </row>
    <row r="514" spans="1:27" hidden="1" x14ac:dyDescent="0.25">
      <c r="A514" s="26">
        <v>194</v>
      </c>
      <c r="B514" s="19" t="s">
        <v>1003</v>
      </c>
      <c r="C514" s="44" t="s">
        <v>172</v>
      </c>
      <c r="D514" s="19" t="s">
        <v>999</v>
      </c>
      <c r="E514" s="19">
        <v>16</v>
      </c>
      <c r="F514" s="19">
        <v>340</v>
      </c>
      <c r="G514" s="19">
        <v>369</v>
      </c>
      <c r="H514" s="19">
        <v>1</v>
      </c>
      <c r="I514" s="80">
        <v>15.76</v>
      </c>
      <c r="J514" s="80">
        <v>15.76</v>
      </c>
      <c r="K514" s="19" t="s">
        <v>1000</v>
      </c>
      <c r="L514" s="19" t="s">
        <v>1001</v>
      </c>
      <c r="O514" s="19" t="s">
        <v>138</v>
      </c>
      <c r="Q514" s="20">
        <v>16</v>
      </c>
      <c r="R514" s="65" t="s">
        <v>806</v>
      </c>
      <c r="T514" s="19" t="s">
        <v>307</v>
      </c>
      <c r="V514" s="19" t="s">
        <v>178</v>
      </c>
      <c r="X514" s="19" t="s">
        <v>138</v>
      </c>
      <c r="Z514" s="44" t="s">
        <v>807</v>
      </c>
      <c r="AA514" s="44" t="s">
        <v>180</v>
      </c>
    </row>
    <row r="515" spans="1:27" hidden="1" x14ac:dyDescent="0.25">
      <c r="A515" s="26">
        <v>195</v>
      </c>
      <c r="B515" s="19" t="s">
        <v>1004</v>
      </c>
      <c r="C515" s="44" t="s">
        <v>172</v>
      </c>
      <c r="D515" s="19" t="s">
        <v>999</v>
      </c>
      <c r="E515" s="19">
        <v>16</v>
      </c>
      <c r="F515" s="19">
        <v>340</v>
      </c>
      <c r="G515" s="19">
        <v>369</v>
      </c>
      <c r="H515" s="19">
        <v>1</v>
      </c>
      <c r="I515" s="80">
        <v>15.76</v>
      </c>
      <c r="J515" s="80">
        <v>15.76</v>
      </c>
      <c r="K515" s="19" t="s">
        <v>1000</v>
      </c>
      <c r="L515" s="19" t="s">
        <v>1001</v>
      </c>
      <c r="O515" s="19" t="s">
        <v>138</v>
      </c>
      <c r="Q515" s="20">
        <v>16</v>
      </c>
      <c r="R515" s="65" t="s">
        <v>806</v>
      </c>
      <c r="T515" s="19" t="s">
        <v>307</v>
      </c>
      <c r="V515" s="19" t="s">
        <v>178</v>
      </c>
      <c r="X515" s="19" t="s">
        <v>138</v>
      </c>
      <c r="Z515" s="44" t="s">
        <v>807</v>
      </c>
      <c r="AA515" s="44" t="s">
        <v>180</v>
      </c>
    </row>
    <row r="516" spans="1:27" hidden="1" x14ac:dyDescent="0.25">
      <c r="A516" s="26">
        <v>196</v>
      </c>
      <c r="B516" s="19" t="s">
        <v>1005</v>
      </c>
      <c r="C516" s="44" t="s">
        <v>172</v>
      </c>
      <c r="D516" s="19" t="s">
        <v>1006</v>
      </c>
      <c r="E516" s="19">
        <v>16</v>
      </c>
      <c r="F516" s="19">
        <v>300</v>
      </c>
      <c r="G516" s="19">
        <v>369</v>
      </c>
      <c r="H516" s="19">
        <v>1</v>
      </c>
      <c r="I516" s="80">
        <v>13.9</v>
      </c>
      <c r="J516" s="80">
        <v>13.9</v>
      </c>
      <c r="K516" s="19" t="s">
        <v>1000</v>
      </c>
      <c r="L516" s="19" t="s">
        <v>1001</v>
      </c>
      <c r="O516" s="19" t="s">
        <v>138</v>
      </c>
      <c r="Q516" s="20">
        <v>16</v>
      </c>
      <c r="R516" s="65" t="s">
        <v>806</v>
      </c>
      <c r="T516" s="19" t="s">
        <v>307</v>
      </c>
      <c r="V516" s="19" t="s">
        <v>178</v>
      </c>
      <c r="X516" s="19" t="s">
        <v>138</v>
      </c>
      <c r="Z516" s="44" t="s">
        <v>807</v>
      </c>
      <c r="AA516" s="44" t="s">
        <v>180</v>
      </c>
    </row>
    <row r="517" spans="1:27" hidden="1" x14ac:dyDescent="0.25">
      <c r="A517" s="26">
        <v>197</v>
      </c>
      <c r="B517" s="19" t="s">
        <v>1007</v>
      </c>
      <c r="C517" s="44" t="s">
        <v>172</v>
      </c>
      <c r="D517" s="19" t="s">
        <v>1006</v>
      </c>
      <c r="E517" s="19">
        <v>16</v>
      </c>
      <c r="F517" s="19">
        <v>300</v>
      </c>
      <c r="G517" s="19">
        <v>369</v>
      </c>
      <c r="H517" s="19">
        <v>1</v>
      </c>
      <c r="I517" s="80">
        <v>13.9</v>
      </c>
      <c r="J517" s="80">
        <v>13.9</v>
      </c>
      <c r="K517" s="19" t="s">
        <v>1000</v>
      </c>
      <c r="L517" s="19" t="s">
        <v>1001</v>
      </c>
      <c r="O517" s="19" t="s">
        <v>138</v>
      </c>
      <c r="Q517" s="20">
        <v>16</v>
      </c>
      <c r="R517" s="65" t="s">
        <v>806</v>
      </c>
      <c r="T517" s="19" t="s">
        <v>307</v>
      </c>
      <c r="V517" s="19" t="s">
        <v>178</v>
      </c>
      <c r="X517" s="19" t="s">
        <v>138</v>
      </c>
      <c r="Z517" s="44" t="s">
        <v>807</v>
      </c>
      <c r="AA517" s="44" t="s">
        <v>180</v>
      </c>
    </row>
    <row r="518" spans="1:27" hidden="1" x14ac:dyDescent="0.25">
      <c r="A518" s="26">
        <v>198</v>
      </c>
      <c r="B518" s="19" t="s">
        <v>1008</v>
      </c>
      <c r="C518" s="44" t="s">
        <v>172</v>
      </c>
      <c r="D518" s="19" t="s">
        <v>1006</v>
      </c>
      <c r="E518" s="19">
        <v>16</v>
      </c>
      <c r="F518" s="19">
        <v>300</v>
      </c>
      <c r="G518" s="19">
        <v>369</v>
      </c>
      <c r="H518" s="19">
        <v>1</v>
      </c>
      <c r="I518" s="80">
        <v>13.9</v>
      </c>
      <c r="J518" s="80">
        <v>13.9</v>
      </c>
      <c r="K518" s="19" t="s">
        <v>1000</v>
      </c>
      <c r="L518" s="19" t="s">
        <v>1001</v>
      </c>
      <c r="O518" s="19" t="s">
        <v>138</v>
      </c>
      <c r="Q518" s="20">
        <v>16</v>
      </c>
      <c r="R518" s="65" t="s">
        <v>806</v>
      </c>
      <c r="T518" s="19" t="s">
        <v>307</v>
      </c>
      <c r="V518" s="19" t="s">
        <v>178</v>
      </c>
      <c r="X518" s="19" t="s">
        <v>138</v>
      </c>
      <c r="Z518" s="44" t="s">
        <v>807</v>
      </c>
      <c r="AA518" s="44" t="s">
        <v>180</v>
      </c>
    </row>
    <row r="519" spans="1:27" hidden="1" x14ac:dyDescent="0.25">
      <c r="A519" s="26">
        <v>199</v>
      </c>
      <c r="B519" s="19" t="s">
        <v>1009</v>
      </c>
      <c r="C519" s="44" t="s">
        <v>172</v>
      </c>
      <c r="D519" s="19" t="s">
        <v>1006</v>
      </c>
      <c r="E519" s="19">
        <v>16</v>
      </c>
      <c r="F519" s="19">
        <v>300</v>
      </c>
      <c r="G519" s="19">
        <v>369</v>
      </c>
      <c r="H519" s="19">
        <v>1</v>
      </c>
      <c r="I519" s="80">
        <v>13.9</v>
      </c>
      <c r="J519" s="80">
        <v>13.9</v>
      </c>
      <c r="K519" s="19" t="s">
        <v>1000</v>
      </c>
      <c r="L519" s="19" t="s">
        <v>1001</v>
      </c>
      <c r="O519" s="19" t="s">
        <v>138</v>
      </c>
      <c r="Q519" s="20">
        <v>16</v>
      </c>
      <c r="R519" s="65" t="s">
        <v>806</v>
      </c>
      <c r="T519" s="19" t="s">
        <v>307</v>
      </c>
      <c r="V519" s="19" t="s">
        <v>178</v>
      </c>
      <c r="X519" s="19" t="s">
        <v>138</v>
      </c>
      <c r="Z519" s="44" t="s">
        <v>807</v>
      </c>
      <c r="AA519" s="44" t="s">
        <v>180</v>
      </c>
    </row>
    <row r="520" spans="1:27" hidden="1" x14ac:dyDescent="0.25">
      <c r="A520" s="26">
        <v>200</v>
      </c>
      <c r="B520" s="19" t="s">
        <v>1010</v>
      </c>
      <c r="C520" s="44" t="s">
        <v>172</v>
      </c>
      <c r="D520" s="19" t="s">
        <v>1011</v>
      </c>
      <c r="E520" s="19">
        <v>20</v>
      </c>
      <c r="F520" s="19">
        <v>300</v>
      </c>
      <c r="G520" s="19">
        <v>9980</v>
      </c>
      <c r="H520" s="19">
        <v>1</v>
      </c>
      <c r="I520" s="80">
        <v>470.06</v>
      </c>
      <c r="J520" s="80">
        <v>470.06</v>
      </c>
      <c r="K520" s="19" t="s">
        <v>195</v>
      </c>
      <c r="L520" s="19" t="s">
        <v>1012</v>
      </c>
      <c r="Q520" s="20">
        <v>16</v>
      </c>
      <c r="R520" s="65" t="s">
        <v>806</v>
      </c>
      <c r="T520" s="19" t="s">
        <v>22</v>
      </c>
      <c r="V520" s="19" t="s">
        <v>178</v>
      </c>
      <c r="Y520" s="19" t="s">
        <v>138</v>
      </c>
      <c r="Z520" s="44" t="s">
        <v>807</v>
      </c>
      <c r="AA520" s="44" t="s">
        <v>180</v>
      </c>
    </row>
    <row r="521" spans="1:27" hidden="1" x14ac:dyDescent="0.25">
      <c r="A521" s="26">
        <v>201</v>
      </c>
      <c r="B521" s="19" t="s">
        <v>1013</v>
      </c>
      <c r="C521" s="44" t="s">
        <v>172</v>
      </c>
      <c r="D521" s="19" t="s">
        <v>1011</v>
      </c>
      <c r="E521" s="19">
        <v>20</v>
      </c>
      <c r="F521" s="19">
        <v>300</v>
      </c>
      <c r="G521" s="19">
        <v>9980</v>
      </c>
      <c r="H521" s="19">
        <v>1</v>
      </c>
      <c r="I521" s="80">
        <v>470.06</v>
      </c>
      <c r="J521" s="80">
        <v>470.06</v>
      </c>
      <c r="K521" s="19" t="s">
        <v>195</v>
      </c>
      <c r="L521" s="19" t="s">
        <v>1012</v>
      </c>
      <c r="Q521" s="20">
        <v>16</v>
      </c>
      <c r="R521" s="65" t="s">
        <v>806</v>
      </c>
      <c r="T521" s="19" t="s">
        <v>22</v>
      </c>
      <c r="V521" s="19" t="s">
        <v>178</v>
      </c>
      <c r="Y521" s="19" t="s">
        <v>138</v>
      </c>
      <c r="Z521" s="44" t="s">
        <v>807</v>
      </c>
      <c r="AA521" s="44" t="s">
        <v>180</v>
      </c>
    </row>
    <row r="522" spans="1:27" hidden="1" x14ac:dyDescent="0.25">
      <c r="A522" s="26">
        <v>202</v>
      </c>
      <c r="B522" s="19" t="s">
        <v>1014</v>
      </c>
      <c r="C522" s="44" t="s">
        <v>172</v>
      </c>
      <c r="D522" s="19" t="s">
        <v>1011</v>
      </c>
      <c r="E522" s="19">
        <v>20</v>
      </c>
      <c r="F522" s="19">
        <v>300</v>
      </c>
      <c r="G522" s="19">
        <v>9980</v>
      </c>
      <c r="H522" s="19">
        <v>1</v>
      </c>
      <c r="I522" s="80">
        <v>470.06</v>
      </c>
      <c r="J522" s="80">
        <v>470.06</v>
      </c>
      <c r="K522" s="19" t="s">
        <v>195</v>
      </c>
      <c r="L522" s="19" t="s">
        <v>1012</v>
      </c>
      <c r="Q522" s="20">
        <v>16</v>
      </c>
      <c r="R522" s="65" t="s">
        <v>806</v>
      </c>
      <c r="T522" s="19" t="s">
        <v>22</v>
      </c>
      <c r="V522" s="19" t="s">
        <v>178</v>
      </c>
      <c r="Y522" s="19" t="s">
        <v>138</v>
      </c>
      <c r="Z522" s="44" t="s">
        <v>807</v>
      </c>
      <c r="AA522" s="44" t="s">
        <v>180</v>
      </c>
    </row>
    <row r="523" spans="1:27" hidden="1" x14ac:dyDescent="0.25">
      <c r="A523" s="26">
        <v>203</v>
      </c>
      <c r="B523" s="19" t="s">
        <v>1015</v>
      </c>
      <c r="C523" s="44" t="s">
        <v>172</v>
      </c>
      <c r="D523" s="19" t="s">
        <v>1016</v>
      </c>
      <c r="E523" s="19">
        <v>20</v>
      </c>
      <c r="F523" s="19">
        <v>300</v>
      </c>
      <c r="G523" s="19">
        <v>1434</v>
      </c>
      <c r="H523" s="19">
        <v>1</v>
      </c>
      <c r="I523" s="80">
        <v>67.540000000000006</v>
      </c>
      <c r="J523" s="80">
        <v>67.540000000000006</v>
      </c>
      <c r="K523" s="19" t="s">
        <v>195</v>
      </c>
      <c r="L523" s="19" t="s">
        <v>1012</v>
      </c>
      <c r="Q523" s="20">
        <v>16</v>
      </c>
      <c r="R523" s="65" t="s">
        <v>806</v>
      </c>
      <c r="T523" s="19" t="s">
        <v>22</v>
      </c>
      <c r="V523" s="19" t="s">
        <v>178</v>
      </c>
      <c r="Y523" s="19" t="s">
        <v>138</v>
      </c>
      <c r="Z523" s="44" t="s">
        <v>807</v>
      </c>
      <c r="AA523" s="44" t="s">
        <v>180</v>
      </c>
    </row>
    <row r="524" spans="1:27" hidden="1" x14ac:dyDescent="0.25">
      <c r="A524" s="26">
        <v>204</v>
      </c>
      <c r="B524" s="19" t="s">
        <v>1017</v>
      </c>
      <c r="C524" s="44" t="s">
        <v>172</v>
      </c>
      <c r="D524" s="19" t="s">
        <v>1018</v>
      </c>
      <c r="E524" s="19">
        <v>20</v>
      </c>
      <c r="F524" s="19">
        <v>1434</v>
      </c>
      <c r="G524" s="19">
        <v>1436</v>
      </c>
      <c r="H524" s="19">
        <v>1</v>
      </c>
      <c r="I524" s="80">
        <v>317.74</v>
      </c>
      <c r="J524" s="80">
        <v>317.74</v>
      </c>
      <c r="K524" s="19" t="s">
        <v>195</v>
      </c>
      <c r="L524" s="19" t="s">
        <v>1012</v>
      </c>
      <c r="Q524" s="20">
        <v>16</v>
      </c>
      <c r="R524" s="65" t="s">
        <v>806</v>
      </c>
      <c r="T524" s="19" t="s">
        <v>22</v>
      </c>
      <c r="V524" s="19" t="s">
        <v>178</v>
      </c>
      <c r="Y524" s="19" t="s">
        <v>138</v>
      </c>
      <c r="Z524" s="44" t="s">
        <v>807</v>
      </c>
      <c r="AA524" s="44" t="s">
        <v>180</v>
      </c>
    </row>
    <row r="525" spans="1:27" hidden="1" x14ac:dyDescent="0.25">
      <c r="A525" s="26">
        <v>205</v>
      </c>
      <c r="B525" s="19" t="s">
        <v>1019</v>
      </c>
      <c r="C525" s="44" t="s">
        <v>172</v>
      </c>
      <c r="D525" s="19" t="s">
        <v>1020</v>
      </c>
      <c r="E525" s="19">
        <v>20</v>
      </c>
      <c r="F525" s="19">
        <v>1436</v>
      </c>
      <c r="G525" s="19">
        <v>9068</v>
      </c>
      <c r="H525" s="19">
        <v>1</v>
      </c>
      <c r="I525" s="80">
        <v>2029.94</v>
      </c>
      <c r="J525" s="80">
        <v>2029.94</v>
      </c>
      <c r="K525" s="19" t="s">
        <v>195</v>
      </c>
      <c r="L525" s="19" t="s">
        <v>1012</v>
      </c>
      <c r="Q525" s="20">
        <v>16</v>
      </c>
      <c r="R525" s="65" t="s">
        <v>806</v>
      </c>
      <c r="T525" s="19" t="s">
        <v>22</v>
      </c>
      <c r="V525" s="19" t="s">
        <v>178</v>
      </c>
      <c r="Y525" s="19" t="s">
        <v>138</v>
      </c>
      <c r="Z525" s="44" t="s">
        <v>807</v>
      </c>
      <c r="AA525" s="44" t="s">
        <v>180</v>
      </c>
    </row>
    <row r="526" spans="1:27" hidden="1" x14ac:dyDescent="0.25">
      <c r="A526" s="26">
        <v>206</v>
      </c>
      <c r="B526" s="19" t="s">
        <v>1021</v>
      </c>
      <c r="C526" s="44" t="s">
        <v>172</v>
      </c>
      <c r="D526" s="19" t="s">
        <v>1022</v>
      </c>
      <c r="E526" s="19">
        <v>20</v>
      </c>
      <c r="F526" s="19">
        <v>300</v>
      </c>
      <c r="G526" s="19">
        <v>1096</v>
      </c>
      <c r="H526" s="19">
        <v>2</v>
      </c>
      <c r="I526" s="80">
        <v>51.62</v>
      </c>
      <c r="J526" s="80">
        <v>103.24</v>
      </c>
      <c r="K526" s="19" t="s">
        <v>195</v>
      </c>
      <c r="L526" s="19" t="s">
        <v>1012</v>
      </c>
      <c r="P526" s="19" t="s">
        <v>138</v>
      </c>
      <c r="Q526" s="20">
        <v>16</v>
      </c>
      <c r="R526" s="65" t="s">
        <v>806</v>
      </c>
      <c r="T526" s="19" t="s">
        <v>22</v>
      </c>
      <c r="V526" s="19" t="s">
        <v>178</v>
      </c>
      <c r="Y526" s="19" t="s">
        <v>138</v>
      </c>
      <c r="Z526" s="44" t="s">
        <v>807</v>
      </c>
      <c r="AA526" s="44" t="s">
        <v>180</v>
      </c>
    </row>
    <row r="527" spans="1:27" hidden="1" x14ac:dyDescent="0.25">
      <c r="A527" s="26">
        <v>207</v>
      </c>
      <c r="B527" s="19" t="s">
        <v>1023</v>
      </c>
      <c r="C527" s="44" t="s">
        <v>172</v>
      </c>
      <c r="D527" s="19" t="s">
        <v>1022</v>
      </c>
      <c r="E527" s="19">
        <v>20</v>
      </c>
      <c r="F527" s="19">
        <v>300</v>
      </c>
      <c r="G527" s="19">
        <v>1096</v>
      </c>
      <c r="H527" s="19">
        <v>1</v>
      </c>
      <c r="I527" s="80">
        <v>51.62</v>
      </c>
      <c r="J527" s="80">
        <v>51.62</v>
      </c>
      <c r="K527" s="19" t="s">
        <v>195</v>
      </c>
      <c r="L527" s="19" t="s">
        <v>1012</v>
      </c>
      <c r="P527" s="19" t="s">
        <v>138</v>
      </c>
      <c r="Q527" s="20">
        <v>16</v>
      </c>
      <c r="R527" s="65" t="s">
        <v>806</v>
      </c>
      <c r="T527" s="19" t="s">
        <v>22</v>
      </c>
      <c r="V527" s="19" t="s">
        <v>178</v>
      </c>
      <c r="Y527" s="19" t="s">
        <v>138</v>
      </c>
      <c r="Z527" s="44" t="s">
        <v>807</v>
      </c>
      <c r="AA527" s="44" t="s">
        <v>180</v>
      </c>
    </row>
    <row r="528" spans="1:27" hidden="1" x14ac:dyDescent="0.25">
      <c r="A528" s="26">
        <v>208</v>
      </c>
      <c r="B528" s="19" t="s">
        <v>1024</v>
      </c>
      <c r="C528" s="44" t="s">
        <v>172</v>
      </c>
      <c r="D528" s="19" t="s">
        <v>1025</v>
      </c>
      <c r="E528" s="19">
        <v>20</v>
      </c>
      <c r="F528" s="19">
        <v>300</v>
      </c>
      <c r="G528" s="19">
        <v>1514</v>
      </c>
      <c r="H528" s="19">
        <v>1</v>
      </c>
      <c r="I528" s="80">
        <v>71.31</v>
      </c>
      <c r="J528" s="80">
        <v>71.31</v>
      </c>
      <c r="K528" s="19" t="s">
        <v>195</v>
      </c>
      <c r="L528" s="19" t="s">
        <v>1026</v>
      </c>
      <c r="Q528" s="20">
        <v>16</v>
      </c>
      <c r="R528" s="65" t="s">
        <v>806</v>
      </c>
      <c r="T528" s="19" t="s">
        <v>22</v>
      </c>
      <c r="V528" s="19" t="s">
        <v>178</v>
      </c>
      <c r="Y528" s="19" t="s">
        <v>138</v>
      </c>
      <c r="Z528" s="44" t="s">
        <v>807</v>
      </c>
      <c r="AA528" s="44" t="s">
        <v>180</v>
      </c>
    </row>
    <row r="529" spans="1:27" hidden="1" x14ac:dyDescent="0.25">
      <c r="A529" s="26">
        <v>209</v>
      </c>
      <c r="B529" s="19" t="s">
        <v>1027</v>
      </c>
      <c r="C529" s="44" t="s">
        <v>172</v>
      </c>
      <c r="D529" s="19" t="s">
        <v>1028</v>
      </c>
      <c r="E529" s="19">
        <v>20</v>
      </c>
      <c r="F529" s="19">
        <v>300</v>
      </c>
      <c r="G529" s="19">
        <v>9516</v>
      </c>
      <c r="H529" s="19">
        <v>1</v>
      </c>
      <c r="I529" s="80">
        <v>448.2</v>
      </c>
      <c r="J529" s="80">
        <v>448.2</v>
      </c>
      <c r="K529" s="19" t="s">
        <v>195</v>
      </c>
      <c r="L529" s="19" t="s">
        <v>1026</v>
      </c>
      <c r="P529" s="19" t="s">
        <v>138</v>
      </c>
      <c r="Q529" s="20">
        <v>16</v>
      </c>
      <c r="R529" s="65" t="s">
        <v>806</v>
      </c>
      <c r="T529" s="19" t="s">
        <v>22</v>
      </c>
      <c r="V529" s="19" t="s">
        <v>178</v>
      </c>
      <c r="Y529" s="19" t="s">
        <v>138</v>
      </c>
      <c r="Z529" s="44" t="s">
        <v>807</v>
      </c>
      <c r="AA529" s="44" t="s">
        <v>180</v>
      </c>
    </row>
    <row r="530" spans="1:27" hidden="1" x14ac:dyDescent="0.25">
      <c r="A530" s="26">
        <v>210</v>
      </c>
      <c r="B530" s="19" t="s">
        <v>1029</v>
      </c>
      <c r="C530" s="44" t="s">
        <v>172</v>
      </c>
      <c r="D530" s="19" t="s">
        <v>1030</v>
      </c>
      <c r="E530" s="19">
        <v>20</v>
      </c>
      <c r="F530" s="19">
        <v>330</v>
      </c>
      <c r="G530" s="19">
        <v>9400</v>
      </c>
      <c r="H530" s="19">
        <v>1</v>
      </c>
      <c r="I530" s="80">
        <v>487.01</v>
      </c>
      <c r="J530" s="80">
        <v>487.01</v>
      </c>
      <c r="K530" s="19" t="s">
        <v>195</v>
      </c>
      <c r="L530" s="19" t="s">
        <v>1026</v>
      </c>
      <c r="Q530" s="20">
        <v>16</v>
      </c>
      <c r="R530" s="65" t="s">
        <v>806</v>
      </c>
      <c r="T530" s="19" t="s">
        <v>22</v>
      </c>
      <c r="V530" s="19" t="s">
        <v>178</v>
      </c>
      <c r="W530" s="19" t="s">
        <v>138</v>
      </c>
      <c r="Z530" s="44" t="s">
        <v>807</v>
      </c>
      <c r="AA530" s="44" t="s">
        <v>180</v>
      </c>
    </row>
    <row r="531" spans="1:27" hidden="1" x14ac:dyDescent="0.25">
      <c r="A531" s="26">
        <v>211</v>
      </c>
      <c r="B531" s="19" t="s">
        <v>1031</v>
      </c>
      <c r="C531" s="44" t="s">
        <v>172</v>
      </c>
      <c r="D531" s="19" t="s">
        <v>1025</v>
      </c>
      <c r="E531" s="19">
        <v>20</v>
      </c>
      <c r="F531" s="19">
        <v>300</v>
      </c>
      <c r="G531" s="19">
        <v>1514</v>
      </c>
      <c r="H531" s="19">
        <v>1</v>
      </c>
      <c r="I531" s="80">
        <v>71.31</v>
      </c>
      <c r="J531" s="80">
        <v>71.31</v>
      </c>
      <c r="K531" s="19" t="s">
        <v>195</v>
      </c>
      <c r="L531" s="19" t="s">
        <v>1026</v>
      </c>
      <c r="Q531" s="20">
        <v>16</v>
      </c>
      <c r="R531" s="65" t="s">
        <v>806</v>
      </c>
      <c r="T531" s="19" t="s">
        <v>22</v>
      </c>
      <c r="V531" s="19" t="s">
        <v>178</v>
      </c>
      <c r="Y531" s="19" t="s">
        <v>138</v>
      </c>
      <c r="Z531" s="44" t="s">
        <v>807</v>
      </c>
      <c r="AA531" s="44" t="s">
        <v>180</v>
      </c>
    </row>
    <row r="532" spans="1:27" hidden="1" x14ac:dyDescent="0.25">
      <c r="A532" s="26">
        <v>212</v>
      </c>
      <c r="B532" s="19" t="s">
        <v>1032</v>
      </c>
      <c r="C532" s="44" t="s">
        <v>172</v>
      </c>
      <c r="D532" s="19" t="s">
        <v>1033</v>
      </c>
      <c r="E532" s="19">
        <v>20</v>
      </c>
      <c r="F532" s="19">
        <v>330</v>
      </c>
      <c r="G532" s="19">
        <v>1345</v>
      </c>
      <c r="H532" s="19">
        <v>1</v>
      </c>
      <c r="I532" s="80">
        <v>69.680000000000007</v>
      </c>
      <c r="J532" s="80">
        <v>69.680000000000007</v>
      </c>
      <c r="K532" s="19" t="s">
        <v>195</v>
      </c>
      <c r="L532" s="19" t="s">
        <v>1026</v>
      </c>
      <c r="Q532" s="20">
        <v>16</v>
      </c>
      <c r="R532" s="65" t="s">
        <v>806</v>
      </c>
      <c r="T532" s="19" t="s">
        <v>22</v>
      </c>
      <c r="V532" s="19" t="s">
        <v>178</v>
      </c>
      <c r="W532" s="19" t="s">
        <v>138</v>
      </c>
      <c r="Z532" s="44" t="s">
        <v>807</v>
      </c>
      <c r="AA532" s="44" t="s">
        <v>180</v>
      </c>
    </row>
    <row r="533" spans="1:27" hidden="1" x14ac:dyDescent="0.25">
      <c r="A533" s="26">
        <v>213</v>
      </c>
      <c r="B533" s="19" t="s">
        <v>1034</v>
      </c>
      <c r="C533" s="44" t="s">
        <v>172</v>
      </c>
      <c r="D533" s="19" t="s">
        <v>1028</v>
      </c>
      <c r="E533" s="19">
        <v>20</v>
      </c>
      <c r="F533" s="19">
        <v>300</v>
      </c>
      <c r="G533" s="19">
        <v>9516</v>
      </c>
      <c r="H533" s="19">
        <v>1</v>
      </c>
      <c r="I533" s="80">
        <v>448.2</v>
      </c>
      <c r="J533" s="80">
        <v>448.2</v>
      </c>
      <c r="K533" s="19" t="s">
        <v>195</v>
      </c>
      <c r="L533" s="19" t="s">
        <v>1026</v>
      </c>
      <c r="P533" s="19" t="s">
        <v>138</v>
      </c>
      <c r="Q533" s="20">
        <v>16</v>
      </c>
      <c r="R533" s="65" t="s">
        <v>806</v>
      </c>
      <c r="T533" s="19" t="s">
        <v>22</v>
      </c>
      <c r="V533" s="19" t="s">
        <v>178</v>
      </c>
      <c r="Y533" s="19" t="s">
        <v>138</v>
      </c>
      <c r="Z533" s="44" t="s">
        <v>807</v>
      </c>
      <c r="AA533" s="44" t="s">
        <v>180</v>
      </c>
    </row>
    <row r="534" spans="1:27" hidden="1" x14ac:dyDescent="0.25">
      <c r="A534" s="26">
        <v>214</v>
      </c>
      <c r="B534" s="19" t="s">
        <v>1035</v>
      </c>
      <c r="C534" s="44" t="s">
        <v>172</v>
      </c>
      <c r="D534" s="19" t="s">
        <v>1016</v>
      </c>
      <c r="E534" s="19">
        <v>20</v>
      </c>
      <c r="F534" s="19">
        <v>300</v>
      </c>
      <c r="G534" s="19">
        <v>1434</v>
      </c>
      <c r="H534" s="19">
        <v>1</v>
      </c>
      <c r="I534" s="80">
        <v>67.540000000000006</v>
      </c>
      <c r="J534" s="80">
        <v>67.540000000000006</v>
      </c>
      <c r="K534" s="19" t="s">
        <v>195</v>
      </c>
      <c r="L534" s="19" t="s">
        <v>1026</v>
      </c>
      <c r="Q534" s="20">
        <v>16</v>
      </c>
      <c r="R534" s="65" t="s">
        <v>806</v>
      </c>
      <c r="T534" s="19" t="s">
        <v>22</v>
      </c>
      <c r="V534" s="19" t="s">
        <v>178</v>
      </c>
      <c r="Y534" s="19" t="s">
        <v>138</v>
      </c>
      <c r="Z534" s="44" t="s">
        <v>807</v>
      </c>
      <c r="AA534" s="44" t="s">
        <v>180</v>
      </c>
    </row>
    <row r="535" spans="1:27" hidden="1" x14ac:dyDescent="0.25">
      <c r="A535" s="26">
        <v>215</v>
      </c>
      <c r="B535" s="19" t="s">
        <v>1036</v>
      </c>
      <c r="C535" s="44" t="s">
        <v>172</v>
      </c>
      <c r="D535" s="19" t="s">
        <v>1018</v>
      </c>
      <c r="E535" s="19">
        <v>20</v>
      </c>
      <c r="F535" s="19">
        <v>1434</v>
      </c>
      <c r="G535" s="19">
        <v>1436</v>
      </c>
      <c r="H535" s="19">
        <v>1</v>
      </c>
      <c r="I535" s="80">
        <v>317.74</v>
      </c>
      <c r="J535" s="80">
        <v>317.74</v>
      </c>
      <c r="K535" s="19" t="s">
        <v>195</v>
      </c>
      <c r="L535" s="19" t="s">
        <v>1026</v>
      </c>
      <c r="Q535" s="20">
        <v>16</v>
      </c>
      <c r="R535" s="65" t="s">
        <v>806</v>
      </c>
      <c r="T535" s="19" t="s">
        <v>22</v>
      </c>
      <c r="V535" s="19" t="s">
        <v>178</v>
      </c>
      <c r="Y535" s="19" t="s">
        <v>138</v>
      </c>
      <c r="Z535" s="44" t="s">
        <v>807</v>
      </c>
      <c r="AA535" s="44" t="s">
        <v>180</v>
      </c>
    </row>
    <row r="536" spans="1:27" hidden="1" x14ac:dyDescent="0.25">
      <c r="A536" s="26">
        <v>216</v>
      </c>
      <c r="B536" s="19" t="s">
        <v>1037</v>
      </c>
      <c r="C536" s="44" t="s">
        <v>172</v>
      </c>
      <c r="D536" s="19" t="s">
        <v>1020</v>
      </c>
      <c r="E536" s="19">
        <v>20</v>
      </c>
      <c r="F536" s="19">
        <v>1436</v>
      </c>
      <c r="G536" s="19">
        <v>9068</v>
      </c>
      <c r="H536" s="19">
        <v>1</v>
      </c>
      <c r="I536" s="80">
        <v>2029.94</v>
      </c>
      <c r="J536" s="80">
        <v>2029.94</v>
      </c>
      <c r="K536" s="19" t="s">
        <v>195</v>
      </c>
      <c r="L536" s="19" t="s">
        <v>1026</v>
      </c>
      <c r="Q536" s="20">
        <v>16</v>
      </c>
      <c r="R536" s="65" t="s">
        <v>806</v>
      </c>
      <c r="T536" s="19" t="s">
        <v>22</v>
      </c>
      <c r="V536" s="19" t="s">
        <v>178</v>
      </c>
      <c r="Y536" s="19" t="s">
        <v>138</v>
      </c>
      <c r="Z536" s="44" t="s">
        <v>807</v>
      </c>
      <c r="AA536" s="44" t="s">
        <v>180</v>
      </c>
    </row>
    <row r="537" spans="1:27" hidden="1" x14ac:dyDescent="0.25">
      <c r="A537" s="26">
        <v>217</v>
      </c>
      <c r="B537" s="19" t="s">
        <v>1038</v>
      </c>
      <c r="C537" s="44" t="s">
        <v>172</v>
      </c>
      <c r="D537" s="19" t="s">
        <v>1033</v>
      </c>
      <c r="E537" s="19">
        <v>20</v>
      </c>
      <c r="F537" s="19">
        <v>330</v>
      </c>
      <c r="G537" s="19">
        <v>1345</v>
      </c>
      <c r="H537" s="19">
        <v>1</v>
      </c>
      <c r="I537" s="80">
        <v>69.680000000000007</v>
      </c>
      <c r="J537" s="80">
        <v>69.680000000000007</v>
      </c>
      <c r="K537" s="19" t="s">
        <v>195</v>
      </c>
      <c r="L537" s="19" t="s">
        <v>1039</v>
      </c>
      <c r="Q537" s="20">
        <v>16</v>
      </c>
      <c r="R537" s="65" t="s">
        <v>806</v>
      </c>
      <c r="T537" s="19" t="s">
        <v>22</v>
      </c>
      <c r="V537" s="19" t="s">
        <v>178</v>
      </c>
      <c r="W537" s="19" t="s">
        <v>138</v>
      </c>
      <c r="Z537" s="44" t="s">
        <v>807</v>
      </c>
      <c r="AA537" s="44" t="s">
        <v>180</v>
      </c>
    </row>
    <row r="538" spans="1:27" hidden="1" x14ac:dyDescent="0.25">
      <c r="A538" s="26">
        <v>218</v>
      </c>
      <c r="B538" s="19" t="s">
        <v>1040</v>
      </c>
      <c r="C538" s="44" t="s">
        <v>172</v>
      </c>
      <c r="D538" s="19" t="s">
        <v>1041</v>
      </c>
      <c r="E538" s="19">
        <v>20</v>
      </c>
      <c r="F538" s="19">
        <v>300</v>
      </c>
      <c r="G538" s="19">
        <v>6101</v>
      </c>
      <c r="H538" s="19">
        <v>1</v>
      </c>
      <c r="I538" s="80">
        <v>287.36</v>
      </c>
      <c r="J538" s="80">
        <v>287.36</v>
      </c>
      <c r="K538" s="19" t="s">
        <v>195</v>
      </c>
      <c r="L538" s="19" t="s">
        <v>1039</v>
      </c>
      <c r="P538" s="19" t="s">
        <v>138</v>
      </c>
      <c r="Q538" s="20">
        <v>16</v>
      </c>
      <c r="R538" s="65" t="s">
        <v>806</v>
      </c>
      <c r="T538" s="19" t="s">
        <v>22</v>
      </c>
      <c r="V538" s="19" t="s">
        <v>178</v>
      </c>
      <c r="Y538" s="19" t="s">
        <v>138</v>
      </c>
      <c r="Z538" s="44" t="s">
        <v>807</v>
      </c>
      <c r="AA538" s="44" t="s">
        <v>180</v>
      </c>
    </row>
    <row r="539" spans="1:27" hidden="1" x14ac:dyDescent="0.25">
      <c r="A539" s="26">
        <v>219</v>
      </c>
      <c r="B539" s="19" t="s">
        <v>1042</v>
      </c>
      <c r="C539" s="44" t="s">
        <v>172</v>
      </c>
      <c r="D539" s="19" t="s">
        <v>1025</v>
      </c>
      <c r="E539" s="19">
        <v>20</v>
      </c>
      <c r="F539" s="19">
        <v>300</v>
      </c>
      <c r="G539" s="19">
        <v>1514</v>
      </c>
      <c r="H539" s="19">
        <v>1</v>
      </c>
      <c r="I539" s="80">
        <v>71.31</v>
      </c>
      <c r="J539" s="80">
        <v>71.31</v>
      </c>
      <c r="K539" s="19" t="s">
        <v>195</v>
      </c>
      <c r="L539" s="19" t="s">
        <v>1039</v>
      </c>
      <c r="Q539" s="20">
        <v>16</v>
      </c>
      <c r="R539" s="65" t="s">
        <v>806</v>
      </c>
      <c r="T539" s="19" t="s">
        <v>22</v>
      </c>
      <c r="V539" s="19" t="s">
        <v>178</v>
      </c>
      <c r="Y539" s="19" t="s">
        <v>138</v>
      </c>
      <c r="Z539" s="44" t="s">
        <v>807</v>
      </c>
      <c r="AA539" s="44" t="s">
        <v>180</v>
      </c>
    </row>
    <row r="540" spans="1:27" hidden="1" x14ac:dyDescent="0.25">
      <c r="A540" s="26">
        <v>220</v>
      </c>
      <c r="B540" s="19" t="s">
        <v>1043</v>
      </c>
      <c r="C540" s="44" t="s">
        <v>172</v>
      </c>
      <c r="D540" s="19" t="s">
        <v>1044</v>
      </c>
      <c r="E540" s="19">
        <v>20</v>
      </c>
      <c r="F540" s="19">
        <v>300</v>
      </c>
      <c r="G540" s="19">
        <v>8016</v>
      </c>
      <c r="H540" s="19">
        <v>1</v>
      </c>
      <c r="I540" s="80">
        <v>377.55</v>
      </c>
      <c r="J540" s="80">
        <v>377.55</v>
      </c>
      <c r="K540" s="19" t="s">
        <v>195</v>
      </c>
      <c r="L540" s="19" t="s">
        <v>1039</v>
      </c>
      <c r="P540" s="19" t="s">
        <v>138</v>
      </c>
      <c r="Q540" s="20">
        <v>16</v>
      </c>
      <c r="R540" s="65" t="s">
        <v>806</v>
      </c>
      <c r="T540" s="19" t="s">
        <v>22</v>
      </c>
      <c r="V540" s="19" t="s">
        <v>178</v>
      </c>
      <c r="Y540" s="19" t="s">
        <v>138</v>
      </c>
      <c r="Z540" s="44" t="s">
        <v>807</v>
      </c>
      <c r="AA540" s="44" t="s">
        <v>180</v>
      </c>
    </row>
    <row r="541" spans="1:27" hidden="1" x14ac:dyDescent="0.25">
      <c r="A541" s="26">
        <v>221</v>
      </c>
      <c r="B541" s="19" t="s">
        <v>1045</v>
      </c>
      <c r="C541" s="44" t="s">
        <v>172</v>
      </c>
      <c r="D541" s="19" t="s">
        <v>1044</v>
      </c>
      <c r="E541" s="19">
        <v>20</v>
      </c>
      <c r="F541" s="19">
        <v>300</v>
      </c>
      <c r="G541" s="19">
        <v>8016</v>
      </c>
      <c r="H541" s="19">
        <v>1</v>
      </c>
      <c r="I541" s="80">
        <v>377.55</v>
      </c>
      <c r="J541" s="80">
        <v>377.55</v>
      </c>
      <c r="K541" s="19" t="s">
        <v>195</v>
      </c>
      <c r="L541" s="19" t="s">
        <v>1039</v>
      </c>
      <c r="P541" s="19" t="s">
        <v>138</v>
      </c>
      <c r="Q541" s="20">
        <v>16</v>
      </c>
      <c r="R541" s="65" t="s">
        <v>806</v>
      </c>
      <c r="T541" s="19" t="s">
        <v>22</v>
      </c>
      <c r="V541" s="19" t="s">
        <v>178</v>
      </c>
      <c r="Y541" s="19" t="s">
        <v>138</v>
      </c>
      <c r="Z541" s="44" t="s">
        <v>807</v>
      </c>
      <c r="AA541" s="44" t="s">
        <v>180</v>
      </c>
    </row>
    <row r="542" spans="1:27" hidden="1" x14ac:dyDescent="0.25">
      <c r="A542" s="26">
        <v>222</v>
      </c>
      <c r="B542" s="19" t="s">
        <v>1023</v>
      </c>
      <c r="C542" s="44" t="s">
        <v>172</v>
      </c>
      <c r="D542" s="19" t="s">
        <v>1022</v>
      </c>
      <c r="E542" s="19">
        <v>20</v>
      </c>
      <c r="F542" s="19">
        <v>300</v>
      </c>
      <c r="G542" s="19">
        <v>1096</v>
      </c>
      <c r="H542" s="19">
        <v>1</v>
      </c>
      <c r="I542" s="80">
        <v>51.62</v>
      </c>
      <c r="J542" s="80">
        <v>51.62</v>
      </c>
      <c r="K542" s="19" t="s">
        <v>195</v>
      </c>
      <c r="L542" s="19" t="s">
        <v>1039</v>
      </c>
      <c r="P542" s="19" t="s">
        <v>138</v>
      </c>
      <c r="Q542" s="20">
        <v>16</v>
      </c>
      <c r="R542" s="65" t="s">
        <v>806</v>
      </c>
      <c r="T542" s="19" t="s">
        <v>22</v>
      </c>
      <c r="V542" s="19" t="s">
        <v>178</v>
      </c>
      <c r="Y542" s="19" t="s">
        <v>138</v>
      </c>
      <c r="Z542" s="44" t="s">
        <v>807</v>
      </c>
      <c r="AA542" s="44" t="s">
        <v>180</v>
      </c>
    </row>
    <row r="543" spans="1:27" hidden="1" x14ac:dyDescent="0.25">
      <c r="A543" s="26">
        <v>223</v>
      </c>
      <c r="B543" s="19" t="s">
        <v>1046</v>
      </c>
      <c r="C543" s="44" t="s">
        <v>172</v>
      </c>
      <c r="D543" s="19" t="s">
        <v>1028</v>
      </c>
      <c r="E543" s="19">
        <v>20</v>
      </c>
      <c r="F543" s="19">
        <v>300</v>
      </c>
      <c r="G543" s="19">
        <v>9516</v>
      </c>
      <c r="H543" s="19">
        <v>1</v>
      </c>
      <c r="I543" s="80">
        <v>448.2</v>
      </c>
      <c r="J543" s="80">
        <v>448.2</v>
      </c>
      <c r="K543" s="19" t="s">
        <v>195</v>
      </c>
      <c r="L543" s="19" t="s">
        <v>1039</v>
      </c>
      <c r="P543" s="19" t="s">
        <v>138</v>
      </c>
      <c r="Q543" s="20">
        <v>16</v>
      </c>
      <c r="R543" s="65" t="s">
        <v>806</v>
      </c>
      <c r="T543" s="19" t="s">
        <v>22</v>
      </c>
      <c r="V543" s="19" t="s">
        <v>178</v>
      </c>
      <c r="Y543" s="19" t="s">
        <v>138</v>
      </c>
      <c r="Z543" s="44" t="s">
        <v>807</v>
      </c>
      <c r="AA543" s="44" t="s">
        <v>180</v>
      </c>
    </row>
    <row r="544" spans="1:27" hidden="1" x14ac:dyDescent="0.25">
      <c r="A544" s="26">
        <v>224</v>
      </c>
      <c r="B544" s="19" t="s">
        <v>1047</v>
      </c>
      <c r="C544" s="44" t="s">
        <v>172</v>
      </c>
      <c r="D544" s="19" t="s">
        <v>1025</v>
      </c>
      <c r="E544" s="19">
        <v>20</v>
      </c>
      <c r="F544" s="19">
        <v>300</v>
      </c>
      <c r="G544" s="19">
        <v>1514</v>
      </c>
      <c r="H544" s="19">
        <v>1</v>
      </c>
      <c r="I544" s="80">
        <v>71.31</v>
      </c>
      <c r="J544" s="80">
        <v>71.31</v>
      </c>
      <c r="K544" s="19" t="s">
        <v>195</v>
      </c>
      <c r="L544" s="19" t="s">
        <v>1039</v>
      </c>
      <c r="Q544" s="20">
        <v>16</v>
      </c>
      <c r="R544" s="65" t="s">
        <v>806</v>
      </c>
      <c r="T544" s="19" t="s">
        <v>22</v>
      </c>
      <c r="V544" s="19" t="s">
        <v>178</v>
      </c>
      <c r="Y544" s="19" t="s">
        <v>138</v>
      </c>
      <c r="Z544" s="44" t="s">
        <v>807</v>
      </c>
      <c r="AA544" s="44" t="s">
        <v>180</v>
      </c>
    </row>
    <row r="545" spans="1:27" hidden="1" x14ac:dyDescent="0.25">
      <c r="A545" s="26">
        <v>225</v>
      </c>
      <c r="B545" s="19" t="s">
        <v>1048</v>
      </c>
      <c r="C545" s="44" t="s">
        <v>172</v>
      </c>
      <c r="D545" s="19" t="s">
        <v>1025</v>
      </c>
      <c r="E545" s="19">
        <v>20</v>
      </c>
      <c r="F545" s="19">
        <v>300</v>
      </c>
      <c r="G545" s="19">
        <v>1514</v>
      </c>
      <c r="H545" s="19">
        <v>1</v>
      </c>
      <c r="I545" s="80">
        <v>71.31</v>
      </c>
      <c r="J545" s="80">
        <v>71.31</v>
      </c>
      <c r="K545" s="19" t="s">
        <v>195</v>
      </c>
      <c r="L545" s="19" t="s">
        <v>1039</v>
      </c>
      <c r="Q545" s="20">
        <v>16</v>
      </c>
      <c r="R545" s="65" t="s">
        <v>806</v>
      </c>
      <c r="T545" s="19" t="s">
        <v>22</v>
      </c>
      <c r="V545" s="19" t="s">
        <v>178</v>
      </c>
      <c r="Y545" s="19" t="s">
        <v>138</v>
      </c>
      <c r="Z545" s="44" t="s">
        <v>807</v>
      </c>
      <c r="AA545" s="44" t="s">
        <v>180</v>
      </c>
    </row>
    <row r="546" spans="1:27" hidden="1" x14ac:dyDescent="0.25">
      <c r="A546" s="26">
        <v>226</v>
      </c>
      <c r="B546" s="19" t="s">
        <v>1049</v>
      </c>
      <c r="C546" s="44" t="s">
        <v>172</v>
      </c>
      <c r="D546" s="19" t="s">
        <v>1050</v>
      </c>
      <c r="E546" s="19">
        <v>20</v>
      </c>
      <c r="F546" s="19">
        <v>300</v>
      </c>
      <c r="G546" s="19">
        <v>1383</v>
      </c>
      <c r="H546" s="19">
        <v>1</v>
      </c>
      <c r="I546" s="80">
        <v>65.14</v>
      </c>
      <c r="J546" s="80">
        <v>65.14</v>
      </c>
      <c r="K546" s="19" t="s">
        <v>195</v>
      </c>
      <c r="L546" s="19" t="s">
        <v>1039</v>
      </c>
      <c r="P546" s="19" t="s">
        <v>138</v>
      </c>
      <c r="Q546" s="20">
        <v>16</v>
      </c>
      <c r="R546" s="65" t="s">
        <v>806</v>
      </c>
      <c r="T546" s="19" t="s">
        <v>22</v>
      </c>
      <c r="V546" s="19" t="s">
        <v>178</v>
      </c>
      <c r="Y546" s="19" t="s">
        <v>138</v>
      </c>
      <c r="Z546" s="44" t="s">
        <v>807</v>
      </c>
      <c r="AA546" s="44" t="s">
        <v>180</v>
      </c>
    </row>
    <row r="547" spans="1:27" hidden="1" x14ac:dyDescent="0.25">
      <c r="A547" s="26">
        <v>227</v>
      </c>
      <c r="B547" s="19" t="s">
        <v>1051</v>
      </c>
      <c r="C547" s="44" t="s">
        <v>172</v>
      </c>
      <c r="D547" s="19" t="s">
        <v>1025</v>
      </c>
      <c r="E547" s="19">
        <v>20</v>
      </c>
      <c r="F547" s="19">
        <v>300</v>
      </c>
      <c r="G547" s="19">
        <v>1514</v>
      </c>
      <c r="H547" s="19">
        <v>1</v>
      </c>
      <c r="I547" s="80">
        <v>71.31</v>
      </c>
      <c r="J547" s="80">
        <v>71.31</v>
      </c>
      <c r="K547" s="19" t="s">
        <v>195</v>
      </c>
      <c r="L547" s="19" t="s">
        <v>1039</v>
      </c>
      <c r="Q547" s="20">
        <v>16</v>
      </c>
      <c r="R547" s="65" t="s">
        <v>806</v>
      </c>
      <c r="T547" s="19" t="s">
        <v>22</v>
      </c>
      <c r="V547" s="19" t="s">
        <v>178</v>
      </c>
      <c r="Y547" s="19" t="s">
        <v>138</v>
      </c>
      <c r="Z547" s="44" t="s">
        <v>807</v>
      </c>
      <c r="AA547" s="44" t="s">
        <v>180</v>
      </c>
    </row>
    <row r="548" spans="1:27" hidden="1" x14ac:dyDescent="0.25">
      <c r="A548" s="26">
        <v>228</v>
      </c>
      <c r="B548" s="19" t="s">
        <v>1052</v>
      </c>
      <c r="C548" s="44" t="s">
        <v>172</v>
      </c>
      <c r="D548" s="19" t="s">
        <v>1050</v>
      </c>
      <c r="E548" s="19">
        <v>20</v>
      </c>
      <c r="F548" s="19">
        <v>300</v>
      </c>
      <c r="G548" s="19">
        <v>1383</v>
      </c>
      <c r="H548" s="19">
        <v>1</v>
      </c>
      <c r="I548" s="80">
        <v>65.14</v>
      </c>
      <c r="J548" s="80">
        <v>65.14</v>
      </c>
      <c r="K548" s="19" t="s">
        <v>195</v>
      </c>
      <c r="L548" s="19" t="s">
        <v>1039</v>
      </c>
      <c r="P548" s="19" t="s">
        <v>138</v>
      </c>
      <c r="Q548" s="20">
        <v>16</v>
      </c>
      <c r="R548" s="65" t="s">
        <v>806</v>
      </c>
      <c r="T548" s="19" t="s">
        <v>22</v>
      </c>
      <c r="V548" s="19" t="s">
        <v>178</v>
      </c>
      <c r="Y548" s="19" t="s">
        <v>138</v>
      </c>
      <c r="Z548" s="44" t="s">
        <v>807</v>
      </c>
      <c r="AA548" s="44" t="s">
        <v>180</v>
      </c>
    </row>
    <row r="549" spans="1:27" hidden="1" x14ac:dyDescent="0.25">
      <c r="A549" s="26">
        <v>229</v>
      </c>
      <c r="B549" s="19" t="s">
        <v>1053</v>
      </c>
      <c r="C549" s="44" t="s">
        <v>172</v>
      </c>
      <c r="D549" s="19" t="s">
        <v>1025</v>
      </c>
      <c r="E549" s="19">
        <v>20</v>
      </c>
      <c r="F549" s="19">
        <v>300</v>
      </c>
      <c r="G549" s="19">
        <v>1514</v>
      </c>
      <c r="H549" s="19">
        <v>1</v>
      </c>
      <c r="I549" s="80">
        <v>71.31</v>
      </c>
      <c r="J549" s="80">
        <v>71.31</v>
      </c>
      <c r="K549" s="19" t="s">
        <v>195</v>
      </c>
      <c r="L549" s="19" t="s">
        <v>1039</v>
      </c>
      <c r="Q549" s="20">
        <v>16</v>
      </c>
      <c r="R549" s="65" t="s">
        <v>806</v>
      </c>
      <c r="T549" s="19" t="s">
        <v>22</v>
      </c>
      <c r="V549" s="19" t="s">
        <v>178</v>
      </c>
      <c r="Y549" s="19" t="s">
        <v>138</v>
      </c>
      <c r="Z549" s="44" t="s">
        <v>807</v>
      </c>
      <c r="AA549" s="44" t="s">
        <v>180</v>
      </c>
    </row>
    <row r="550" spans="1:27" hidden="1" x14ac:dyDescent="0.25">
      <c r="A550" s="26">
        <v>230</v>
      </c>
      <c r="B550" s="19" t="s">
        <v>1054</v>
      </c>
      <c r="C550" s="44" t="s">
        <v>172</v>
      </c>
      <c r="D550" s="19" t="s">
        <v>1050</v>
      </c>
      <c r="E550" s="19">
        <v>20</v>
      </c>
      <c r="F550" s="19">
        <v>300</v>
      </c>
      <c r="G550" s="19">
        <v>1383</v>
      </c>
      <c r="H550" s="19">
        <v>1</v>
      </c>
      <c r="I550" s="80">
        <v>65.14</v>
      </c>
      <c r="J550" s="80">
        <v>65.14</v>
      </c>
      <c r="K550" s="19" t="s">
        <v>195</v>
      </c>
      <c r="L550" s="19" t="s">
        <v>1039</v>
      </c>
      <c r="P550" s="19" t="s">
        <v>138</v>
      </c>
      <c r="Q550" s="20">
        <v>16</v>
      </c>
      <c r="R550" s="65" t="s">
        <v>806</v>
      </c>
      <c r="T550" s="19" t="s">
        <v>22</v>
      </c>
      <c r="V550" s="19" t="s">
        <v>178</v>
      </c>
      <c r="Y550" s="19" t="s">
        <v>138</v>
      </c>
      <c r="Z550" s="44" t="s">
        <v>807</v>
      </c>
      <c r="AA550" s="44" t="s">
        <v>180</v>
      </c>
    </row>
    <row r="551" spans="1:27" hidden="1" x14ac:dyDescent="0.25">
      <c r="A551" s="26">
        <v>231</v>
      </c>
      <c r="B551" s="19" t="s">
        <v>1055</v>
      </c>
      <c r="C551" s="44" t="s">
        <v>172</v>
      </c>
      <c r="D551" s="19" t="s">
        <v>1025</v>
      </c>
      <c r="E551" s="19">
        <v>20</v>
      </c>
      <c r="F551" s="19">
        <v>300</v>
      </c>
      <c r="G551" s="19">
        <v>1514</v>
      </c>
      <c r="H551" s="19">
        <v>1</v>
      </c>
      <c r="I551" s="80">
        <v>71.31</v>
      </c>
      <c r="J551" s="80">
        <v>71.31</v>
      </c>
      <c r="K551" s="19" t="s">
        <v>195</v>
      </c>
      <c r="L551" s="19" t="s">
        <v>1039</v>
      </c>
      <c r="Q551" s="20">
        <v>16</v>
      </c>
      <c r="R551" s="65" t="s">
        <v>806</v>
      </c>
      <c r="T551" s="19" t="s">
        <v>22</v>
      </c>
      <c r="V551" s="19" t="s">
        <v>178</v>
      </c>
      <c r="Y551" s="19" t="s">
        <v>138</v>
      </c>
      <c r="Z551" s="44" t="s">
        <v>807</v>
      </c>
      <c r="AA551" s="44" t="s">
        <v>180</v>
      </c>
    </row>
    <row r="552" spans="1:27" hidden="1" x14ac:dyDescent="0.25">
      <c r="A552" s="26">
        <v>232</v>
      </c>
      <c r="B552" s="19" t="s">
        <v>1056</v>
      </c>
      <c r="C552" s="44" t="s">
        <v>172</v>
      </c>
      <c r="D552" s="19" t="s">
        <v>1025</v>
      </c>
      <c r="E552" s="19">
        <v>20</v>
      </c>
      <c r="F552" s="19">
        <v>300</v>
      </c>
      <c r="G552" s="19">
        <v>1514</v>
      </c>
      <c r="H552" s="19">
        <v>1</v>
      </c>
      <c r="I552" s="80">
        <v>71.31</v>
      </c>
      <c r="J552" s="80">
        <v>71.31</v>
      </c>
      <c r="K552" s="19" t="s">
        <v>195</v>
      </c>
      <c r="L552" s="19" t="s">
        <v>1039</v>
      </c>
      <c r="Q552" s="20">
        <v>16</v>
      </c>
      <c r="R552" s="65" t="s">
        <v>806</v>
      </c>
      <c r="T552" s="19" t="s">
        <v>22</v>
      </c>
      <c r="V552" s="19" t="s">
        <v>178</v>
      </c>
      <c r="Y552" s="19" t="s">
        <v>138</v>
      </c>
      <c r="Z552" s="44" t="s">
        <v>807</v>
      </c>
      <c r="AA552" s="44" t="s">
        <v>180</v>
      </c>
    </row>
    <row r="553" spans="1:27" hidden="1" x14ac:dyDescent="0.25">
      <c r="A553" s="26">
        <v>233</v>
      </c>
      <c r="B553" s="19" t="s">
        <v>1057</v>
      </c>
      <c r="C553" s="44" t="s">
        <v>172</v>
      </c>
      <c r="D553" s="19" t="s">
        <v>1050</v>
      </c>
      <c r="E553" s="19">
        <v>20</v>
      </c>
      <c r="F553" s="19">
        <v>300</v>
      </c>
      <c r="G553" s="19">
        <v>1383</v>
      </c>
      <c r="H553" s="19">
        <v>1</v>
      </c>
      <c r="I553" s="80">
        <v>65.14</v>
      </c>
      <c r="J553" s="80">
        <v>65.14</v>
      </c>
      <c r="K553" s="19" t="s">
        <v>195</v>
      </c>
      <c r="L553" s="19" t="s">
        <v>1039</v>
      </c>
      <c r="P553" s="19" t="s">
        <v>138</v>
      </c>
      <c r="Q553" s="20">
        <v>16</v>
      </c>
      <c r="R553" s="65" t="s">
        <v>806</v>
      </c>
      <c r="T553" s="19" t="s">
        <v>22</v>
      </c>
      <c r="V553" s="19" t="s">
        <v>178</v>
      </c>
      <c r="Y553" s="19" t="s">
        <v>138</v>
      </c>
      <c r="Z553" s="44" t="s">
        <v>807</v>
      </c>
      <c r="AA553" s="44" t="s">
        <v>180</v>
      </c>
    </row>
    <row r="554" spans="1:27" hidden="1" x14ac:dyDescent="0.25">
      <c r="A554" s="26">
        <v>234</v>
      </c>
      <c r="B554" s="19" t="s">
        <v>1058</v>
      </c>
      <c r="C554" s="44" t="s">
        <v>172</v>
      </c>
      <c r="D554" s="19" t="s">
        <v>1025</v>
      </c>
      <c r="E554" s="19">
        <v>20</v>
      </c>
      <c r="F554" s="19">
        <v>300</v>
      </c>
      <c r="G554" s="19">
        <v>1514</v>
      </c>
      <c r="H554" s="19">
        <v>1</v>
      </c>
      <c r="I554" s="80">
        <v>71.31</v>
      </c>
      <c r="J554" s="80">
        <v>71.31</v>
      </c>
      <c r="K554" s="19" t="s">
        <v>195</v>
      </c>
      <c r="L554" s="19" t="s">
        <v>1039</v>
      </c>
      <c r="Q554" s="20">
        <v>16</v>
      </c>
      <c r="R554" s="65" t="s">
        <v>806</v>
      </c>
      <c r="T554" s="19" t="s">
        <v>22</v>
      </c>
      <c r="V554" s="19" t="s">
        <v>178</v>
      </c>
      <c r="Y554" s="19" t="s">
        <v>138</v>
      </c>
      <c r="Z554" s="44" t="s">
        <v>807</v>
      </c>
      <c r="AA554" s="44" t="s">
        <v>180</v>
      </c>
    </row>
    <row r="555" spans="1:27" hidden="1" x14ac:dyDescent="0.25">
      <c r="A555" s="26">
        <v>235</v>
      </c>
      <c r="B555" s="19" t="s">
        <v>1059</v>
      </c>
      <c r="C555" s="44" t="s">
        <v>172</v>
      </c>
      <c r="D555" s="19" t="s">
        <v>1025</v>
      </c>
      <c r="E555" s="19">
        <v>20</v>
      </c>
      <c r="F555" s="19">
        <v>300</v>
      </c>
      <c r="G555" s="19">
        <v>1514</v>
      </c>
      <c r="H555" s="19">
        <v>1</v>
      </c>
      <c r="I555" s="80">
        <v>71.31</v>
      </c>
      <c r="J555" s="80">
        <v>71.31</v>
      </c>
      <c r="K555" s="19" t="s">
        <v>195</v>
      </c>
      <c r="L555" s="19" t="s">
        <v>1039</v>
      </c>
      <c r="Q555" s="20">
        <v>16</v>
      </c>
      <c r="R555" s="65" t="s">
        <v>806</v>
      </c>
      <c r="T555" s="19" t="s">
        <v>22</v>
      </c>
      <c r="V555" s="19" t="s">
        <v>178</v>
      </c>
      <c r="Y555" s="19" t="s">
        <v>138</v>
      </c>
      <c r="Z555" s="44" t="s">
        <v>807</v>
      </c>
      <c r="AA555" s="44" t="s">
        <v>180</v>
      </c>
    </row>
    <row r="556" spans="1:27" hidden="1" x14ac:dyDescent="0.25">
      <c r="A556" s="26">
        <v>236</v>
      </c>
      <c r="B556" s="19" t="s">
        <v>1060</v>
      </c>
      <c r="C556" s="44" t="s">
        <v>172</v>
      </c>
      <c r="D556" s="19" t="s">
        <v>1061</v>
      </c>
      <c r="E556" s="19">
        <v>20</v>
      </c>
      <c r="F556" s="19">
        <v>300</v>
      </c>
      <c r="G556" s="19">
        <v>7800</v>
      </c>
      <c r="H556" s="19">
        <v>2</v>
      </c>
      <c r="I556" s="80">
        <v>367.38</v>
      </c>
      <c r="J556" s="80">
        <v>734.76</v>
      </c>
      <c r="K556" s="19" t="s">
        <v>195</v>
      </c>
      <c r="L556" s="19" t="s">
        <v>1039</v>
      </c>
      <c r="Q556" s="20">
        <v>16</v>
      </c>
      <c r="R556" s="65" t="s">
        <v>806</v>
      </c>
      <c r="T556" s="19" t="s">
        <v>22</v>
      </c>
      <c r="V556" s="19" t="s">
        <v>178</v>
      </c>
      <c r="Y556" s="19" t="s">
        <v>138</v>
      </c>
      <c r="Z556" s="44" t="s">
        <v>807</v>
      </c>
      <c r="AA556" s="44" t="s">
        <v>180</v>
      </c>
    </row>
    <row r="557" spans="1:27" hidden="1" x14ac:dyDescent="0.25">
      <c r="A557" s="26">
        <v>237</v>
      </c>
      <c r="B557" s="19" t="s">
        <v>1062</v>
      </c>
      <c r="C557" s="44" t="s">
        <v>172</v>
      </c>
      <c r="D557" s="19" t="s">
        <v>1061</v>
      </c>
      <c r="E557" s="19">
        <v>20</v>
      </c>
      <c r="F557" s="19">
        <v>300</v>
      </c>
      <c r="G557" s="19">
        <v>7800</v>
      </c>
      <c r="H557" s="19">
        <v>2</v>
      </c>
      <c r="I557" s="80">
        <v>367.38</v>
      </c>
      <c r="J557" s="80">
        <v>734.76</v>
      </c>
      <c r="K557" s="19" t="s">
        <v>195</v>
      </c>
      <c r="L557" s="19" t="s">
        <v>1039</v>
      </c>
      <c r="Q557" s="20">
        <v>16</v>
      </c>
      <c r="R557" s="65" t="s">
        <v>806</v>
      </c>
      <c r="T557" s="19" t="s">
        <v>22</v>
      </c>
      <c r="V557" s="19" t="s">
        <v>178</v>
      </c>
      <c r="Y557" s="19" t="s">
        <v>138</v>
      </c>
      <c r="Z557" s="44" t="s">
        <v>807</v>
      </c>
      <c r="AA557" s="44" t="s">
        <v>180</v>
      </c>
    </row>
    <row r="558" spans="1:27" hidden="1" x14ac:dyDescent="0.25">
      <c r="A558" s="26">
        <v>238</v>
      </c>
      <c r="B558" s="19" t="s">
        <v>1063</v>
      </c>
      <c r="C558" s="44" t="s">
        <v>172</v>
      </c>
      <c r="D558" s="19" t="s">
        <v>1022</v>
      </c>
      <c r="E558" s="19">
        <v>20</v>
      </c>
      <c r="F558" s="19">
        <v>300</v>
      </c>
      <c r="G558" s="19">
        <v>1096</v>
      </c>
      <c r="H558" s="19">
        <v>1</v>
      </c>
      <c r="I558" s="80">
        <v>51.62</v>
      </c>
      <c r="J558" s="80">
        <v>51.62</v>
      </c>
      <c r="K558" s="19" t="s">
        <v>195</v>
      </c>
      <c r="L558" s="19" t="s">
        <v>1039</v>
      </c>
      <c r="P558" s="19" t="s">
        <v>138</v>
      </c>
      <c r="Q558" s="20">
        <v>16</v>
      </c>
      <c r="R558" s="65" t="s">
        <v>806</v>
      </c>
      <c r="T558" s="19" t="s">
        <v>22</v>
      </c>
      <c r="V558" s="19" t="s">
        <v>178</v>
      </c>
      <c r="Y558" s="19" t="s">
        <v>138</v>
      </c>
      <c r="Z558" s="44" t="s">
        <v>807</v>
      </c>
      <c r="AA558" s="44" t="s">
        <v>180</v>
      </c>
    </row>
    <row r="559" spans="1:27" hidden="1" x14ac:dyDescent="0.25">
      <c r="A559" s="26">
        <v>239</v>
      </c>
      <c r="B559" s="19" t="s">
        <v>1064</v>
      </c>
      <c r="C559" s="44" t="s">
        <v>172</v>
      </c>
      <c r="D559" s="19" t="s">
        <v>1022</v>
      </c>
      <c r="E559" s="19">
        <v>20</v>
      </c>
      <c r="F559" s="19">
        <v>300</v>
      </c>
      <c r="G559" s="19">
        <v>1096</v>
      </c>
      <c r="H559" s="19">
        <v>1</v>
      </c>
      <c r="I559" s="80">
        <v>51.62</v>
      </c>
      <c r="J559" s="80">
        <v>51.62</v>
      </c>
      <c r="K559" s="19" t="s">
        <v>195</v>
      </c>
      <c r="L559" s="19" t="s">
        <v>1039</v>
      </c>
      <c r="P559" s="19" t="s">
        <v>138</v>
      </c>
      <c r="Q559" s="20">
        <v>16</v>
      </c>
      <c r="R559" s="65" t="s">
        <v>806</v>
      </c>
      <c r="T559" s="19" t="s">
        <v>22</v>
      </c>
      <c r="V559" s="19" t="s">
        <v>178</v>
      </c>
      <c r="Y559" s="19" t="s">
        <v>138</v>
      </c>
      <c r="Z559" s="44" t="s">
        <v>807</v>
      </c>
      <c r="AA559" s="44" t="s">
        <v>180</v>
      </c>
    </row>
    <row r="560" spans="1:27" hidden="1" x14ac:dyDescent="0.25">
      <c r="A560" s="26">
        <v>240</v>
      </c>
      <c r="B560" s="19" t="s">
        <v>1065</v>
      </c>
      <c r="C560" s="44" t="s">
        <v>172</v>
      </c>
      <c r="D560" s="19" t="s">
        <v>1066</v>
      </c>
      <c r="E560" s="19">
        <v>20</v>
      </c>
      <c r="F560" s="19">
        <v>300</v>
      </c>
      <c r="G560" s="19">
        <v>6464</v>
      </c>
      <c r="H560" s="19">
        <v>1</v>
      </c>
      <c r="I560" s="80">
        <v>304.45</v>
      </c>
      <c r="J560" s="80">
        <v>304.45</v>
      </c>
      <c r="K560" s="19" t="s">
        <v>1067</v>
      </c>
      <c r="L560" s="19" t="s">
        <v>1068</v>
      </c>
      <c r="Q560" s="20">
        <v>16</v>
      </c>
      <c r="R560" s="65" t="s">
        <v>806</v>
      </c>
      <c r="T560" s="19" t="s">
        <v>22</v>
      </c>
      <c r="V560" s="19" t="s">
        <v>178</v>
      </c>
      <c r="Y560" s="19" t="s">
        <v>138</v>
      </c>
      <c r="Z560" s="44" t="s">
        <v>807</v>
      </c>
      <c r="AA560" s="44" t="s">
        <v>180</v>
      </c>
    </row>
    <row r="561" spans="1:27" hidden="1" x14ac:dyDescent="0.25">
      <c r="A561" s="26">
        <v>241</v>
      </c>
      <c r="B561" s="19" t="s">
        <v>1069</v>
      </c>
      <c r="C561" s="44" t="s">
        <v>172</v>
      </c>
      <c r="D561" s="19" t="s">
        <v>1070</v>
      </c>
      <c r="E561" s="19">
        <v>20</v>
      </c>
      <c r="F561" s="19">
        <v>330</v>
      </c>
      <c r="G561" s="19">
        <v>6005</v>
      </c>
      <c r="H561" s="19">
        <v>1</v>
      </c>
      <c r="I561" s="80">
        <v>311.12</v>
      </c>
      <c r="J561" s="80">
        <v>311.12</v>
      </c>
      <c r="K561" s="19" t="s">
        <v>1067</v>
      </c>
      <c r="L561" s="19" t="s">
        <v>1068</v>
      </c>
      <c r="Q561" s="20">
        <v>16</v>
      </c>
      <c r="R561" s="65" t="s">
        <v>806</v>
      </c>
      <c r="T561" s="19" t="s">
        <v>22</v>
      </c>
      <c r="V561" s="19" t="s">
        <v>178</v>
      </c>
      <c r="W561" s="19" t="s">
        <v>138</v>
      </c>
      <c r="Z561" s="44" t="s">
        <v>807</v>
      </c>
      <c r="AA561" s="44" t="s">
        <v>180</v>
      </c>
    </row>
    <row r="562" spans="1:27" hidden="1" x14ac:dyDescent="0.25">
      <c r="A562" s="26">
        <v>242</v>
      </c>
      <c r="B562" s="19" t="s">
        <v>1071</v>
      </c>
      <c r="C562" s="44" t="s">
        <v>172</v>
      </c>
      <c r="D562" s="19" t="s">
        <v>1066</v>
      </c>
      <c r="E562" s="19">
        <v>20</v>
      </c>
      <c r="F562" s="19">
        <v>300</v>
      </c>
      <c r="G562" s="19">
        <v>6464</v>
      </c>
      <c r="H562" s="19">
        <v>1</v>
      </c>
      <c r="I562" s="80">
        <v>304.45</v>
      </c>
      <c r="J562" s="80">
        <v>304.45</v>
      </c>
      <c r="K562" s="19" t="s">
        <v>1067</v>
      </c>
      <c r="L562" s="19" t="s">
        <v>1068</v>
      </c>
      <c r="Q562" s="20">
        <v>16</v>
      </c>
      <c r="R562" s="65" t="s">
        <v>806</v>
      </c>
      <c r="T562" s="19" t="s">
        <v>22</v>
      </c>
      <c r="V562" s="19" t="s">
        <v>178</v>
      </c>
      <c r="Y562" s="19" t="s">
        <v>138</v>
      </c>
      <c r="Z562" s="44" t="s">
        <v>807</v>
      </c>
      <c r="AA562" s="44" t="s">
        <v>180</v>
      </c>
    </row>
    <row r="563" spans="1:27" hidden="1" x14ac:dyDescent="0.25">
      <c r="A563" s="26">
        <v>243</v>
      </c>
      <c r="B563" s="19" t="s">
        <v>1072</v>
      </c>
      <c r="C563" s="44" t="s">
        <v>172</v>
      </c>
      <c r="D563" s="19" t="s">
        <v>1070</v>
      </c>
      <c r="E563" s="19">
        <v>20</v>
      </c>
      <c r="F563" s="19">
        <v>330</v>
      </c>
      <c r="G563" s="19">
        <v>6005</v>
      </c>
      <c r="H563" s="19">
        <v>1</v>
      </c>
      <c r="I563" s="80">
        <v>311.12</v>
      </c>
      <c r="J563" s="80">
        <v>311.12</v>
      </c>
      <c r="K563" s="19" t="s">
        <v>1067</v>
      </c>
      <c r="L563" s="19" t="s">
        <v>1068</v>
      </c>
      <c r="Q563" s="20">
        <v>16</v>
      </c>
      <c r="R563" s="65" t="s">
        <v>806</v>
      </c>
      <c r="T563" s="19" t="s">
        <v>22</v>
      </c>
      <c r="V563" s="19" t="s">
        <v>178</v>
      </c>
      <c r="W563" s="19" t="s">
        <v>138</v>
      </c>
      <c r="Z563" s="44" t="s">
        <v>807</v>
      </c>
      <c r="AA563" s="44" t="s">
        <v>180</v>
      </c>
    </row>
    <row r="564" spans="1:27" hidden="1" x14ac:dyDescent="0.25">
      <c r="A564" s="26">
        <v>244</v>
      </c>
      <c r="B564" s="19" t="s">
        <v>1073</v>
      </c>
      <c r="C564" s="44" t="s">
        <v>172</v>
      </c>
      <c r="D564" s="19" t="s">
        <v>1066</v>
      </c>
      <c r="E564" s="19">
        <v>20</v>
      </c>
      <c r="F564" s="19">
        <v>300</v>
      </c>
      <c r="G564" s="19">
        <v>6464</v>
      </c>
      <c r="H564" s="19">
        <v>1</v>
      </c>
      <c r="I564" s="80">
        <v>304.45</v>
      </c>
      <c r="J564" s="80">
        <v>304.45</v>
      </c>
      <c r="K564" s="19" t="s">
        <v>1067</v>
      </c>
      <c r="L564" s="19" t="s">
        <v>1068</v>
      </c>
      <c r="Q564" s="20">
        <v>16</v>
      </c>
      <c r="R564" s="65" t="s">
        <v>806</v>
      </c>
      <c r="T564" s="19" t="s">
        <v>22</v>
      </c>
      <c r="V564" s="19" t="s">
        <v>178</v>
      </c>
      <c r="Y564" s="19" t="s">
        <v>138</v>
      </c>
      <c r="Z564" s="44" t="s">
        <v>807</v>
      </c>
      <c r="AA564" s="44" t="s">
        <v>180</v>
      </c>
    </row>
    <row r="565" spans="1:27" hidden="1" x14ac:dyDescent="0.25">
      <c r="A565" s="26">
        <v>245</v>
      </c>
      <c r="B565" s="19" t="s">
        <v>1074</v>
      </c>
      <c r="C565" s="44" t="s">
        <v>172</v>
      </c>
      <c r="D565" s="19" t="s">
        <v>1066</v>
      </c>
      <c r="E565" s="19">
        <v>20</v>
      </c>
      <c r="F565" s="19">
        <v>300</v>
      </c>
      <c r="G565" s="19">
        <v>6464</v>
      </c>
      <c r="H565" s="19">
        <v>1</v>
      </c>
      <c r="I565" s="80">
        <v>304.45</v>
      </c>
      <c r="J565" s="80">
        <v>304.45</v>
      </c>
      <c r="K565" s="19" t="s">
        <v>1067</v>
      </c>
      <c r="L565" s="19" t="s">
        <v>1068</v>
      </c>
      <c r="Q565" s="20">
        <v>16</v>
      </c>
      <c r="R565" s="65" t="s">
        <v>806</v>
      </c>
      <c r="T565" s="19" t="s">
        <v>22</v>
      </c>
      <c r="V565" s="19" t="s">
        <v>178</v>
      </c>
      <c r="Y565" s="19" t="s">
        <v>138</v>
      </c>
      <c r="Z565" s="44" t="s">
        <v>807</v>
      </c>
      <c r="AA565" s="44" t="s">
        <v>180</v>
      </c>
    </row>
    <row r="566" spans="1:27" hidden="1" x14ac:dyDescent="0.25">
      <c r="A566" s="26">
        <v>246</v>
      </c>
      <c r="B566" s="19" t="s">
        <v>1075</v>
      </c>
      <c r="C566" s="44" t="s">
        <v>172</v>
      </c>
      <c r="D566" s="19" t="s">
        <v>1076</v>
      </c>
      <c r="E566" s="19">
        <v>20</v>
      </c>
      <c r="F566" s="19">
        <v>300</v>
      </c>
      <c r="G566" s="19">
        <v>908</v>
      </c>
      <c r="H566" s="19">
        <v>1</v>
      </c>
      <c r="I566" s="80">
        <v>42.77</v>
      </c>
      <c r="J566" s="80">
        <v>42.77</v>
      </c>
      <c r="K566" s="19" t="s">
        <v>1067</v>
      </c>
      <c r="L566" s="19" t="s">
        <v>1068</v>
      </c>
      <c r="P566" s="19" t="s">
        <v>138</v>
      </c>
      <c r="Q566" s="20">
        <v>16</v>
      </c>
      <c r="R566" s="65" t="s">
        <v>806</v>
      </c>
      <c r="T566" s="19" t="s">
        <v>22</v>
      </c>
      <c r="V566" s="19" t="s">
        <v>178</v>
      </c>
      <c r="Y566" s="19" t="s">
        <v>138</v>
      </c>
      <c r="Z566" s="44" t="s">
        <v>807</v>
      </c>
      <c r="AA566" s="44" t="s">
        <v>180</v>
      </c>
    </row>
    <row r="567" spans="1:27" hidden="1" x14ac:dyDescent="0.25">
      <c r="A567" s="26">
        <v>247</v>
      </c>
      <c r="B567" s="19" t="s">
        <v>1077</v>
      </c>
      <c r="C567" s="44" t="s">
        <v>172</v>
      </c>
      <c r="D567" s="19" t="s">
        <v>1076</v>
      </c>
      <c r="E567" s="19">
        <v>20</v>
      </c>
      <c r="F567" s="19">
        <v>300</v>
      </c>
      <c r="G567" s="19">
        <v>908</v>
      </c>
      <c r="H567" s="19">
        <v>1</v>
      </c>
      <c r="I567" s="80">
        <v>42.77</v>
      </c>
      <c r="J567" s="80">
        <v>42.77</v>
      </c>
      <c r="K567" s="19" t="s">
        <v>1067</v>
      </c>
      <c r="L567" s="19" t="s">
        <v>1068</v>
      </c>
      <c r="P567" s="19" t="s">
        <v>138</v>
      </c>
      <c r="Q567" s="20">
        <v>16</v>
      </c>
      <c r="R567" s="65" t="s">
        <v>806</v>
      </c>
      <c r="T567" s="19" t="s">
        <v>22</v>
      </c>
      <c r="V567" s="19" t="s">
        <v>178</v>
      </c>
      <c r="Y567" s="19" t="s">
        <v>138</v>
      </c>
      <c r="Z567" s="44" t="s">
        <v>807</v>
      </c>
      <c r="AA567" s="44" t="s">
        <v>180</v>
      </c>
    </row>
    <row r="568" spans="1:27" hidden="1" x14ac:dyDescent="0.25">
      <c r="A568" s="26">
        <v>248</v>
      </c>
      <c r="B568" s="19" t="s">
        <v>1078</v>
      </c>
      <c r="C568" s="44" t="s">
        <v>172</v>
      </c>
      <c r="D568" s="19" t="s">
        <v>1079</v>
      </c>
      <c r="E568" s="19">
        <v>20</v>
      </c>
      <c r="F568" s="19">
        <v>1436</v>
      </c>
      <c r="G568" s="19">
        <v>6298</v>
      </c>
      <c r="H568" s="19">
        <v>1</v>
      </c>
      <c r="I568" s="80">
        <v>1414.64</v>
      </c>
      <c r="J568" s="80">
        <v>1414.64</v>
      </c>
      <c r="K568" s="19" t="s">
        <v>1067</v>
      </c>
      <c r="L568" s="19" t="s">
        <v>1068</v>
      </c>
      <c r="P568" s="19" t="s">
        <v>138</v>
      </c>
      <c r="Q568" s="20">
        <v>16</v>
      </c>
      <c r="R568" s="65" t="s">
        <v>806</v>
      </c>
      <c r="T568" s="19" t="s">
        <v>22</v>
      </c>
      <c r="V568" s="19" t="s">
        <v>178</v>
      </c>
      <c r="Y568" s="19" t="s">
        <v>138</v>
      </c>
      <c r="Z568" s="44" t="s">
        <v>807</v>
      </c>
      <c r="AA568" s="44" t="s">
        <v>180</v>
      </c>
    </row>
    <row r="569" spans="1:27" hidden="1" x14ac:dyDescent="0.25">
      <c r="A569" s="26">
        <v>249</v>
      </c>
      <c r="B569" s="19" t="s">
        <v>1080</v>
      </c>
      <c r="C569" s="44" t="s">
        <v>172</v>
      </c>
      <c r="D569" s="19" t="s">
        <v>1079</v>
      </c>
      <c r="E569" s="19">
        <v>20</v>
      </c>
      <c r="F569" s="19">
        <v>1436</v>
      </c>
      <c r="G569" s="19">
        <v>6298</v>
      </c>
      <c r="H569" s="19">
        <v>1</v>
      </c>
      <c r="I569" s="80">
        <v>1414.64</v>
      </c>
      <c r="J569" s="80">
        <v>1414.64</v>
      </c>
      <c r="K569" s="19" t="s">
        <v>1067</v>
      </c>
      <c r="L569" s="19" t="s">
        <v>1068</v>
      </c>
      <c r="P569" s="19" t="s">
        <v>138</v>
      </c>
      <c r="Q569" s="20">
        <v>16</v>
      </c>
      <c r="R569" s="65" t="s">
        <v>806</v>
      </c>
      <c r="T569" s="19" t="s">
        <v>22</v>
      </c>
      <c r="V569" s="19" t="s">
        <v>178</v>
      </c>
      <c r="Y569" s="19" t="s">
        <v>138</v>
      </c>
      <c r="Z569" s="44" t="s">
        <v>807</v>
      </c>
      <c r="AA569" s="44" t="s">
        <v>180</v>
      </c>
    </row>
    <row r="570" spans="1:27" hidden="1" x14ac:dyDescent="0.25">
      <c r="A570" s="26">
        <v>250</v>
      </c>
      <c r="B570" s="19" t="s">
        <v>1081</v>
      </c>
      <c r="C570" s="44" t="s">
        <v>172</v>
      </c>
      <c r="D570" s="19" t="s">
        <v>1050</v>
      </c>
      <c r="E570" s="19">
        <v>20</v>
      </c>
      <c r="F570" s="19">
        <v>300</v>
      </c>
      <c r="G570" s="19">
        <v>1383</v>
      </c>
      <c r="H570" s="19">
        <v>1</v>
      </c>
      <c r="I570" s="80">
        <v>65.14</v>
      </c>
      <c r="J570" s="80">
        <v>65.14</v>
      </c>
      <c r="K570" s="19" t="s">
        <v>195</v>
      </c>
      <c r="L570" s="19" t="s">
        <v>1082</v>
      </c>
      <c r="P570" s="19" t="s">
        <v>138</v>
      </c>
      <c r="Q570" s="20">
        <v>16</v>
      </c>
      <c r="R570" s="65" t="s">
        <v>806</v>
      </c>
      <c r="T570" s="19" t="s">
        <v>22</v>
      </c>
      <c r="V570" s="19" t="s">
        <v>178</v>
      </c>
      <c r="Y570" s="19" t="s">
        <v>138</v>
      </c>
      <c r="Z570" s="44" t="s">
        <v>807</v>
      </c>
      <c r="AA570" s="44" t="s">
        <v>180</v>
      </c>
    </row>
    <row r="571" spans="1:27" hidden="1" x14ac:dyDescent="0.25">
      <c r="A571" s="26">
        <v>251</v>
      </c>
      <c r="B571" s="19" t="s">
        <v>1083</v>
      </c>
      <c r="C571" s="44" t="s">
        <v>172</v>
      </c>
      <c r="D571" s="19" t="s">
        <v>1041</v>
      </c>
      <c r="E571" s="19">
        <v>20</v>
      </c>
      <c r="F571" s="19">
        <v>300</v>
      </c>
      <c r="G571" s="19">
        <v>6101</v>
      </c>
      <c r="H571" s="19">
        <v>1</v>
      </c>
      <c r="I571" s="80">
        <v>287.36</v>
      </c>
      <c r="J571" s="80">
        <v>287.36</v>
      </c>
      <c r="K571" s="19" t="s">
        <v>195</v>
      </c>
      <c r="L571" s="19" t="s">
        <v>1082</v>
      </c>
      <c r="P571" s="19" t="s">
        <v>138</v>
      </c>
      <c r="Q571" s="20">
        <v>16</v>
      </c>
      <c r="R571" s="65" t="s">
        <v>806</v>
      </c>
      <c r="T571" s="19" t="s">
        <v>22</v>
      </c>
      <c r="V571" s="19" t="s">
        <v>178</v>
      </c>
      <c r="Y571" s="19" t="s">
        <v>138</v>
      </c>
      <c r="Z571" s="44" t="s">
        <v>807</v>
      </c>
      <c r="AA571" s="44" t="s">
        <v>180</v>
      </c>
    </row>
    <row r="572" spans="1:27" hidden="1" x14ac:dyDescent="0.25">
      <c r="A572" s="26">
        <v>252</v>
      </c>
      <c r="B572" s="19" t="s">
        <v>1084</v>
      </c>
      <c r="C572" s="44" t="s">
        <v>172</v>
      </c>
      <c r="D572" s="19" t="s">
        <v>1050</v>
      </c>
      <c r="E572" s="19">
        <v>20</v>
      </c>
      <c r="F572" s="19">
        <v>300</v>
      </c>
      <c r="G572" s="19">
        <v>1383</v>
      </c>
      <c r="H572" s="19">
        <v>1</v>
      </c>
      <c r="I572" s="80">
        <v>65.14</v>
      </c>
      <c r="J572" s="80">
        <v>65.14</v>
      </c>
      <c r="K572" s="19" t="s">
        <v>195</v>
      </c>
      <c r="L572" s="19" t="s">
        <v>1082</v>
      </c>
      <c r="P572" s="19" t="s">
        <v>138</v>
      </c>
      <c r="Q572" s="20">
        <v>16</v>
      </c>
      <c r="R572" s="65" t="s">
        <v>806</v>
      </c>
      <c r="T572" s="19" t="s">
        <v>22</v>
      </c>
      <c r="V572" s="19" t="s">
        <v>178</v>
      </c>
      <c r="Y572" s="19" t="s">
        <v>138</v>
      </c>
      <c r="Z572" s="44" t="s">
        <v>807</v>
      </c>
      <c r="AA572" s="44" t="s">
        <v>180</v>
      </c>
    </row>
    <row r="573" spans="1:27" hidden="1" x14ac:dyDescent="0.25">
      <c r="A573" s="26">
        <v>253</v>
      </c>
      <c r="B573" s="19" t="s">
        <v>1085</v>
      </c>
      <c r="C573" s="44" t="s">
        <v>172</v>
      </c>
      <c r="D573" s="19" t="s">
        <v>1086</v>
      </c>
      <c r="E573" s="19">
        <v>20</v>
      </c>
      <c r="F573" s="19">
        <v>300</v>
      </c>
      <c r="G573" s="19">
        <v>6232</v>
      </c>
      <c r="H573" s="19">
        <v>1</v>
      </c>
      <c r="I573" s="80">
        <v>293.52999999999997</v>
      </c>
      <c r="J573" s="80">
        <v>293.52999999999997</v>
      </c>
      <c r="K573" s="19" t="s">
        <v>195</v>
      </c>
      <c r="L573" s="19" t="s">
        <v>1082</v>
      </c>
      <c r="Q573" s="20">
        <v>16</v>
      </c>
      <c r="R573" s="65" t="s">
        <v>806</v>
      </c>
      <c r="T573" s="19" t="s">
        <v>22</v>
      </c>
      <c r="V573" s="19" t="s">
        <v>178</v>
      </c>
      <c r="Y573" s="19" t="s">
        <v>138</v>
      </c>
      <c r="Z573" s="44" t="s">
        <v>807</v>
      </c>
      <c r="AA573" s="44" t="s">
        <v>180</v>
      </c>
    </row>
    <row r="574" spans="1:27" hidden="1" x14ac:dyDescent="0.25">
      <c r="A574" s="26">
        <v>254</v>
      </c>
      <c r="B574" s="19" t="s">
        <v>1087</v>
      </c>
      <c r="C574" s="44" t="s">
        <v>172</v>
      </c>
      <c r="D574" s="19" t="s">
        <v>1086</v>
      </c>
      <c r="E574" s="19">
        <v>20</v>
      </c>
      <c r="F574" s="19">
        <v>300</v>
      </c>
      <c r="G574" s="19">
        <v>6232</v>
      </c>
      <c r="H574" s="19">
        <v>1</v>
      </c>
      <c r="I574" s="80">
        <v>293.52999999999997</v>
      </c>
      <c r="J574" s="80">
        <v>293.52999999999997</v>
      </c>
      <c r="K574" s="19" t="s">
        <v>195</v>
      </c>
      <c r="L574" s="19" t="s">
        <v>1082</v>
      </c>
      <c r="Q574" s="20">
        <v>16</v>
      </c>
      <c r="R574" s="65" t="s">
        <v>806</v>
      </c>
      <c r="T574" s="19" t="s">
        <v>22</v>
      </c>
      <c r="V574" s="19" t="s">
        <v>178</v>
      </c>
      <c r="Y574" s="19" t="s">
        <v>138</v>
      </c>
      <c r="Z574" s="44" t="s">
        <v>807</v>
      </c>
      <c r="AA574" s="44" t="s">
        <v>180</v>
      </c>
    </row>
    <row r="575" spans="1:27" hidden="1" x14ac:dyDescent="0.25">
      <c r="A575" s="26">
        <v>255</v>
      </c>
      <c r="B575" s="19" t="s">
        <v>1088</v>
      </c>
      <c r="C575" s="44" t="s">
        <v>172</v>
      </c>
      <c r="D575" s="19" t="s">
        <v>1022</v>
      </c>
      <c r="E575" s="19">
        <v>20</v>
      </c>
      <c r="F575" s="19">
        <v>300</v>
      </c>
      <c r="G575" s="19">
        <v>1096</v>
      </c>
      <c r="H575" s="19">
        <v>2</v>
      </c>
      <c r="I575" s="80">
        <v>51.62</v>
      </c>
      <c r="J575" s="80">
        <v>103.24</v>
      </c>
      <c r="K575" s="19" t="s">
        <v>195</v>
      </c>
      <c r="L575" s="19" t="s">
        <v>1082</v>
      </c>
      <c r="P575" s="19" t="s">
        <v>138</v>
      </c>
      <c r="Q575" s="20">
        <v>16</v>
      </c>
      <c r="R575" s="65" t="s">
        <v>806</v>
      </c>
      <c r="T575" s="19" t="s">
        <v>22</v>
      </c>
      <c r="V575" s="19" t="s">
        <v>178</v>
      </c>
      <c r="Y575" s="19" t="s">
        <v>138</v>
      </c>
      <c r="Z575" s="44" t="s">
        <v>807</v>
      </c>
      <c r="AA575" s="44" t="s">
        <v>180</v>
      </c>
    </row>
    <row r="576" spans="1:27" hidden="1" x14ac:dyDescent="0.25">
      <c r="A576" s="26">
        <v>256</v>
      </c>
      <c r="B576" s="19" t="s">
        <v>1089</v>
      </c>
      <c r="C576" s="44" t="s">
        <v>172</v>
      </c>
      <c r="D576" s="19" t="s">
        <v>1022</v>
      </c>
      <c r="E576" s="19">
        <v>20</v>
      </c>
      <c r="F576" s="19">
        <v>300</v>
      </c>
      <c r="G576" s="19">
        <v>1096</v>
      </c>
      <c r="H576" s="19">
        <v>1</v>
      </c>
      <c r="I576" s="80">
        <v>51.62</v>
      </c>
      <c r="J576" s="80">
        <v>51.62</v>
      </c>
      <c r="K576" s="19" t="s">
        <v>195</v>
      </c>
      <c r="L576" s="19" t="s">
        <v>1082</v>
      </c>
      <c r="P576" s="19" t="s">
        <v>138</v>
      </c>
      <c r="Q576" s="20">
        <v>16</v>
      </c>
      <c r="R576" s="65" t="s">
        <v>806</v>
      </c>
      <c r="T576" s="19" t="s">
        <v>22</v>
      </c>
      <c r="V576" s="19" t="s">
        <v>178</v>
      </c>
      <c r="Y576" s="19" t="s">
        <v>138</v>
      </c>
      <c r="Z576" s="44" t="s">
        <v>807</v>
      </c>
      <c r="AA576" s="44" t="s">
        <v>180</v>
      </c>
    </row>
    <row r="577" spans="1:27" hidden="1" x14ac:dyDescent="0.25">
      <c r="A577" s="26">
        <v>257</v>
      </c>
      <c r="B577" s="19" t="s">
        <v>1090</v>
      </c>
      <c r="C577" s="44" t="s">
        <v>172</v>
      </c>
      <c r="D577" s="19" t="s">
        <v>1086</v>
      </c>
      <c r="E577" s="19">
        <v>20</v>
      </c>
      <c r="F577" s="19">
        <v>300</v>
      </c>
      <c r="G577" s="19">
        <v>6232</v>
      </c>
      <c r="H577" s="19">
        <v>1</v>
      </c>
      <c r="I577" s="80">
        <v>293.52999999999997</v>
      </c>
      <c r="J577" s="80">
        <v>293.52999999999997</v>
      </c>
      <c r="K577" s="19" t="s">
        <v>195</v>
      </c>
      <c r="L577" s="19" t="s">
        <v>1082</v>
      </c>
      <c r="Q577" s="20">
        <v>16</v>
      </c>
      <c r="R577" s="65" t="s">
        <v>806</v>
      </c>
      <c r="T577" s="19" t="s">
        <v>22</v>
      </c>
      <c r="V577" s="19" t="s">
        <v>178</v>
      </c>
      <c r="Y577" s="19" t="s">
        <v>138</v>
      </c>
      <c r="Z577" s="44" t="s">
        <v>807</v>
      </c>
      <c r="AA577" s="44" t="s">
        <v>180</v>
      </c>
    </row>
    <row r="578" spans="1:27" hidden="1" x14ac:dyDescent="0.25">
      <c r="A578" s="26">
        <v>258</v>
      </c>
      <c r="B578" s="19" t="s">
        <v>1091</v>
      </c>
      <c r="C578" s="44" t="s">
        <v>172</v>
      </c>
      <c r="D578" s="19" t="s">
        <v>1086</v>
      </c>
      <c r="E578" s="19">
        <v>20</v>
      </c>
      <c r="F578" s="19">
        <v>300</v>
      </c>
      <c r="G578" s="19">
        <v>6232</v>
      </c>
      <c r="H578" s="19">
        <v>1</v>
      </c>
      <c r="I578" s="80">
        <v>293.52999999999997</v>
      </c>
      <c r="J578" s="80">
        <v>293.52999999999997</v>
      </c>
      <c r="K578" s="19" t="s">
        <v>195</v>
      </c>
      <c r="L578" s="19" t="s">
        <v>1082</v>
      </c>
      <c r="Q578" s="20">
        <v>16</v>
      </c>
      <c r="R578" s="65" t="s">
        <v>806</v>
      </c>
      <c r="T578" s="19" t="s">
        <v>22</v>
      </c>
      <c r="V578" s="19" t="s">
        <v>178</v>
      </c>
      <c r="Y578" s="19" t="s">
        <v>138</v>
      </c>
      <c r="Z578" s="44" t="s">
        <v>807</v>
      </c>
      <c r="AA578" s="44" t="s">
        <v>180</v>
      </c>
    </row>
    <row r="579" spans="1:27" hidden="1" x14ac:dyDescent="0.25">
      <c r="A579" s="26">
        <v>259</v>
      </c>
      <c r="B579" s="19" t="s">
        <v>1092</v>
      </c>
      <c r="C579" s="44" t="s">
        <v>172</v>
      </c>
      <c r="D579" s="19" t="s">
        <v>1050</v>
      </c>
      <c r="E579" s="19">
        <v>20</v>
      </c>
      <c r="F579" s="19">
        <v>300</v>
      </c>
      <c r="G579" s="19">
        <v>1383</v>
      </c>
      <c r="H579" s="19">
        <v>1</v>
      </c>
      <c r="I579" s="80">
        <v>65.14</v>
      </c>
      <c r="J579" s="80">
        <v>65.14</v>
      </c>
      <c r="K579" s="19" t="s">
        <v>195</v>
      </c>
      <c r="L579" s="19" t="s">
        <v>1082</v>
      </c>
      <c r="P579" s="19" t="s">
        <v>138</v>
      </c>
      <c r="Q579" s="20">
        <v>16</v>
      </c>
      <c r="R579" s="65" t="s">
        <v>806</v>
      </c>
      <c r="T579" s="19" t="s">
        <v>22</v>
      </c>
      <c r="V579" s="19" t="s">
        <v>178</v>
      </c>
      <c r="Y579" s="19" t="s">
        <v>138</v>
      </c>
      <c r="Z579" s="44" t="s">
        <v>807</v>
      </c>
      <c r="AA579" s="44" t="s">
        <v>180</v>
      </c>
    </row>
    <row r="580" spans="1:27" hidden="1" x14ac:dyDescent="0.25">
      <c r="A580" s="26">
        <v>260</v>
      </c>
      <c r="B580" s="19" t="s">
        <v>1093</v>
      </c>
      <c r="C580" s="44" t="s">
        <v>172</v>
      </c>
      <c r="D580" s="19" t="s">
        <v>1050</v>
      </c>
      <c r="E580" s="19">
        <v>20</v>
      </c>
      <c r="F580" s="19">
        <v>300</v>
      </c>
      <c r="G580" s="19">
        <v>1383</v>
      </c>
      <c r="H580" s="19">
        <v>1</v>
      </c>
      <c r="I580" s="80">
        <v>65.14</v>
      </c>
      <c r="J580" s="80">
        <v>65.14</v>
      </c>
      <c r="K580" s="19" t="s">
        <v>195</v>
      </c>
      <c r="L580" s="19" t="s">
        <v>1082</v>
      </c>
      <c r="P580" s="19" t="s">
        <v>138</v>
      </c>
      <c r="Q580" s="20">
        <v>16</v>
      </c>
      <c r="R580" s="65" t="s">
        <v>806</v>
      </c>
      <c r="T580" s="19" t="s">
        <v>22</v>
      </c>
      <c r="V580" s="19" t="s">
        <v>178</v>
      </c>
      <c r="Y580" s="19" t="s">
        <v>138</v>
      </c>
      <c r="Z580" s="44" t="s">
        <v>807</v>
      </c>
      <c r="AA580" s="44" t="s">
        <v>180</v>
      </c>
    </row>
    <row r="581" spans="1:27" hidden="1" x14ac:dyDescent="0.25">
      <c r="A581" s="26">
        <v>261</v>
      </c>
      <c r="B581" s="19" t="s">
        <v>1094</v>
      </c>
      <c r="C581" s="44" t="s">
        <v>172</v>
      </c>
      <c r="D581" s="19" t="s">
        <v>1050</v>
      </c>
      <c r="E581" s="19">
        <v>20</v>
      </c>
      <c r="F581" s="19">
        <v>300</v>
      </c>
      <c r="G581" s="19">
        <v>1383</v>
      </c>
      <c r="H581" s="19">
        <v>1</v>
      </c>
      <c r="I581" s="80">
        <v>65.14</v>
      </c>
      <c r="J581" s="80">
        <v>65.14</v>
      </c>
      <c r="K581" s="19" t="s">
        <v>195</v>
      </c>
      <c r="L581" s="19" t="s">
        <v>1082</v>
      </c>
      <c r="P581" s="19" t="s">
        <v>138</v>
      </c>
      <c r="Q581" s="20">
        <v>16</v>
      </c>
      <c r="R581" s="65" t="s">
        <v>806</v>
      </c>
      <c r="T581" s="19" t="s">
        <v>22</v>
      </c>
      <c r="V581" s="19" t="s">
        <v>178</v>
      </c>
      <c r="Y581" s="19" t="s">
        <v>138</v>
      </c>
      <c r="Z581" s="44" t="s">
        <v>807</v>
      </c>
      <c r="AA581" s="44" t="s">
        <v>180</v>
      </c>
    </row>
    <row r="582" spans="1:27" hidden="1" x14ac:dyDescent="0.25">
      <c r="A582" s="26">
        <v>262</v>
      </c>
      <c r="B582" s="19" t="s">
        <v>1063</v>
      </c>
      <c r="C582" s="44" t="s">
        <v>172</v>
      </c>
      <c r="D582" s="19" t="s">
        <v>1022</v>
      </c>
      <c r="E582" s="19">
        <v>20</v>
      </c>
      <c r="F582" s="19">
        <v>300</v>
      </c>
      <c r="G582" s="19">
        <v>1096</v>
      </c>
      <c r="H582" s="19">
        <v>1</v>
      </c>
      <c r="I582" s="80">
        <v>51.62</v>
      </c>
      <c r="J582" s="80">
        <v>51.62</v>
      </c>
      <c r="K582" s="19" t="s">
        <v>195</v>
      </c>
      <c r="L582" s="19" t="s">
        <v>1082</v>
      </c>
      <c r="P582" s="19" t="s">
        <v>138</v>
      </c>
      <c r="Q582" s="20">
        <v>16</v>
      </c>
      <c r="R582" s="65" t="s">
        <v>806</v>
      </c>
      <c r="T582" s="19" t="s">
        <v>22</v>
      </c>
      <c r="V582" s="19" t="s">
        <v>178</v>
      </c>
      <c r="Y582" s="19" t="s">
        <v>138</v>
      </c>
      <c r="Z582" s="44" t="s">
        <v>807</v>
      </c>
      <c r="AA582" s="44" t="s">
        <v>180</v>
      </c>
    </row>
    <row r="583" spans="1:27" hidden="1" x14ac:dyDescent="0.25">
      <c r="A583" s="26">
        <v>263</v>
      </c>
      <c r="B583" s="19" t="s">
        <v>1095</v>
      </c>
      <c r="C583" s="44" t="s">
        <v>172</v>
      </c>
      <c r="D583" s="19" t="s">
        <v>1022</v>
      </c>
      <c r="E583" s="19">
        <v>20</v>
      </c>
      <c r="F583" s="19">
        <v>300</v>
      </c>
      <c r="G583" s="19">
        <v>1096</v>
      </c>
      <c r="H583" s="19">
        <v>2</v>
      </c>
      <c r="I583" s="80">
        <v>51.62</v>
      </c>
      <c r="J583" s="80">
        <v>103.24</v>
      </c>
      <c r="K583" s="19" t="s">
        <v>195</v>
      </c>
      <c r="L583" s="19" t="s">
        <v>1082</v>
      </c>
      <c r="P583" s="19" t="s">
        <v>138</v>
      </c>
      <c r="Q583" s="20">
        <v>16</v>
      </c>
      <c r="R583" s="65" t="s">
        <v>806</v>
      </c>
      <c r="T583" s="19" t="s">
        <v>22</v>
      </c>
      <c r="V583" s="19" t="s">
        <v>178</v>
      </c>
      <c r="Y583" s="19" t="s">
        <v>138</v>
      </c>
      <c r="Z583" s="44" t="s">
        <v>807</v>
      </c>
      <c r="AA583" s="44" t="s">
        <v>180</v>
      </c>
    </row>
    <row r="584" spans="1:27" hidden="1" x14ac:dyDescent="0.25">
      <c r="A584" s="26">
        <v>264</v>
      </c>
      <c r="B584" s="19" t="s">
        <v>1096</v>
      </c>
      <c r="C584" s="44" t="s">
        <v>172</v>
      </c>
      <c r="D584" s="19" t="s">
        <v>1022</v>
      </c>
      <c r="E584" s="19">
        <v>20</v>
      </c>
      <c r="F584" s="19">
        <v>300</v>
      </c>
      <c r="G584" s="19">
        <v>1096</v>
      </c>
      <c r="H584" s="19">
        <v>2</v>
      </c>
      <c r="I584" s="80">
        <v>51.62</v>
      </c>
      <c r="J584" s="80">
        <v>103.24</v>
      </c>
      <c r="K584" s="19" t="s">
        <v>195</v>
      </c>
      <c r="L584" s="19" t="s">
        <v>1082</v>
      </c>
      <c r="P584" s="19" t="s">
        <v>138</v>
      </c>
      <c r="Q584" s="20">
        <v>16</v>
      </c>
      <c r="R584" s="65" t="s">
        <v>806</v>
      </c>
      <c r="T584" s="19" t="s">
        <v>22</v>
      </c>
      <c r="V584" s="19" t="s">
        <v>178</v>
      </c>
      <c r="Y584" s="19" t="s">
        <v>138</v>
      </c>
      <c r="Z584" s="44" t="s">
        <v>807</v>
      </c>
      <c r="AA584" s="44" t="s">
        <v>180</v>
      </c>
    </row>
    <row r="585" spans="1:27" hidden="1" x14ac:dyDescent="0.25">
      <c r="A585" s="26">
        <v>265</v>
      </c>
      <c r="B585" s="19" t="s">
        <v>1064</v>
      </c>
      <c r="C585" s="44" t="s">
        <v>172</v>
      </c>
      <c r="D585" s="19" t="s">
        <v>1022</v>
      </c>
      <c r="E585" s="19">
        <v>20</v>
      </c>
      <c r="F585" s="19">
        <v>300</v>
      </c>
      <c r="G585" s="19">
        <v>1096</v>
      </c>
      <c r="H585" s="19">
        <v>1</v>
      </c>
      <c r="I585" s="80">
        <v>51.62</v>
      </c>
      <c r="J585" s="80">
        <v>51.62</v>
      </c>
      <c r="K585" s="19" t="s">
        <v>195</v>
      </c>
      <c r="L585" s="19" t="s">
        <v>1082</v>
      </c>
      <c r="P585" s="19" t="s">
        <v>138</v>
      </c>
      <c r="Q585" s="20">
        <v>16</v>
      </c>
      <c r="R585" s="65" t="s">
        <v>806</v>
      </c>
      <c r="T585" s="19" t="s">
        <v>22</v>
      </c>
      <c r="V585" s="19" t="s">
        <v>178</v>
      </c>
      <c r="Y585" s="19" t="s">
        <v>138</v>
      </c>
      <c r="Z585" s="44" t="s">
        <v>807</v>
      </c>
      <c r="AA585" s="44" t="s">
        <v>180</v>
      </c>
    </row>
    <row r="586" spans="1:27" hidden="1" x14ac:dyDescent="0.25">
      <c r="A586" s="26">
        <v>266</v>
      </c>
      <c r="B586" s="19" t="s">
        <v>1097</v>
      </c>
      <c r="C586" s="44" t="s">
        <v>172</v>
      </c>
      <c r="D586" s="19" t="s">
        <v>1025</v>
      </c>
      <c r="E586" s="19">
        <v>20</v>
      </c>
      <c r="F586" s="19">
        <v>300</v>
      </c>
      <c r="G586" s="19">
        <v>1514</v>
      </c>
      <c r="H586" s="19">
        <v>1</v>
      </c>
      <c r="I586" s="80">
        <v>71.31</v>
      </c>
      <c r="J586" s="80">
        <v>71.31</v>
      </c>
      <c r="K586" s="19" t="s">
        <v>195</v>
      </c>
      <c r="L586" s="19" t="s">
        <v>1098</v>
      </c>
      <c r="Q586" s="20">
        <v>16</v>
      </c>
      <c r="R586" s="65" t="s">
        <v>806</v>
      </c>
      <c r="T586" s="19" t="s">
        <v>22</v>
      </c>
      <c r="V586" s="19" t="s">
        <v>178</v>
      </c>
      <c r="Y586" s="19" t="s">
        <v>138</v>
      </c>
      <c r="Z586" s="44" t="s">
        <v>807</v>
      </c>
      <c r="AA586" s="44" t="s">
        <v>180</v>
      </c>
    </row>
    <row r="587" spans="1:27" hidden="1" x14ac:dyDescent="0.25">
      <c r="A587" s="26">
        <v>267</v>
      </c>
      <c r="B587" s="19" t="s">
        <v>1099</v>
      </c>
      <c r="C587" s="44" t="s">
        <v>172</v>
      </c>
      <c r="D587" s="19" t="s">
        <v>1025</v>
      </c>
      <c r="E587" s="19">
        <v>20</v>
      </c>
      <c r="F587" s="19">
        <v>300</v>
      </c>
      <c r="G587" s="19">
        <v>1514</v>
      </c>
      <c r="H587" s="19">
        <v>1</v>
      </c>
      <c r="I587" s="80">
        <v>71.31</v>
      </c>
      <c r="J587" s="80">
        <v>71.31</v>
      </c>
      <c r="K587" s="19" t="s">
        <v>195</v>
      </c>
      <c r="L587" s="19" t="s">
        <v>1098</v>
      </c>
      <c r="Q587" s="20">
        <v>16</v>
      </c>
      <c r="R587" s="65" t="s">
        <v>806</v>
      </c>
      <c r="T587" s="19" t="s">
        <v>22</v>
      </c>
      <c r="V587" s="19" t="s">
        <v>178</v>
      </c>
      <c r="Y587" s="19" t="s">
        <v>138</v>
      </c>
      <c r="Z587" s="44" t="s">
        <v>807</v>
      </c>
      <c r="AA587" s="44" t="s">
        <v>180</v>
      </c>
    </row>
    <row r="588" spans="1:27" hidden="1" x14ac:dyDescent="0.25">
      <c r="A588" s="26">
        <v>268</v>
      </c>
      <c r="B588" s="19" t="s">
        <v>1100</v>
      </c>
      <c r="C588" s="44" t="s">
        <v>172</v>
      </c>
      <c r="D588" s="19" t="s">
        <v>1025</v>
      </c>
      <c r="E588" s="19">
        <v>20</v>
      </c>
      <c r="F588" s="19">
        <v>300</v>
      </c>
      <c r="G588" s="19">
        <v>1514</v>
      </c>
      <c r="H588" s="19">
        <v>1</v>
      </c>
      <c r="I588" s="80">
        <v>71.31</v>
      </c>
      <c r="J588" s="80">
        <v>71.31</v>
      </c>
      <c r="K588" s="19" t="s">
        <v>195</v>
      </c>
      <c r="L588" s="19" t="s">
        <v>1098</v>
      </c>
      <c r="Q588" s="20">
        <v>16</v>
      </c>
      <c r="R588" s="65" t="s">
        <v>806</v>
      </c>
      <c r="T588" s="19" t="s">
        <v>22</v>
      </c>
      <c r="V588" s="19" t="s">
        <v>178</v>
      </c>
      <c r="Y588" s="19" t="s">
        <v>138</v>
      </c>
      <c r="Z588" s="44" t="s">
        <v>807</v>
      </c>
      <c r="AA588" s="44" t="s">
        <v>180</v>
      </c>
    </row>
    <row r="589" spans="1:27" hidden="1" x14ac:dyDescent="0.25">
      <c r="A589" s="26">
        <v>269</v>
      </c>
      <c r="B589" s="19" t="s">
        <v>1101</v>
      </c>
      <c r="C589" s="44" t="s">
        <v>172</v>
      </c>
      <c r="D589" s="19" t="s">
        <v>1025</v>
      </c>
      <c r="E589" s="19">
        <v>20</v>
      </c>
      <c r="F589" s="19">
        <v>300</v>
      </c>
      <c r="G589" s="19">
        <v>1514</v>
      </c>
      <c r="H589" s="19">
        <v>1</v>
      </c>
      <c r="I589" s="80">
        <v>71.31</v>
      </c>
      <c r="J589" s="80">
        <v>71.31</v>
      </c>
      <c r="K589" s="19" t="s">
        <v>195</v>
      </c>
      <c r="L589" s="19" t="s">
        <v>1098</v>
      </c>
      <c r="Q589" s="20">
        <v>16</v>
      </c>
      <c r="R589" s="65" t="s">
        <v>806</v>
      </c>
      <c r="T589" s="19" t="s">
        <v>22</v>
      </c>
      <c r="V589" s="19" t="s">
        <v>178</v>
      </c>
      <c r="Y589" s="19" t="s">
        <v>138</v>
      </c>
      <c r="Z589" s="44" t="s">
        <v>807</v>
      </c>
      <c r="AA589" s="44" t="s">
        <v>180</v>
      </c>
    </row>
    <row r="590" spans="1:27" hidden="1" x14ac:dyDescent="0.25">
      <c r="A590" s="26">
        <v>270</v>
      </c>
      <c r="B590" s="19" t="s">
        <v>1102</v>
      </c>
      <c r="C590" s="44" t="s">
        <v>172</v>
      </c>
      <c r="D590" s="19" t="s">
        <v>1025</v>
      </c>
      <c r="E590" s="19">
        <v>20</v>
      </c>
      <c r="F590" s="19">
        <v>300</v>
      </c>
      <c r="G590" s="19">
        <v>1514</v>
      </c>
      <c r="H590" s="19">
        <v>1</v>
      </c>
      <c r="I590" s="80">
        <v>71.31</v>
      </c>
      <c r="J590" s="80">
        <v>71.31</v>
      </c>
      <c r="K590" s="19" t="s">
        <v>195</v>
      </c>
      <c r="L590" s="19" t="s">
        <v>1098</v>
      </c>
      <c r="Q590" s="20">
        <v>16</v>
      </c>
      <c r="R590" s="65" t="s">
        <v>806</v>
      </c>
      <c r="T590" s="19" t="s">
        <v>22</v>
      </c>
      <c r="V590" s="19" t="s">
        <v>178</v>
      </c>
      <c r="Y590" s="19" t="s">
        <v>138</v>
      </c>
      <c r="Z590" s="44" t="s">
        <v>807</v>
      </c>
      <c r="AA590" s="44" t="s">
        <v>180</v>
      </c>
    </row>
    <row r="591" spans="1:27" hidden="1" x14ac:dyDescent="0.25">
      <c r="A591" s="26">
        <v>271</v>
      </c>
      <c r="B591" s="19" t="s">
        <v>1103</v>
      </c>
      <c r="C591" s="44" t="s">
        <v>172</v>
      </c>
      <c r="D591" s="19" t="s">
        <v>1025</v>
      </c>
      <c r="E591" s="19">
        <v>20</v>
      </c>
      <c r="F591" s="19">
        <v>300</v>
      </c>
      <c r="G591" s="19">
        <v>1514</v>
      </c>
      <c r="H591" s="19">
        <v>1</v>
      </c>
      <c r="I591" s="80">
        <v>71.31</v>
      </c>
      <c r="J591" s="80">
        <v>71.31</v>
      </c>
      <c r="K591" s="19" t="s">
        <v>195</v>
      </c>
      <c r="L591" s="19" t="s">
        <v>1098</v>
      </c>
      <c r="Q591" s="20">
        <v>16</v>
      </c>
      <c r="R591" s="65" t="s">
        <v>806</v>
      </c>
      <c r="T591" s="19" t="s">
        <v>22</v>
      </c>
      <c r="V591" s="19" t="s">
        <v>178</v>
      </c>
      <c r="Y591" s="19" t="s">
        <v>138</v>
      </c>
      <c r="Z591" s="44" t="s">
        <v>807</v>
      </c>
      <c r="AA591" s="44" t="s">
        <v>180</v>
      </c>
    </row>
    <row r="592" spans="1:27" hidden="1" x14ac:dyDescent="0.25">
      <c r="A592" s="26">
        <v>272</v>
      </c>
      <c r="B592" s="19" t="s">
        <v>1104</v>
      </c>
      <c r="C592" s="44" t="s">
        <v>172</v>
      </c>
      <c r="D592" s="19" t="s">
        <v>1025</v>
      </c>
      <c r="E592" s="19">
        <v>20</v>
      </c>
      <c r="F592" s="19">
        <v>300</v>
      </c>
      <c r="G592" s="19">
        <v>1514</v>
      </c>
      <c r="H592" s="19">
        <v>1</v>
      </c>
      <c r="I592" s="80">
        <v>71.31</v>
      </c>
      <c r="J592" s="80">
        <v>71.31</v>
      </c>
      <c r="K592" s="19" t="s">
        <v>195</v>
      </c>
      <c r="L592" s="19" t="s">
        <v>1098</v>
      </c>
      <c r="Q592" s="20">
        <v>16</v>
      </c>
      <c r="R592" s="65" t="s">
        <v>806</v>
      </c>
      <c r="T592" s="19" t="s">
        <v>22</v>
      </c>
      <c r="V592" s="19" t="s">
        <v>178</v>
      </c>
      <c r="Y592" s="19" t="s">
        <v>138</v>
      </c>
      <c r="Z592" s="44" t="s">
        <v>807</v>
      </c>
      <c r="AA592" s="44" t="s">
        <v>180</v>
      </c>
    </row>
    <row r="593" spans="1:27" hidden="1" x14ac:dyDescent="0.25">
      <c r="A593" s="26">
        <v>273</v>
      </c>
      <c r="B593" s="19" t="s">
        <v>1105</v>
      </c>
      <c r="C593" s="44" t="s">
        <v>172</v>
      </c>
      <c r="D593" s="19" t="s">
        <v>1106</v>
      </c>
      <c r="E593" s="19">
        <v>20</v>
      </c>
      <c r="F593" s="19">
        <v>300</v>
      </c>
      <c r="G593" s="19">
        <v>9068</v>
      </c>
      <c r="H593" s="19">
        <v>1</v>
      </c>
      <c r="I593" s="80">
        <v>427.1</v>
      </c>
      <c r="J593" s="80">
        <v>427.1</v>
      </c>
      <c r="K593" s="19" t="s">
        <v>195</v>
      </c>
      <c r="L593" s="19" t="s">
        <v>1098</v>
      </c>
      <c r="Q593" s="20">
        <v>16</v>
      </c>
      <c r="R593" s="65" t="s">
        <v>806</v>
      </c>
      <c r="T593" s="19" t="s">
        <v>22</v>
      </c>
      <c r="V593" s="19" t="s">
        <v>178</v>
      </c>
      <c r="Y593" s="19" t="s">
        <v>138</v>
      </c>
      <c r="Z593" s="44" t="s">
        <v>807</v>
      </c>
      <c r="AA593" s="44" t="s">
        <v>180</v>
      </c>
    </row>
    <row r="594" spans="1:27" hidden="1" x14ac:dyDescent="0.25">
      <c r="A594" s="26">
        <v>274</v>
      </c>
      <c r="B594" s="19" t="s">
        <v>1107</v>
      </c>
      <c r="C594" s="44" t="s">
        <v>172</v>
      </c>
      <c r="D594" s="19" t="s">
        <v>1106</v>
      </c>
      <c r="E594" s="19">
        <v>20</v>
      </c>
      <c r="F594" s="19">
        <v>300</v>
      </c>
      <c r="G594" s="19">
        <v>9068</v>
      </c>
      <c r="H594" s="19">
        <v>1</v>
      </c>
      <c r="I594" s="80">
        <v>427.1</v>
      </c>
      <c r="J594" s="80">
        <v>427.1</v>
      </c>
      <c r="K594" s="19" t="s">
        <v>195</v>
      </c>
      <c r="L594" s="19" t="s">
        <v>1098</v>
      </c>
      <c r="Q594" s="20">
        <v>16</v>
      </c>
      <c r="R594" s="65" t="s">
        <v>806</v>
      </c>
      <c r="T594" s="19" t="s">
        <v>22</v>
      </c>
      <c r="V594" s="19" t="s">
        <v>178</v>
      </c>
      <c r="Y594" s="19" t="s">
        <v>138</v>
      </c>
      <c r="Z594" s="44" t="s">
        <v>807</v>
      </c>
      <c r="AA594" s="44" t="s">
        <v>180</v>
      </c>
    </row>
    <row r="595" spans="1:27" hidden="1" x14ac:dyDescent="0.25">
      <c r="A595" s="26">
        <v>275</v>
      </c>
      <c r="B595" s="19" t="s">
        <v>1089</v>
      </c>
      <c r="C595" s="44" t="s">
        <v>172</v>
      </c>
      <c r="D595" s="19" t="s">
        <v>1022</v>
      </c>
      <c r="E595" s="19">
        <v>20</v>
      </c>
      <c r="F595" s="19">
        <v>300</v>
      </c>
      <c r="G595" s="19">
        <v>1096</v>
      </c>
      <c r="H595" s="19">
        <v>1</v>
      </c>
      <c r="I595" s="80">
        <v>51.62</v>
      </c>
      <c r="J595" s="80">
        <v>51.62</v>
      </c>
      <c r="K595" s="19" t="s">
        <v>195</v>
      </c>
      <c r="L595" s="19" t="s">
        <v>1098</v>
      </c>
      <c r="P595" s="19" t="s">
        <v>138</v>
      </c>
      <c r="Q595" s="20">
        <v>16</v>
      </c>
      <c r="R595" s="65" t="s">
        <v>806</v>
      </c>
      <c r="T595" s="19" t="s">
        <v>22</v>
      </c>
      <c r="V595" s="19" t="s">
        <v>178</v>
      </c>
      <c r="Y595" s="19" t="s">
        <v>138</v>
      </c>
      <c r="Z595" s="44" t="s">
        <v>807</v>
      </c>
      <c r="AA595" s="44" t="s">
        <v>180</v>
      </c>
    </row>
    <row r="596" spans="1:27" hidden="1" x14ac:dyDescent="0.25">
      <c r="A596" s="26">
        <v>276</v>
      </c>
      <c r="B596" s="19" t="s">
        <v>1108</v>
      </c>
      <c r="C596" s="44" t="s">
        <v>172</v>
      </c>
      <c r="D596" s="19" t="s">
        <v>1050</v>
      </c>
      <c r="E596" s="19">
        <v>20</v>
      </c>
      <c r="F596" s="19">
        <v>300</v>
      </c>
      <c r="G596" s="19">
        <v>1383</v>
      </c>
      <c r="H596" s="19">
        <v>1</v>
      </c>
      <c r="I596" s="80">
        <v>65.14</v>
      </c>
      <c r="J596" s="80">
        <v>65.14</v>
      </c>
      <c r="K596" s="19" t="s">
        <v>195</v>
      </c>
      <c r="L596" s="19" t="s">
        <v>1098</v>
      </c>
      <c r="P596" s="19" t="s">
        <v>138</v>
      </c>
      <c r="Q596" s="20">
        <v>16</v>
      </c>
      <c r="R596" s="65" t="s">
        <v>806</v>
      </c>
      <c r="T596" s="19" t="s">
        <v>22</v>
      </c>
      <c r="V596" s="19" t="s">
        <v>178</v>
      </c>
      <c r="Y596" s="19" t="s">
        <v>138</v>
      </c>
      <c r="Z596" s="44" t="s">
        <v>807</v>
      </c>
      <c r="AA596" s="44" t="s">
        <v>180</v>
      </c>
    </row>
    <row r="597" spans="1:27" hidden="1" x14ac:dyDescent="0.25">
      <c r="A597" s="26">
        <v>277</v>
      </c>
      <c r="B597" s="19" t="s">
        <v>1109</v>
      </c>
      <c r="C597" s="44" t="s">
        <v>172</v>
      </c>
      <c r="D597" s="19" t="s">
        <v>1110</v>
      </c>
      <c r="E597" s="19">
        <v>32</v>
      </c>
      <c r="F597" s="19">
        <v>550</v>
      </c>
      <c r="G597" s="19">
        <v>848</v>
      </c>
      <c r="H597" s="19">
        <v>1</v>
      </c>
      <c r="I597" s="80">
        <v>117.16</v>
      </c>
      <c r="J597" s="80">
        <v>117.16</v>
      </c>
      <c r="K597" s="19" t="s">
        <v>1111</v>
      </c>
      <c r="L597" s="19" t="s">
        <v>1112</v>
      </c>
      <c r="P597" s="19" t="s">
        <v>138</v>
      </c>
      <c r="Q597" s="20">
        <v>16</v>
      </c>
      <c r="R597" s="65" t="s">
        <v>806</v>
      </c>
      <c r="T597" s="19" t="s">
        <v>22</v>
      </c>
      <c r="V597" s="19" t="s">
        <v>178</v>
      </c>
      <c r="Y597" s="19" t="s">
        <v>138</v>
      </c>
      <c r="Z597" s="44" t="s">
        <v>807</v>
      </c>
      <c r="AA597" s="44" t="s">
        <v>180</v>
      </c>
    </row>
    <row r="598" spans="1:27" hidden="1" x14ac:dyDescent="0.25">
      <c r="A598" s="26">
        <v>278</v>
      </c>
      <c r="B598" s="19" t="s">
        <v>1113</v>
      </c>
      <c r="C598" s="44" t="s">
        <v>172</v>
      </c>
      <c r="D598" s="19" t="s">
        <v>1114</v>
      </c>
      <c r="E598" s="19">
        <v>32</v>
      </c>
      <c r="F598" s="19">
        <v>550</v>
      </c>
      <c r="G598" s="19">
        <v>1434</v>
      </c>
      <c r="H598" s="19">
        <v>1</v>
      </c>
      <c r="I598" s="80">
        <v>198.12</v>
      </c>
      <c r="J598" s="80">
        <v>198.12</v>
      </c>
      <c r="K598" s="19" t="s">
        <v>1111</v>
      </c>
      <c r="L598" s="19" t="s">
        <v>1112</v>
      </c>
      <c r="Q598" s="20">
        <v>16</v>
      </c>
      <c r="R598" s="65" t="s">
        <v>806</v>
      </c>
      <c r="T598" s="19" t="s">
        <v>22</v>
      </c>
      <c r="V598" s="19" t="s">
        <v>178</v>
      </c>
      <c r="Y598" s="19" t="s">
        <v>138</v>
      </c>
      <c r="Z598" s="44" t="s">
        <v>807</v>
      </c>
      <c r="AA598" s="44" t="s">
        <v>180</v>
      </c>
    </row>
    <row r="599" spans="1:27" hidden="1" x14ac:dyDescent="0.25">
      <c r="A599" s="26">
        <v>279</v>
      </c>
      <c r="B599" s="19" t="s">
        <v>1115</v>
      </c>
      <c r="C599" s="44" t="s">
        <v>172</v>
      </c>
      <c r="D599" s="19" t="s">
        <v>1114</v>
      </c>
      <c r="E599" s="19">
        <v>32</v>
      </c>
      <c r="F599" s="19">
        <v>550</v>
      </c>
      <c r="G599" s="19">
        <v>1434</v>
      </c>
      <c r="H599" s="19">
        <v>1</v>
      </c>
      <c r="I599" s="80">
        <v>198.12</v>
      </c>
      <c r="J599" s="80">
        <v>198.12</v>
      </c>
      <c r="K599" s="19" t="s">
        <v>1111</v>
      </c>
      <c r="L599" s="19" t="s">
        <v>1112</v>
      </c>
      <c r="Q599" s="20">
        <v>16</v>
      </c>
      <c r="R599" s="65" t="s">
        <v>806</v>
      </c>
      <c r="T599" s="19" t="s">
        <v>22</v>
      </c>
      <c r="V599" s="19" t="s">
        <v>178</v>
      </c>
      <c r="Y599" s="19" t="s">
        <v>138</v>
      </c>
      <c r="Z599" s="44" t="s">
        <v>807</v>
      </c>
      <c r="AA599" s="44" t="s">
        <v>180</v>
      </c>
    </row>
    <row r="600" spans="1:27" hidden="1" x14ac:dyDescent="0.25">
      <c r="A600" s="26">
        <v>280</v>
      </c>
      <c r="B600" s="19" t="s">
        <v>1116</v>
      </c>
      <c r="C600" s="44" t="s">
        <v>172</v>
      </c>
      <c r="D600" s="19" t="s">
        <v>1117</v>
      </c>
      <c r="E600" s="19">
        <v>32</v>
      </c>
      <c r="F600" s="19">
        <v>550</v>
      </c>
      <c r="G600" s="19">
        <v>7896</v>
      </c>
      <c r="H600" s="19">
        <v>1</v>
      </c>
      <c r="I600" s="80">
        <v>1090.9100000000001</v>
      </c>
      <c r="J600" s="80">
        <v>1090.9100000000001</v>
      </c>
      <c r="K600" s="19" t="s">
        <v>1111</v>
      </c>
      <c r="L600" s="19" t="s">
        <v>1112</v>
      </c>
      <c r="P600" s="19" t="s">
        <v>138</v>
      </c>
      <c r="Q600" s="20">
        <v>16</v>
      </c>
      <c r="R600" s="65" t="s">
        <v>806</v>
      </c>
      <c r="T600" s="19" t="s">
        <v>22</v>
      </c>
      <c r="V600" s="19" t="s">
        <v>178</v>
      </c>
      <c r="Y600" s="19" t="s">
        <v>138</v>
      </c>
      <c r="Z600" s="44" t="s">
        <v>807</v>
      </c>
      <c r="AA600" s="44" t="s">
        <v>180</v>
      </c>
    </row>
    <row r="601" spans="1:27" hidden="1" x14ac:dyDescent="0.25">
      <c r="A601" s="26">
        <v>281</v>
      </c>
      <c r="B601" s="19" t="s">
        <v>1118</v>
      </c>
      <c r="C601" s="44" t="s">
        <v>172</v>
      </c>
      <c r="D601" s="19" t="s">
        <v>1117</v>
      </c>
      <c r="E601" s="19">
        <v>32</v>
      </c>
      <c r="F601" s="19">
        <v>550</v>
      </c>
      <c r="G601" s="19">
        <v>7896</v>
      </c>
      <c r="H601" s="19">
        <v>1</v>
      </c>
      <c r="I601" s="80">
        <v>1090.9100000000001</v>
      </c>
      <c r="J601" s="80">
        <v>1090.9100000000001</v>
      </c>
      <c r="K601" s="19" t="s">
        <v>1111</v>
      </c>
      <c r="L601" s="19" t="s">
        <v>1112</v>
      </c>
      <c r="P601" s="19" t="s">
        <v>138</v>
      </c>
      <c r="Q601" s="20">
        <v>16</v>
      </c>
      <c r="R601" s="65" t="s">
        <v>806</v>
      </c>
      <c r="T601" s="19" t="s">
        <v>22</v>
      </c>
      <c r="V601" s="19" t="s">
        <v>178</v>
      </c>
      <c r="Y601" s="19" t="s">
        <v>138</v>
      </c>
      <c r="Z601" s="44" t="s">
        <v>807</v>
      </c>
      <c r="AA601" s="44" t="s">
        <v>180</v>
      </c>
    </row>
    <row r="602" spans="1:27" hidden="1" x14ac:dyDescent="0.25">
      <c r="A602" s="26">
        <v>282</v>
      </c>
      <c r="B602" s="19" t="s">
        <v>1119</v>
      </c>
      <c r="C602" s="44" t="s">
        <v>172</v>
      </c>
      <c r="D602" s="19" t="s">
        <v>1110</v>
      </c>
      <c r="E602" s="19">
        <v>32</v>
      </c>
      <c r="F602" s="19">
        <v>550</v>
      </c>
      <c r="G602" s="19">
        <v>848</v>
      </c>
      <c r="H602" s="19">
        <v>1</v>
      </c>
      <c r="I602" s="80">
        <v>117.16</v>
      </c>
      <c r="J602" s="80">
        <v>117.16</v>
      </c>
      <c r="K602" s="19" t="s">
        <v>1111</v>
      </c>
      <c r="L602" s="19" t="s">
        <v>1120</v>
      </c>
      <c r="P602" s="19" t="s">
        <v>138</v>
      </c>
      <c r="Q602" s="20">
        <v>16</v>
      </c>
      <c r="R602" s="65" t="s">
        <v>806</v>
      </c>
      <c r="T602" s="19" t="s">
        <v>22</v>
      </c>
      <c r="V602" s="19" t="s">
        <v>178</v>
      </c>
      <c r="Y602" s="19" t="s">
        <v>138</v>
      </c>
      <c r="Z602" s="44" t="s">
        <v>807</v>
      </c>
      <c r="AA602" s="44" t="s">
        <v>180</v>
      </c>
    </row>
    <row r="603" spans="1:27" hidden="1" x14ac:dyDescent="0.25">
      <c r="A603" s="26">
        <v>283</v>
      </c>
      <c r="B603" s="19" t="s">
        <v>1121</v>
      </c>
      <c r="C603" s="44" t="s">
        <v>172</v>
      </c>
      <c r="D603" s="19" t="s">
        <v>1122</v>
      </c>
      <c r="E603" s="19">
        <v>32</v>
      </c>
      <c r="F603" s="19">
        <v>550</v>
      </c>
      <c r="G603" s="19">
        <v>7660</v>
      </c>
      <c r="H603" s="19">
        <v>2</v>
      </c>
      <c r="I603" s="80">
        <v>1058.3</v>
      </c>
      <c r="J603" s="80">
        <v>2116.61</v>
      </c>
      <c r="K603" s="19" t="s">
        <v>1123</v>
      </c>
      <c r="L603" s="19" t="s">
        <v>1124</v>
      </c>
      <c r="Q603" s="20">
        <v>16</v>
      </c>
      <c r="R603" s="65" t="s">
        <v>806</v>
      </c>
      <c r="T603" s="19" t="s">
        <v>22</v>
      </c>
      <c r="V603" s="19" t="s">
        <v>178</v>
      </c>
      <c r="Y603" s="19" t="s">
        <v>138</v>
      </c>
      <c r="Z603" s="44" t="s">
        <v>807</v>
      </c>
      <c r="AA603" s="44" t="s">
        <v>180</v>
      </c>
    </row>
    <row r="604" spans="1:27" hidden="1" x14ac:dyDescent="0.25">
      <c r="A604" s="26">
        <v>284</v>
      </c>
      <c r="B604" s="19" t="s">
        <v>1125</v>
      </c>
      <c r="C604" s="44" t="s">
        <v>172</v>
      </c>
      <c r="D604" s="19" t="s">
        <v>1122</v>
      </c>
      <c r="E604" s="19">
        <v>32</v>
      </c>
      <c r="F604" s="19">
        <v>550</v>
      </c>
      <c r="G604" s="19">
        <v>7660</v>
      </c>
      <c r="H604" s="19">
        <v>2</v>
      </c>
      <c r="I604" s="80">
        <v>1058.3</v>
      </c>
      <c r="J604" s="80">
        <v>2116.61</v>
      </c>
      <c r="K604" s="19" t="s">
        <v>1123</v>
      </c>
      <c r="L604" s="19" t="s">
        <v>1124</v>
      </c>
      <c r="Q604" s="20">
        <v>16</v>
      </c>
      <c r="R604" s="65" t="s">
        <v>806</v>
      </c>
      <c r="T604" s="19" t="s">
        <v>22</v>
      </c>
      <c r="V604" s="19" t="s">
        <v>178</v>
      </c>
      <c r="Y604" s="19" t="s">
        <v>138</v>
      </c>
      <c r="Z604" s="44" t="s">
        <v>807</v>
      </c>
      <c r="AA604" s="44" t="s">
        <v>180</v>
      </c>
    </row>
    <row r="605" spans="1:27" hidden="1" x14ac:dyDescent="0.25">
      <c r="A605" s="26">
        <v>285</v>
      </c>
      <c r="B605" s="19" t="s">
        <v>1126</v>
      </c>
      <c r="C605" s="44" t="s">
        <v>257</v>
      </c>
      <c r="D605" s="19" t="s">
        <v>1127</v>
      </c>
      <c r="E605" s="19">
        <v>50</v>
      </c>
      <c r="F605" s="19">
        <v>1089</v>
      </c>
      <c r="G605" s="19">
        <v>1436</v>
      </c>
      <c r="H605" s="19">
        <v>2</v>
      </c>
      <c r="I605" s="80">
        <v>496.43</v>
      </c>
      <c r="J605" s="80">
        <v>992.86</v>
      </c>
      <c r="K605" s="19" t="s">
        <v>1128</v>
      </c>
      <c r="L605" s="19" t="s">
        <v>1129</v>
      </c>
      <c r="P605" s="19" t="s">
        <v>138</v>
      </c>
      <c r="Q605" s="20">
        <v>16</v>
      </c>
      <c r="R605" s="65" t="s">
        <v>806</v>
      </c>
      <c r="T605" s="19" t="s">
        <v>307</v>
      </c>
      <c r="V605" s="19" t="s">
        <v>178</v>
      </c>
      <c r="W605" s="19" t="s">
        <v>138</v>
      </c>
      <c r="Z605" s="44" t="s">
        <v>807</v>
      </c>
      <c r="AA605" s="44" t="s">
        <v>496</v>
      </c>
    </row>
    <row r="606" spans="1:27" hidden="1" x14ac:dyDescent="0.25">
      <c r="A606" s="26">
        <v>286</v>
      </c>
      <c r="B606" s="19" t="s">
        <v>1130</v>
      </c>
      <c r="C606" s="44" t="s">
        <v>257</v>
      </c>
      <c r="D606" s="19" t="s">
        <v>1127</v>
      </c>
      <c r="E606" s="19">
        <v>50</v>
      </c>
      <c r="F606" s="19">
        <v>1089</v>
      </c>
      <c r="G606" s="19">
        <v>1436</v>
      </c>
      <c r="H606" s="19">
        <v>2</v>
      </c>
      <c r="I606" s="80">
        <v>496.43</v>
      </c>
      <c r="J606" s="80">
        <v>992.86</v>
      </c>
      <c r="K606" s="19" t="s">
        <v>1128</v>
      </c>
      <c r="L606" s="19" t="s">
        <v>1129</v>
      </c>
      <c r="P606" s="19" t="s">
        <v>138</v>
      </c>
      <c r="Q606" s="20">
        <v>16</v>
      </c>
      <c r="R606" s="65" t="s">
        <v>806</v>
      </c>
      <c r="T606" s="19" t="s">
        <v>307</v>
      </c>
      <c r="V606" s="19" t="s">
        <v>178</v>
      </c>
      <c r="W606" s="19" t="s">
        <v>138</v>
      </c>
      <c r="Z606" s="44" t="s">
        <v>807</v>
      </c>
      <c r="AA606" s="44" t="s">
        <v>496</v>
      </c>
    </row>
    <row r="607" spans="1:27" hidden="1" x14ac:dyDescent="0.25">
      <c r="A607" s="26">
        <v>1</v>
      </c>
      <c r="B607" s="19" t="s">
        <v>1138</v>
      </c>
      <c r="C607" s="44" t="s">
        <v>172</v>
      </c>
      <c r="D607" s="19" t="s">
        <v>869</v>
      </c>
      <c r="E607" s="19">
        <v>12</v>
      </c>
      <c r="F607" s="19">
        <v>490</v>
      </c>
      <c r="G607" s="19">
        <v>1514</v>
      </c>
      <c r="H607" s="19">
        <v>1</v>
      </c>
      <c r="I607" s="80">
        <v>69.78</v>
      </c>
      <c r="J607" s="80">
        <v>69.78</v>
      </c>
      <c r="K607" s="19" t="s">
        <v>1139</v>
      </c>
      <c r="L607" s="19" t="s">
        <v>1140</v>
      </c>
      <c r="Q607" s="20">
        <v>17</v>
      </c>
      <c r="R607" s="65" t="s">
        <v>1141</v>
      </c>
      <c r="T607" s="19" t="s">
        <v>307</v>
      </c>
      <c r="V607" s="19" t="s">
        <v>178</v>
      </c>
      <c r="Y607" s="19" t="s">
        <v>138</v>
      </c>
      <c r="Z607" s="44" t="s">
        <v>1142</v>
      </c>
      <c r="AA607" s="44" t="s">
        <v>903</v>
      </c>
    </row>
    <row r="608" spans="1:27" hidden="1" x14ac:dyDescent="0.25">
      <c r="A608" s="26">
        <v>2</v>
      </c>
      <c r="B608" s="19" t="s">
        <v>1143</v>
      </c>
      <c r="C608" s="44" t="s">
        <v>172</v>
      </c>
      <c r="D608" s="19" t="s">
        <v>869</v>
      </c>
      <c r="E608" s="19">
        <v>12</v>
      </c>
      <c r="F608" s="19">
        <v>490</v>
      </c>
      <c r="G608" s="19">
        <v>1514</v>
      </c>
      <c r="H608" s="19">
        <v>1</v>
      </c>
      <c r="I608" s="80">
        <v>69.78</v>
      </c>
      <c r="J608" s="80">
        <v>69.78</v>
      </c>
      <c r="K608" s="19" t="s">
        <v>1139</v>
      </c>
      <c r="L608" s="19" t="s">
        <v>1140</v>
      </c>
      <c r="Q608" s="20">
        <v>17</v>
      </c>
      <c r="R608" s="65" t="s">
        <v>1141</v>
      </c>
      <c r="T608" s="19" t="s">
        <v>307</v>
      </c>
      <c r="V608" s="19" t="s">
        <v>178</v>
      </c>
      <c r="Y608" s="19" t="s">
        <v>138</v>
      </c>
      <c r="Z608" s="44" t="s">
        <v>1142</v>
      </c>
      <c r="AA608" s="44" t="s">
        <v>903</v>
      </c>
    </row>
    <row r="609" spans="1:27" hidden="1" x14ac:dyDescent="0.25">
      <c r="A609" s="26">
        <v>3</v>
      </c>
      <c r="B609" s="19" t="s">
        <v>1144</v>
      </c>
      <c r="C609" s="44" t="s">
        <v>172</v>
      </c>
      <c r="D609" s="19" t="s">
        <v>803</v>
      </c>
      <c r="E609" s="19">
        <v>12</v>
      </c>
      <c r="F609" s="19">
        <v>135</v>
      </c>
      <c r="G609" s="19">
        <v>488</v>
      </c>
      <c r="H609" s="19">
        <v>6</v>
      </c>
      <c r="I609" s="80">
        <v>6.19</v>
      </c>
      <c r="J609" s="80">
        <v>37.14</v>
      </c>
      <c r="K609" s="19" t="s">
        <v>1139</v>
      </c>
      <c r="L609" s="19" t="s">
        <v>1140</v>
      </c>
      <c r="Q609" s="20">
        <v>17</v>
      </c>
      <c r="R609" s="65" t="s">
        <v>1141</v>
      </c>
      <c r="T609" s="19" t="s">
        <v>307</v>
      </c>
      <c r="V609" s="19" t="s">
        <v>178</v>
      </c>
      <c r="W609" s="19" t="s">
        <v>138</v>
      </c>
      <c r="Z609" s="44" t="s">
        <v>1142</v>
      </c>
      <c r="AA609" s="44" t="s">
        <v>903</v>
      </c>
    </row>
    <row r="610" spans="1:27" hidden="1" x14ac:dyDescent="0.25">
      <c r="A610" s="26">
        <v>4</v>
      </c>
      <c r="B610" s="19" t="s">
        <v>1145</v>
      </c>
      <c r="C610" s="44" t="s">
        <v>172</v>
      </c>
      <c r="D610" s="19" t="s">
        <v>803</v>
      </c>
      <c r="E610" s="19">
        <v>12</v>
      </c>
      <c r="F610" s="19">
        <v>135</v>
      </c>
      <c r="G610" s="19">
        <v>488</v>
      </c>
      <c r="H610" s="19">
        <v>2</v>
      </c>
      <c r="I610" s="80">
        <v>6.19</v>
      </c>
      <c r="J610" s="80">
        <v>12.38</v>
      </c>
      <c r="K610" s="19" t="s">
        <v>1139</v>
      </c>
      <c r="L610" s="19" t="s">
        <v>1140</v>
      </c>
      <c r="Q610" s="20">
        <v>17</v>
      </c>
      <c r="R610" s="65" t="s">
        <v>1141</v>
      </c>
      <c r="T610" s="19" t="s">
        <v>307</v>
      </c>
      <c r="V610" s="19" t="s">
        <v>178</v>
      </c>
      <c r="W610" s="19" t="s">
        <v>138</v>
      </c>
      <c r="Z610" s="44" t="s">
        <v>1142</v>
      </c>
      <c r="AA610" s="44" t="s">
        <v>903</v>
      </c>
    </row>
    <row r="611" spans="1:27" hidden="1" x14ac:dyDescent="0.25">
      <c r="A611" s="26">
        <v>5</v>
      </c>
      <c r="B611" s="19" t="s">
        <v>1146</v>
      </c>
      <c r="C611" s="44" t="s">
        <v>172</v>
      </c>
      <c r="D611" s="19" t="s">
        <v>803</v>
      </c>
      <c r="E611" s="19">
        <v>12</v>
      </c>
      <c r="F611" s="19">
        <v>135</v>
      </c>
      <c r="G611" s="19">
        <v>488</v>
      </c>
      <c r="H611" s="19">
        <v>1</v>
      </c>
      <c r="I611" s="80">
        <v>6.19</v>
      </c>
      <c r="J611" s="80">
        <v>6.19</v>
      </c>
      <c r="K611" s="19" t="s">
        <v>1139</v>
      </c>
      <c r="L611" s="19" t="s">
        <v>1140</v>
      </c>
      <c r="Q611" s="20">
        <v>17</v>
      </c>
      <c r="R611" s="65" t="s">
        <v>1141</v>
      </c>
      <c r="T611" s="19" t="s">
        <v>307</v>
      </c>
      <c r="V611" s="19" t="s">
        <v>178</v>
      </c>
      <c r="W611" s="19" t="s">
        <v>138</v>
      </c>
      <c r="Z611" s="44" t="s">
        <v>1142</v>
      </c>
      <c r="AA611" s="44" t="s">
        <v>903</v>
      </c>
    </row>
    <row r="612" spans="1:27" hidden="1" x14ac:dyDescent="0.25">
      <c r="A612" s="26">
        <v>6</v>
      </c>
      <c r="B612" s="19" t="s">
        <v>1147</v>
      </c>
      <c r="C612" s="44" t="s">
        <v>172</v>
      </c>
      <c r="D612" s="19" t="s">
        <v>803</v>
      </c>
      <c r="E612" s="19">
        <v>12</v>
      </c>
      <c r="F612" s="19">
        <v>135</v>
      </c>
      <c r="G612" s="19">
        <v>488</v>
      </c>
      <c r="H612" s="19">
        <v>7</v>
      </c>
      <c r="I612" s="80">
        <v>6.19</v>
      </c>
      <c r="J612" s="80">
        <v>43.33</v>
      </c>
      <c r="K612" s="19" t="s">
        <v>1139</v>
      </c>
      <c r="L612" s="19" t="s">
        <v>1140</v>
      </c>
      <c r="Q612" s="20">
        <v>17</v>
      </c>
      <c r="R612" s="65" t="s">
        <v>1141</v>
      </c>
      <c r="T612" s="19" t="s">
        <v>307</v>
      </c>
      <c r="V612" s="19" t="s">
        <v>178</v>
      </c>
      <c r="W612" s="19" t="s">
        <v>138</v>
      </c>
      <c r="Z612" s="44" t="s">
        <v>1142</v>
      </c>
      <c r="AA612" s="44" t="s">
        <v>903</v>
      </c>
    </row>
    <row r="613" spans="1:27" hidden="1" x14ac:dyDescent="0.25">
      <c r="A613" s="26">
        <v>7</v>
      </c>
      <c r="B613" s="19" t="s">
        <v>1148</v>
      </c>
      <c r="C613" s="44" t="s">
        <v>172</v>
      </c>
      <c r="D613" s="19" t="s">
        <v>803</v>
      </c>
      <c r="E613" s="19">
        <v>12</v>
      </c>
      <c r="F613" s="19">
        <v>135</v>
      </c>
      <c r="G613" s="19">
        <v>488</v>
      </c>
      <c r="H613" s="19">
        <v>1</v>
      </c>
      <c r="I613" s="80">
        <v>6.19</v>
      </c>
      <c r="J613" s="80">
        <v>6.19</v>
      </c>
      <c r="K613" s="19" t="s">
        <v>1139</v>
      </c>
      <c r="L613" s="19" t="s">
        <v>1140</v>
      </c>
      <c r="Q613" s="20">
        <v>17</v>
      </c>
      <c r="R613" s="65" t="s">
        <v>1141</v>
      </c>
      <c r="T613" s="19" t="s">
        <v>307</v>
      </c>
      <c r="V613" s="19" t="s">
        <v>178</v>
      </c>
      <c r="W613" s="19" t="s">
        <v>138</v>
      </c>
      <c r="Z613" s="44" t="s">
        <v>1142</v>
      </c>
      <c r="AA613" s="44" t="s">
        <v>903</v>
      </c>
    </row>
    <row r="614" spans="1:27" hidden="1" x14ac:dyDescent="0.25">
      <c r="A614" s="26">
        <v>8</v>
      </c>
      <c r="B614" s="19" t="s">
        <v>1149</v>
      </c>
      <c r="C614" s="44" t="s">
        <v>172</v>
      </c>
      <c r="D614" s="19" t="s">
        <v>869</v>
      </c>
      <c r="E614" s="19">
        <v>12</v>
      </c>
      <c r="F614" s="19">
        <v>490</v>
      </c>
      <c r="G614" s="19">
        <v>1514</v>
      </c>
      <c r="H614" s="19">
        <v>1</v>
      </c>
      <c r="I614" s="80">
        <v>69.78</v>
      </c>
      <c r="J614" s="80">
        <v>69.78</v>
      </c>
      <c r="K614" s="19" t="s">
        <v>1139</v>
      </c>
      <c r="L614" s="19" t="s">
        <v>1140</v>
      </c>
      <c r="Q614" s="20">
        <v>17</v>
      </c>
      <c r="R614" s="65" t="s">
        <v>1141</v>
      </c>
      <c r="T614" s="19" t="s">
        <v>307</v>
      </c>
      <c r="V614" s="19" t="s">
        <v>178</v>
      </c>
      <c r="Y614" s="19" t="s">
        <v>138</v>
      </c>
      <c r="Z614" s="44" t="s">
        <v>1142</v>
      </c>
      <c r="AA614" s="44" t="s">
        <v>903</v>
      </c>
    </row>
    <row r="615" spans="1:27" hidden="1" x14ac:dyDescent="0.25">
      <c r="A615" s="26">
        <v>9</v>
      </c>
      <c r="B615" s="19" t="s">
        <v>1150</v>
      </c>
      <c r="C615" s="44" t="s">
        <v>172</v>
      </c>
      <c r="D615" s="19" t="s">
        <v>869</v>
      </c>
      <c r="E615" s="19">
        <v>12</v>
      </c>
      <c r="F615" s="19">
        <v>490</v>
      </c>
      <c r="G615" s="19">
        <v>1514</v>
      </c>
      <c r="H615" s="19">
        <v>1</v>
      </c>
      <c r="I615" s="80">
        <v>69.78</v>
      </c>
      <c r="J615" s="80">
        <v>69.78</v>
      </c>
      <c r="K615" s="19" t="s">
        <v>1139</v>
      </c>
      <c r="L615" s="19" t="s">
        <v>1140</v>
      </c>
      <c r="Q615" s="20">
        <v>17</v>
      </c>
      <c r="R615" s="65" t="s">
        <v>1141</v>
      </c>
      <c r="T615" s="19" t="s">
        <v>307</v>
      </c>
      <c r="V615" s="19" t="s">
        <v>178</v>
      </c>
      <c r="Y615" s="19" t="s">
        <v>138</v>
      </c>
      <c r="Z615" s="44" t="s">
        <v>1142</v>
      </c>
      <c r="AA615" s="44" t="s">
        <v>903</v>
      </c>
    </row>
    <row r="616" spans="1:27" hidden="1" x14ac:dyDescent="0.25">
      <c r="A616" s="26">
        <v>10</v>
      </c>
      <c r="B616" s="19" t="s">
        <v>1151</v>
      </c>
      <c r="C616" s="44" t="s">
        <v>172</v>
      </c>
      <c r="D616" s="19" t="s">
        <v>869</v>
      </c>
      <c r="E616" s="19">
        <v>12</v>
      </c>
      <c r="F616" s="19">
        <v>490</v>
      </c>
      <c r="G616" s="19">
        <v>1514</v>
      </c>
      <c r="H616" s="19">
        <v>1</v>
      </c>
      <c r="I616" s="80">
        <v>69.78</v>
      </c>
      <c r="J616" s="80">
        <v>69.78</v>
      </c>
      <c r="K616" s="19" t="s">
        <v>1139</v>
      </c>
      <c r="L616" s="19" t="s">
        <v>1140</v>
      </c>
      <c r="Q616" s="20">
        <v>17</v>
      </c>
      <c r="R616" s="65" t="s">
        <v>1141</v>
      </c>
      <c r="T616" s="19" t="s">
        <v>307</v>
      </c>
      <c r="V616" s="19" t="s">
        <v>178</v>
      </c>
      <c r="Y616" s="19" t="s">
        <v>138</v>
      </c>
      <c r="Z616" s="44" t="s">
        <v>1142</v>
      </c>
      <c r="AA616" s="44" t="s">
        <v>903</v>
      </c>
    </row>
    <row r="617" spans="1:27" hidden="1" x14ac:dyDescent="0.25">
      <c r="A617" s="26">
        <v>11</v>
      </c>
      <c r="B617" s="19" t="s">
        <v>1152</v>
      </c>
      <c r="C617" s="44" t="s">
        <v>172</v>
      </c>
      <c r="D617" s="19" t="s">
        <v>869</v>
      </c>
      <c r="E617" s="19">
        <v>12</v>
      </c>
      <c r="F617" s="19">
        <v>490</v>
      </c>
      <c r="G617" s="19">
        <v>1514</v>
      </c>
      <c r="H617" s="19">
        <v>1</v>
      </c>
      <c r="I617" s="80">
        <v>69.78</v>
      </c>
      <c r="J617" s="80">
        <v>69.78</v>
      </c>
      <c r="K617" s="19" t="s">
        <v>1139</v>
      </c>
      <c r="L617" s="19" t="s">
        <v>1140</v>
      </c>
      <c r="Q617" s="20">
        <v>17</v>
      </c>
      <c r="R617" s="65" t="s">
        <v>1141</v>
      </c>
      <c r="T617" s="19" t="s">
        <v>307</v>
      </c>
      <c r="V617" s="19" t="s">
        <v>178</v>
      </c>
      <c r="Y617" s="19" t="s">
        <v>138</v>
      </c>
      <c r="Z617" s="44" t="s">
        <v>1142</v>
      </c>
      <c r="AA617" s="44" t="s">
        <v>903</v>
      </c>
    </row>
    <row r="618" spans="1:27" hidden="1" x14ac:dyDescent="0.25">
      <c r="A618" s="26">
        <v>12</v>
      </c>
      <c r="B618" s="19" t="s">
        <v>1153</v>
      </c>
      <c r="C618" s="44" t="s">
        <v>172</v>
      </c>
      <c r="D618" s="19" t="s">
        <v>869</v>
      </c>
      <c r="E618" s="19">
        <v>12</v>
      </c>
      <c r="F618" s="19">
        <v>490</v>
      </c>
      <c r="G618" s="19">
        <v>1514</v>
      </c>
      <c r="H618" s="19">
        <v>1</v>
      </c>
      <c r="I618" s="80">
        <v>69.78</v>
      </c>
      <c r="J618" s="80">
        <v>69.78</v>
      </c>
      <c r="K618" s="19" t="s">
        <v>1139</v>
      </c>
      <c r="L618" s="19" t="s">
        <v>1140</v>
      </c>
      <c r="Q618" s="20">
        <v>17</v>
      </c>
      <c r="R618" s="65" t="s">
        <v>1141</v>
      </c>
      <c r="T618" s="19" t="s">
        <v>307</v>
      </c>
      <c r="V618" s="19" t="s">
        <v>178</v>
      </c>
      <c r="Y618" s="19" t="s">
        <v>138</v>
      </c>
      <c r="Z618" s="44" t="s">
        <v>1142</v>
      </c>
      <c r="AA618" s="44" t="s">
        <v>903</v>
      </c>
    </row>
    <row r="619" spans="1:27" hidden="1" x14ac:dyDescent="0.25">
      <c r="A619" s="26">
        <v>13</v>
      </c>
      <c r="B619" s="19" t="s">
        <v>1154</v>
      </c>
      <c r="C619" s="44" t="s">
        <v>172</v>
      </c>
      <c r="D619" s="19" t="s">
        <v>869</v>
      </c>
      <c r="E619" s="19">
        <v>12</v>
      </c>
      <c r="F619" s="19">
        <v>490</v>
      </c>
      <c r="G619" s="19">
        <v>1514</v>
      </c>
      <c r="H619" s="19">
        <v>1</v>
      </c>
      <c r="I619" s="80">
        <v>69.78</v>
      </c>
      <c r="J619" s="80">
        <v>69.78</v>
      </c>
      <c r="K619" s="19" t="s">
        <v>1139</v>
      </c>
      <c r="L619" s="19" t="s">
        <v>1140</v>
      </c>
      <c r="Q619" s="20">
        <v>17</v>
      </c>
      <c r="R619" s="65" t="s">
        <v>1141</v>
      </c>
      <c r="T619" s="19" t="s">
        <v>307</v>
      </c>
      <c r="V619" s="19" t="s">
        <v>178</v>
      </c>
      <c r="Y619" s="19" t="s">
        <v>138</v>
      </c>
      <c r="Z619" s="44" t="s">
        <v>1142</v>
      </c>
      <c r="AA619" s="44" t="s">
        <v>903</v>
      </c>
    </row>
    <row r="620" spans="1:27" hidden="1" x14ac:dyDescent="0.25">
      <c r="A620" s="26">
        <v>14</v>
      </c>
      <c r="B620" s="19" t="s">
        <v>1155</v>
      </c>
      <c r="C620" s="44" t="s">
        <v>172</v>
      </c>
      <c r="D620" s="19" t="s">
        <v>812</v>
      </c>
      <c r="E620" s="19">
        <v>12</v>
      </c>
      <c r="F620" s="19">
        <v>490</v>
      </c>
      <c r="G620" s="19">
        <v>6464</v>
      </c>
      <c r="H620" s="19">
        <v>1</v>
      </c>
      <c r="I620" s="80">
        <v>298.26</v>
      </c>
      <c r="J620" s="80">
        <v>298.26</v>
      </c>
      <c r="K620" s="19" t="s">
        <v>804</v>
      </c>
      <c r="L620" s="19" t="s">
        <v>1156</v>
      </c>
      <c r="Q620" s="20">
        <v>17</v>
      </c>
      <c r="R620" s="65" t="s">
        <v>1141</v>
      </c>
      <c r="T620" s="19" t="s">
        <v>307</v>
      </c>
      <c r="V620" s="19" t="s">
        <v>178</v>
      </c>
      <c r="Y620" s="19" t="s">
        <v>138</v>
      </c>
      <c r="Z620" s="44" t="s">
        <v>1142</v>
      </c>
      <c r="AA620" s="44" t="s">
        <v>408</v>
      </c>
    </row>
    <row r="621" spans="1:27" hidden="1" x14ac:dyDescent="0.25">
      <c r="A621" s="26">
        <v>15</v>
      </c>
      <c r="B621" s="19" t="s">
        <v>1157</v>
      </c>
      <c r="C621" s="44" t="s">
        <v>172</v>
      </c>
      <c r="D621" s="19" t="s">
        <v>803</v>
      </c>
      <c r="E621" s="19">
        <v>12</v>
      </c>
      <c r="F621" s="19">
        <v>135</v>
      </c>
      <c r="G621" s="19">
        <v>488</v>
      </c>
      <c r="H621" s="19">
        <v>3</v>
      </c>
      <c r="I621" s="80">
        <v>6.19</v>
      </c>
      <c r="J621" s="80">
        <v>18.57</v>
      </c>
      <c r="K621" s="19" t="s">
        <v>804</v>
      </c>
      <c r="L621" s="19" t="s">
        <v>1156</v>
      </c>
      <c r="Q621" s="20">
        <v>17</v>
      </c>
      <c r="R621" s="65" t="s">
        <v>1141</v>
      </c>
      <c r="T621" s="19" t="s">
        <v>307</v>
      </c>
      <c r="V621" s="19" t="s">
        <v>178</v>
      </c>
      <c r="W621" s="19" t="s">
        <v>138</v>
      </c>
      <c r="Z621" s="44" t="s">
        <v>1142</v>
      </c>
      <c r="AA621" s="44" t="s">
        <v>408</v>
      </c>
    </row>
    <row r="622" spans="1:27" hidden="1" x14ac:dyDescent="0.25">
      <c r="A622" s="26">
        <v>16</v>
      </c>
      <c r="B622" s="19" t="s">
        <v>1158</v>
      </c>
      <c r="C622" s="44" t="s">
        <v>172</v>
      </c>
      <c r="D622" s="19" t="s">
        <v>803</v>
      </c>
      <c r="E622" s="19">
        <v>12</v>
      </c>
      <c r="F622" s="19">
        <v>135</v>
      </c>
      <c r="G622" s="19">
        <v>488</v>
      </c>
      <c r="H622" s="19">
        <v>1</v>
      </c>
      <c r="I622" s="80">
        <v>6.19</v>
      </c>
      <c r="J622" s="80">
        <v>6.19</v>
      </c>
      <c r="K622" s="19" t="s">
        <v>804</v>
      </c>
      <c r="L622" s="19" t="s">
        <v>1156</v>
      </c>
      <c r="Q622" s="20">
        <v>17</v>
      </c>
      <c r="R622" s="65" t="s">
        <v>1141</v>
      </c>
      <c r="T622" s="19" t="s">
        <v>307</v>
      </c>
      <c r="V622" s="19" t="s">
        <v>178</v>
      </c>
      <c r="W622" s="19" t="s">
        <v>138</v>
      </c>
      <c r="Z622" s="44" t="s">
        <v>1142</v>
      </c>
      <c r="AA622" s="44" t="s">
        <v>408</v>
      </c>
    </row>
    <row r="623" spans="1:27" hidden="1" x14ac:dyDescent="0.25">
      <c r="A623" s="26">
        <v>17</v>
      </c>
      <c r="B623" s="19" t="s">
        <v>1159</v>
      </c>
      <c r="C623" s="44" t="s">
        <v>172</v>
      </c>
      <c r="D623" s="19" t="s">
        <v>803</v>
      </c>
      <c r="E623" s="19">
        <v>12</v>
      </c>
      <c r="F623" s="19">
        <v>135</v>
      </c>
      <c r="G623" s="19">
        <v>488</v>
      </c>
      <c r="H623" s="19">
        <v>2</v>
      </c>
      <c r="I623" s="80">
        <v>6.19</v>
      </c>
      <c r="J623" s="80">
        <v>12.38</v>
      </c>
      <c r="K623" s="19" t="s">
        <v>804</v>
      </c>
      <c r="L623" s="19" t="s">
        <v>1156</v>
      </c>
      <c r="Q623" s="20">
        <v>17</v>
      </c>
      <c r="R623" s="65" t="s">
        <v>1141</v>
      </c>
      <c r="T623" s="19" t="s">
        <v>307</v>
      </c>
      <c r="V623" s="19" t="s">
        <v>178</v>
      </c>
      <c r="W623" s="19" t="s">
        <v>138</v>
      </c>
      <c r="Z623" s="44" t="s">
        <v>1142</v>
      </c>
      <c r="AA623" s="44" t="s">
        <v>408</v>
      </c>
    </row>
    <row r="624" spans="1:27" hidden="1" x14ac:dyDescent="0.25">
      <c r="A624" s="26">
        <v>18</v>
      </c>
      <c r="B624" s="19" t="s">
        <v>1160</v>
      </c>
      <c r="C624" s="44" t="s">
        <v>172</v>
      </c>
      <c r="D624" s="19" t="s">
        <v>814</v>
      </c>
      <c r="E624" s="19">
        <v>12</v>
      </c>
      <c r="F624" s="19">
        <v>1460</v>
      </c>
      <c r="G624" s="19">
        <v>6688</v>
      </c>
      <c r="H624" s="19">
        <v>1</v>
      </c>
      <c r="I624" s="80">
        <v>917.29</v>
      </c>
      <c r="J624" s="80">
        <v>917.29</v>
      </c>
      <c r="K624" s="19" t="s">
        <v>804</v>
      </c>
      <c r="L624" s="19" t="s">
        <v>1156</v>
      </c>
      <c r="P624" s="19" t="s">
        <v>138</v>
      </c>
      <c r="Q624" s="20">
        <v>17</v>
      </c>
      <c r="R624" s="65" t="s">
        <v>1141</v>
      </c>
      <c r="T624" s="19" t="s">
        <v>307</v>
      </c>
      <c r="V624" s="19" t="s">
        <v>178</v>
      </c>
      <c r="Y624" s="19" t="s">
        <v>138</v>
      </c>
      <c r="Z624" s="44" t="s">
        <v>1142</v>
      </c>
      <c r="AA624" s="44" t="s">
        <v>408</v>
      </c>
    </row>
    <row r="625" spans="1:27" hidden="1" x14ac:dyDescent="0.25">
      <c r="A625" s="26">
        <v>19</v>
      </c>
      <c r="B625" s="19" t="s">
        <v>1161</v>
      </c>
      <c r="C625" s="44" t="s">
        <v>172</v>
      </c>
      <c r="D625" s="19" t="s">
        <v>869</v>
      </c>
      <c r="E625" s="19">
        <v>12</v>
      </c>
      <c r="F625" s="19">
        <v>490</v>
      </c>
      <c r="G625" s="19">
        <v>1514</v>
      </c>
      <c r="H625" s="19">
        <v>1</v>
      </c>
      <c r="I625" s="80">
        <v>69.78</v>
      </c>
      <c r="J625" s="80">
        <v>69.78</v>
      </c>
      <c r="K625" s="19" t="s">
        <v>184</v>
      </c>
      <c r="L625" s="19" t="s">
        <v>1162</v>
      </c>
      <c r="Q625" s="20">
        <v>17</v>
      </c>
      <c r="R625" s="65" t="s">
        <v>1141</v>
      </c>
      <c r="T625" s="19" t="s">
        <v>307</v>
      </c>
      <c r="V625" s="19" t="s">
        <v>178</v>
      </c>
      <c r="Y625" s="19" t="s">
        <v>138</v>
      </c>
      <c r="Z625" s="44" t="s">
        <v>1142</v>
      </c>
      <c r="AA625" s="44" t="s">
        <v>910</v>
      </c>
    </row>
    <row r="626" spans="1:27" hidden="1" x14ac:dyDescent="0.25">
      <c r="A626" s="26">
        <v>20</v>
      </c>
      <c r="B626" s="19" t="s">
        <v>1163</v>
      </c>
      <c r="C626" s="44" t="s">
        <v>172</v>
      </c>
      <c r="D626" s="19" t="s">
        <v>869</v>
      </c>
      <c r="E626" s="19">
        <v>12</v>
      </c>
      <c r="F626" s="19">
        <v>490</v>
      </c>
      <c r="G626" s="19">
        <v>1514</v>
      </c>
      <c r="H626" s="19">
        <v>1</v>
      </c>
      <c r="I626" s="80">
        <v>69.78</v>
      </c>
      <c r="J626" s="80">
        <v>69.78</v>
      </c>
      <c r="K626" s="19" t="s">
        <v>184</v>
      </c>
      <c r="L626" s="19" t="s">
        <v>1162</v>
      </c>
      <c r="Q626" s="20">
        <v>17</v>
      </c>
      <c r="R626" s="65" t="s">
        <v>1141</v>
      </c>
      <c r="T626" s="19" t="s">
        <v>307</v>
      </c>
      <c r="V626" s="19" t="s">
        <v>178</v>
      </c>
      <c r="Y626" s="19" t="s">
        <v>138</v>
      </c>
      <c r="Z626" s="44" t="s">
        <v>1142</v>
      </c>
      <c r="AA626" s="44" t="s">
        <v>910</v>
      </c>
    </row>
    <row r="627" spans="1:27" hidden="1" x14ac:dyDescent="0.25">
      <c r="A627" s="26">
        <v>21</v>
      </c>
      <c r="B627" s="19" t="s">
        <v>1164</v>
      </c>
      <c r="C627" s="44" t="s">
        <v>172</v>
      </c>
      <c r="D627" s="19" t="s">
        <v>869</v>
      </c>
      <c r="E627" s="19">
        <v>12</v>
      </c>
      <c r="F627" s="19">
        <v>490</v>
      </c>
      <c r="G627" s="19">
        <v>1514</v>
      </c>
      <c r="H627" s="19">
        <v>1</v>
      </c>
      <c r="I627" s="80">
        <v>69.78</v>
      </c>
      <c r="J627" s="80">
        <v>69.78</v>
      </c>
      <c r="K627" s="19" t="s">
        <v>184</v>
      </c>
      <c r="L627" s="19" t="s">
        <v>1162</v>
      </c>
      <c r="Q627" s="20">
        <v>17</v>
      </c>
      <c r="R627" s="65" t="s">
        <v>1141</v>
      </c>
      <c r="T627" s="19" t="s">
        <v>307</v>
      </c>
      <c r="V627" s="19" t="s">
        <v>178</v>
      </c>
      <c r="Y627" s="19" t="s">
        <v>138</v>
      </c>
      <c r="Z627" s="44" t="s">
        <v>1142</v>
      </c>
      <c r="AA627" s="44" t="s">
        <v>910</v>
      </c>
    </row>
    <row r="628" spans="1:27" hidden="1" x14ac:dyDescent="0.25">
      <c r="A628" s="26">
        <v>22</v>
      </c>
      <c r="B628" s="19" t="s">
        <v>1165</v>
      </c>
      <c r="C628" s="44" t="s">
        <v>172</v>
      </c>
      <c r="D628" s="19" t="s">
        <v>869</v>
      </c>
      <c r="E628" s="19">
        <v>12</v>
      </c>
      <c r="F628" s="19">
        <v>490</v>
      </c>
      <c r="G628" s="19">
        <v>1514</v>
      </c>
      <c r="H628" s="19">
        <v>1</v>
      </c>
      <c r="I628" s="80">
        <v>69.78</v>
      </c>
      <c r="J628" s="80">
        <v>69.78</v>
      </c>
      <c r="K628" s="19" t="s">
        <v>184</v>
      </c>
      <c r="L628" s="19" t="s">
        <v>1162</v>
      </c>
      <c r="Q628" s="20">
        <v>17</v>
      </c>
      <c r="R628" s="65" t="s">
        <v>1141</v>
      </c>
      <c r="T628" s="19" t="s">
        <v>307</v>
      </c>
      <c r="V628" s="19" t="s">
        <v>178</v>
      </c>
      <c r="Y628" s="19" t="s">
        <v>138</v>
      </c>
      <c r="Z628" s="44" t="s">
        <v>1142</v>
      </c>
      <c r="AA628" s="44" t="s">
        <v>910</v>
      </c>
    </row>
    <row r="629" spans="1:27" hidden="1" x14ac:dyDescent="0.25">
      <c r="A629" s="26">
        <v>23</v>
      </c>
      <c r="B629" s="19" t="s">
        <v>1166</v>
      </c>
      <c r="C629" s="44" t="s">
        <v>172</v>
      </c>
      <c r="D629" s="19" t="s">
        <v>869</v>
      </c>
      <c r="E629" s="19">
        <v>12</v>
      </c>
      <c r="F629" s="19">
        <v>490</v>
      </c>
      <c r="G629" s="19">
        <v>1514</v>
      </c>
      <c r="H629" s="19">
        <v>1</v>
      </c>
      <c r="I629" s="80">
        <v>69.78</v>
      </c>
      <c r="J629" s="80">
        <v>69.78</v>
      </c>
      <c r="K629" s="19" t="s">
        <v>184</v>
      </c>
      <c r="L629" s="19" t="s">
        <v>1162</v>
      </c>
      <c r="Q629" s="20">
        <v>17</v>
      </c>
      <c r="R629" s="65" t="s">
        <v>1141</v>
      </c>
      <c r="T629" s="19" t="s">
        <v>307</v>
      </c>
      <c r="V629" s="19" t="s">
        <v>178</v>
      </c>
      <c r="Y629" s="19" t="s">
        <v>138</v>
      </c>
      <c r="Z629" s="44" t="s">
        <v>1142</v>
      </c>
      <c r="AA629" s="44" t="s">
        <v>910</v>
      </c>
    </row>
    <row r="630" spans="1:27" hidden="1" x14ac:dyDescent="0.25">
      <c r="A630" s="26">
        <v>24</v>
      </c>
      <c r="B630" s="19" t="s">
        <v>1167</v>
      </c>
      <c r="C630" s="44" t="s">
        <v>172</v>
      </c>
      <c r="D630" s="19" t="s">
        <v>869</v>
      </c>
      <c r="E630" s="19">
        <v>12</v>
      </c>
      <c r="F630" s="19">
        <v>490</v>
      </c>
      <c r="G630" s="19">
        <v>1514</v>
      </c>
      <c r="H630" s="19">
        <v>1</v>
      </c>
      <c r="I630" s="80">
        <v>69.78</v>
      </c>
      <c r="J630" s="80">
        <v>69.78</v>
      </c>
      <c r="K630" s="19" t="s">
        <v>184</v>
      </c>
      <c r="L630" s="19" t="s">
        <v>1162</v>
      </c>
      <c r="Q630" s="20">
        <v>17</v>
      </c>
      <c r="R630" s="65" t="s">
        <v>1141</v>
      </c>
      <c r="T630" s="19" t="s">
        <v>307</v>
      </c>
      <c r="V630" s="19" t="s">
        <v>178</v>
      </c>
      <c r="Y630" s="19" t="s">
        <v>138</v>
      </c>
      <c r="Z630" s="44" t="s">
        <v>1142</v>
      </c>
      <c r="AA630" s="44" t="s">
        <v>910</v>
      </c>
    </row>
    <row r="631" spans="1:27" hidden="1" x14ac:dyDescent="0.25">
      <c r="A631" s="26">
        <v>25</v>
      </c>
      <c r="B631" s="19" t="s">
        <v>1144</v>
      </c>
      <c r="C631" s="44" t="s">
        <v>172</v>
      </c>
      <c r="D631" s="19" t="s">
        <v>803</v>
      </c>
      <c r="E631" s="19">
        <v>12</v>
      </c>
      <c r="F631" s="19">
        <v>135</v>
      </c>
      <c r="G631" s="19">
        <v>488</v>
      </c>
      <c r="H631" s="19">
        <v>6</v>
      </c>
      <c r="I631" s="80">
        <v>6.19</v>
      </c>
      <c r="J631" s="80">
        <v>37.14</v>
      </c>
      <c r="K631" s="19" t="s">
        <v>184</v>
      </c>
      <c r="L631" s="19" t="s">
        <v>1162</v>
      </c>
      <c r="Q631" s="20">
        <v>17</v>
      </c>
      <c r="R631" s="65" t="s">
        <v>1141</v>
      </c>
      <c r="T631" s="19" t="s">
        <v>307</v>
      </c>
      <c r="V631" s="19" t="s">
        <v>178</v>
      </c>
      <c r="W631" s="19" t="s">
        <v>138</v>
      </c>
      <c r="Z631" s="44" t="s">
        <v>1142</v>
      </c>
      <c r="AA631" s="44" t="s">
        <v>910</v>
      </c>
    </row>
    <row r="632" spans="1:27" hidden="1" x14ac:dyDescent="0.25">
      <c r="A632" s="26">
        <v>26</v>
      </c>
      <c r="B632" s="19" t="s">
        <v>1145</v>
      </c>
      <c r="C632" s="44" t="s">
        <v>172</v>
      </c>
      <c r="D632" s="19" t="s">
        <v>803</v>
      </c>
      <c r="E632" s="19">
        <v>12</v>
      </c>
      <c r="F632" s="19">
        <v>135</v>
      </c>
      <c r="G632" s="19">
        <v>488</v>
      </c>
      <c r="H632" s="19">
        <v>10</v>
      </c>
      <c r="I632" s="80">
        <v>6.19</v>
      </c>
      <c r="J632" s="80">
        <v>61.9</v>
      </c>
      <c r="K632" s="19" t="s">
        <v>184</v>
      </c>
      <c r="L632" s="19" t="s">
        <v>1162</v>
      </c>
      <c r="Q632" s="20">
        <v>17</v>
      </c>
      <c r="R632" s="65" t="s">
        <v>1141</v>
      </c>
      <c r="T632" s="19" t="s">
        <v>307</v>
      </c>
      <c r="V632" s="19" t="s">
        <v>178</v>
      </c>
      <c r="W632" s="19" t="s">
        <v>138</v>
      </c>
      <c r="Z632" s="44" t="s">
        <v>1142</v>
      </c>
      <c r="AA632" s="44" t="s">
        <v>910</v>
      </c>
    </row>
    <row r="633" spans="1:27" hidden="1" x14ac:dyDescent="0.25">
      <c r="A633" s="26">
        <v>27</v>
      </c>
      <c r="B633" s="19" t="s">
        <v>1146</v>
      </c>
      <c r="C633" s="44" t="s">
        <v>172</v>
      </c>
      <c r="D633" s="19" t="s">
        <v>803</v>
      </c>
      <c r="E633" s="19">
        <v>12</v>
      </c>
      <c r="F633" s="19">
        <v>135</v>
      </c>
      <c r="G633" s="19">
        <v>488</v>
      </c>
      <c r="H633" s="19">
        <v>7</v>
      </c>
      <c r="I633" s="80">
        <v>6.19</v>
      </c>
      <c r="J633" s="80">
        <v>43.33</v>
      </c>
      <c r="K633" s="19" t="s">
        <v>184</v>
      </c>
      <c r="L633" s="19" t="s">
        <v>1162</v>
      </c>
      <c r="Q633" s="20">
        <v>17</v>
      </c>
      <c r="R633" s="65" t="s">
        <v>1141</v>
      </c>
      <c r="T633" s="19" t="s">
        <v>307</v>
      </c>
      <c r="V633" s="19" t="s">
        <v>178</v>
      </c>
      <c r="W633" s="19" t="s">
        <v>138</v>
      </c>
      <c r="Z633" s="44" t="s">
        <v>1142</v>
      </c>
      <c r="AA633" s="44" t="s">
        <v>910</v>
      </c>
    </row>
    <row r="634" spans="1:27" hidden="1" x14ac:dyDescent="0.25">
      <c r="A634" s="26">
        <v>28</v>
      </c>
      <c r="B634" s="19" t="s">
        <v>1168</v>
      </c>
      <c r="C634" s="44" t="s">
        <v>172</v>
      </c>
      <c r="D634" s="19" t="s">
        <v>803</v>
      </c>
      <c r="E634" s="19">
        <v>12</v>
      </c>
      <c r="F634" s="19">
        <v>135</v>
      </c>
      <c r="G634" s="19">
        <v>488</v>
      </c>
      <c r="H634" s="19">
        <v>9</v>
      </c>
      <c r="I634" s="80">
        <v>6.19</v>
      </c>
      <c r="J634" s="80">
        <v>55.71</v>
      </c>
      <c r="K634" s="19" t="s">
        <v>184</v>
      </c>
      <c r="L634" s="19" t="s">
        <v>1162</v>
      </c>
      <c r="Q634" s="20">
        <v>17</v>
      </c>
      <c r="R634" s="65" t="s">
        <v>1141</v>
      </c>
      <c r="T634" s="19" t="s">
        <v>307</v>
      </c>
      <c r="V634" s="19" t="s">
        <v>178</v>
      </c>
      <c r="W634" s="19" t="s">
        <v>138</v>
      </c>
      <c r="Z634" s="44" t="s">
        <v>1142</v>
      </c>
      <c r="AA634" s="44" t="s">
        <v>910</v>
      </c>
    </row>
    <row r="635" spans="1:27" hidden="1" x14ac:dyDescent="0.25">
      <c r="A635" s="26">
        <v>29</v>
      </c>
      <c r="B635" s="19" t="s">
        <v>1169</v>
      </c>
      <c r="C635" s="44" t="s">
        <v>172</v>
      </c>
      <c r="D635" s="19" t="s">
        <v>803</v>
      </c>
      <c r="E635" s="19">
        <v>12</v>
      </c>
      <c r="F635" s="19">
        <v>135</v>
      </c>
      <c r="G635" s="19">
        <v>488</v>
      </c>
      <c r="H635" s="19">
        <v>2</v>
      </c>
      <c r="I635" s="80">
        <v>6.19</v>
      </c>
      <c r="J635" s="80">
        <v>12.38</v>
      </c>
      <c r="K635" s="19" t="s">
        <v>184</v>
      </c>
      <c r="L635" s="19" t="s">
        <v>1162</v>
      </c>
      <c r="Q635" s="20">
        <v>17</v>
      </c>
      <c r="R635" s="65" t="s">
        <v>1141</v>
      </c>
      <c r="T635" s="19" t="s">
        <v>307</v>
      </c>
      <c r="V635" s="19" t="s">
        <v>178</v>
      </c>
      <c r="W635" s="19" t="s">
        <v>138</v>
      </c>
      <c r="Z635" s="44" t="s">
        <v>1142</v>
      </c>
      <c r="AA635" s="44" t="s">
        <v>910</v>
      </c>
    </row>
    <row r="636" spans="1:27" hidden="1" x14ac:dyDescent="0.25">
      <c r="A636" s="26">
        <v>30</v>
      </c>
      <c r="B636" s="19" t="s">
        <v>1170</v>
      </c>
      <c r="C636" s="44" t="s">
        <v>172</v>
      </c>
      <c r="D636" s="19" t="s">
        <v>812</v>
      </c>
      <c r="E636" s="19">
        <v>12</v>
      </c>
      <c r="F636" s="19">
        <v>490</v>
      </c>
      <c r="G636" s="19">
        <v>6464</v>
      </c>
      <c r="H636" s="19">
        <v>1</v>
      </c>
      <c r="I636" s="80">
        <v>298.16000000000003</v>
      </c>
      <c r="J636" s="80">
        <v>298.16000000000003</v>
      </c>
      <c r="K636" s="19" t="s">
        <v>184</v>
      </c>
      <c r="L636" s="19" t="s">
        <v>1162</v>
      </c>
      <c r="Q636" s="20">
        <v>17</v>
      </c>
      <c r="R636" s="65" t="s">
        <v>1141</v>
      </c>
      <c r="T636" s="19" t="s">
        <v>307</v>
      </c>
      <c r="V636" s="19" t="s">
        <v>178</v>
      </c>
      <c r="Y636" s="19" t="s">
        <v>138</v>
      </c>
      <c r="Z636" s="44" t="s">
        <v>1142</v>
      </c>
      <c r="AA636" s="44" t="s">
        <v>910</v>
      </c>
    </row>
    <row r="637" spans="1:27" hidden="1" x14ac:dyDescent="0.25">
      <c r="A637" s="26">
        <v>31</v>
      </c>
      <c r="B637" s="19" t="s">
        <v>1171</v>
      </c>
      <c r="C637" s="44" t="s">
        <v>172</v>
      </c>
      <c r="D637" s="19" t="s">
        <v>812</v>
      </c>
      <c r="E637" s="19">
        <v>12</v>
      </c>
      <c r="F637" s="19">
        <v>490</v>
      </c>
      <c r="G637" s="19">
        <v>6464</v>
      </c>
      <c r="H637" s="19">
        <v>1</v>
      </c>
      <c r="I637" s="80">
        <v>298.16000000000003</v>
      </c>
      <c r="J637" s="80">
        <v>298.16000000000003</v>
      </c>
      <c r="K637" s="19" t="s">
        <v>184</v>
      </c>
      <c r="L637" s="19" t="s">
        <v>1162</v>
      </c>
      <c r="Q637" s="20">
        <v>17</v>
      </c>
      <c r="R637" s="65" t="s">
        <v>1141</v>
      </c>
      <c r="T637" s="19" t="s">
        <v>307</v>
      </c>
      <c r="V637" s="19" t="s">
        <v>178</v>
      </c>
      <c r="Y637" s="19" t="s">
        <v>138</v>
      </c>
      <c r="Z637" s="44" t="s">
        <v>1142</v>
      </c>
      <c r="AA637" s="44" t="s">
        <v>910</v>
      </c>
    </row>
    <row r="638" spans="1:27" hidden="1" x14ac:dyDescent="0.25">
      <c r="A638" s="26">
        <v>32</v>
      </c>
      <c r="B638" s="19" t="s">
        <v>1172</v>
      </c>
      <c r="C638" s="44" t="s">
        <v>172</v>
      </c>
      <c r="D638" s="19" t="s">
        <v>869</v>
      </c>
      <c r="E638" s="19">
        <v>12</v>
      </c>
      <c r="F638" s="19">
        <v>490</v>
      </c>
      <c r="G638" s="19">
        <v>1514</v>
      </c>
      <c r="H638" s="19">
        <v>1</v>
      </c>
      <c r="I638" s="80">
        <v>69.78</v>
      </c>
      <c r="J638" s="80">
        <v>69.78</v>
      </c>
      <c r="K638" s="19" t="s">
        <v>184</v>
      </c>
      <c r="L638" s="19" t="s">
        <v>1162</v>
      </c>
      <c r="Q638" s="20">
        <v>17</v>
      </c>
      <c r="R638" s="65" t="s">
        <v>1141</v>
      </c>
      <c r="T638" s="19" t="s">
        <v>307</v>
      </c>
      <c r="V638" s="19" t="s">
        <v>178</v>
      </c>
      <c r="Y638" s="19" t="s">
        <v>138</v>
      </c>
      <c r="Z638" s="44" t="s">
        <v>1142</v>
      </c>
      <c r="AA638" s="44" t="s">
        <v>910</v>
      </c>
    </row>
    <row r="639" spans="1:27" hidden="1" x14ac:dyDescent="0.25">
      <c r="A639" s="26">
        <v>33</v>
      </c>
      <c r="B639" s="19" t="s">
        <v>1173</v>
      </c>
      <c r="C639" s="44" t="s">
        <v>172</v>
      </c>
      <c r="D639" s="19" t="s">
        <v>869</v>
      </c>
      <c r="E639" s="19">
        <v>12</v>
      </c>
      <c r="F639" s="19">
        <v>490</v>
      </c>
      <c r="G639" s="19">
        <v>1514</v>
      </c>
      <c r="H639" s="19">
        <v>1</v>
      </c>
      <c r="I639" s="80">
        <v>69.78</v>
      </c>
      <c r="J639" s="80">
        <v>69.78</v>
      </c>
      <c r="K639" s="19" t="s">
        <v>184</v>
      </c>
      <c r="L639" s="19" t="s">
        <v>1162</v>
      </c>
      <c r="Q639" s="20">
        <v>17</v>
      </c>
      <c r="R639" s="65" t="s">
        <v>1141</v>
      </c>
      <c r="T639" s="19" t="s">
        <v>307</v>
      </c>
      <c r="V639" s="19" t="s">
        <v>178</v>
      </c>
      <c r="Y639" s="19" t="s">
        <v>138</v>
      </c>
      <c r="Z639" s="44" t="s">
        <v>1142</v>
      </c>
      <c r="AA639" s="44" t="s">
        <v>910</v>
      </c>
    </row>
    <row r="640" spans="1:27" hidden="1" x14ac:dyDescent="0.25">
      <c r="A640" s="26">
        <v>34</v>
      </c>
      <c r="B640" s="19" t="s">
        <v>1174</v>
      </c>
      <c r="C640" s="44" t="s">
        <v>172</v>
      </c>
      <c r="D640" s="19" t="s">
        <v>874</v>
      </c>
      <c r="E640" s="19">
        <v>12</v>
      </c>
      <c r="F640" s="19">
        <v>100</v>
      </c>
      <c r="G640" s="19">
        <v>150</v>
      </c>
      <c r="H640" s="19">
        <v>1</v>
      </c>
      <c r="I640" s="80">
        <v>1.41</v>
      </c>
      <c r="J640" s="80">
        <v>1.41</v>
      </c>
      <c r="K640" s="19" t="s">
        <v>184</v>
      </c>
      <c r="L640" s="19" t="s">
        <v>1175</v>
      </c>
      <c r="Q640" s="20">
        <v>17</v>
      </c>
      <c r="R640" s="65" t="s">
        <v>1141</v>
      </c>
      <c r="T640" s="19" t="s">
        <v>307</v>
      </c>
      <c r="V640" s="19" t="s">
        <v>178</v>
      </c>
      <c r="W640" s="19" t="s">
        <v>138</v>
      </c>
      <c r="Z640" s="44" t="s">
        <v>1142</v>
      </c>
      <c r="AA640" s="44" t="s">
        <v>915</v>
      </c>
    </row>
    <row r="641" spans="1:27" hidden="1" x14ac:dyDescent="0.25">
      <c r="A641" s="26">
        <v>35</v>
      </c>
      <c r="B641" s="19" t="s">
        <v>1176</v>
      </c>
      <c r="C641" s="44" t="s">
        <v>172</v>
      </c>
      <c r="D641" s="19" t="s">
        <v>874</v>
      </c>
      <c r="E641" s="19">
        <v>12</v>
      </c>
      <c r="F641" s="19">
        <v>100</v>
      </c>
      <c r="G641" s="19">
        <v>150</v>
      </c>
      <c r="H641" s="19">
        <v>1</v>
      </c>
      <c r="I641" s="80">
        <v>1.41</v>
      </c>
      <c r="J641" s="80">
        <v>1.41</v>
      </c>
      <c r="K641" s="19" t="s">
        <v>184</v>
      </c>
      <c r="L641" s="19" t="s">
        <v>1175</v>
      </c>
      <c r="Q641" s="20">
        <v>17</v>
      </c>
      <c r="R641" s="65" t="s">
        <v>1141</v>
      </c>
      <c r="T641" s="19" t="s">
        <v>307</v>
      </c>
      <c r="V641" s="19" t="s">
        <v>178</v>
      </c>
      <c r="W641" s="19" t="s">
        <v>138</v>
      </c>
      <c r="Z641" s="44" t="s">
        <v>1142</v>
      </c>
      <c r="AA641" s="44" t="s">
        <v>915</v>
      </c>
    </row>
    <row r="642" spans="1:27" hidden="1" x14ac:dyDescent="0.25">
      <c r="A642" s="26">
        <v>36</v>
      </c>
      <c r="B642" s="19" t="s">
        <v>1177</v>
      </c>
      <c r="C642" s="44" t="s">
        <v>172</v>
      </c>
      <c r="D642" s="19" t="s">
        <v>874</v>
      </c>
      <c r="E642" s="19">
        <v>12</v>
      </c>
      <c r="F642" s="19">
        <v>100</v>
      </c>
      <c r="G642" s="19">
        <v>150</v>
      </c>
      <c r="H642" s="19">
        <v>1</v>
      </c>
      <c r="I642" s="80">
        <v>1.41</v>
      </c>
      <c r="J642" s="80">
        <v>1.41</v>
      </c>
      <c r="K642" s="19" t="s">
        <v>184</v>
      </c>
      <c r="L642" s="19" t="s">
        <v>1175</v>
      </c>
      <c r="Q642" s="20">
        <v>17</v>
      </c>
      <c r="R642" s="65" t="s">
        <v>1141</v>
      </c>
      <c r="T642" s="19" t="s">
        <v>307</v>
      </c>
      <c r="V642" s="19" t="s">
        <v>178</v>
      </c>
      <c r="W642" s="19" t="s">
        <v>138</v>
      </c>
      <c r="Z642" s="44" t="s">
        <v>1142</v>
      </c>
      <c r="AA642" s="44" t="s">
        <v>915</v>
      </c>
    </row>
    <row r="643" spans="1:27" hidden="1" x14ac:dyDescent="0.25">
      <c r="A643" s="26">
        <v>37</v>
      </c>
      <c r="B643" s="19" t="s">
        <v>1178</v>
      </c>
      <c r="C643" s="44" t="s">
        <v>172</v>
      </c>
      <c r="D643" s="19" t="s">
        <v>874</v>
      </c>
      <c r="E643" s="19">
        <v>12</v>
      </c>
      <c r="F643" s="19">
        <v>100</v>
      </c>
      <c r="G643" s="19">
        <v>150</v>
      </c>
      <c r="H643" s="19">
        <v>1</v>
      </c>
      <c r="I643" s="80">
        <v>1.41</v>
      </c>
      <c r="J643" s="80">
        <v>1.41</v>
      </c>
      <c r="K643" s="19" t="s">
        <v>184</v>
      </c>
      <c r="L643" s="19" t="s">
        <v>1175</v>
      </c>
      <c r="Q643" s="20">
        <v>17</v>
      </c>
      <c r="R643" s="65" t="s">
        <v>1141</v>
      </c>
      <c r="T643" s="19" t="s">
        <v>307</v>
      </c>
      <c r="V643" s="19" t="s">
        <v>178</v>
      </c>
      <c r="W643" s="19" t="s">
        <v>138</v>
      </c>
      <c r="Z643" s="44" t="s">
        <v>1142</v>
      </c>
      <c r="AA643" s="44" t="s">
        <v>915</v>
      </c>
    </row>
    <row r="644" spans="1:27" hidden="1" x14ac:dyDescent="0.25">
      <c r="A644" s="26">
        <v>38</v>
      </c>
      <c r="B644" s="19" t="s">
        <v>1179</v>
      </c>
      <c r="C644" s="44" t="s">
        <v>172</v>
      </c>
      <c r="D644" s="19" t="s">
        <v>874</v>
      </c>
      <c r="E644" s="19">
        <v>12</v>
      </c>
      <c r="F644" s="19">
        <v>100</v>
      </c>
      <c r="G644" s="19">
        <v>150</v>
      </c>
      <c r="H644" s="19">
        <v>1</v>
      </c>
      <c r="I644" s="80">
        <v>1.41</v>
      </c>
      <c r="J644" s="80">
        <v>1.41</v>
      </c>
      <c r="K644" s="19" t="s">
        <v>184</v>
      </c>
      <c r="L644" s="19" t="s">
        <v>1175</v>
      </c>
      <c r="Q644" s="20">
        <v>17</v>
      </c>
      <c r="R644" s="65" t="s">
        <v>1141</v>
      </c>
      <c r="T644" s="19" t="s">
        <v>307</v>
      </c>
      <c r="V644" s="19" t="s">
        <v>178</v>
      </c>
      <c r="W644" s="19" t="s">
        <v>138</v>
      </c>
      <c r="Z644" s="44" t="s">
        <v>1142</v>
      </c>
      <c r="AA644" s="44" t="s">
        <v>915</v>
      </c>
    </row>
    <row r="645" spans="1:27" hidden="1" x14ac:dyDescent="0.25">
      <c r="A645" s="26">
        <v>39</v>
      </c>
      <c r="B645" s="19" t="s">
        <v>1180</v>
      </c>
      <c r="C645" s="44" t="s">
        <v>172</v>
      </c>
      <c r="D645" s="19" t="s">
        <v>874</v>
      </c>
      <c r="E645" s="19">
        <v>12</v>
      </c>
      <c r="F645" s="19">
        <v>100</v>
      </c>
      <c r="G645" s="19">
        <v>150</v>
      </c>
      <c r="H645" s="19">
        <v>1</v>
      </c>
      <c r="I645" s="80">
        <v>1.41</v>
      </c>
      <c r="J645" s="80">
        <v>1.41</v>
      </c>
      <c r="K645" s="19" t="s">
        <v>184</v>
      </c>
      <c r="L645" s="19" t="s">
        <v>1175</v>
      </c>
      <c r="Q645" s="20">
        <v>17</v>
      </c>
      <c r="R645" s="65" t="s">
        <v>1141</v>
      </c>
      <c r="T645" s="19" t="s">
        <v>307</v>
      </c>
      <c r="V645" s="19" t="s">
        <v>178</v>
      </c>
      <c r="W645" s="19" t="s">
        <v>138</v>
      </c>
      <c r="Z645" s="44" t="s">
        <v>1142</v>
      </c>
      <c r="AA645" s="44" t="s">
        <v>915</v>
      </c>
    </row>
    <row r="646" spans="1:27" hidden="1" x14ac:dyDescent="0.25">
      <c r="A646" s="26">
        <v>40</v>
      </c>
      <c r="B646" s="19" t="s">
        <v>1181</v>
      </c>
      <c r="C646" s="44" t="s">
        <v>172</v>
      </c>
      <c r="D646" s="19" t="s">
        <v>874</v>
      </c>
      <c r="E646" s="19">
        <v>12</v>
      </c>
      <c r="F646" s="19">
        <v>100</v>
      </c>
      <c r="G646" s="19">
        <v>150</v>
      </c>
      <c r="H646" s="19">
        <v>1</v>
      </c>
      <c r="I646" s="80">
        <v>1.41</v>
      </c>
      <c r="J646" s="80">
        <v>1.41</v>
      </c>
      <c r="K646" s="19" t="s">
        <v>184</v>
      </c>
      <c r="L646" s="19" t="s">
        <v>1175</v>
      </c>
      <c r="Q646" s="20">
        <v>17</v>
      </c>
      <c r="R646" s="65" t="s">
        <v>1141</v>
      </c>
      <c r="T646" s="19" t="s">
        <v>307</v>
      </c>
      <c r="V646" s="19" t="s">
        <v>178</v>
      </c>
      <c r="W646" s="19" t="s">
        <v>138</v>
      </c>
      <c r="Z646" s="44" t="s">
        <v>1142</v>
      </c>
      <c r="AA646" s="44" t="s">
        <v>915</v>
      </c>
    </row>
    <row r="647" spans="1:27" hidden="1" x14ac:dyDescent="0.25">
      <c r="A647" s="26">
        <v>41</v>
      </c>
      <c r="B647" s="19" t="s">
        <v>1146</v>
      </c>
      <c r="C647" s="44" t="s">
        <v>172</v>
      </c>
      <c r="D647" s="19" t="s">
        <v>803</v>
      </c>
      <c r="E647" s="19">
        <v>12</v>
      </c>
      <c r="F647" s="19">
        <v>135</v>
      </c>
      <c r="G647" s="19">
        <v>488</v>
      </c>
      <c r="H647" s="19">
        <v>4</v>
      </c>
      <c r="I647" s="80">
        <v>6.19</v>
      </c>
      <c r="J647" s="80">
        <v>24.76</v>
      </c>
      <c r="K647" s="19" t="s">
        <v>184</v>
      </c>
      <c r="L647" s="19" t="s">
        <v>1175</v>
      </c>
      <c r="Q647" s="20">
        <v>17</v>
      </c>
      <c r="R647" s="65" t="s">
        <v>1141</v>
      </c>
      <c r="T647" s="19" t="s">
        <v>307</v>
      </c>
      <c r="V647" s="19" t="s">
        <v>178</v>
      </c>
      <c r="W647" s="19" t="s">
        <v>138</v>
      </c>
      <c r="Z647" s="44" t="s">
        <v>1142</v>
      </c>
      <c r="AA647" s="44" t="s">
        <v>915</v>
      </c>
    </row>
    <row r="648" spans="1:27" hidden="1" x14ac:dyDescent="0.25">
      <c r="A648" s="26">
        <v>42</v>
      </c>
      <c r="B648" s="19" t="s">
        <v>1168</v>
      </c>
      <c r="C648" s="44" t="s">
        <v>172</v>
      </c>
      <c r="D648" s="19" t="s">
        <v>803</v>
      </c>
      <c r="E648" s="19">
        <v>12</v>
      </c>
      <c r="F648" s="19">
        <v>135</v>
      </c>
      <c r="G648" s="19">
        <v>488</v>
      </c>
      <c r="H648" s="19">
        <v>3</v>
      </c>
      <c r="I648" s="80">
        <v>6.19</v>
      </c>
      <c r="J648" s="80">
        <v>18.57</v>
      </c>
      <c r="K648" s="19" t="s">
        <v>184</v>
      </c>
      <c r="L648" s="19" t="s">
        <v>1175</v>
      </c>
      <c r="Q648" s="20">
        <v>17</v>
      </c>
      <c r="R648" s="65" t="s">
        <v>1141</v>
      </c>
      <c r="T648" s="19" t="s">
        <v>307</v>
      </c>
      <c r="V648" s="19" t="s">
        <v>178</v>
      </c>
      <c r="W648" s="19" t="s">
        <v>138</v>
      </c>
      <c r="Z648" s="44" t="s">
        <v>1142</v>
      </c>
      <c r="AA648" s="44" t="s">
        <v>915</v>
      </c>
    </row>
    <row r="649" spans="1:27" hidden="1" x14ac:dyDescent="0.25">
      <c r="A649" s="26">
        <v>43</v>
      </c>
      <c r="B649" s="19" t="s">
        <v>1169</v>
      </c>
      <c r="C649" s="44" t="s">
        <v>172</v>
      </c>
      <c r="D649" s="19" t="s">
        <v>803</v>
      </c>
      <c r="E649" s="19">
        <v>12</v>
      </c>
      <c r="F649" s="19">
        <v>135</v>
      </c>
      <c r="G649" s="19">
        <v>488</v>
      </c>
      <c r="H649" s="19">
        <v>10</v>
      </c>
      <c r="I649" s="80">
        <v>6.19</v>
      </c>
      <c r="J649" s="80">
        <v>61.9</v>
      </c>
      <c r="K649" s="19" t="s">
        <v>184</v>
      </c>
      <c r="L649" s="19" t="s">
        <v>1175</v>
      </c>
      <c r="Q649" s="20">
        <v>17</v>
      </c>
      <c r="R649" s="65" t="s">
        <v>1141</v>
      </c>
      <c r="T649" s="19" t="s">
        <v>307</v>
      </c>
      <c r="V649" s="19" t="s">
        <v>178</v>
      </c>
      <c r="W649" s="19" t="s">
        <v>138</v>
      </c>
      <c r="Z649" s="44" t="s">
        <v>1142</v>
      </c>
      <c r="AA649" s="44" t="s">
        <v>915</v>
      </c>
    </row>
    <row r="650" spans="1:27" hidden="1" x14ac:dyDescent="0.25">
      <c r="A650" s="26">
        <v>44</v>
      </c>
      <c r="B650" s="19" t="s">
        <v>1147</v>
      </c>
      <c r="C650" s="44" t="s">
        <v>172</v>
      </c>
      <c r="D650" s="19" t="s">
        <v>803</v>
      </c>
      <c r="E650" s="19">
        <v>12</v>
      </c>
      <c r="F650" s="19">
        <v>135</v>
      </c>
      <c r="G650" s="19">
        <v>488</v>
      </c>
      <c r="H650" s="19">
        <v>5</v>
      </c>
      <c r="I650" s="80">
        <v>6.19</v>
      </c>
      <c r="J650" s="80">
        <v>30.95</v>
      </c>
      <c r="K650" s="19" t="s">
        <v>184</v>
      </c>
      <c r="L650" s="19" t="s">
        <v>1175</v>
      </c>
      <c r="Q650" s="20">
        <v>17</v>
      </c>
      <c r="R650" s="65" t="s">
        <v>1141</v>
      </c>
      <c r="T650" s="19" t="s">
        <v>307</v>
      </c>
      <c r="V650" s="19" t="s">
        <v>178</v>
      </c>
      <c r="W650" s="19" t="s">
        <v>138</v>
      </c>
      <c r="Z650" s="44" t="s">
        <v>1142</v>
      </c>
      <c r="AA650" s="44" t="s">
        <v>915</v>
      </c>
    </row>
    <row r="651" spans="1:27" hidden="1" x14ac:dyDescent="0.25">
      <c r="A651" s="26">
        <v>45</v>
      </c>
      <c r="B651" s="19" t="s">
        <v>1148</v>
      </c>
      <c r="C651" s="44" t="s">
        <v>172</v>
      </c>
      <c r="D651" s="19" t="s">
        <v>803</v>
      </c>
      <c r="E651" s="19">
        <v>12</v>
      </c>
      <c r="F651" s="19">
        <v>135</v>
      </c>
      <c r="G651" s="19">
        <v>488</v>
      </c>
      <c r="H651" s="19">
        <v>11</v>
      </c>
      <c r="I651" s="80">
        <v>6.19</v>
      </c>
      <c r="J651" s="80">
        <v>68.09</v>
      </c>
      <c r="K651" s="19" t="s">
        <v>184</v>
      </c>
      <c r="L651" s="19" t="s">
        <v>1175</v>
      </c>
      <c r="Q651" s="20">
        <v>17</v>
      </c>
      <c r="R651" s="65" t="s">
        <v>1141</v>
      </c>
      <c r="T651" s="19" t="s">
        <v>307</v>
      </c>
      <c r="V651" s="19" t="s">
        <v>178</v>
      </c>
      <c r="W651" s="19" t="s">
        <v>138</v>
      </c>
      <c r="Z651" s="44" t="s">
        <v>1142</v>
      </c>
      <c r="AA651" s="44" t="s">
        <v>915</v>
      </c>
    </row>
    <row r="652" spans="1:27" hidden="1" x14ac:dyDescent="0.25">
      <c r="A652" s="26">
        <v>46</v>
      </c>
      <c r="B652" s="19" t="s">
        <v>1157</v>
      </c>
      <c r="C652" s="44" t="s">
        <v>172</v>
      </c>
      <c r="D652" s="19" t="s">
        <v>803</v>
      </c>
      <c r="E652" s="19">
        <v>12</v>
      </c>
      <c r="F652" s="19">
        <v>135</v>
      </c>
      <c r="G652" s="19">
        <v>488</v>
      </c>
      <c r="H652" s="19">
        <v>9</v>
      </c>
      <c r="I652" s="80">
        <v>6.19</v>
      </c>
      <c r="J652" s="80">
        <v>55.71</v>
      </c>
      <c r="K652" s="19" t="s">
        <v>184</v>
      </c>
      <c r="L652" s="19" t="s">
        <v>1175</v>
      </c>
      <c r="Q652" s="20">
        <v>17</v>
      </c>
      <c r="R652" s="65" t="s">
        <v>1141</v>
      </c>
      <c r="T652" s="19" t="s">
        <v>307</v>
      </c>
      <c r="V652" s="19" t="s">
        <v>178</v>
      </c>
      <c r="W652" s="19" t="s">
        <v>138</v>
      </c>
      <c r="Z652" s="44" t="s">
        <v>1142</v>
      </c>
      <c r="AA652" s="44" t="s">
        <v>915</v>
      </c>
    </row>
    <row r="653" spans="1:27" hidden="1" x14ac:dyDescent="0.25">
      <c r="A653" s="26">
        <v>47</v>
      </c>
      <c r="B653" s="19" t="s">
        <v>1158</v>
      </c>
      <c r="C653" s="44" t="s">
        <v>172</v>
      </c>
      <c r="D653" s="19" t="s">
        <v>803</v>
      </c>
      <c r="E653" s="19">
        <v>12</v>
      </c>
      <c r="F653" s="19">
        <v>135</v>
      </c>
      <c r="G653" s="19">
        <v>488</v>
      </c>
      <c r="H653" s="19">
        <v>11</v>
      </c>
      <c r="I653" s="80">
        <v>6.19</v>
      </c>
      <c r="J653" s="80">
        <v>68.09</v>
      </c>
      <c r="K653" s="19" t="s">
        <v>184</v>
      </c>
      <c r="L653" s="19" t="s">
        <v>1175</v>
      </c>
      <c r="Q653" s="20">
        <v>17</v>
      </c>
      <c r="R653" s="65" t="s">
        <v>1141</v>
      </c>
      <c r="T653" s="19" t="s">
        <v>307</v>
      </c>
      <c r="V653" s="19" t="s">
        <v>178</v>
      </c>
      <c r="W653" s="19" t="s">
        <v>138</v>
      </c>
      <c r="Z653" s="44" t="s">
        <v>1142</v>
      </c>
      <c r="AA653" s="44" t="s">
        <v>915</v>
      </c>
    </row>
    <row r="654" spans="1:27" hidden="1" x14ac:dyDescent="0.25">
      <c r="A654" s="26">
        <v>48</v>
      </c>
      <c r="B654" s="19" t="s">
        <v>1182</v>
      </c>
      <c r="C654" s="44" t="s">
        <v>172</v>
      </c>
      <c r="D654" s="19" t="s">
        <v>803</v>
      </c>
      <c r="E654" s="19">
        <v>12</v>
      </c>
      <c r="F654" s="19">
        <v>135</v>
      </c>
      <c r="G654" s="19">
        <v>488</v>
      </c>
      <c r="H654" s="19">
        <v>12</v>
      </c>
      <c r="I654" s="80">
        <v>6.19</v>
      </c>
      <c r="J654" s="80">
        <v>74.28</v>
      </c>
      <c r="K654" s="19" t="s">
        <v>184</v>
      </c>
      <c r="L654" s="19" t="s">
        <v>1175</v>
      </c>
      <c r="Q654" s="20">
        <v>17</v>
      </c>
      <c r="R654" s="65" t="s">
        <v>1141</v>
      </c>
      <c r="T654" s="19" t="s">
        <v>307</v>
      </c>
      <c r="V654" s="19" t="s">
        <v>178</v>
      </c>
      <c r="W654" s="19" t="s">
        <v>138</v>
      </c>
      <c r="Z654" s="44" t="s">
        <v>1142</v>
      </c>
      <c r="AA654" s="44" t="s">
        <v>915</v>
      </c>
    </row>
    <row r="655" spans="1:27" hidden="1" x14ac:dyDescent="0.25">
      <c r="A655" s="26">
        <v>49</v>
      </c>
      <c r="B655" s="19" t="s">
        <v>1183</v>
      </c>
      <c r="C655" s="44" t="s">
        <v>172</v>
      </c>
      <c r="D655" s="19" t="s">
        <v>812</v>
      </c>
      <c r="E655" s="19">
        <v>12</v>
      </c>
      <c r="F655" s="19">
        <v>490</v>
      </c>
      <c r="G655" s="19">
        <v>6464</v>
      </c>
      <c r="H655" s="19">
        <v>1</v>
      </c>
      <c r="I655" s="80">
        <v>298.16000000000003</v>
      </c>
      <c r="J655" s="80">
        <v>298.16000000000003</v>
      </c>
      <c r="K655" s="19" t="s">
        <v>184</v>
      </c>
      <c r="L655" s="19" t="s">
        <v>1175</v>
      </c>
      <c r="Q655" s="20">
        <v>17</v>
      </c>
      <c r="R655" s="65" t="s">
        <v>1141</v>
      </c>
      <c r="T655" s="19" t="s">
        <v>307</v>
      </c>
      <c r="V655" s="19" t="s">
        <v>178</v>
      </c>
      <c r="Y655" s="19" t="s">
        <v>138</v>
      </c>
      <c r="Z655" s="44" t="s">
        <v>1142</v>
      </c>
      <c r="AA655" s="44" t="s">
        <v>915</v>
      </c>
    </row>
    <row r="656" spans="1:27" hidden="1" x14ac:dyDescent="0.25">
      <c r="A656" s="26">
        <v>50</v>
      </c>
      <c r="B656" s="19" t="s">
        <v>1159</v>
      </c>
      <c r="C656" s="44" t="s">
        <v>172</v>
      </c>
      <c r="D656" s="19" t="s">
        <v>803</v>
      </c>
      <c r="E656" s="19">
        <v>12</v>
      </c>
      <c r="F656" s="19">
        <v>135</v>
      </c>
      <c r="G656" s="19">
        <v>488</v>
      </c>
      <c r="H656" s="19">
        <v>8</v>
      </c>
      <c r="I656" s="80">
        <v>6.19</v>
      </c>
      <c r="J656" s="80">
        <v>49.52</v>
      </c>
      <c r="K656" s="19" t="s">
        <v>184</v>
      </c>
      <c r="L656" s="19" t="s">
        <v>1175</v>
      </c>
      <c r="Q656" s="20">
        <v>17</v>
      </c>
      <c r="R656" s="65" t="s">
        <v>1141</v>
      </c>
      <c r="T656" s="19" t="s">
        <v>307</v>
      </c>
      <c r="V656" s="19" t="s">
        <v>178</v>
      </c>
      <c r="W656" s="19" t="s">
        <v>138</v>
      </c>
      <c r="Z656" s="44" t="s">
        <v>1142</v>
      </c>
      <c r="AA656" s="44" t="s">
        <v>915</v>
      </c>
    </row>
    <row r="657" spans="1:27" hidden="1" x14ac:dyDescent="0.25">
      <c r="A657" s="26">
        <v>51</v>
      </c>
      <c r="B657" s="19" t="s">
        <v>1184</v>
      </c>
      <c r="C657" s="44" t="s">
        <v>172</v>
      </c>
      <c r="D657" s="19" t="s">
        <v>874</v>
      </c>
      <c r="E657" s="19">
        <v>12</v>
      </c>
      <c r="F657" s="19">
        <v>100</v>
      </c>
      <c r="G657" s="19">
        <v>150</v>
      </c>
      <c r="H657" s="19">
        <v>1</v>
      </c>
      <c r="I657" s="80">
        <v>1.41</v>
      </c>
      <c r="J657" s="80">
        <v>1.41</v>
      </c>
      <c r="K657" s="19" t="s">
        <v>184</v>
      </c>
      <c r="L657" s="19" t="s">
        <v>1175</v>
      </c>
      <c r="Q657" s="20">
        <v>17</v>
      </c>
      <c r="R657" s="65" t="s">
        <v>1141</v>
      </c>
      <c r="T657" s="19" t="s">
        <v>307</v>
      </c>
      <c r="V657" s="19" t="s">
        <v>178</v>
      </c>
      <c r="W657" s="19" t="s">
        <v>138</v>
      </c>
      <c r="Z657" s="44" t="s">
        <v>1142</v>
      </c>
      <c r="AA657" s="44" t="s">
        <v>915</v>
      </c>
    </row>
    <row r="658" spans="1:27" hidden="1" x14ac:dyDescent="0.25">
      <c r="A658" s="26">
        <v>52</v>
      </c>
      <c r="B658" s="19" t="s">
        <v>1185</v>
      </c>
      <c r="C658" s="44" t="s">
        <v>172</v>
      </c>
      <c r="D658" s="19" t="s">
        <v>874</v>
      </c>
      <c r="E658" s="19">
        <v>12</v>
      </c>
      <c r="F658" s="19">
        <v>100</v>
      </c>
      <c r="G658" s="19">
        <v>150</v>
      </c>
      <c r="H658" s="19">
        <v>1</v>
      </c>
      <c r="I658" s="80">
        <v>1.41</v>
      </c>
      <c r="J658" s="80">
        <v>1.41</v>
      </c>
      <c r="K658" s="19" t="s">
        <v>184</v>
      </c>
      <c r="L658" s="19" t="s">
        <v>1175</v>
      </c>
      <c r="Q658" s="20">
        <v>17</v>
      </c>
      <c r="R658" s="65" t="s">
        <v>1141</v>
      </c>
      <c r="T658" s="19" t="s">
        <v>307</v>
      </c>
      <c r="V658" s="19" t="s">
        <v>178</v>
      </c>
      <c r="W658" s="19" t="s">
        <v>138</v>
      </c>
      <c r="Z658" s="44" t="s">
        <v>1142</v>
      </c>
      <c r="AA658" s="44" t="s">
        <v>915</v>
      </c>
    </row>
    <row r="659" spans="1:27" hidden="1" x14ac:dyDescent="0.25">
      <c r="A659" s="26">
        <v>53</v>
      </c>
      <c r="B659" s="19" t="s">
        <v>1186</v>
      </c>
      <c r="C659" s="44" t="s">
        <v>172</v>
      </c>
      <c r="D659" s="19" t="s">
        <v>874</v>
      </c>
      <c r="E659" s="19">
        <v>12</v>
      </c>
      <c r="F659" s="19">
        <v>100</v>
      </c>
      <c r="G659" s="19">
        <v>150</v>
      </c>
      <c r="H659" s="19">
        <v>1</v>
      </c>
      <c r="I659" s="80">
        <v>1.41</v>
      </c>
      <c r="J659" s="80">
        <v>1.41</v>
      </c>
      <c r="K659" s="19" t="s">
        <v>184</v>
      </c>
      <c r="L659" s="19" t="s">
        <v>1175</v>
      </c>
      <c r="Q659" s="20">
        <v>17</v>
      </c>
      <c r="R659" s="65" t="s">
        <v>1141</v>
      </c>
      <c r="T659" s="19" t="s">
        <v>307</v>
      </c>
      <c r="V659" s="19" t="s">
        <v>178</v>
      </c>
      <c r="W659" s="19" t="s">
        <v>138</v>
      </c>
      <c r="Z659" s="44" t="s">
        <v>1142</v>
      </c>
      <c r="AA659" s="44" t="s">
        <v>915</v>
      </c>
    </row>
    <row r="660" spans="1:27" hidden="1" x14ac:dyDescent="0.25">
      <c r="A660" s="26">
        <v>54</v>
      </c>
      <c r="B660" s="19" t="s">
        <v>1187</v>
      </c>
      <c r="C660" s="44" t="s">
        <v>172</v>
      </c>
      <c r="D660" s="19" t="s">
        <v>874</v>
      </c>
      <c r="E660" s="19">
        <v>12</v>
      </c>
      <c r="F660" s="19">
        <v>100</v>
      </c>
      <c r="G660" s="19">
        <v>150</v>
      </c>
      <c r="H660" s="19">
        <v>1</v>
      </c>
      <c r="I660" s="80">
        <v>1.41</v>
      </c>
      <c r="J660" s="80">
        <v>1.41</v>
      </c>
      <c r="K660" s="19" t="s">
        <v>184</v>
      </c>
      <c r="L660" s="19" t="s">
        <v>1175</v>
      </c>
      <c r="Q660" s="20">
        <v>17</v>
      </c>
      <c r="R660" s="65" t="s">
        <v>1141</v>
      </c>
      <c r="T660" s="19" t="s">
        <v>307</v>
      </c>
      <c r="V660" s="19" t="s">
        <v>178</v>
      </c>
      <c r="W660" s="19" t="s">
        <v>138</v>
      </c>
      <c r="Z660" s="44" t="s">
        <v>1142</v>
      </c>
      <c r="AA660" s="44" t="s">
        <v>915</v>
      </c>
    </row>
    <row r="661" spans="1:27" hidden="1" x14ac:dyDescent="0.25">
      <c r="A661" s="26">
        <v>55</v>
      </c>
      <c r="B661" s="19" t="s">
        <v>1188</v>
      </c>
      <c r="C661" s="44" t="s">
        <v>172</v>
      </c>
      <c r="D661" s="19" t="s">
        <v>874</v>
      </c>
      <c r="E661" s="19">
        <v>12</v>
      </c>
      <c r="F661" s="19">
        <v>100</v>
      </c>
      <c r="G661" s="19">
        <v>150</v>
      </c>
      <c r="H661" s="19">
        <v>1</v>
      </c>
      <c r="I661" s="80">
        <v>1.41</v>
      </c>
      <c r="J661" s="80">
        <v>1.41</v>
      </c>
      <c r="K661" s="19" t="s">
        <v>184</v>
      </c>
      <c r="L661" s="19" t="s">
        <v>1175</v>
      </c>
      <c r="Q661" s="20">
        <v>17</v>
      </c>
      <c r="R661" s="65" t="s">
        <v>1141</v>
      </c>
      <c r="T661" s="19" t="s">
        <v>307</v>
      </c>
      <c r="V661" s="19" t="s">
        <v>178</v>
      </c>
      <c r="W661" s="19" t="s">
        <v>138</v>
      </c>
      <c r="Z661" s="44" t="s">
        <v>1142</v>
      </c>
      <c r="AA661" s="44" t="s">
        <v>915</v>
      </c>
    </row>
    <row r="662" spans="1:27" hidden="1" x14ac:dyDescent="0.25">
      <c r="A662" s="26">
        <v>56</v>
      </c>
      <c r="B662" s="19" t="s">
        <v>1189</v>
      </c>
      <c r="C662" s="44" t="s">
        <v>172</v>
      </c>
      <c r="D662" s="19" t="s">
        <v>874</v>
      </c>
      <c r="E662" s="19">
        <v>12</v>
      </c>
      <c r="F662" s="19">
        <v>100</v>
      </c>
      <c r="G662" s="19">
        <v>150</v>
      </c>
      <c r="H662" s="19">
        <v>1</v>
      </c>
      <c r="I662" s="80">
        <v>1.41</v>
      </c>
      <c r="J662" s="80">
        <v>1.41</v>
      </c>
      <c r="K662" s="19" t="s">
        <v>184</v>
      </c>
      <c r="L662" s="19" t="s">
        <v>1175</v>
      </c>
      <c r="Q662" s="20">
        <v>17</v>
      </c>
      <c r="R662" s="65" t="s">
        <v>1141</v>
      </c>
      <c r="T662" s="19" t="s">
        <v>307</v>
      </c>
      <c r="V662" s="19" t="s">
        <v>178</v>
      </c>
      <c r="W662" s="19" t="s">
        <v>138</v>
      </c>
      <c r="Z662" s="44" t="s">
        <v>1142</v>
      </c>
      <c r="AA662" s="44" t="s">
        <v>915</v>
      </c>
    </row>
    <row r="663" spans="1:27" hidden="1" x14ac:dyDescent="0.25">
      <c r="A663" s="26">
        <v>57</v>
      </c>
      <c r="B663" s="19" t="s">
        <v>1190</v>
      </c>
      <c r="C663" s="44" t="s">
        <v>172</v>
      </c>
      <c r="D663" s="19" t="s">
        <v>874</v>
      </c>
      <c r="E663" s="19">
        <v>12</v>
      </c>
      <c r="F663" s="19">
        <v>100</v>
      </c>
      <c r="G663" s="19">
        <v>150</v>
      </c>
      <c r="H663" s="19">
        <v>1</v>
      </c>
      <c r="I663" s="80">
        <v>1.41</v>
      </c>
      <c r="J663" s="80">
        <v>1.41</v>
      </c>
      <c r="K663" s="19" t="s">
        <v>184</v>
      </c>
      <c r="L663" s="19" t="s">
        <v>1175</v>
      </c>
      <c r="Q663" s="20">
        <v>17</v>
      </c>
      <c r="R663" s="65" t="s">
        <v>1141</v>
      </c>
      <c r="T663" s="19" t="s">
        <v>307</v>
      </c>
      <c r="V663" s="19" t="s">
        <v>178</v>
      </c>
      <c r="W663" s="19" t="s">
        <v>138</v>
      </c>
      <c r="Z663" s="44" t="s">
        <v>1142</v>
      </c>
      <c r="AA663" s="44" t="s">
        <v>915</v>
      </c>
    </row>
    <row r="664" spans="1:27" hidden="1" x14ac:dyDescent="0.25">
      <c r="A664" s="26">
        <v>58</v>
      </c>
      <c r="B664" s="19" t="s">
        <v>1191</v>
      </c>
      <c r="C664" s="44" t="s">
        <v>172</v>
      </c>
      <c r="D664" s="19" t="s">
        <v>914</v>
      </c>
      <c r="E664" s="19">
        <v>12</v>
      </c>
      <c r="F664" s="19">
        <v>95</v>
      </c>
      <c r="G664" s="19">
        <v>263</v>
      </c>
      <c r="H664" s="19">
        <v>6</v>
      </c>
      <c r="I664" s="80">
        <v>2.34</v>
      </c>
      <c r="J664" s="80">
        <v>14.03</v>
      </c>
      <c r="K664" s="19" t="s">
        <v>184</v>
      </c>
      <c r="L664" s="19" t="s">
        <v>1175</v>
      </c>
      <c r="Q664" s="20">
        <v>17</v>
      </c>
      <c r="R664" s="65" t="s">
        <v>1141</v>
      </c>
      <c r="T664" s="19" t="s">
        <v>307</v>
      </c>
      <c r="V664" s="19" t="s">
        <v>178</v>
      </c>
      <c r="W664" s="19" t="s">
        <v>138</v>
      </c>
      <c r="Z664" s="44" t="s">
        <v>1142</v>
      </c>
      <c r="AA664" s="44" t="s">
        <v>915</v>
      </c>
    </row>
    <row r="665" spans="1:27" hidden="1" x14ac:dyDescent="0.25">
      <c r="A665" s="26">
        <v>59</v>
      </c>
      <c r="B665" s="19" t="s">
        <v>1192</v>
      </c>
      <c r="C665" s="44" t="s">
        <v>172</v>
      </c>
      <c r="D665" s="19" t="s">
        <v>914</v>
      </c>
      <c r="E665" s="19">
        <v>12</v>
      </c>
      <c r="F665" s="19">
        <v>95</v>
      </c>
      <c r="G665" s="19">
        <v>263</v>
      </c>
      <c r="H665" s="19">
        <v>4</v>
      </c>
      <c r="I665" s="80">
        <v>2.34</v>
      </c>
      <c r="J665" s="80">
        <v>9.35</v>
      </c>
      <c r="K665" s="19" t="s">
        <v>184</v>
      </c>
      <c r="L665" s="19" t="s">
        <v>1175</v>
      </c>
      <c r="Q665" s="20">
        <v>17</v>
      </c>
      <c r="R665" s="65" t="s">
        <v>1141</v>
      </c>
      <c r="T665" s="19" t="s">
        <v>307</v>
      </c>
      <c r="V665" s="19" t="s">
        <v>178</v>
      </c>
      <c r="W665" s="19" t="s">
        <v>138</v>
      </c>
      <c r="Z665" s="44" t="s">
        <v>1142</v>
      </c>
      <c r="AA665" s="44" t="s">
        <v>915</v>
      </c>
    </row>
    <row r="666" spans="1:27" hidden="1" x14ac:dyDescent="0.25">
      <c r="A666" s="26">
        <v>60</v>
      </c>
      <c r="B666" s="19" t="s">
        <v>1193</v>
      </c>
      <c r="C666" s="44" t="s">
        <v>172</v>
      </c>
      <c r="D666" s="19" t="s">
        <v>814</v>
      </c>
      <c r="E666" s="19">
        <v>12</v>
      </c>
      <c r="F666" s="19">
        <v>1460</v>
      </c>
      <c r="G666" s="19">
        <v>6688</v>
      </c>
      <c r="H666" s="19">
        <v>1</v>
      </c>
      <c r="I666" s="80">
        <v>917.29</v>
      </c>
      <c r="J666" s="80">
        <v>917.29</v>
      </c>
      <c r="K666" s="19" t="s">
        <v>184</v>
      </c>
      <c r="L666" s="19" t="s">
        <v>1175</v>
      </c>
      <c r="P666" s="19" t="s">
        <v>138</v>
      </c>
      <c r="Q666" s="20">
        <v>17</v>
      </c>
      <c r="R666" s="65" t="s">
        <v>1141</v>
      </c>
      <c r="T666" s="19" t="s">
        <v>307</v>
      </c>
      <c r="V666" s="19" t="s">
        <v>178</v>
      </c>
      <c r="Y666" s="19" t="s">
        <v>138</v>
      </c>
      <c r="Z666" s="44" t="s">
        <v>1142</v>
      </c>
      <c r="AA666" s="44" t="s">
        <v>915</v>
      </c>
    </row>
    <row r="667" spans="1:27" hidden="1" x14ac:dyDescent="0.25">
      <c r="A667" s="26">
        <v>61</v>
      </c>
      <c r="B667" s="19" t="s">
        <v>1194</v>
      </c>
      <c r="C667" s="44" t="s">
        <v>172</v>
      </c>
      <c r="D667" s="19" t="s">
        <v>839</v>
      </c>
      <c r="E667" s="19">
        <v>12</v>
      </c>
      <c r="F667" s="19">
        <v>120</v>
      </c>
      <c r="G667" s="19">
        <v>129</v>
      </c>
      <c r="H667" s="19">
        <v>22</v>
      </c>
      <c r="I667" s="80">
        <v>1.32</v>
      </c>
      <c r="J667" s="80">
        <v>29.13</v>
      </c>
      <c r="K667" s="19" t="s">
        <v>1195</v>
      </c>
      <c r="L667" s="19" t="s">
        <v>1196</v>
      </c>
      <c r="Q667" s="20">
        <v>17</v>
      </c>
      <c r="R667" s="65" t="s">
        <v>1141</v>
      </c>
      <c r="T667" s="19" t="s">
        <v>307</v>
      </c>
      <c r="V667" s="19" t="s">
        <v>178</v>
      </c>
      <c r="W667" s="19" t="s">
        <v>138</v>
      </c>
      <c r="Z667" s="44" t="s">
        <v>1142</v>
      </c>
      <c r="AA667" s="44" t="s">
        <v>927</v>
      </c>
    </row>
    <row r="668" spans="1:27" hidden="1" x14ac:dyDescent="0.25">
      <c r="A668" s="26">
        <v>62</v>
      </c>
      <c r="B668" s="19" t="s">
        <v>1197</v>
      </c>
      <c r="C668" s="44" t="s">
        <v>172</v>
      </c>
      <c r="D668" s="19" t="s">
        <v>839</v>
      </c>
      <c r="E668" s="19">
        <v>12</v>
      </c>
      <c r="F668" s="19">
        <v>120</v>
      </c>
      <c r="G668" s="19">
        <v>129</v>
      </c>
      <c r="H668" s="19">
        <v>24</v>
      </c>
      <c r="I668" s="80">
        <v>1.32</v>
      </c>
      <c r="J668" s="80">
        <v>31.78</v>
      </c>
      <c r="K668" s="19" t="s">
        <v>1195</v>
      </c>
      <c r="L668" s="19" t="s">
        <v>1196</v>
      </c>
      <c r="Q668" s="20">
        <v>17</v>
      </c>
      <c r="R668" s="65" t="s">
        <v>1141</v>
      </c>
      <c r="T668" s="19" t="s">
        <v>307</v>
      </c>
      <c r="V668" s="19" t="s">
        <v>178</v>
      </c>
      <c r="W668" s="19" t="s">
        <v>138</v>
      </c>
      <c r="Z668" s="44" t="s">
        <v>1142</v>
      </c>
      <c r="AA668" s="44" t="s">
        <v>927</v>
      </c>
    </row>
    <row r="669" spans="1:27" hidden="1" x14ac:dyDescent="0.25">
      <c r="A669" s="26">
        <v>63</v>
      </c>
      <c r="B669" s="19" t="s">
        <v>1198</v>
      </c>
      <c r="C669" s="44" t="s">
        <v>172</v>
      </c>
      <c r="D669" s="19" t="s">
        <v>839</v>
      </c>
      <c r="E669" s="19">
        <v>12</v>
      </c>
      <c r="F669" s="19">
        <v>120</v>
      </c>
      <c r="G669" s="19">
        <v>129</v>
      </c>
      <c r="H669" s="19">
        <v>24</v>
      </c>
      <c r="I669" s="80">
        <v>1.32</v>
      </c>
      <c r="J669" s="80">
        <v>31.78</v>
      </c>
      <c r="K669" s="19" t="s">
        <v>1195</v>
      </c>
      <c r="L669" s="19" t="s">
        <v>1196</v>
      </c>
      <c r="Q669" s="20">
        <v>17</v>
      </c>
      <c r="R669" s="65" t="s">
        <v>1141</v>
      </c>
      <c r="T669" s="19" t="s">
        <v>307</v>
      </c>
      <c r="V669" s="19" t="s">
        <v>178</v>
      </c>
      <c r="W669" s="19" t="s">
        <v>138</v>
      </c>
      <c r="Z669" s="44" t="s">
        <v>1142</v>
      </c>
      <c r="AA669" s="44" t="s">
        <v>927</v>
      </c>
    </row>
    <row r="670" spans="1:27" hidden="1" x14ac:dyDescent="0.25">
      <c r="A670" s="26">
        <v>64</v>
      </c>
      <c r="B670" s="19" t="s">
        <v>1199</v>
      </c>
      <c r="C670" s="44" t="s">
        <v>172</v>
      </c>
      <c r="D670" s="19" t="s">
        <v>812</v>
      </c>
      <c r="E670" s="19">
        <v>12</v>
      </c>
      <c r="F670" s="19">
        <v>490</v>
      </c>
      <c r="G670" s="19">
        <v>6464</v>
      </c>
      <c r="H670" s="19">
        <v>1</v>
      </c>
      <c r="I670" s="80">
        <v>298.16000000000003</v>
      </c>
      <c r="J670" s="80">
        <v>298.16000000000003</v>
      </c>
      <c r="K670" s="19" t="s">
        <v>1195</v>
      </c>
      <c r="L670" s="19" t="s">
        <v>1196</v>
      </c>
      <c r="Q670" s="20">
        <v>17</v>
      </c>
      <c r="R670" s="65" t="s">
        <v>1141</v>
      </c>
      <c r="T670" s="19" t="s">
        <v>307</v>
      </c>
      <c r="V670" s="19" t="s">
        <v>178</v>
      </c>
      <c r="Y670" s="19" t="s">
        <v>138</v>
      </c>
      <c r="Z670" s="44" t="s">
        <v>1142</v>
      </c>
      <c r="AA670" s="44" t="s">
        <v>927</v>
      </c>
    </row>
    <row r="671" spans="1:27" hidden="1" x14ac:dyDescent="0.25">
      <c r="A671" s="26">
        <v>65</v>
      </c>
      <c r="B671" s="19" t="s">
        <v>1200</v>
      </c>
      <c r="C671" s="44" t="s">
        <v>172</v>
      </c>
      <c r="D671" s="19" t="s">
        <v>839</v>
      </c>
      <c r="E671" s="19">
        <v>12</v>
      </c>
      <c r="F671" s="19">
        <v>120</v>
      </c>
      <c r="G671" s="19">
        <v>129</v>
      </c>
      <c r="H671" s="19">
        <v>2</v>
      </c>
      <c r="I671" s="80">
        <v>1.32</v>
      </c>
      <c r="J671" s="80">
        <v>2.65</v>
      </c>
      <c r="K671" s="19" t="s">
        <v>1195</v>
      </c>
      <c r="L671" s="19" t="s">
        <v>1196</v>
      </c>
      <c r="Q671" s="20">
        <v>17</v>
      </c>
      <c r="R671" s="65" t="s">
        <v>1141</v>
      </c>
      <c r="T671" s="19" t="s">
        <v>307</v>
      </c>
      <c r="V671" s="19" t="s">
        <v>178</v>
      </c>
      <c r="W671" s="19" t="s">
        <v>138</v>
      </c>
      <c r="Z671" s="44" t="s">
        <v>1142</v>
      </c>
      <c r="AA671" s="44" t="s">
        <v>927</v>
      </c>
    </row>
    <row r="672" spans="1:27" hidden="1" x14ac:dyDescent="0.25">
      <c r="A672" s="26">
        <v>66</v>
      </c>
      <c r="B672" s="19" t="s">
        <v>1201</v>
      </c>
      <c r="C672" s="44" t="s">
        <v>172</v>
      </c>
      <c r="D672" s="19" t="s">
        <v>803</v>
      </c>
      <c r="E672" s="19">
        <v>12</v>
      </c>
      <c r="F672" s="19">
        <v>135</v>
      </c>
      <c r="G672" s="19">
        <v>488</v>
      </c>
      <c r="H672" s="19">
        <v>5</v>
      </c>
      <c r="I672" s="80">
        <v>6.19</v>
      </c>
      <c r="J672" s="80">
        <v>30.95</v>
      </c>
      <c r="K672" s="19" t="s">
        <v>1195</v>
      </c>
      <c r="L672" s="19" t="s">
        <v>1196</v>
      </c>
      <c r="Q672" s="20">
        <v>17</v>
      </c>
      <c r="R672" s="65" t="s">
        <v>1141</v>
      </c>
      <c r="T672" s="19" t="s">
        <v>307</v>
      </c>
      <c r="V672" s="19" t="s">
        <v>178</v>
      </c>
      <c r="W672" s="19" t="s">
        <v>138</v>
      </c>
      <c r="Z672" s="44" t="s">
        <v>1142</v>
      </c>
      <c r="AA672" s="44" t="s">
        <v>927</v>
      </c>
    </row>
    <row r="673" spans="1:27" hidden="1" x14ac:dyDescent="0.25">
      <c r="A673" s="26">
        <v>67</v>
      </c>
      <c r="B673" s="19" t="s">
        <v>1202</v>
      </c>
      <c r="C673" s="44" t="s">
        <v>172</v>
      </c>
      <c r="D673" s="19" t="s">
        <v>874</v>
      </c>
      <c r="E673" s="19">
        <v>12</v>
      </c>
      <c r="F673" s="19">
        <v>100</v>
      </c>
      <c r="G673" s="19">
        <v>150</v>
      </c>
      <c r="H673" s="19">
        <v>1</v>
      </c>
      <c r="I673" s="80">
        <v>1.41</v>
      </c>
      <c r="J673" s="80">
        <v>1.41</v>
      </c>
      <c r="K673" s="19" t="s">
        <v>1195</v>
      </c>
      <c r="L673" s="19" t="s">
        <v>1196</v>
      </c>
      <c r="Q673" s="20">
        <v>17</v>
      </c>
      <c r="R673" s="65" t="s">
        <v>1141</v>
      </c>
      <c r="T673" s="19" t="s">
        <v>307</v>
      </c>
      <c r="V673" s="19" t="s">
        <v>178</v>
      </c>
      <c r="W673" s="19" t="s">
        <v>138</v>
      </c>
      <c r="Z673" s="44" t="s">
        <v>1142</v>
      </c>
      <c r="AA673" s="44" t="s">
        <v>927</v>
      </c>
    </row>
    <row r="674" spans="1:27" hidden="1" x14ac:dyDescent="0.25">
      <c r="A674" s="26">
        <v>68</v>
      </c>
      <c r="B674" s="19" t="s">
        <v>1203</v>
      </c>
      <c r="C674" s="44" t="s">
        <v>172</v>
      </c>
      <c r="D674" s="19" t="s">
        <v>874</v>
      </c>
      <c r="E674" s="19">
        <v>12</v>
      </c>
      <c r="F674" s="19">
        <v>100</v>
      </c>
      <c r="G674" s="19">
        <v>150</v>
      </c>
      <c r="H674" s="19">
        <v>1</v>
      </c>
      <c r="I674" s="80">
        <v>1.41</v>
      </c>
      <c r="J674" s="80">
        <v>1.41</v>
      </c>
      <c r="K674" s="19" t="s">
        <v>1195</v>
      </c>
      <c r="L674" s="19" t="s">
        <v>1196</v>
      </c>
      <c r="Q674" s="20">
        <v>17</v>
      </c>
      <c r="R674" s="65" t="s">
        <v>1141</v>
      </c>
      <c r="T674" s="19" t="s">
        <v>307</v>
      </c>
      <c r="V674" s="19" t="s">
        <v>178</v>
      </c>
      <c r="W674" s="19" t="s">
        <v>138</v>
      </c>
      <c r="Z674" s="44" t="s">
        <v>1142</v>
      </c>
      <c r="AA674" s="44" t="s">
        <v>927</v>
      </c>
    </row>
    <row r="675" spans="1:27" hidden="1" x14ac:dyDescent="0.25">
      <c r="A675" s="26">
        <v>69</v>
      </c>
      <c r="B675" s="19" t="s">
        <v>1204</v>
      </c>
      <c r="C675" s="44" t="s">
        <v>172</v>
      </c>
      <c r="D675" s="19" t="s">
        <v>803</v>
      </c>
      <c r="E675" s="19">
        <v>12</v>
      </c>
      <c r="F675" s="19">
        <v>135</v>
      </c>
      <c r="G675" s="19">
        <v>488</v>
      </c>
      <c r="H675" s="19">
        <v>8</v>
      </c>
      <c r="I675" s="80">
        <v>6.19</v>
      </c>
      <c r="J675" s="80">
        <v>49.52</v>
      </c>
      <c r="K675" s="19" t="s">
        <v>184</v>
      </c>
      <c r="L675" s="19" t="s">
        <v>1205</v>
      </c>
      <c r="Q675" s="20">
        <v>17</v>
      </c>
      <c r="R675" s="65" t="s">
        <v>1141</v>
      </c>
      <c r="T675" s="19" t="s">
        <v>307</v>
      </c>
      <c r="V675" s="19" t="s">
        <v>178</v>
      </c>
      <c r="W675" s="19" t="s">
        <v>138</v>
      </c>
      <c r="Z675" s="44" t="s">
        <v>1142</v>
      </c>
      <c r="AA675" s="44" t="s">
        <v>180</v>
      </c>
    </row>
    <row r="676" spans="1:27" hidden="1" x14ac:dyDescent="0.25">
      <c r="A676" s="26">
        <v>70</v>
      </c>
      <c r="B676" s="19" t="s">
        <v>1206</v>
      </c>
      <c r="C676" s="44" t="s">
        <v>172</v>
      </c>
      <c r="D676" s="19" t="s">
        <v>803</v>
      </c>
      <c r="E676" s="19">
        <v>12</v>
      </c>
      <c r="F676" s="19">
        <v>135</v>
      </c>
      <c r="G676" s="19">
        <v>488</v>
      </c>
      <c r="H676" s="19">
        <v>8</v>
      </c>
      <c r="I676" s="80">
        <v>6.19</v>
      </c>
      <c r="J676" s="80">
        <v>49.52</v>
      </c>
      <c r="K676" s="19" t="s">
        <v>184</v>
      </c>
      <c r="L676" s="19" t="s">
        <v>1205</v>
      </c>
      <c r="Q676" s="20">
        <v>17</v>
      </c>
      <c r="R676" s="65" t="s">
        <v>1141</v>
      </c>
      <c r="T676" s="19" t="s">
        <v>307</v>
      </c>
      <c r="V676" s="19" t="s">
        <v>178</v>
      </c>
      <c r="W676" s="19" t="s">
        <v>138</v>
      </c>
      <c r="Z676" s="44" t="s">
        <v>1142</v>
      </c>
      <c r="AA676" s="44" t="s">
        <v>180</v>
      </c>
    </row>
    <row r="677" spans="1:27" hidden="1" x14ac:dyDescent="0.25">
      <c r="A677" s="26">
        <v>71</v>
      </c>
      <c r="B677" s="19" t="s">
        <v>1207</v>
      </c>
      <c r="C677" s="44" t="s">
        <v>172</v>
      </c>
      <c r="D677" s="19" t="s">
        <v>803</v>
      </c>
      <c r="E677" s="19">
        <v>12</v>
      </c>
      <c r="F677" s="19">
        <v>135</v>
      </c>
      <c r="G677" s="19">
        <v>488</v>
      </c>
      <c r="H677" s="19">
        <v>2</v>
      </c>
      <c r="I677" s="80">
        <v>6.19</v>
      </c>
      <c r="J677" s="80">
        <v>12.38</v>
      </c>
      <c r="K677" s="19" t="s">
        <v>184</v>
      </c>
      <c r="L677" s="19" t="s">
        <v>1205</v>
      </c>
      <c r="Q677" s="20">
        <v>17</v>
      </c>
      <c r="R677" s="65" t="s">
        <v>1141</v>
      </c>
      <c r="T677" s="19" t="s">
        <v>307</v>
      </c>
      <c r="V677" s="19" t="s">
        <v>178</v>
      </c>
      <c r="W677" s="19" t="s">
        <v>138</v>
      </c>
      <c r="Z677" s="44" t="s">
        <v>1142</v>
      </c>
      <c r="AA677" s="44" t="s">
        <v>180</v>
      </c>
    </row>
    <row r="678" spans="1:27" hidden="1" x14ac:dyDescent="0.25">
      <c r="A678" s="26">
        <v>72</v>
      </c>
      <c r="B678" s="19" t="s">
        <v>1208</v>
      </c>
      <c r="C678" s="44" t="s">
        <v>172</v>
      </c>
      <c r="D678" s="19" t="s">
        <v>914</v>
      </c>
      <c r="E678" s="19">
        <v>12</v>
      </c>
      <c r="F678" s="19">
        <v>95</v>
      </c>
      <c r="G678" s="19">
        <v>263</v>
      </c>
      <c r="H678" s="19">
        <v>8</v>
      </c>
      <c r="I678" s="80">
        <v>2.34</v>
      </c>
      <c r="J678" s="80">
        <v>18.7</v>
      </c>
      <c r="K678" s="19" t="s">
        <v>184</v>
      </c>
      <c r="L678" s="19" t="s">
        <v>1205</v>
      </c>
      <c r="Q678" s="20">
        <v>17</v>
      </c>
      <c r="R678" s="65" t="s">
        <v>1141</v>
      </c>
      <c r="T678" s="19" t="s">
        <v>307</v>
      </c>
      <c r="V678" s="19" t="s">
        <v>178</v>
      </c>
      <c r="W678" s="19" t="s">
        <v>138</v>
      </c>
      <c r="Z678" s="44" t="s">
        <v>1142</v>
      </c>
      <c r="AA678" s="44" t="s">
        <v>180</v>
      </c>
    </row>
    <row r="679" spans="1:27" hidden="1" x14ac:dyDescent="0.25">
      <c r="A679" s="26">
        <v>73</v>
      </c>
      <c r="B679" s="19" t="s">
        <v>1209</v>
      </c>
      <c r="C679" s="44" t="s">
        <v>172</v>
      </c>
      <c r="D679" s="19" t="s">
        <v>914</v>
      </c>
      <c r="E679" s="19">
        <v>12</v>
      </c>
      <c r="F679" s="19">
        <v>95</v>
      </c>
      <c r="G679" s="19">
        <v>263</v>
      </c>
      <c r="H679" s="19">
        <v>1</v>
      </c>
      <c r="I679" s="80">
        <v>2.34</v>
      </c>
      <c r="J679" s="80">
        <v>2.34</v>
      </c>
      <c r="K679" s="19" t="s">
        <v>184</v>
      </c>
      <c r="L679" s="19" t="s">
        <v>1205</v>
      </c>
      <c r="Q679" s="20">
        <v>17</v>
      </c>
      <c r="R679" s="65" t="s">
        <v>1141</v>
      </c>
      <c r="T679" s="19" t="s">
        <v>307</v>
      </c>
      <c r="V679" s="19" t="s">
        <v>178</v>
      </c>
      <c r="W679" s="19" t="s">
        <v>138</v>
      </c>
      <c r="Z679" s="44" t="s">
        <v>1142</v>
      </c>
      <c r="AA679" s="44" t="s">
        <v>180</v>
      </c>
    </row>
    <row r="680" spans="1:27" hidden="1" x14ac:dyDescent="0.25">
      <c r="A680" s="26">
        <v>74</v>
      </c>
      <c r="B680" s="19" t="s">
        <v>1210</v>
      </c>
      <c r="C680" s="44" t="s">
        <v>172</v>
      </c>
      <c r="D680" s="19" t="s">
        <v>1211</v>
      </c>
      <c r="E680" s="19">
        <v>12</v>
      </c>
      <c r="F680" s="19">
        <v>490</v>
      </c>
      <c r="G680" s="19">
        <v>1388</v>
      </c>
      <c r="H680" s="19">
        <v>1</v>
      </c>
      <c r="I680" s="80">
        <v>63.63</v>
      </c>
      <c r="J680" s="80">
        <v>63.63</v>
      </c>
      <c r="K680" s="19" t="s">
        <v>184</v>
      </c>
      <c r="L680" s="19" t="s">
        <v>1205</v>
      </c>
      <c r="Q680" s="20">
        <v>17</v>
      </c>
      <c r="R680" s="65" t="s">
        <v>1141</v>
      </c>
      <c r="T680" s="19" t="s">
        <v>307</v>
      </c>
      <c r="V680" s="19" t="s">
        <v>178</v>
      </c>
      <c r="Y680" s="19" t="s">
        <v>138</v>
      </c>
      <c r="Z680" s="44" t="s">
        <v>1142</v>
      </c>
      <c r="AA680" s="44" t="s">
        <v>180</v>
      </c>
    </row>
    <row r="681" spans="1:27" hidden="1" x14ac:dyDescent="0.25">
      <c r="A681" s="26">
        <v>75</v>
      </c>
      <c r="B681" s="19" t="s">
        <v>1212</v>
      </c>
      <c r="C681" s="44" t="s">
        <v>172</v>
      </c>
      <c r="D681" s="19" t="s">
        <v>1211</v>
      </c>
      <c r="E681" s="19">
        <v>12</v>
      </c>
      <c r="F681" s="19">
        <v>490</v>
      </c>
      <c r="G681" s="19">
        <v>1388</v>
      </c>
      <c r="H681" s="19">
        <v>1</v>
      </c>
      <c r="I681" s="80">
        <v>63.63</v>
      </c>
      <c r="J681" s="80">
        <v>63.63</v>
      </c>
      <c r="K681" s="19" t="s">
        <v>184</v>
      </c>
      <c r="L681" s="19" t="s">
        <v>1205</v>
      </c>
      <c r="Q681" s="20">
        <v>17</v>
      </c>
      <c r="R681" s="65" t="s">
        <v>1141</v>
      </c>
      <c r="T681" s="19" t="s">
        <v>307</v>
      </c>
      <c r="V681" s="19" t="s">
        <v>178</v>
      </c>
      <c r="Y681" s="19" t="s">
        <v>138</v>
      </c>
      <c r="Z681" s="44" t="s">
        <v>1142</v>
      </c>
      <c r="AA681" s="44" t="s">
        <v>180</v>
      </c>
    </row>
    <row r="682" spans="1:27" hidden="1" x14ac:dyDescent="0.25">
      <c r="A682" s="26">
        <v>76</v>
      </c>
      <c r="B682" s="19" t="s">
        <v>1213</v>
      </c>
      <c r="C682" s="44" t="s">
        <v>172</v>
      </c>
      <c r="D682" s="19" t="s">
        <v>1211</v>
      </c>
      <c r="E682" s="19">
        <v>12</v>
      </c>
      <c r="F682" s="19">
        <v>490</v>
      </c>
      <c r="G682" s="19">
        <v>1388</v>
      </c>
      <c r="H682" s="19">
        <v>1</v>
      </c>
      <c r="I682" s="80">
        <v>63.63</v>
      </c>
      <c r="J682" s="80">
        <v>63.63</v>
      </c>
      <c r="K682" s="19" t="s">
        <v>184</v>
      </c>
      <c r="L682" s="19" t="s">
        <v>1205</v>
      </c>
      <c r="Q682" s="20">
        <v>17</v>
      </c>
      <c r="R682" s="65" t="s">
        <v>1141</v>
      </c>
      <c r="T682" s="19" t="s">
        <v>307</v>
      </c>
      <c r="V682" s="19" t="s">
        <v>178</v>
      </c>
      <c r="Y682" s="19" t="s">
        <v>138</v>
      </c>
      <c r="Z682" s="44" t="s">
        <v>1142</v>
      </c>
      <c r="AA682" s="44" t="s">
        <v>180</v>
      </c>
    </row>
    <row r="683" spans="1:27" hidden="1" x14ac:dyDescent="0.25">
      <c r="A683" s="26">
        <v>77</v>
      </c>
      <c r="B683" s="19" t="s">
        <v>1214</v>
      </c>
      <c r="C683" s="44" t="s">
        <v>172</v>
      </c>
      <c r="D683" s="19" t="s">
        <v>1211</v>
      </c>
      <c r="E683" s="19">
        <v>12</v>
      </c>
      <c r="F683" s="19">
        <v>490</v>
      </c>
      <c r="G683" s="19">
        <v>1388</v>
      </c>
      <c r="H683" s="19">
        <v>1</v>
      </c>
      <c r="I683" s="80">
        <v>63.63</v>
      </c>
      <c r="J683" s="80">
        <v>63.63</v>
      </c>
      <c r="K683" s="19" t="s">
        <v>184</v>
      </c>
      <c r="L683" s="19" t="s">
        <v>1205</v>
      </c>
      <c r="Q683" s="20">
        <v>17</v>
      </c>
      <c r="R683" s="65" t="s">
        <v>1141</v>
      </c>
      <c r="T683" s="19" t="s">
        <v>307</v>
      </c>
      <c r="V683" s="19" t="s">
        <v>178</v>
      </c>
      <c r="Y683" s="19" t="s">
        <v>138</v>
      </c>
      <c r="Z683" s="44" t="s">
        <v>1142</v>
      </c>
      <c r="AA683" s="44" t="s">
        <v>180</v>
      </c>
    </row>
    <row r="684" spans="1:27" hidden="1" x14ac:dyDescent="0.25">
      <c r="A684" s="26">
        <v>78</v>
      </c>
      <c r="B684" s="19" t="s">
        <v>1215</v>
      </c>
      <c r="C684" s="44" t="s">
        <v>172</v>
      </c>
      <c r="D684" s="19" t="s">
        <v>812</v>
      </c>
      <c r="E684" s="19">
        <v>12</v>
      </c>
      <c r="F684" s="19">
        <v>490</v>
      </c>
      <c r="G684" s="19">
        <v>6464</v>
      </c>
      <c r="H684" s="19">
        <v>1</v>
      </c>
      <c r="I684" s="80">
        <v>298.16000000000003</v>
      </c>
      <c r="J684" s="80">
        <v>298.16000000000003</v>
      </c>
      <c r="K684" s="19" t="s">
        <v>184</v>
      </c>
      <c r="L684" s="19" t="s">
        <v>1205</v>
      </c>
      <c r="Q684" s="20">
        <v>17</v>
      </c>
      <c r="R684" s="65" t="s">
        <v>1141</v>
      </c>
      <c r="T684" s="19" t="s">
        <v>307</v>
      </c>
      <c r="V684" s="19" t="s">
        <v>178</v>
      </c>
      <c r="Y684" s="19" t="s">
        <v>138</v>
      </c>
      <c r="Z684" s="44" t="s">
        <v>1142</v>
      </c>
      <c r="AA684" s="44" t="s">
        <v>180</v>
      </c>
    </row>
    <row r="685" spans="1:27" hidden="1" x14ac:dyDescent="0.25">
      <c r="A685" s="26">
        <v>79</v>
      </c>
      <c r="B685" s="19" t="s">
        <v>1216</v>
      </c>
      <c r="C685" s="44" t="s">
        <v>172</v>
      </c>
      <c r="D685" s="19" t="s">
        <v>812</v>
      </c>
      <c r="E685" s="19">
        <v>12</v>
      </c>
      <c r="F685" s="19">
        <v>490</v>
      </c>
      <c r="G685" s="19">
        <v>6464</v>
      </c>
      <c r="H685" s="19">
        <v>1</v>
      </c>
      <c r="I685" s="80">
        <v>298.16000000000003</v>
      </c>
      <c r="J685" s="80">
        <v>298.16000000000003</v>
      </c>
      <c r="K685" s="19" t="s">
        <v>184</v>
      </c>
      <c r="L685" s="19" t="s">
        <v>1205</v>
      </c>
      <c r="Q685" s="20">
        <v>17</v>
      </c>
      <c r="R685" s="65" t="s">
        <v>1141</v>
      </c>
      <c r="T685" s="19" t="s">
        <v>307</v>
      </c>
      <c r="V685" s="19" t="s">
        <v>178</v>
      </c>
      <c r="Y685" s="19" t="s">
        <v>138</v>
      </c>
      <c r="Z685" s="44" t="s">
        <v>1142</v>
      </c>
      <c r="AA685" s="44" t="s">
        <v>180</v>
      </c>
    </row>
    <row r="686" spans="1:27" hidden="1" x14ac:dyDescent="0.25">
      <c r="A686" s="26">
        <v>80</v>
      </c>
      <c r="B686" s="19" t="s">
        <v>1217</v>
      </c>
      <c r="C686" s="44" t="s">
        <v>172</v>
      </c>
      <c r="D686" s="19" t="s">
        <v>812</v>
      </c>
      <c r="E686" s="19">
        <v>12</v>
      </c>
      <c r="F686" s="19">
        <v>490</v>
      </c>
      <c r="G686" s="19">
        <v>6464</v>
      </c>
      <c r="H686" s="19">
        <v>1</v>
      </c>
      <c r="I686" s="80">
        <v>298.16000000000003</v>
      </c>
      <c r="J686" s="80">
        <v>298.16000000000003</v>
      </c>
      <c r="K686" s="19" t="s">
        <v>184</v>
      </c>
      <c r="L686" s="19" t="s">
        <v>1205</v>
      </c>
      <c r="Q686" s="20">
        <v>17</v>
      </c>
      <c r="R686" s="65" t="s">
        <v>1141</v>
      </c>
      <c r="T686" s="19" t="s">
        <v>307</v>
      </c>
      <c r="V686" s="19" t="s">
        <v>178</v>
      </c>
      <c r="Y686" s="19" t="s">
        <v>138</v>
      </c>
      <c r="Z686" s="44" t="s">
        <v>1142</v>
      </c>
      <c r="AA686" s="44" t="s">
        <v>180</v>
      </c>
    </row>
    <row r="687" spans="1:27" hidden="1" x14ac:dyDescent="0.25">
      <c r="A687" s="26">
        <v>81</v>
      </c>
      <c r="B687" s="19" t="s">
        <v>1218</v>
      </c>
      <c r="C687" s="44" t="s">
        <v>172</v>
      </c>
      <c r="D687" s="19" t="s">
        <v>812</v>
      </c>
      <c r="E687" s="19">
        <v>12</v>
      </c>
      <c r="F687" s="19">
        <v>490</v>
      </c>
      <c r="G687" s="19">
        <v>6464</v>
      </c>
      <c r="H687" s="19">
        <v>1</v>
      </c>
      <c r="I687" s="80">
        <v>298.16000000000003</v>
      </c>
      <c r="J687" s="80">
        <v>298.16000000000003</v>
      </c>
      <c r="K687" s="19" t="s">
        <v>184</v>
      </c>
      <c r="L687" s="19" t="s">
        <v>1205</v>
      </c>
      <c r="Q687" s="20">
        <v>17</v>
      </c>
      <c r="R687" s="65" t="s">
        <v>1141</v>
      </c>
      <c r="T687" s="19" t="s">
        <v>307</v>
      </c>
      <c r="V687" s="19" t="s">
        <v>178</v>
      </c>
      <c r="Y687" s="19" t="s">
        <v>138</v>
      </c>
      <c r="Z687" s="44" t="s">
        <v>1142</v>
      </c>
      <c r="AA687" s="44" t="s">
        <v>180</v>
      </c>
    </row>
    <row r="688" spans="1:27" hidden="1" x14ac:dyDescent="0.25">
      <c r="A688" s="26">
        <v>82</v>
      </c>
      <c r="B688" s="19" t="s">
        <v>1159</v>
      </c>
      <c r="C688" s="44" t="s">
        <v>172</v>
      </c>
      <c r="D688" s="19" t="s">
        <v>803</v>
      </c>
      <c r="E688" s="19">
        <v>12</v>
      </c>
      <c r="F688" s="19">
        <v>135</v>
      </c>
      <c r="G688" s="19">
        <v>488</v>
      </c>
      <c r="H688" s="19">
        <v>5</v>
      </c>
      <c r="I688" s="80">
        <v>6.19</v>
      </c>
      <c r="J688" s="80">
        <v>30.95</v>
      </c>
      <c r="K688" s="19" t="s">
        <v>184</v>
      </c>
      <c r="L688" s="19" t="s">
        <v>1205</v>
      </c>
      <c r="Q688" s="20">
        <v>17</v>
      </c>
      <c r="R688" s="65" t="s">
        <v>1141</v>
      </c>
      <c r="T688" s="19" t="s">
        <v>307</v>
      </c>
      <c r="V688" s="19" t="s">
        <v>178</v>
      </c>
      <c r="W688" s="19" t="s">
        <v>138</v>
      </c>
      <c r="Z688" s="44" t="s">
        <v>1142</v>
      </c>
      <c r="AA688" s="44" t="s">
        <v>180</v>
      </c>
    </row>
    <row r="689" spans="1:27" hidden="1" x14ac:dyDescent="0.25">
      <c r="A689" s="26">
        <v>83</v>
      </c>
      <c r="B689" s="19" t="s">
        <v>1219</v>
      </c>
      <c r="C689" s="44" t="s">
        <v>172</v>
      </c>
      <c r="D689" s="19" t="s">
        <v>803</v>
      </c>
      <c r="E689" s="19">
        <v>12</v>
      </c>
      <c r="F689" s="19">
        <v>135</v>
      </c>
      <c r="G689" s="19">
        <v>488</v>
      </c>
      <c r="H689" s="19">
        <v>16</v>
      </c>
      <c r="I689" s="80">
        <v>6.19</v>
      </c>
      <c r="J689" s="80">
        <v>99.04</v>
      </c>
      <c r="K689" s="19" t="s">
        <v>184</v>
      </c>
      <c r="L689" s="19" t="s">
        <v>1205</v>
      </c>
      <c r="Q689" s="20">
        <v>17</v>
      </c>
      <c r="R689" s="65" t="s">
        <v>1141</v>
      </c>
      <c r="T689" s="19" t="s">
        <v>307</v>
      </c>
      <c r="V689" s="19" t="s">
        <v>178</v>
      </c>
      <c r="W689" s="19" t="s">
        <v>138</v>
      </c>
      <c r="Z689" s="44" t="s">
        <v>1142</v>
      </c>
      <c r="AA689" s="44" t="s">
        <v>180</v>
      </c>
    </row>
    <row r="690" spans="1:27" hidden="1" x14ac:dyDescent="0.25">
      <c r="A690" s="26">
        <v>84</v>
      </c>
      <c r="B690" s="19" t="s">
        <v>1220</v>
      </c>
      <c r="C690" s="44" t="s">
        <v>172</v>
      </c>
      <c r="D690" s="19" t="s">
        <v>803</v>
      </c>
      <c r="E690" s="19">
        <v>12</v>
      </c>
      <c r="F690" s="19">
        <v>135</v>
      </c>
      <c r="G690" s="19">
        <v>488</v>
      </c>
      <c r="H690" s="19">
        <v>16</v>
      </c>
      <c r="I690" s="80">
        <v>6.19</v>
      </c>
      <c r="J690" s="80">
        <v>99.04</v>
      </c>
      <c r="K690" s="19" t="s">
        <v>184</v>
      </c>
      <c r="L690" s="19" t="s">
        <v>1205</v>
      </c>
      <c r="Q690" s="20">
        <v>17</v>
      </c>
      <c r="R690" s="65" t="s">
        <v>1141</v>
      </c>
      <c r="T690" s="19" t="s">
        <v>307</v>
      </c>
      <c r="V690" s="19" t="s">
        <v>178</v>
      </c>
      <c r="W690" s="19" t="s">
        <v>138</v>
      </c>
      <c r="Z690" s="44" t="s">
        <v>1142</v>
      </c>
      <c r="AA690" s="44" t="s">
        <v>180</v>
      </c>
    </row>
    <row r="691" spans="1:27" hidden="1" x14ac:dyDescent="0.25">
      <c r="A691" s="26">
        <v>85</v>
      </c>
      <c r="B691" s="19" t="s">
        <v>1221</v>
      </c>
      <c r="C691" s="44" t="s">
        <v>172</v>
      </c>
      <c r="D691" s="19" t="s">
        <v>803</v>
      </c>
      <c r="E691" s="19">
        <v>12</v>
      </c>
      <c r="F691" s="19">
        <v>135</v>
      </c>
      <c r="G691" s="19">
        <v>488</v>
      </c>
      <c r="H691" s="19">
        <v>16</v>
      </c>
      <c r="I691" s="80">
        <v>6.19</v>
      </c>
      <c r="J691" s="80">
        <v>99.04</v>
      </c>
      <c r="K691" s="19" t="s">
        <v>184</v>
      </c>
      <c r="L691" s="19" t="s">
        <v>1205</v>
      </c>
      <c r="Q691" s="20">
        <v>17</v>
      </c>
      <c r="R691" s="65" t="s">
        <v>1141</v>
      </c>
      <c r="T691" s="19" t="s">
        <v>307</v>
      </c>
      <c r="V691" s="19" t="s">
        <v>178</v>
      </c>
      <c r="W691" s="19" t="s">
        <v>138</v>
      </c>
      <c r="Z691" s="44" t="s">
        <v>1142</v>
      </c>
      <c r="AA691" s="44" t="s">
        <v>180</v>
      </c>
    </row>
    <row r="692" spans="1:27" hidden="1" x14ac:dyDescent="0.25">
      <c r="A692" s="26">
        <v>86</v>
      </c>
      <c r="B692" s="19" t="s">
        <v>1222</v>
      </c>
      <c r="C692" s="44" t="s">
        <v>172</v>
      </c>
      <c r="D692" s="19" t="s">
        <v>803</v>
      </c>
      <c r="E692" s="19">
        <v>12</v>
      </c>
      <c r="F692" s="19">
        <v>135</v>
      </c>
      <c r="G692" s="19">
        <v>488</v>
      </c>
      <c r="H692" s="19">
        <v>4</v>
      </c>
      <c r="I692" s="80">
        <v>6.19</v>
      </c>
      <c r="J692" s="80">
        <v>24.76</v>
      </c>
      <c r="K692" s="19" t="s">
        <v>184</v>
      </c>
      <c r="L692" s="19" t="s">
        <v>1205</v>
      </c>
      <c r="Q692" s="20">
        <v>17</v>
      </c>
      <c r="R692" s="65" t="s">
        <v>1141</v>
      </c>
      <c r="T692" s="19" t="s">
        <v>307</v>
      </c>
      <c r="V692" s="19" t="s">
        <v>178</v>
      </c>
      <c r="W692" s="19" t="s">
        <v>138</v>
      </c>
      <c r="Z692" s="44" t="s">
        <v>1142</v>
      </c>
      <c r="AA692" s="44" t="s">
        <v>180</v>
      </c>
    </row>
    <row r="693" spans="1:27" hidden="1" x14ac:dyDescent="0.25">
      <c r="A693" s="26">
        <v>87</v>
      </c>
      <c r="B693" s="19" t="s">
        <v>1223</v>
      </c>
      <c r="C693" s="44" t="s">
        <v>172</v>
      </c>
      <c r="D693" s="19" t="s">
        <v>877</v>
      </c>
      <c r="E693" s="19">
        <v>12</v>
      </c>
      <c r="F693" s="19">
        <v>130</v>
      </c>
      <c r="G693" s="19">
        <v>1458</v>
      </c>
      <c r="H693" s="19">
        <v>1</v>
      </c>
      <c r="I693" s="80">
        <v>17.84</v>
      </c>
      <c r="J693" s="80">
        <v>17.84</v>
      </c>
      <c r="K693" s="19" t="s">
        <v>184</v>
      </c>
      <c r="L693" s="19" t="s">
        <v>1205</v>
      </c>
      <c r="Q693" s="20">
        <v>17</v>
      </c>
      <c r="R693" s="65" t="s">
        <v>1141</v>
      </c>
      <c r="T693" s="19" t="s">
        <v>307</v>
      </c>
      <c r="V693" s="19" t="s">
        <v>178</v>
      </c>
      <c r="W693" s="19" t="s">
        <v>138</v>
      </c>
      <c r="Z693" s="44" t="s">
        <v>1142</v>
      </c>
      <c r="AA693" s="44" t="s">
        <v>180</v>
      </c>
    </row>
    <row r="694" spans="1:27" hidden="1" x14ac:dyDescent="0.25">
      <c r="A694" s="26">
        <v>88</v>
      </c>
      <c r="B694" s="19" t="s">
        <v>1224</v>
      </c>
      <c r="C694" s="44" t="s">
        <v>172</v>
      </c>
      <c r="D694" s="19" t="s">
        <v>1211</v>
      </c>
      <c r="E694" s="19">
        <v>12</v>
      </c>
      <c r="F694" s="19">
        <v>490</v>
      </c>
      <c r="G694" s="19">
        <v>1388</v>
      </c>
      <c r="H694" s="19">
        <v>1</v>
      </c>
      <c r="I694" s="80">
        <v>63.63</v>
      </c>
      <c r="J694" s="80">
        <v>63.63</v>
      </c>
      <c r="K694" s="19" t="s">
        <v>184</v>
      </c>
      <c r="L694" s="19" t="s">
        <v>1205</v>
      </c>
      <c r="Q694" s="20">
        <v>17</v>
      </c>
      <c r="R694" s="65" t="s">
        <v>1141</v>
      </c>
      <c r="T694" s="19" t="s">
        <v>307</v>
      </c>
      <c r="V694" s="19" t="s">
        <v>178</v>
      </c>
      <c r="Y694" s="19" t="s">
        <v>138</v>
      </c>
      <c r="Z694" s="44" t="s">
        <v>1142</v>
      </c>
      <c r="AA694" s="44" t="s">
        <v>180</v>
      </c>
    </row>
    <row r="695" spans="1:27" hidden="1" x14ac:dyDescent="0.25">
      <c r="A695" s="26">
        <v>89</v>
      </c>
      <c r="B695" s="19" t="s">
        <v>1225</v>
      </c>
      <c r="C695" s="44" t="s">
        <v>172</v>
      </c>
      <c r="D695" s="19" t="s">
        <v>1211</v>
      </c>
      <c r="E695" s="19">
        <v>12</v>
      </c>
      <c r="F695" s="19">
        <v>490</v>
      </c>
      <c r="G695" s="19">
        <v>1388</v>
      </c>
      <c r="H695" s="19">
        <v>1</v>
      </c>
      <c r="I695" s="80">
        <v>63.63</v>
      </c>
      <c r="J695" s="80">
        <v>63.63</v>
      </c>
      <c r="K695" s="19" t="s">
        <v>184</v>
      </c>
      <c r="L695" s="19" t="s">
        <v>1205</v>
      </c>
      <c r="Q695" s="20">
        <v>17</v>
      </c>
      <c r="R695" s="65" t="s">
        <v>1141</v>
      </c>
      <c r="T695" s="19" t="s">
        <v>307</v>
      </c>
      <c r="V695" s="19" t="s">
        <v>178</v>
      </c>
      <c r="Y695" s="19" t="s">
        <v>138</v>
      </c>
      <c r="Z695" s="44" t="s">
        <v>1142</v>
      </c>
      <c r="AA695" s="44" t="s">
        <v>180</v>
      </c>
    </row>
    <row r="696" spans="1:27" hidden="1" x14ac:dyDescent="0.25">
      <c r="A696" s="26">
        <v>90</v>
      </c>
      <c r="B696" s="19" t="s">
        <v>1226</v>
      </c>
      <c r="C696" s="44" t="s">
        <v>172</v>
      </c>
      <c r="D696" s="19" t="s">
        <v>1211</v>
      </c>
      <c r="E696" s="19">
        <v>12</v>
      </c>
      <c r="F696" s="19">
        <v>490</v>
      </c>
      <c r="G696" s="19">
        <v>1388</v>
      </c>
      <c r="H696" s="19">
        <v>1</v>
      </c>
      <c r="I696" s="80">
        <v>63.63</v>
      </c>
      <c r="J696" s="80">
        <v>63.63</v>
      </c>
      <c r="K696" s="19" t="s">
        <v>184</v>
      </c>
      <c r="L696" s="19" t="s">
        <v>1205</v>
      </c>
      <c r="Q696" s="20">
        <v>17</v>
      </c>
      <c r="R696" s="65" t="s">
        <v>1141</v>
      </c>
      <c r="T696" s="19" t="s">
        <v>307</v>
      </c>
      <c r="V696" s="19" t="s">
        <v>178</v>
      </c>
      <c r="Y696" s="19" t="s">
        <v>138</v>
      </c>
      <c r="Z696" s="44" t="s">
        <v>1142</v>
      </c>
      <c r="AA696" s="44" t="s">
        <v>180</v>
      </c>
    </row>
    <row r="697" spans="1:27" hidden="1" x14ac:dyDescent="0.25">
      <c r="A697" s="26">
        <v>91</v>
      </c>
      <c r="B697" s="19" t="s">
        <v>1227</v>
      </c>
      <c r="C697" s="44" t="s">
        <v>172</v>
      </c>
      <c r="D697" s="19" t="s">
        <v>1211</v>
      </c>
      <c r="E697" s="19">
        <v>12</v>
      </c>
      <c r="F697" s="19">
        <v>490</v>
      </c>
      <c r="G697" s="19">
        <v>1388</v>
      </c>
      <c r="H697" s="19">
        <v>1</v>
      </c>
      <c r="I697" s="80">
        <v>63.63</v>
      </c>
      <c r="J697" s="80">
        <v>63.63</v>
      </c>
      <c r="K697" s="19" t="s">
        <v>184</v>
      </c>
      <c r="L697" s="19" t="s">
        <v>1205</v>
      </c>
      <c r="Q697" s="20">
        <v>17</v>
      </c>
      <c r="R697" s="65" t="s">
        <v>1141</v>
      </c>
      <c r="T697" s="19" t="s">
        <v>307</v>
      </c>
      <c r="V697" s="19" t="s">
        <v>178</v>
      </c>
      <c r="Y697" s="19" t="s">
        <v>138</v>
      </c>
      <c r="Z697" s="44" t="s">
        <v>1142</v>
      </c>
      <c r="AA697" s="44" t="s">
        <v>180</v>
      </c>
    </row>
    <row r="698" spans="1:27" hidden="1" x14ac:dyDescent="0.25">
      <c r="A698" s="26">
        <v>92</v>
      </c>
      <c r="B698" s="19" t="s">
        <v>1228</v>
      </c>
      <c r="C698" s="44" t="s">
        <v>172</v>
      </c>
      <c r="D698" s="19" t="s">
        <v>803</v>
      </c>
      <c r="E698" s="19">
        <v>12</v>
      </c>
      <c r="F698" s="19">
        <v>135</v>
      </c>
      <c r="G698" s="19">
        <v>488</v>
      </c>
      <c r="H698" s="19">
        <v>4</v>
      </c>
      <c r="I698" s="80">
        <v>6.19</v>
      </c>
      <c r="J698" s="80">
        <v>24.76</v>
      </c>
      <c r="K698" s="19" t="s">
        <v>184</v>
      </c>
      <c r="L698" s="19" t="s">
        <v>1229</v>
      </c>
      <c r="Q698" s="20">
        <v>17</v>
      </c>
      <c r="R698" s="65" t="s">
        <v>1141</v>
      </c>
      <c r="T698" s="19" t="s">
        <v>307</v>
      </c>
      <c r="V698" s="19" t="s">
        <v>178</v>
      </c>
      <c r="W698" s="19" t="s">
        <v>138</v>
      </c>
      <c r="Z698" s="44" t="s">
        <v>1142</v>
      </c>
      <c r="AA698" s="44" t="s">
        <v>180</v>
      </c>
    </row>
    <row r="699" spans="1:27" hidden="1" x14ac:dyDescent="0.25">
      <c r="A699" s="26">
        <v>93</v>
      </c>
      <c r="B699" s="19" t="s">
        <v>1230</v>
      </c>
      <c r="C699" s="44" t="s">
        <v>172</v>
      </c>
      <c r="D699" s="19" t="s">
        <v>803</v>
      </c>
      <c r="E699" s="19">
        <v>12</v>
      </c>
      <c r="F699" s="19">
        <v>135</v>
      </c>
      <c r="G699" s="19">
        <v>488</v>
      </c>
      <c r="H699" s="19">
        <v>4</v>
      </c>
      <c r="I699" s="80">
        <v>6.19</v>
      </c>
      <c r="J699" s="80">
        <v>24.76</v>
      </c>
      <c r="K699" s="19" t="s">
        <v>184</v>
      </c>
      <c r="L699" s="19" t="s">
        <v>1229</v>
      </c>
      <c r="Q699" s="20">
        <v>17</v>
      </c>
      <c r="R699" s="65" t="s">
        <v>1141</v>
      </c>
      <c r="T699" s="19" t="s">
        <v>307</v>
      </c>
      <c r="V699" s="19" t="s">
        <v>178</v>
      </c>
      <c r="W699" s="19" t="s">
        <v>138</v>
      </c>
      <c r="Z699" s="44" t="s">
        <v>1142</v>
      </c>
      <c r="AA699" s="44" t="s">
        <v>180</v>
      </c>
    </row>
    <row r="700" spans="1:27" hidden="1" x14ac:dyDescent="0.25">
      <c r="A700" s="26">
        <v>94</v>
      </c>
      <c r="B700" s="19" t="s">
        <v>1231</v>
      </c>
      <c r="C700" s="44" t="s">
        <v>172</v>
      </c>
      <c r="D700" s="19" t="s">
        <v>803</v>
      </c>
      <c r="E700" s="19">
        <v>12</v>
      </c>
      <c r="F700" s="19">
        <v>135</v>
      </c>
      <c r="G700" s="19">
        <v>488</v>
      </c>
      <c r="H700" s="19">
        <v>4</v>
      </c>
      <c r="I700" s="80">
        <v>6.19</v>
      </c>
      <c r="J700" s="80">
        <v>24.76</v>
      </c>
      <c r="K700" s="19" t="s">
        <v>184</v>
      </c>
      <c r="L700" s="19" t="s">
        <v>1229</v>
      </c>
      <c r="Q700" s="20">
        <v>17</v>
      </c>
      <c r="R700" s="65" t="s">
        <v>1141</v>
      </c>
      <c r="T700" s="19" t="s">
        <v>307</v>
      </c>
      <c r="V700" s="19" t="s">
        <v>178</v>
      </c>
      <c r="W700" s="19" t="s">
        <v>138</v>
      </c>
      <c r="Z700" s="44" t="s">
        <v>1142</v>
      </c>
      <c r="AA700" s="44" t="s">
        <v>180</v>
      </c>
    </row>
    <row r="701" spans="1:27" hidden="1" x14ac:dyDescent="0.25">
      <c r="A701" s="26">
        <v>95</v>
      </c>
      <c r="B701" s="19" t="s">
        <v>1232</v>
      </c>
      <c r="C701" s="44" t="s">
        <v>172</v>
      </c>
      <c r="D701" s="19" t="s">
        <v>803</v>
      </c>
      <c r="E701" s="19">
        <v>12</v>
      </c>
      <c r="F701" s="19">
        <v>135</v>
      </c>
      <c r="G701" s="19">
        <v>488</v>
      </c>
      <c r="H701" s="19">
        <v>4</v>
      </c>
      <c r="I701" s="80">
        <v>6.19</v>
      </c>
      <c r="J701" s="80">
        <v>24.76</v>
      </c>
      <c r="K701" s="19" t="s">
        <v>184</v>
      </c>
      <c r="L701" s="19" t="s">
        <v>1229</v>
      </c>
      <c r="Q701" s="20">
        <v>17</v>
      </c>
      <c r="R701" s="65" t="s">
        <v>1141</v>
      </c>
      <c r="T701" s="19" t="s">
        <v>307</v>
      </c>
      <c r="V701" s="19" t="s">
        <v>178</v>
      </c>
      <c r="W701" s="19" t="s">
        <v>138</v>
      </c>
      <c r="Z701" s="44" t="s">
        <v>1142</v>
      </c>
      <c r="AA701" s="44" t="s">
        <v>180</v>
      </c>
    </row>
    <row r="702" spans="1:27" hidden="1" x14ac:dyDescent="0.25">
      <c r="A702" s="26">
        <v>96</v>
      </c>
      <c r="B702" s="19" t="s">
        <v>1233</v>
      </c>
      <c r="C702" s="44" t="s">
        <v>172</v>
      </c>
      <c r="D702" s="19" t="s">
        <v>803</v>
      </c>
      <c r="E702" s="19">
        <v>12</v>
      </c>
      <c r="F702" s="19">
        <v>135</v>
      </c>
      <c r="G702" s="19">
        <v>488</v>
      </c>
      <c r="H702" s="19">
        <v>4</v>
      </c>
      <c r="I702" s="80">
        <v>6.19</v>
      </c>
      <c r="J702" s="80">
        <v>24.76</v>
      </c>
      <c r="K702" s="19" t="s">
        <v>184</v>
      </c>
      <c r="L702" s="19" t="s">
        <v>1229</v>
      </c>
      <c r="Q702" s="20">
        <v>17</v>
      </c>
      <c r="R702" s="65" t="s">
        <v>1141</v>
      </c>
      <c r="T702" s="19" t="s">
        <v>307</v>
      </c>
      <c r="V702" s="19" t="s">
        <v>178</v>
      </c>
      <c r="W702" s="19" t="s">
        <v>138</v>
      </c>
      <c r="Z702" s="44" t="s">
        <v>1142</v>
      </c>
      <c r="AA702" s="44" t="s">
        <v>180</v>
      </c>
    </row>
    <row r="703" spans="1:27" hidden="1" x14ac:dyDescent="0.25">
      <c r="A703" s="26">
        <v>97</v>
      </c>
      <c r="B703" s="19" t="s">
        <v>1234</v>
      </c>
      <c r="C703" s="44" t="s">
        <v>172</v>
      </c>
      <c r="D703" s="19" t="s">
        <v>803</v>
      </c>
      <c r="E703" s="19">
        <v>12</v>
      </c>
      <c r="F703" s="19">
        <v>135</v>
      </c>
      <c r="G703" s="19">
        <v>488</v>
      </c>
      <c r="H703" s="19">
        <v>4</v>
      </c>
      <c r="I703" s="80">
        <v>6.19</v>
      </c>
      <c r="J703" s="80">
        <v>24.76</v>
      </c>
      <c r="K703" s="19" t="s">
        <v>184</v>
      </c>
      <c r="L703" s="19" t="s">
        <v>1229</v>
      </c>
      <c r="Q703" s="20">
        <v>17</v>
      </c>
      <c r="R703" s="65" t="s">
        <v>1141</v>
      </c>
      <c r="T703" s="19" t="s">
        <v>307</v>
      </c>
      <c r="V703" s="19" t="s">
        <v>178</v>
      </c>
      <c r="W703" s="19" t="s">
        <v>138</v>
      </c>
      <c r="Z703" s="44" t="s">
        <v>1142</v>
      </c>
      <c r="AA703" s="44" t="s">
        <v>180</v>
      </c>
    </row>
    <row r="704" spans="1:27" hidden="1" x14ac:dyDescent="0.25">
      <c r="A704" s="26">
        <v>98</v>
      </c>
      <c r="B704" s="19" t="s">
        <v>1235</v>
      </c>
      <c r="C704" s="44" t="s">
        <v>172</v>
      </c>
      <c r="D704" s="19" t="s">
        <v>803</v>
      </c>
      <c r="E704" s="19">
        <v>12</v>
      </c>
      <c r="F704" s="19">
        <v>135</v>
      </c>
      <c r="G704" s="19">
        <v>488</v>
      </c>
      <c r="H704" s="19">
        <v>4</v>
      </c>
      <c r="I704" s="80">
        <v>6.19</v>
      </c>
      <c r="J704" s="80">
        <v>24.76</v>
      </c>
      <c r="K704" s="19" t="s">
        <v>184</v>
      </c>
      <c r="L704" s="19" t="s">
        <v>1229</v>
      </c>
      <c r="Q704" s="20">
        <v>17</v>
      </c>
      <c r="R704" s="65" t="s">
        <v>1141</v>
      </c>
      <c r="T704" s="19" t="s">
        <v>307</v>
      </c>
      <c r="V704" s="19" t="s">
        <v>178</v>
      </c>
      <c r="W704" s="19" t="s">
        <v>138</v>
      </c>
      <c r="Z704" s="44" t="s">
        <v>1142</v>
      </c>
      <c r="AA704" s="44" t="s">
        <v>180</v>
      </c>
    </row>
    <row r="705" spans="1:27" hidden="1" x14ac:dyDescent="0.25">
      <c r="A705" s="26">
        <v>99</v>
      </c>
      <c r="B705" s="19" t="s">
        <v>1236</v>
      </c>
      <c r="C705" s="44" t="s">
        <v>172</v>
      </c>
      <c r="D705" s="19" t="s">
        <v>803</v>
      </c>
      <c r="E705" s="19">
        <v>12</v>
      </c>
      <c r="F705" s="19">
        <v>135</v>
      </c>
      <c r="G705" s="19">
        <v>488</v>
      </c>
      <c r="H705" s="19">
        <v>4</v>
      </c>
      <c r="I705" s="80">
        <v>6.19</v>
      </c>
      <c r="J705" s="80">
        <v>24.76</v>
      </c>
      <c r="K705" s="19" t="s">
        <v>184</v>
      </c>
      <c r="L705" s="19" t="s">
        <v>1229</v>
      </c>
      <c r="Q705" s="20">
        <v>17</v>
      </c>
      <c r="R705" s="65" t="s">
        <v>1141</v>
      </c>
      <c r="T705" s="19" t="s">
        <v>307</v>
      </c>
      <c r="V705" s="19" t="s">
        <v>178</v>
      </c>
      <c r="W705" s="19" t="s">
        <v>138</v>
      </c>
      <c r="Z705" s="44" t="s">
        <v>1142</v>
      </c>
      <c r="AA705" s="44" t="s">
        <v>180</v>
      </c>
    </row>
    <row r="706" spans="1:27" hidden="1" x14ac:dyDescent="0.25">
      <c r="A706" s="26">
        <v>100</v>
      </c>
      <c r="B706" s="19" t="s">
        <v>1237</v>
      </c>
      <c r="C706" s="44" t="s">
        <v>172</v>
      </c>
      <c r="D706" s="19" t="s">
        <v>877</v>
      </c>
      <c r="E706" s="19">
        <v>12</v>
      </c>
      <c r="F706" s="19">
        <v>130</v>
      </c>
      <c r="G706" s="19">
        <v>1458</v>
      </c>
      <c r="H706" s="19">
        <v>1</v>
      </c>
      <c r="I706" s="80">
        <v>17.84</v>
      </c>
      <c r="J706" s="80">
        <v>17.84</v>
      </c>
      <c r="K706" s="19" t="s">
        <v>184</v>
      </c>
      <c r="L706" s="19" t="s">
        <v>1229</v>
      </c>
      <c r="Q706" s="20">
        <v>17</v>
      </c>
      <c r="R706" s="65" t="s">
        <v>1141</v>
      </c>
      <c r="T706" s="19" t="s">
        <v>307</v>
      </c>
      <c r="V706" s="19" t="s">
        <v>178</v>
      </c>
      <c r="W706" s="19" t="s">
        <v>138</v>
      </c>
      <c r="Z706" s="44" t="s">
        <v>1142</v>
      </c>
      <c r="AA706" s="44" t="s">
        <v>180</v>
      </c>
    </row>
    <row r="707" spans="1:27" hidden="1" x14ac:dyDescent="0.25">
      <c r="A707" s="26">
        <v>101</v>
      </c>
      <c r="B707" s="19" t="s">
        <v>1238</v>
      </c>
      <c r="C707" s="44" t="s">
        <v>172</v>
      </c>
      <c r="D707" s="19" t="s">
        <v>1239</v>
      </c>
      <c r="E707" s="19">
        <v>12</v>
      </c>
      <c r="F707" s="19">
        <v>130</v>
      </c>
      <c r="G707" s="19">
        <v>663</v>
      </c>
      <c r="H707" s="19">
        <v>7</v>
      </c>
      <c r="I707" s="80">
        <v>8.11</v>
      </c>
      <c r="J707" s="80">
        <v>56.77</v>
      </c>
      <c r="K707" s="19" t="s">
        <v>184</v>
      </c>
      <c r="L707" s="19" t="s">
        <v>1229</v>
      </c>
      <c r="Q707" s="20">
        <v>17</v>
      </c>
      <c r="R707" s="65" t="s">
        <v>1141</v>
      </c>
      <c r="T707" s="19" t="s">
        <v>307</v>
      </c>
      <c r="V707" s="19" t="s">
        <v>178</v>
      </c>
      <c r="W707" s="19" t="s">
        <v>138</v>
      </c>
      <c r="Z707" s="44" t="s">
        <v>1142</v>
      </c>
      <c r="AA707" s="44" t="s">
        <v>180</v>
      </c>
    </row>
    <row r="708" spans="1:27" hidden="1" x14ac:dyDescent="0.25">
      <c r="A708" s="26">
        <v>102</v>
      </c>
      <c r="B708" s="19" t="s">
        <v>1209</v>
      </c>
      <c r="C708" s="44" t="s">
        <v>172</v>
      </c>
      <c r="D708" s="19" t="s">
        <v>914</v>
      </c>
      <c r="E708" s="19">
        <v>12</v>
      </c>
      <c r="F708" s="19">
        <v>95</v>
      </c>
      <c r="G708" s="19">
        <v>263</v>
      </c>
      <c r="H708" s="19">
        <v>7</v>
      </c>
      <c r="I708" s="80">
        <v>2.34</v>
      </c>
      <c r="J708" s="80">
        <v>16.36</v>
      </c>
      <c r="K708" s="19" t="s">
        <v>184</v>
      </c>
      <c r="L708" s="19" t="s">
        <v>1229</v>
      </c>
      <c r="Q708" s="20">
        <v>17</v>
      </c>
      <c r="R708" s="65" t="s">
        <v>1141</v>
      </c>
      <c r="T708" s="19" t="s">
        <v>307</v>
      </c>
      <c r="V708" s="19" t="s">
        <v>178</v>
      </c>
      <c r="W708" s="19" t="s">
        <v>138</v>
      </c>
      <c r="Z708" s="44" t="s">
        <v>1142</v>
      </c>
      <c r="AA708" s="44" t="s">
        <v>180</v>
      </c>
    </row>
    <row r="709" spans="1:27" hidden="1" x14ac:dyDescent="0.25">
      <c r="A709" s="26">
        <v>103</v>
      </c>
      <c r="B709" s="19" t="s">
        <v>1240</v>
      </c>
      <c r="C709" s="44" t="s">
        <v>172</v>
      </c>
      <c r="D709" s="19" t="s">
        <v>877</v>
      </c>
      <c r="E709" s="19">
        <v>12</v>
      </c>
      <c r="F709" s="19">
        <v>130</v>
      </c>
      <c r="G709" s="19">
        <v>1458</v>
      </c>
      <c r="H709" s="19">
        <v>1</v>
      </c>
      <c r="I709" s="80">
        <v>17.84</v>
      </c>
      <c r="J709" s="80">
        <v>17.84</v>
      </c>
      <c r="K709" s="19" t="s">
        <v>184</v>
      </c>
      <c r="L709" s="19" t="s">
        <v>1229</v>
      </c>
      <c r="Q709" s="20">
        <v>17</v>
      </c>
      <c r="R709" s="65" t="s">
        <v>1141</v>
      </c>
      <c r="T709" s="19" t="s">
        <v>307</v>
      </c>
      <c r="V709" s="19" t="s">
        <v>178</v>
      </c>
      <c r="W709" s="19" t="s">
        <v>138</v>
      </c>
      <c r="Z709" s="44" t="s">
        <v>1142</v>
      </c>
      <c r="AA709" s="44" t="s">
        <v>180</v>
      </c>
    </row>
    <row r="710" spans="1:27" hidden="1" x14ac:dyDescent="0.25">
      <c r="A710" s="26">
        <v>104</v>
      </c>
      <c r="B710" s="19" t="s">
        <v>1241</v>
      </c>
      <c r="C710" s="44" t="s">
        <v>172</v>
      </c>
      <c r="D710" s="19" t="s">
        <v>1239</v>
      </c>
      <c r="E710" s="19">
        <v>12</v>
      </c>
      <c r="F710" s="19">
        <v>130</v>
      </c>
      <c r="G710" s="19">
        <v>663</v>
      </c>
      <c r="H710" s="19">
        <v>9</v>
      </c>
      <c r="I710" s="80">
        <v>8.11</v>
      </c>
      <c r="J710" s="80">
        <v>72.98</v>
      </c>
      <c r="K710" s="19" t="s">
        <v>184</v>
      </c>
      <c r="L710" s="19" t="s">
        <v>1229</v>
      </c>
      <c r="Q710" s="20">
        <v>17</v>
      </c>
      <c r="R710" s="65" t="s">
        <v>1141</v>
      </c>
      <c r="T710" s="19" t="s">
        <v>307</v>
      </c>
      <c r="V710" s="19" t="s">
        <v>178</v>
      </c>
      <c r="W710" s="19" t="s">
        <v>138</v>
      </c>
      <c r="Z710" s="44" t="s">
        <v>1142</v>
      </c>
      <c r="AA710" s="44" t="s">
        <v>180</v>
      </c>
    </row>
    <row r="711" spans="1:27" hidden="1" x14ac:dyDescent="0.25">
      <c r="A711" s="26">
        <v>105</v>
      </c>
      <c r="B711" s="19" t="s">
        <v>1242</v>
      </c>
      <c r="C711" s="44" t="s">
        <v>172</v>
      </c>
      <c r="D711" s="19" t="s">
        <v>835</v>
      </c>
      <c r="E711" s="19">
        <v>12</v>
      </c>
      <c r="F711" s="19">
        <v>1460</v>
      </c>
      <c r="G711" s="19">
        <v>9068</v>
      </c>
      <c r="H711" s="19">
        <v>1</v>
      </c>
      <c r="I711" s="80">
        <v>1240.54</v>
      </c>
      <c r="J711" s="80">
        <v>1240.54</v>
      </c>
      <c r="K711" s="19" t="s">
        <v>184</v>
      </c>
      <c r="L711" s="19" t="s">
        <v>1229</v>
      </c>
      <c r="Q711" s="20">
        <v>17</v>
      </c>
      <c r="R711" s="65" t="s">
        <v>1141</v>
      </c>
      <c r="T711" s="19" t="s">
        <v>307</v>
      </c>
      <c r="V711" s="19" t="s">
        <v>178</v>
      </c>
      <c r="Y711" s="19" t="s">
        <v>138</v>
      </c>
      <c r="Z711" s="44" t="s">
        <v>1142</v>
      </c>
      <c r="AA711" s="44" t="s">
        <v>180</v>
      </c>
    </row>
    <row r="712" spans="1:27" hidden="1" x14ac:dyDescent="0.25">
      <c r="A712" s="26">
        <v>106</v>
      </c>
      <c r="B712" s="19" t="s">
        <v>1243</v>
      </c>
      <c r="C712" s="44" t="s">
        <v>172</v>
      </c>
      <c r="D712" s="19" t="s">
        <v>828</v>
      </c>
      <c r="E712" s="19">
        <v>12</v>
      </c>
      <c r="F712" s="19">
        <v>490</v>
      </c>
      <c r="G712" s="19">
        <v>9980</v>
      </c>
      <c r="H712" s="19">
        <v>1</v>
      </c>
      <c r="I712" s="80">
        <v>460.46</v>
      </c>
      <c r="J712" s="80">
        <v>460.46</v>
      </c>
      <c r="K712" s="19" t="s">
        <v>184</v>
      </c>
      <c r="L712" s="19" t="s">
        <v>1229</v>
      </c>
      <c r="Q712" s="20">
        <v>17</v>
      </c>
      <c r="R712" s="65" t="s">
        <v>1141</v>
      </c>
      <c r="T712" s="19" t="s">
        <v>307</v>
      </c>
      <c r="V712" s="19" t="s">
        <v>178</v>
      </c>
      <c r="Y712" s="19" t="s">
        <v>138</v>
      </c>
      <c r="Z712" s="44" t="s">
        <v>1142</v>
      </c>
      <c r="AA712" s="44" t="s">
        <v>180</v>
      </c>
    </row>
    <row r="713" spans="1:27" hidden="1" x14ac:dyDescent="0.25">
      <c r="A713" s="26">
        <v>107</v>
      </c>
      <c r="B713" s="19" t="s">
        <v>1191</v>
      </c>
      <c r="C713" s="44" t="s">
        <v>172</v>
      </c>
      <c r="D713" s="19" t="s">
        <v>914</v>
      </c>
      <c r="E713" s="19">
        <v>12</v>
      </c>
      <c r="F713" s="19">
        <v>95</v>
      </c>
      <c r="G713" s="19">
        <v>263</v>
      </c>
      <c r="H713" s="19">
        <v>2</v>
      </c>
      <c r="I713" s="80">
        <v>2.34</v>
      </c>
      <c r="J713" s="80">
        <v>4.68</v>
      </c>
      <c r="K713" s="19" t="s">
        <v>184</v>
      </c>
      <c r="L713" s="19" t="s">
        <v>1229</v>
      </c>
      <c r="Q713" s="20">
        <v>17</v>
      </c>
      <c r="R713" s="65" t="s">
        <v>1141</v>
      </c>
      <c r="T713" s="19" t="s">
        <v>307</v>
      </c>
      <c r="V713" s="19" t="s">
        <v>178</v>
      </c>
      <c r="W713" s="19" t="s">
        <v>138</v>
      </c>
      <c r="Z713" s="44" t="s">
        <v>1142</v>
      </c>
      <c r="AA713" s="44" t="s">
        <v>180</v>
      </c>
    </row>
    <row r="714" spans="1:27" hidden="1" x14ac:dyDescent="0.25">
      <c r="A714" s="26">
        <v>108</v>
      </c>
      <c r="B714" s="19" t="s">
        <v>1244</v>
      </c>
      <c r="C714" s="44" t="s">
        <v>172</v>
      </c>
      <c r="D714" s="19" t="s">
        <v>1239</v>
      </c>
      <c r="E714" s="19">
        <v>12</v>
      </c>
      <c r="F714" s="19">
        <v>130</v>
      </c>
      <c r="G714" s="19">
        <v>663</v>
      </c>
      <c r="H714" s="19">
        <v>9</v>
      </c>
      <c r="I714" s="80">
        <v>8.11</v>
      </c>
      <c r="J714" s="80">
        <v>72.98</v>
      </c>
      <c r="K714" s="19" t="s">
        <v>184</v>
      </c>
      <c r="L714" s="19" t="s">
        <v>1229</v>
      </c>
      <c r="Q714" s="20">
        <v>17</v>
      </c>
      <c r="R714" s="65" t="s">
        <v>1141</v>
      </c>
      <c r="T714" s="19" t="s">
        <v>307</v>
      </c>
      <c r="V714" s="19" t="s">
        <v>178</v>
      </c>
      <c r="W714" s="19" t="s">
        <v>138</v>
      </c>
      <c r="Z714" s="44" t="s">
        <v>1142</v>
      </c>
      <c r="AA714" s="44" t="s">
        <v>180</v>
      </c>
    </row>
    <row r="715" spans="1:27" hidden="1" x14ac:dyDescent="0.25">
      <c r="A715" s="26">
        <v>109</v>
      </c>
      <c r="B715" s="19" t="s">
        <v>1192</v>
      </c>
      <c r="C715" s="44" t="s">
        <v>172</v>
      </c>
      <c r="D715" s="19" t="s">
        <v>914</v>
      </c>
      <c r="E715" s="19">
        <v>12</v>
      </c>
      <c r="F715" s="19">
        <v>95</v>
      </c>
      <c r="G715" s="19">
        <v>263</v>
      </c>
      <c r="H715" s="19">
        <v>2</v>
      </c>
      <c r="I715" s="80">
        <v>2.34</v>
      </c>
      <c r="J715" s="80">
        <v>4.68</v>
      </c>
      <c r="K715" s="19" t="s">
        <v>184</v>
      </c>
      <c r="L715" s="19" t="s">
        <v>1229</v>
      </c>
      <c r="Q715" s="20">
        <v>17</v>
      </c>
      <c r="R715" s="65" t="s">
        <v>1141</v>
      </c>
      <c r="T715" s="19" t="s">
        <v>307</v>
      </c>
      <c r="V715" s="19" t="s">
        <v>178</v>
      </c>
      <c r="W715" s="19" t="s">
        <v>138</v>
      </c>
      <c r="Z715" s="44" t="s">
        <v>1142</v>
      </c>
      <c r="AA715" s="44" t="s">
        <v>180</v>
      </c>
    </row>
    <row r="716" spans="1:27" hidden="1" x14ac:dyDescent="0.25">
      <c r="A716" s="26">
        <v>110</v>
      </c>
      <c r="B716" s="19" t="s">
        <v>1245</v>
      </c>
      <c r="C716" s="44" t="s">
        <v>172</v>
      </c>
      <c r="D716" s="19" t="s">
        <v>1239</v>
      </c>
      <c r="E716" s="19">
        <v>12</v>
      </c>
      <c r="F716" s="19">
        <v>130</v>
      </c>
      <c r="G716" s="19">
        <v>663</v>
      </c>
      <c r="H716" s="19">
        <v>3</v>
      </c>
      <c r="I716" s="80">
        <v>8.11</v>
      </c>
      <c r="J716" s="80">
        <v>24.33</v>
      </c>
      <c r="K716" s="19" t="s">
        <v>184</v>
      </c>
      <c r="L716" s="19" t="s">
        <v>1229</v>
      </c>
      <c r="Q716" s="20">
        <v>17</v>
      </c>
      <c r="R716" s="65" t="s">
        <v>1141</v>
      </c>
      <c r="T716" s="19" t="s">
        <v>307</v>
      </c>
      <c r="V716" s="19" t="s">
        <v>178</v>
      </c>
      <c r="W716" s="19" t="s">
        <v>138</v>
      </c>
      <c r="Z716" s="44" t="s">
        <v>1142</v>
      </c>
      <c r="AA716" s="44" t="s">
        <v>180</v>
      </c>
    </row>
    <row r="717" spans="1:27" hidden="1" x14ac:dyDescent="0.25">
      <c r="A717" s="26">
        <v>111</v>
      </c>
      <c r="B717" s="19" t="s">
        <v>1206</v>
      </c>
      <c r="C717" s="44" t="s">
        <v>172</v>
      </c>
      <c r="D717" s="19" t="s">
        <v>803</v>
      </c>
      <c r="E717" s="19">
        <v>12</v>
      </c>
      <c r="F717" s="19">
        <v>135</v>
      </c>
      <c r="G717" s="19">
        <v>488</v>
      </c>
      <c r="H717" s="19">
        <v>1</v>
      </c>
      <c r="I717" s="80">
        <v>6.19</v>
      </c>
      <c r="J717" s="80">
        <v>6.19</v>
      </c>
      <c r="K717" s="19" t="s">
        <v>184</v>
      </c>
      <c r="L717" s="19" t="s">
        <v>1246</v>
      </c>
      <c r="Q717" s="20">
        <v>17</v>
      </c>
      <c r="R717" s="65" t="s">
        <v>1141</v>
      </c>
      <c r="T717" s="19" t="s">
        <v>307</v>
      </c>
      <c r="V717" s="19" t="s">
        <v>178</v>
      </c>
      <c r="W717" s="19" t="s">
        <v>138</v>
      </c>
      <c r="Z717" s="44" t="s">
        <v>1142</v>
      </c>
      <c r="AA717" s="44" t="s">
        <v>180</v>
      </c>
    </row>
    <row r="718" spans="1:27" hidden="1" x14ac:dyDescent="0.25">
      <c r="A718" s="26">
        <v>112</v>
      </c>
      <c r="B718" s="19" t="s">
        <v>1207</v>
      </c>
      <c r="C718" s="44" t="s">
        <v>172</v>
      </c>
      <c r="D718" s="19" t="s">
        <v>803</v>
      </c>
      <c r="E718" s="19">
        <v>12</v>
      </c>
      <c r="F718" s="19">
        <v>135</v>
      </c>
      <c r="G718" s="19">
        <v>488</v>
      </c>
      <c r="H718" s="19">
        <v>5</v>
      </c>
      <c r="I718" s="80">
        <v>6.19</v>
      </c>
      <c r="J718" s="80">
        <v>30.95</v>
      </c>
      <c r="K718" s="19" t="s">
        <v>184</v>
      </c>
      <c r="L718" s="19" t="s">
        <v>1246</v>
      </c>
      <c r="Q718" s="20">
        <v>17</v>
      </c>
      <c r="R718" s="65" t="s">
        <v>1141</v>
      </c>
      <c r="T718" s="19" t="s">
        <v>307</v>
      </c>
      <c r="V718" s="19" t="s">
        <v>178</v>
      </c>
      <c r="W718" s="19" t="s">
        <v>138</v>
      </c>
      <c r="Z718" s="44" t="s">
        <v>1142</v>
      </c>
      <c r="AA718" s="44" t="s">
        <v>180</v>
      </c>
    </row>
    <row r="719" spans="1:27" hidden="1" x14ac:dyDescent="0.25">
      <c r="A719" s="26">
        <v>113</v>
      </c>
      <c r="B719" s="19" t="s">
        <v>1247</v>
      </c>
      <c r="C719" s="44" t="s">
        <v>172</v>
      </c>
      <c r="D719" s="19" t="s">
        <v>803</v>
      </c>
      <c r="E719" s="19">
        <v>12</v>
      </c>
      <c r="F719" s="19">
        <v>135</v>
      </c>
      <c r="G719" s="19">
        <v>488</v>
      </c>
      <c r="H719" s="19">
        <v>12</v>
      </c>
      <c r="I719" s="80">
        <v>6.19</v>
      </c>
      <c r="J719" s="80">
        <v>74.28</v>
      </c>
      <c r="K719" s="19" t="s">
        <v>184</v>
      </c>
      <c r="L719" s="19" t="s">
        <v>1246</v>
      </c>
      <c r="Q719" s="20">
        <v>17</v>
      </c>
      <c r="R719" s="65" t="s">
        <v>1141</v>
      </c>
      <c r="T719" s="19" t="s">
        <v>307</v>
      </c>
      <c r="V719" s="19" t="s">
        <v>178</v>
      </c>
      <c r="W719" s="19" t="s">
        <v>138</v>
      </c>
      <c r="Z719" s="44" t="s">
        <v>1142</v>
      </c>
      <c r="AA719" s="44" t="s">
        <v>180</v>
      </c>
    </row>
    <row r="720" spans="1:27" hidden="1" x14ac:dyDescent="0.25">
      <c r="A720" s="26">
        <v>114</v>
      </c>
      <c r="B720" s="19" t="s">
        <v>1248</v>
      </c>
      <c r="C720" s="44" t="s">
        <v>172</v>
      </c>
      <c r="D720" s="19" t="s">
        <v>803</v>
      </c>
      <c r="E720" s="19">
        <v>12</v>
      </c>
      <c r="F720" s="19">
        <v>135</v>
      </c>
      <c r="G720" s="19">
        <v>488</v>
      </c>
      <c r="H720" s="19">
        <v>16</v>
      </c>
      <c r="I720" s="80">
        <v>6.19</v>
      </c>
      <c r="J720" s="80">
        <v>99.04</v>
      </c>
      <c r="K720" s="19" t="s">
        <v>184</v>
      </c>
      <c r="L720" s="19" t="s">
        <v>1246</v>
      </c>
      <c r="Q720" s="20">
        <v>17</v>
      </c>
      <c r="R720" s="65" t="s">
        <v>1141</v>
      </c>
      <c r="T720" s="19" t="s">
        <v>307</v>
      </c>
      <c r="V720" s="19" t="s">
        <v>178</v>
      </c>
      <c r="W720" s="19" t="s">
        <v>138</v>
      </c>
      <c r="Z720" s="44" t="s">
        <v>1142</v>
      </c>
      <c r="AA720" s="44" t="s">
        <v>180</v>
      </c>
    </row>
    <row r="721" spans="1:27" hidden="1" x14ac:dyDescent="0.25">
      <c r="A721" s="26">
        <v>115</v>
      </c>
      <c r="B721" s="19" t="s">
        <v>1249</v>
      </c>
      <c r="C721" s="44" t="s">
        <v>172</v>
      </c>
      <c r="D721" s="19" t="s">
        <v>803</v>
      </c>
      <c r="E721" s="19">
        <v>12</v>
      </c>
      <c r="F721" s="19">
        <v>135</v>
      </c>
      <c r="G721" s="19">
        <v>488</v>
      </c>
      <c r="H721" s="19">
        <v>16</v>
      </c>
      <c r="I721" s="80">
        <v>6.19</v>
      </c>
      <c r="J721" s="80">
        <v>99.04</v>
      </c>
      <c r="K721" s="19" t="s">
        <v>184</v>
      </c>
      <c r="L721" s="19" t="s">
        <v>1246</v>
      </c>
      <c r="Q721" s="20">
        <v>17</v>
      </c>
      <c r="R721" s="65" t="s">
        <v>1141</v>
      </c>
      <c r="T721" s="19" t="s">
        <v>307</v>
      </c>
      <c r="V721" s="19" t="s">
        <v>178</v>
      </c>
      <c r="W721" s="19" t="s">
        <v>138</v>
      </c>
      <c r="Z721" s="44" t="s">
        <v>1142</v>
      </c>
      <c r="AA721" s="44" t="s">
        <v>180</v>
      </c>
    </row>
    <row r="722" spans="1:27" hidden="1" x14ac:dyDescent="0.25">
      <c r="A722" s="26">
        <v>116</v>
      </c>
      <c r="B722" s="19" t="s">
        <v>1250</v>
      </c>
      <c r="C722" s="44" t="s">
        <v>172</v>
      </c>
      <c r="D722" s="19" t="s">
        <v>803</v>
      </c>
      <c r="E722" s="19">
        <v>12</v>
      </c>
      <c r="F722" s="19">
        <v>135</v>
      </c>
      <c r="G722" s="19">
        <v>488</v>
      </c>
      <c r="H722" s="19">
        <v>16</v>
      </c>
      <c r="I722" s="80">
        <v>6.19</v>
      </c>
      <c r="J722" s="80">
        <v>99.04</v>
      </c>
      <c r="K722" s="19" t="s">
        <v>184</v>
      </c>
      <c r="L722" s="19" t="s">
        <v>1246</v>
      </c>
      <c r="Q722" s="20">
        <v>17</v>
      </c>
      <c r="R722" s="65" t="s">
        <v>1141</v>
      </c>
      <c r="T722" s="19" t="s">
        <v>307</v>
      </c>
      <c r="V722" s="19" t="s">
        <v>178</v>
      </c>
      <c r="W722" s="19" t="s">
        <v>138</v>
      </c>
      <c r="Z722" s="44" t="s">
        <v>1142</v>
      </c>
      <c r="AA722" s="44" t="s">
        <v>180</v>
      </c>
    </row>
    <row r="723" spans="1:27" hidden="1" x14ac:dyDescent="0.25">
      <c r="A723" s="26">
        <v>117</v>
      </c>
      <c r="B723" s="19" t="s">
        <v>1251</v>
      </c>
      <c r="C723" s="44" t="s">
        <v>172</v>
      </c>
      <c r="D723" s="19" t="s">
        <v>879</v>
      </c>
      <c r="E723" s="19">
        <v>12</v>
      </c>
      <c r="F723" s="19">
        <v>130</v>
      </c>
      <c r="G723" s="19">
        <v>263</v>
      </c>
      <c r="H723" s="19">
        <v>1</v>
      </c>
      <c r="I723" s="80">
        <v>3.21</v>
      </c>
      <c r="J723" s="80">
        <v>3.21</v>
      </c>
      <c r="K723" s="19" t="s">
        <v>184</v>
      </c>
      <c r="L723" s="19" t="s">
        <v>1246</v>
      </c>
      <c r="Q723" s="20">
        <v>17</v>
      </c>
      <c r="R723" s="65" t="s">
        <v>1141</v>
      </c>
      <c r="T723" s="19" t="s">
        <v>307</v>
      </c>
      <c r="V723" s="19" t="s">
        <v>178</v>
      </c>
      <c r="W723" s="19" t="s">
        <v>138</v>
      </c>
      <c r="Z723" s="44" t="s">
        <v>1142</v>
      </c>
      <c r="AA723" s="44" t="s">
        <v>180</v>
      </c>
    </row>
    <row r="724" spans="1:27" hidden="1" x14ac:dyDescent="0.25">
      <c r="A724" s="26">
        <v>118</v>
      </c>
      <c r="B724" s="19" t="s">
        <v>1252</v>
      </c>
      <c r="C724" s="44" t="s">
        <v>172</v>
      </c>
      <c r="D724" s="19" t="s">
        <v>835</v>
      </c>
      <c r="E724" s="19">
        <v>12</v>
      </c>
      <c r="F724" s="19">
        <v>1460</v>
      </c>
      <c r="G724" s="19">
        <v>9068</v>
      </c>
      <c r="H724" s="19">
        <v>1</v>
      </c>
      <c r="I724" s="80">
        <v>1240.54</v>
      </c>
      <c r="J724" s="80">
        <v>1240.54</v>
      </c>
      <c r="K724" s="19" t="s">
        <v>184</v>
      </c>
      <c r="L724" s="19" t="s">
        <v>1246</v>
      </c>
      <c r="Q724" s="20">
        <v>17</v>
      </c>
      <c r="R724" s="65" t="s">
        <v>1141</v>
      </c>
      <c r="T724" s="19" t="s">
        <v>307</v>
      </c>
      <c r="V724" s="19" t="s">
        <v>178</v>
      </c>
      <c r="Y724" s="19" t="s">
        <v>138</v>
      </c>
      <c r="Z724" s="44" t="s">
        <v>1142</v>
      </c>
      <c r="AA724" s="44" t="s">
        <v>180</v>
      </c>
    </row>
    <row r="725" spans="1:27" hidden="1" x14ac:dyDescent="0.25">
      <c r="A725" s="26">
        <v>119</v>
      </c>
      <c r="B725" s="19" t="s">
        <v>1253</v>
      </c>
      <c r="C725" s="44" t="s">
        <v>172</v>
      </c>
      <c r="D725" s="19" t="s">
        <v>879</v>
      </c>
      <c r="E725" s="19">
        <v>12</v>
      </c>
      <c r="F725" s="19">
        <v>130</v>
      </c>
      <c r="G725" s="19">
        <v>263</v>
      </c>
      <c r="H725" s="19">
        <v>1</v>
      </c>
      <c r="I725" s="80">
        <v>3.21</v>
      </c>
      <c r="J725" s="80">
        <v>3.21</v>
      </c>
      <c r="K725" s="19" t="s">
        <v>184</v>
      </c>
      <c r="L725" s="19" t="s">
        <v>1246</v>
      </c>
      <c r="Q725" s="20">
        <v>17</v>
      </c>
      <c r="R725" s="65" t="s">
        <v>1141</v>
      </c>
      <c r="T725" s="19" t="s">
        <v>307</v>
      </c>
      <c r="V725" s="19" t="s">
        <v>178</v>
      </c>
      <c r="W725" s="19" t="s">
        <v>138</v>
      </c>
      <c r="Z725" s="44" t="s">
        <v>1142</v>
      </c>
      <c r="AA725" s="44" t="s">
        <v>180</v>
      </c>
    </row>
    <row r="726" spans="1:27" hidden="1" x14ac:dyDescent="0.25">
      <c r="A726" s="26">
        <v>120</v>
      </c>
      <c r="B726" s="19" t="s">
        <v>1254</v>
      </c>
      <c r="C726" s="44" t="s">
        <v>172</v>
      </c>
      <c r="D726" s="19" t="s">
        <v>828</v>
      </c>
      <c r="E726" s="19">
        <v>12</v>
      </c>
      <c r="F726" s="19">
        <v>490</v>
      </c>
      <c r="G726" s="19">
        <v>9980</v>
      </c>
      <c r="H726" s="19">
        <v>1</v>
      </c>
      <c r="I726" s="80">
        <v>460.46</v>
      </c>
      <c r="J726" s="80">
        <v>460.46</v>
      </c>
      <c r="K726" s="19" t="s">
        <v>184</v>
      </c>
      <c r="L726" s="19" t="s">
        <v>1246</v>
      </c>
      <c r="Q726" s="20">
        <v>17</v>
      </c>
      <c r="R726" s="65" t="s">
        <v>1141</v>
      </c>
      <c r="T726" s="19" t="s">
        <v>307</v>
      </c>
      <c r="V726" s="19" t="s">
        <v>178</v>
      </c>
      <c r="Y726" s="19" t="s">
        <v>138</v>
      </c>
      <c r="Z726" s="44" t="s">
        <v>1142</v>
      </c>
      <c r="AA726" s="44" t="s">
        <v>180</v>
      </c>
    </row>
    <row r="727" spans="1:27" hidden="1" x14ac:dyDescent="0.25">
      <c r="A727" s="26">
        <v>121</v>
      </c>
      <c r="B727" s="19" t="s">
        <v>1192</v>
      </c>
      <c r="C727" s="44" t="s">
        <v>172</v>
      </c>
      <c r="D727" s="19" t="s">
        <v>914</v>
      </c>
      <c r="E727" s="19">
        <v>12</v>
      </c>
      <c r="F727" s="19">
        <v>95</v>
      </c>
      <c r="G727" s="19">
        <v>263</v>
      </c>
      <c r="H727" s="19">
        <v>2</v>
      </c>
      <c r="I727" s="80">
        <v>2.34</v>
      </c>
      <c r="J727" s="80">
        <v>4.68</v>
      </c>
      <c r="K727" s="19" t="s">
        <v>184</v>
      </c>
      <c r="L727" s="19" t="s">
        <v>1246</v>
      </c>
      <c r="Q727" s="20">
        <v>17</v>
      </c>
      <c r="R727" s="65" t="s">
        <v>1141</v>
      </c>
      <c r="T727" s="19" t="s">
        <v>307</v>
      </c>
      <c r="V727" s="19" t="s">
        <v>178</v>
      </c>
      <c r="W727" s="19" t="s">
        <v>138</v>
      </c>
      <c r="Z727" s="44" t="s">
        <v>1142</v>
      </c>
      <c r="AA727" s="44" t="s">
        <v>180</v>
      </c>
    </row>
    <row r="728" spans="1:27" hidden="1" x14ac:dyDescent="0.25">
      <c r="A728" s="26">
        <v>122</v>
      </c>
      <c r="B728" s="19" t="s">
        <v>1255</v>
      </c>
      <c r="C728" s="44" t="s">
        <v>172</v>
      </c>
      <c r="D728" s="19" t="s">
        <v>877</v>
      </c>
      <c r="E728" s="19">
        <v>12</v>
      </c>
      <c r="F728" s="19">
        <v>130</v>
      </c>
      <c r="G728" s="19">
        <v>1458</v>
      </c>
      <c r="H728" s="19">
        <v>1</v>
      </c>
      <c r="I728" s="80">
        <v>17.84</v>
      </c>
      <c r="J728" s="80">
        <v>17.84</v>
      </c>
      <c r="K728" s="19" t="s">
        <v>184</v>
      </c>
      <c r="L728" s="19" t="s">
        <v>1246</v>
      </c>
      <c r="Q728" s="20">
        <v>17</v>
      </c>
      <c r="R728" s="65" t="s">
        <v>1141</v>
      </c>
      <c r="T728" s="19" t="s">
        <v>307</v>
      </c>
      <c r="V728" s="19" t="s">
        <v>178</v>
      </c>
      <c r="W728" s="19" t="s">
        <v>138</v>
      </c>
      <c r="Z728" s="44" t="s">
        <v>1142</v>
      </c>
      <c r="AA728" s="44" t="s">
        <v>180</v>
      </c>
    </row>
    <row r="729" spans="1:27" hidden="1" x14ac:dyDescent="0.25">
      <c r="A729" s="26">
        <v>123</v>
      </c>
      <c r="B729" s="19" t="s">
        <v>1245</v>
      </c>
      <c r="C729" s="44" t="s">
        <v>172</v>
      </c>
      <c r="D729" s="19" t="s">
        <v>1239</v>
      </c>
      <c r="E729" s="19">
        <v>12</v>
      </c>
      <c r="F729" s="19">
        <v>130</v>
      </c>
      <c r="G729" s="19">
        <v>663</v>
      </c>
      <c r="H729" s="19">
        <v>6</v>
      </c>
      <c r="I729" s="80">
        <v>8.11</v>
      </c>
      <c r="J729" s="80">
        <v>48.66</v>
      </c>
      <c r="K729" s="19" t="s">
        <v>184</v>
      </c>
      <c r="L729" s="19" t="s">
        <v>1246</v>
      </c>
      <c r="Q729" s="20">
        <v>17</v>
      </c>
      <c r="R729" s="65" t="s">
        <v>1141</v>
      </c>
      <c r="T729" s="19" t="s">
        <v>307</v>
      </c>
      <c r="V729" s="19" t="s">
        <v>178</v>
      </c>
      <c r="W729" s="19" t="s">
        <v>138</v>
      </c>
      <c r="Z729" s="44" t="s">
        <v>1142</v>
      </c>
      <c r="AA729" s="44" t="s">
        <v>180</v>
      </c>
    </row>
    <row r="730" spans="1:27" hidden="1" x14ac:dyDescent="0.25">
      <c r="A730" s="26">
        <v>124</v>
      </c>
      <c r="B730" s="19" t="s">
        <v>1256</v>
      </c>
      <c r="C730" s="44" t="s">
        <v>172</v>
      </c>
      <c r="D730" s="19" t="s">
        <v>879</v>
      </c>
      <c r="E730" s="19">
        <v>12</v>
      </c>
      <c r="F730" s="19">
        <v>130</v>
      </c>
      <c r="G730" s="19">
        <v>263</v>
      </c>
      <c r="H730" s="19">
        <v>1</v>
      </c>
      <c r="I730" s="80">
        <v>3.21</v>
      </c>
      <c r="J730" s="80">
        <v>3.21</v>
      </c>
      <c r="K730" s="19" t="s">
        <v>184</v>
      </c>
      <c r="L730" s="19" t="s">
        <v>1246</v>
      </c>
      <c r="Q730" s="20">
        <v>17</v>
      </c>
      <c r="R730" s="65" t="s">
        <v>1141</v>
      </c>
      <c r="T730" s="19" t="s">
        <v>307</v>
      </c>
      <c r="V730" s="19" t="s">
        <v>178</v>
      </c>
      <c r="W730" s="19" t="s">
        <v>138</v>
      </c>
      <c r="Z730" s="44" t="s">
        <v>1142</v>
      </c>
      <c r="AA730" s="44" t="s">
        <v>180</v>
      </c>
    </row>
    <row r="731" spans="1:27" hidden="1" x14ac:dyDescent="0.25">
      <c r="A731" s="26">
        <v>125</v>
      </c>
      <c r="B731" s="19" t="s">
        <v>1257</v>
      </c>
      <c r="C731" s="44" t="s">
        <v>172</v>
      </c>
      <c r="D731" s="19" t="s">
        <v>803</v>
      </c>
      <c r="E731" s="19">
        <v>12</v>
      </c>
      <c r="F731" s="19">
        <v>135</v>
      </c>
      <c r="G731" s="19">
        <v>488</v>
      </c>
      <c r="H731" s="19">
        <v>12</v>
      </c>
      <c r="I731" s="80">
        <v>6.19</v>
      </c>
      <c r="J731" s="80">
        <v>74.28</v>
      </c>
      <c r="K731" s="19" t="s">
        <v>184</v>
      </c>
      <c r="L731" s="19" t="s">
        <v>1258</v>
      </c>
      <c r="Q731" s="20">
        <v>17</v>
      </c>
      <c r="R731" s="65" t="s">
        <v>1141</v>
      </c>
      <c r="T731" s="19" t="s">
        <v>307</v>
      </c>
      <c r="V731" s="19" t="s">
        <v>178</v>
      </c>
      <c r="W731" s="19" t="s">
        <v>138</v>
      </c>
      <c r="Z731" s="44" t="s">
        <v>1142</v>
      </c>
      <c r="AA731" s="44" t="s">
        <v>180</v>
      </c>
    </row>
    <row r="732" spans="1:27" hidden="1" x14ac:dyDescent="0.25">
      <c r="A732" s="26">
        <v>126</v>
      </c>
      <c r="B732" s="19" t="s">
        <v>1259</v>
      </c>
      <c r="C732" s="44" t="s">
        <v>172</v>
      </c>
      <c r="D732" s="19" t="s">
        <v>812</v>
      </c>
      <c r="E732" s="19">
        <v>12</v>
      </c>
      <c r="F732" s="19">
        <v>490</v>
      </c>
      <c r="G732" s="19">
        <v>6464</v>
      </c>
      <c r="H732" s="19">
        <v>1</v>
      </c>
      <c r="I732" s="80">
        <v>298.26</v>
      </c>
      <c r="J732" s="80">
        <v>298.26</v>
      </c>
      <c r="K732" s="19" t="s">
        <v>184</v>
      </c>
      <c r="L732" s="19" t="s">
        <v>1258</v>
      </c>
      <c r="Q732" s="20">
        <v>17</v>
      </c>
      <c r="R732" s="65" t="s">
        <v>1141</v>
      </c>
      <c r="T732" s="19" t="s">
        <v>307</v>
      </c>
      <c r="V732" s="19" t="s">
        <v>178</v>
      </c>
      <c r="Y732" s="19" t="s">
        <v>138</v>
      </c>
      <c r="Z732" s="44" t="s">
        <v>1142</v>
      </c>
      <c r="AA732" s="44" t="s">
        <v>180</v>
      </c>
    </row>
    <row r="733" spans="1:27" hidden="1" x14ac:dyDescent="0.25">
      <c r="A733" s="26">
        <v>127</v>
      </c>
      <c r="B733" s="19" t="s">
        <v>1260</v>
      </c>
      <c r="C733" s="44" t="s">
        <v>172</v>
      </c>
      <c r="D733" s="19" t="s">
        <v>803</v>
      </c>
      <c r="E733" s="19">
        <v>12</v>
      </c>
      <c r="F733" s="19">
        <v>135</v>
      </c>
      <c r="G733" s="19">
        <v>488</v>
      </c>
      <c r="H733" s="19">
        <v>12</v>
      </c>
      <c r="I733" s="80">
        <v>6.19</v>
      </c>
      <c r="J733" s="80">
        <v>74.28</v>
      </c>
      <c r="K733" s="19" t="s">
        <v>184</v>
      </c>
      <c r="L733" s="19" t="s">
        <v>1258</v>
      </c>
      <c r="Q733" s="20">
        <v>17</v>
      </c>
      <c r="R733" s="65" t="s">
        <v>1141</v>
      </c>
      <c r="T733" s="19" t="s">
        <v>307</v>
      </c>
      <c r="V733" s="19" t="s">
        <v>178</v>
      </c>
      <c r="W733" s="19" t="s">
        <v>138</v>
      </c>
      <c r="Z733" s="44" t="s">
        <v>1142</v>
      </c>
      <c r="AA733" s="44" t="s">
        <v>180</v>
      </c>
    </row>
    <row r="734" spans="1:27" hidden="1" x14ac:dyDescent="0.25">
      <c r="A734" s="26">
        <v>128</v>
      </c>
      <c r="B734" s="19" t="s">
        <v>1261</v>
      </c>
      <c r="C734" s="44" t="s">
        <v>172</v>
      </c>
      <c r="D734" s="19" t="s">
        <v>812</v>
      </c>
      <c r="E734" s="19">
        <v>12</v>
      </c>
      <c r="F734" s="19">
        <v>490</v>
      </c>
      <c r="G734" s="19">
        <v>6464</v>
      </c>
      <c r="H734" s="19">
        <v>1</v>
      </c>
      <c r="I734" s="80">
        <v>298.26</v>
      </c>
      <c r="J734" s="80">
        <v>298.26</v>
      </c>
      <c r="K734" s="19" t="s">
        <v>184</v>
      </c>
      <c r="L734" s="19" t="s">
        <v>1258</v>
      </c>
      <c r="Q734" s="20">
        <v>17</v>
      </c>
      <c r="R734" s="65" t="s">
        <v>1141</v>
      </c>
      <c r="T734" s="19" t="s">
        <v>307</v>
      </c>
      <c r="V734" s="19" t="s">
        <v>178</v>
      </c>
      <c r="Y734" s="19" t="s">
        <v>138</v>
      </c>
      <c r="Z734" s="44" t="s">
        <v>1142</v>
      </c>
      <c r="AA734" s="44" t="s">
        <v>180</v>
      </c>
    </row>
    <row r="735" spans="1:27" hidden="1" x14ac:dyDescent="0.25">
      <c r="A735" s="26">
        <v>129</v>
      </c>
      <c r="B735" s="19" t="s">
        <v>1262</v>
      </c>
      <c r="C735" s="44" t="s">
        <v>172</v>
      </c>
      <c r="D735" s="19" t="s">
        <v>803</v>
      </c>
      <c r="E735" s="19">
        <v>12</v>
      </c>
      <c r="F735" s="19">
        <v>135</v>
      </c>
      <c r="G735" s="19">
        <v>488</v>
      </c>
      <c r="H735" s="19">
        <v>12</v>
      </c>
      <c r="I735" s="80">
        <v>6.19</v>
      </c>
      <c r="J735" s="80">
        <v>74.28</v>
      </c>
      <c r="K735" s="19" t="s">
        <v>184</v>
      </c>
      <c r="L735" s="19" t="s">
        <v>1258</v>
      </c>
      <c r="Q735" s="20">
        <v>17</v>
      </c>
      <c r="R735" s="65" t="s">
        <v>1141</v>
      </c>
      <c r="T735" s="19" t="s">
        <v>307</v>
      </c>
      <c r="V735" s="19" t="s">
        <v>178</v>
      </c>
      <c r="W735" s="19" t="s">
        <v>138</v>
      </c>
      <c r="Z735" s="44" t="s">
        <v>1142</v>
      </c>
      <c r="AA735" s="44" t="s">
        <v>180</v>
      </c>
    </row>
    <row r="736" spans="1:27" hidden="1" x14ac:dyDescent="0.25">
      <c r="A736" s="26">
        <v>130</v>
      </c>
      <c r="B736" s="19" t="s">
        <v>1263</v>
      </c>
      <c r="C736" s="44" t="s">
        <v>172</v>
      </c>
      <c r="D736" s="19" t="s">
        <v>803</v>
      </c>
      <c r="E736" s="19">
        <v>12</v>
      </c>
      <c r="F736" s="19">
        <v>135</v>
      </c>
      <c r="G736" s="19">
        <v>488</v>
      </c>
      <c r="H736" s="19">
        <v>12</v>
      </c>
      <c r="I736" s="80">
        <v>6.19</v>
      </c>
      <c r="J736" s="80">
        <v>74.28</v>
      </c>
      <c r="K736" s="19" t="s">
        <v>184</v>
      </c>
      <c r="L736" s="19" t="s">
        <v>1258</v>
      </c>
      <c r="Q736" s="20">
        <v>17</v>
      </c>
      <c r="R736" s="65" t="s">
        <v>1141</v>
      </c>
      <c r="T736" s="19" t="s">
        <v>307</v>
      </c>
      <c r="V736" s="19" t="s">
        <v>178</v>
      </c>
      <c r="W736" s="19" t="s">
        <v>138</v>
      </c>
      <c r="Z736" s="44" t="s">
        <v>1142</v>
      </c>
      <c r="AA736" s="44" t="s">
        <v>180</v>
      </c>
    </row>
    <row r="737" spans="1:27" hidden="1" x14ac:dyDescent="0.25">
      <c r="A737" s="26">
        <v>131</v>
      </c>
      <c r="B737" s="19" t="s">
        <v>1264</v>
      </c>
      <c r="C737" s="44" t="s">
        <v>172</v>
      </c>
      <c r="D737" s="19" t="s">
        <v>803</v>
      </c>
      <c r="E737" s="19">
        <v>12</v>
      </c>
      <c r="F737" s="19">
        <v>135</v>
      </c>
      <c r="G737" s="19">
        <v>488</v>
      </c>
      <c r="H737" s="19">
        <v>12</v>
      </c>
      <c r="I737" s="80">
        <v>6.19</v>
      </c>
      <c r="J737" s="80">
        <v>74.28</v>
      </c>
      <c r="K737" s="19" t="s">
        <v>184</v>
      </c>
      <c r="L737" s="19" t="s">
        <v>1258</v>
      </c>
      <c r="Q737" s="20">
        <v>17</v>
      </c>
      <c r="R737" s="65" t="s">
        <v>1141</v>
      </c>
      <c r="T737" s="19" t="s">
        <v>307</v>
      </c>
      <c r="V737" s="19" t="s">
        <v>178</v>
      </c>
      <c r="W737" s="19" t="s">
        <v>138</v>
      </c>
      <c r="Z737" s="44" t="s">
        <v>1142</v>
      </c>
      <c r="AA737" s="44" t="s">
        <v>180</v>
      </c>
    </row>
    <row r="738" spans="1:27" hidden="1" x14ac:dyDescent="0.25">
      <c r="A738" s="26">
        <v>132</v>
      </c>
      <c r="B738" s="19" t="s">
        <v>1265</v>
      </c>
      <c r="C738" s="44" t="s">
        <v>172</v>
      </c>
      <c r="D738" s="19" t="s">
        <v>803</v>
      </c>
      <c r="E738" s="19">
        <v>12</v>
      </c>
      <c r="F738" s="19">
        <v>135</v>
      </c>
      <c r="G738" s="19">
        <v>488</v>
      </c>
      <c r="H738" s="19">
        <v>12</v>
      </c>
      <c r="I738" s="80">
        <v>6.19</v>
      </c>
      <c r="J738" s="80">
        <v>74.28</v>
      </c>
      <c r="K738" s="19" t="s">
        <v>184</v>
      </c>
      <c r="L738" s="19" t="s">
        <v>1258</v>
      </c>
      <c r="Q738" s="20">
        <v>17</v>
      </c>
      <c r="R738" s="65" t="s">
        <v>1141</v>
      </c>
      <c r="T738" s="19" t="s">
        <v>307</v>
      </c>
      <c r="V738" s="19" t="s">
        <v>178</v>
      </c>
      <c r="W738" s="19" t="s">
        <v>138</v>
      </c>
      <c r="Z738" s="44" t="s">
        <v>1142</v>
      </c>
      <c r="AA738" s="44" t="s">
        <v>180</v>
      </c>
    </row>
    <row r="739" spans="1:27" hidden="1" x14ac:dyDescent="0.25">
      <c r="A739" s="26">
        <v>133</v>
      </c>
      <c r="B739" s="19" t="s">
        <v>1204</v>
      </c>
      <c r="C739" s="44" t="s">
        <v>172</v>
      </c>
      <c r="D739" s="19" t="s">
        <v>803</v>
      </c>
      <c r="E739" s="19">
        <v>12</v>
      </c>
      <c r="F739" s="19">
        <v>135</v>
      </c>
      <c r="G739" s="19">
        <v>488</v>
      </c>
      <c r="H739" s="19">
        <v>4</v>
      </c>
      <c r="I739" s="80">
        <v>6.19</v>
      </c>
      <c r="J739" s="80">
        <v>24.76</v>
      </c>
      <c r="K739" s="19" t="s">
        <v>184</v>
      </c>
      <c r="L739" s="19" t="s">
        <v>1258</v>
      </c>
      <c r="Q739" s="20">
        <v>17</v>
      </c>
      <c r="R739" s="65" t="s">
        <v>1141</v>
      </c>
      <c r="T739" s="19" t="s">
        <v>307</v>
      </c>
      <c r="V739" s="19" t="s">
        <v>178</v>
      </c>
      <c r="W739" s="19" t="s">
        <v>138</v>
      </c>
      <c r="Z739" s="44" t="s">
        <v>1142</v>
      </c>
      <c r="AA739" s="44" t="s">
        <v>180</v>
      </c>
    </row>
    <row r="740" spans="1:27" hidden="1" x14ac:dyDescent="0.25">
      <c r="A740" s="26">
        <v>134</v>
      </c>
      <c r="B740" s="19" t="s">
        <v>1206</v>
      </c>
      <c r="C740" s="44" t="s">
        <v>172</v>
      </c>
      <c r="D740" s="19" t="s">
        <v>803</v>
      </c>
      <c r="E740" s="19">
        <v>12</v>
      </c>
      <c r="F740" s="19">
        <v>135</v>
      </c>
      <c r="G740" s="19">
        <v>488</v>
      </c>
      <c r="H740" s="19">
        <v>3</v>
      </c>
      <c r="I740" s="80">
        <v>6.19</v>
      </c>
      <c r="J740" s="80">
        <v>18.57</v>
      </c>
      <c r="K740" s="19" t="s">
        <v>184</v>
      </c>
      <c r="L740" s="19" t="s">
        <v>1258</v>
      </c>
      <c r="Q740" s="20">
        <v>17</v>
      </c>
      <c r="R740" s="65" t="s">
        <v>1141</v>
      </c>
      <c r="T740" s="19" t="s">
        <v>307</v>
      </c>
      <c r="V740" s="19" t="s">
        <v>178</v>
      </c>
      <c r="W740" s="19" t="s">
        <v>138</v>
      </c>
      <c r="Z740" s="44" t="s">
        <v>1142</v>
      </c>
      <c r="AA740" s="44" t="s">
        <v>180</v>
      </c>
    </row>
    <row r="741" spans="1:27" hidden="1" x14ac:dyDescent="0.25">
      <c r="A741" s="26">
        <v>135</v>
      </c>
      <c r="B741" s="19" t="s">
        <v>1207</v>
      </c>
      <c r="C741" s="44" t="s">
        <v>172</v>
      </c>
      <c r="D741" s="19" t="s">
        <v>803</v>
      </c>
      <c r="E741" s="19">
        <v>12</v>
      </c>
      <c r="F741" s="19">
        <v>135</v>
      </c>
      <c r="G741" s="19">
        <v>488</v>
      </c>
      <c r="H741" s="19">
        <v>5</v>
      </c>
      <c r="I741" s="80">
        <v>6.19</v>
      </c>
      <c r="J741" s="80">
        <v>30.95</v>
      </c>
      <c r="K741" s="19" t="s">
        <v>184</v>
      </c>
      <c r="L741" s="19" t="s">
        <v>1258</v>
      </c>
      <c r="Q741" s="20">
        <v>17</v>
      </c>
      <c r="R741" s="65" t="s">
        <v>1141</v>
      </c>
      <c r="T741" s="19" t="s">
        <v>307</v>
      </c>
      <c r="V741" s="19" t="s">
        <v>178</v>
      </c>
      <c r="W741" s="19" t="s">
        <v>138</v>
      </c>
      <c r="Z741" s="44" t="s">
        <v>1142</v>
      </c>
      <c r="AA741" s="44" t="s">
        <v>180</v>
      </c>
    </row>
    <row r="742" spans="1:27" hidden="1" x14ac:dyDescent="0.25">
      <c r="A742" s="26">
        <v>136</v>
      </c>
      <c r="B742" s="19" t="s">
        <v>1266</v>
      </c>
      <c r="C742" s="44" t="s">
        <v>172</v>
      </c>
      <c r="D742" s="19" t="s">
        <v>803</v>
      </c>
      <c r="E742" s="19">
        <v>12</v>
      </c>
      <c r="F742" s="19">
        <v>135</v>
      </c>
      <c r="G742" s="19">
        <v>488</v>
      </c>
      <c r="H742" s="19">
        <v>12</v>
      </c>
      <c r="I742" s="80">
        <v>6.19</v>
      </c>
      <c r="J742" s="80">
        <v>74.28</v>
      </c>
      <c r="K742" s="19" t="s">
        <v>184</v>
      </c>
      <c r="L742" s="19" t="s">
        <v>1258</v>
      </c>
      <c r="Q742" s="20">
        <v>17</v>
      </c>
      <c r="R742" s="65" t="s">
        <v>1141</v>
      </c>
      <c r="T742" s="19" t="s">
        <v>307</v>
      </c>
      <c r="V742" s="19" t="s">
        <v>178</v>
      </c>
      <c r="W742" s="19" t="s">
        <v>138</v>
      </c>
      <c r="Z742" s="44" t="s">
        <v>1142</v>
      </c>
      <c r="AA742" s="44" t="s">
        <v>180</v>
      </c>
    </row>
    <row r="743" spans="1:27" hidden="1" x14ac:dyDescent="0.25">
      <c r="A743" s="26">
        <v>137</v>
      </c>
      <c r="B743" s="19" t="s">
        <v>1201</v>
      </c>
      <c r="C743" s="44" t="s">
        <v>172</v>
      </c>
      <c r="D743" s="19" t="s">
        <v>803</v>
      </c>
      <c r="E743" s="19">
        <v>12</v>
      </c>
      <c r="F743" s="19">
        <v>135</v>
      </c>
      <c r="G743" s="19">
        <v>488</v>
      </c>
      <c r="H743" s="19">
        <v>10</v>
      </c>
      <c r="I743" s="80">
        <v>6.19</v>
      </c>
      <c r="J743" s="80">
        <v>61.9</v>
      </c>
      <c r="K743" s="19" t="s">
        <v>184</v>
      </c>
      <c r="L743" s="19" t="s">
        <v>1258</v>
      </c>
      <c r="Q743" s="20">
        <v>17</v>
      </c>
      <c r="R743" s="65" t="s">
        <v>1141</v>
      </c>
      <c r="T743" s="19" t="s">
        <v>307</v>
      </c>
      <c r="V743" s="19" t="s">
        <v>178</v>
      </c>
      <c r="W743" s="19" t="s">
        <v>138</v>
      </c>
      <c r="Z743" s="44" t="s">
        <v>1142</v>
      </c>
      <c r="AA743" s="44" t="s">
        <v>180</v>
      </c>
    </row>
    <row r="744" spans="1:27" hidden="1" x14ac:dyDescent="0.25">
      <c r="A744" s="26">
        <v>138</v>
      </c>
      <c r="B744" s="19" t="s">
        <v>1247</v>
      </c>
      <c r="C744" s="44" t="s">
        <v>172</v>
      </c>
      <c r="D744" s="19" t="s">
        <v>803</v>
      </c>
      <c r="E744" s="19">
        <v>12</v>
      </c>
      <c r="F744" s="19">
        <v>135</v>
      </c>
      <c r="G744" s="19">
        <v>488</v>
      </c>
      <c r="H744" s="19">
        <v>5</v>
      </c>
      <c r="I744" s="80">
        <v>6.19</v>
      </c>
      <c r="J744" s="80">
        <v>30.95</v>
      </c>
      <c r="K744" s="19" t="s">
        <v>184</v>
      </c>
      <c r="L744" s="19" t="s">
        <v>1258</v>
      </c>
      <c r="Q744" s="20">
        <v>17</v>
      </c>
      <c r="R744" s="65" t="s">
        <v>1141</v>
      </c>
      <c r="T744" s="19" t="s">
        <v>307</v>
      </c>
      <c r="V744" s="19" t="s">
        <v>178</v>
      </c>
      <c r="W744" s="19" t="s">
        <v>138</v>
      </c>
      <c r="Z744" s="44" t="s">
        <v>1142</v>
      </c>
      <c r="AA744" s="44" t="s">
        <v>180</v>
      </c>
    </row>
    <row r="745" spans="1:27" hidden="1" x14ac:dyDescent="0.25">
      <c r="A745" s="26">
        <v>139</v>
      </c>
      <c r="B745" s="19" t="s">
        <v>1267</v>
      </c>
      <c r="C745" s="44" t="s">
        <v>172</v>
      </c>
      <c r="D745" s="19" t="s">
        <v>812</v>
      </c>
      <c r="E745" s="19">
        <v>12</v>
      </c>
      <c r="F745" s="19">
        <v>490</v>
      </c>
      <c r="G745" s="19">
        <v>6464</v>
      </c>
      <c r="H745" s="19">
        <v>1</v>
      </c>
      <c r="I745" s="80">
        <v>298.26</v>
      </c>
      <c r="J745" s="80">
        <v>298.26</v>
      </c>
      <c r="K745" s="19" t="s">
        <v>184</v>
      </c>
      <c r="L745" s="19" t="s">
        <v>1258</v>
      </c>
      <c r="Q745" s="20">
        <v>17</v>
      </c>
      <c r="R745" s="65" t="s">
        <v>1141</v>
      </c>
      <c r="T745" s="19" t="s">
        <v>307</v>
      </c>
      <c r="V745" s="19" t="s">
        <v>178</v>
      </c>
      <c r="Y745" s="19" t="s">
        <v>138</v>
      </c>
      <c r="Z745" s="44" t="s">
        <v>1142</v>
      </c>
      <c r="AA745" s="44" t="s">
        <v>180</v>
      </c>
    </row>
    <row r="746" spans="1:27" hidden="1" x14ac:dyDescent="0.25">
      <c r="A746" s="26">
        <v>140</v>
      </c>
      <c r="B746" s="19" t="s">
        <v>1268</v>
      </c>
      <c r="C746" s="44" t="s">
        <v>172</v>
      </c>
      <c r="D746" s="19" t="s">
        <v>812</v>
      </c>
      <c r="E746" s="19">
        <v>12</v>
      </c>
      <c r="F746" s="19">
        <v>490</v>
      </c>
      <c r="G746" s="19">
        <v>6464</v>
      </c>
      <c r="H746" s="19">
        <v>1</v>
      </c>
      <c r="I746" s="80">
        <v>298.16000000000003</v>
      </c>
      <c r="J746" s="80">
        <v>298.16000000000003</v>
      </c>
      <c r="K746" s="19" t="s">
        <v>184</v>
      </c>
      <c r="L746" s="19" t="s">
        <v>1258</v>
      </c>
      <c r="Q746" s="20">
        <v>17</v>
      </c>
      <c r="R746" s="65" t="s">
        <v>1141</v>
      </c>
      <c r="T746" s="19" t="s">
        <v>307</v>
      </c>
      <c r="V746" s="19" t="s">
        <v>178</v>
      </c>
      <c r="Y746" s="19" t="s">
        <v>138</v>
      </c>
      <c r="Z746" s="44" t="s">
        <v>1142</v>
      </c>
      <c r="AA746" s="44" t="s">
        <v>180</v>
      </c>
    </row>
    <row r="747" spans="1:27" hidden="1" x14ac:dyDescent="0.25">
      <c r="A747" s="26">
        <v>141</v>
      </c>
      <c r="B747" s="19" t="s">
        <v>1159</v>
      </c>
      <c r="C747" s="44" t="s">
        <v>172</v>
      </c>
      <c r="D747" s="19" t="s">
        <v>803</v>
      </c>
      <c r="E747" s="19">
        <v>12</v>
      </c>
      <c r="F747" s="19">
        <v>135</v>
      </c>
      <c r="G747" s="19">
        <v>488</v>
      </c>
      <c r="H747" s="19">
        <v>2</v>
      </c>
      <c r="I747" s="80">
        <v>6.19</v>
      </c>
      <c r="J747" s="80">
        <v>12.38</v>
      </c>
      <c r="K747" s="19" t="s">
        <v>184</v>
      </c>
      <c r="L747" s="19" t="s">
        <v>1258</v>
      </c>
      <c r="Q747" s="20">
        <v>17</v>
      </c>
      <c r="R747" s="65" t="s">
        <v>1141</v>
      </c>
      <c r="T747" s="19" t="s">
        <v>307</v>
      </c>
      <c r="V747" s="19" t="s">
        <v>178</v>
      </c>
      <c r="W747" s="19" t="s">
        <v>138</v>
      </c>
      <c r="Z747" s="44" t="s">
        <v>1142</v>
      </c>
      <c r="AA747" s="44" t="s">
        <v>180</v>
      </c>
    </row>
    <row r="748" spans="1:27" hidden="1" x14ac:dyDescent="0.25">
      <c r="A748" s="26">
        <v>142</v>
      </c>
      <c r="B748" s="19" t="s">
        <v>1219</v>
      </c>
      <c r="C748" s="44" t="s">
        <v>172</v>
      </c>
      <c r="D748" s="19" t="s">
        <v>803</v>
      </c>
      <c r="E748" s="19">
        <v>12</v>
      </c>
      <c r="F748" s="19">
        <v>135</v>
      </c>
      <c r="G748" s="19">
        <v>488</v>
      </c>
      <c r="H748" s="19">
        <v>1</v>
      </c>
      <c r="I748" s="80">
        <v>6.19</v>
      </c>
      <c r="J748" s="80">
        <v>6.19</v>
      </c>
      <c r="K748" s="19" t="s">
        <v>184</v>
      </c>
      <c r="L748" s="19" t="s">
        <v>1258</v>
      </c>
      <c r="Q748" s="20">
        <v>17</v>
      </c>
      <c r="R748" s="65" t="s">
        <v>1141</v>
      </c>
      <c r="T748" s="19" t="s">
        <v>307</v>
      </c>
      <c r="V748" s="19" t="s">
        <v>178</v>
      </c>
      <c r="W748" s="19" t="s">
        <v>138</v>
      </c>
      <c r="Z748" s="44" t="s">
        <v>1142</v>
      </c>
      <c r="AA748" s="44" t="s">
        <v>180</v>
      </c>
    </row>
    <row r="749" spans="1:27" hidden="1" x14ac:dyDescent="0.25">
      <c r="A749" s="26">
        <v>143</v>
      </c>
      <c r="B749" s="19" t="s">
        <v>1222</v>
      </c>
      <c r="C749" s="44" t="s">
        <v>172</v>
      </c>
      <c r="D749" s="19" t="s">
        <v>803</v>
      </c>
      <c r="E749" s="19">
        <v>12</v>
      </c>
      <c r="F749" s="19">
        <v>135</v>
      </c>
      <c r="G749" s="19">
        <v>488</v>
      </c>
      <c r="H749" s="19">
        <v>12</v>
      </c>
      <c r="I749" s="80">
        <v>6.19</v>
      </c>
      <c r="J749" s="80">
        <v>74.28</v>
      </c>
      <c r="K749" s="19" t="s">
        <v>184</v>
      </c>
      <c r="L749" s="19" t="s">
        <v>1258</v>
      </c>
      <c r="Q749" s="20">
        <v>17</v>
      </c>
      <c r="R749" s="65" t="s">
        <v>1141</v>
      </c>
      <c r="T749" s="19" t="s">
        <v>307</v>
      </c>
      <c r="V749" s="19" t="s">
        <v>178</v>
      </c>
      <c r="W749" s="19" t="s">
        <v>138</v>
      </c>
      <c r="Z749" s="44" t="s">
        <v>1142</v>
      </c>
      <c r="AA749" s="44" t="s">
        <v>180</v>
      </c>
    </row>
    <row r="750" spans="1:27" hidden="1" x14ac:dyDescent="0.25">
      <c r="A750" s="26">
        <v>144</v>
      </c>
      <c r="B750" s="19" t="s">
        <v>1269</v>
      </c>
      <c r="C750" s="44" t="s">
        <v>172</v>
      </c>
      <c r="D750" s="19" t="s">
        <v>803</v>
      </c>
      <c r="E750" s="19">
        <v>12</v>
      </c>
      <c r="F750" s="19">
        <v>135</v>
      </c>
      <c r="G750" s="19">
        <v>488</v>
      </c>
      <c r="H750" s="19">
        <v>4</v>
      </c>
      <c r="I750" s="80">
        <v>6.19</v>
      </c>
      <c r="J750" s="80">
        <v>24.76</v>
      </c>
      <c r="K750" s="19" t="s">
        <v>184</v>
      </c>
      <c r="L750" s="19" t="s">
        <v>1258</v>
      </c>
      <c r="Q750" s="20">
        <v>17</v>
      </c>
      <c r="R750" s="65" t="s">
        <v>1141</v>
      </c>
      <c r="T750" s="19" t="s">
        <v>307</v>
      </c>
      <c r="V750" s="19" t="s">
        <v>178</v>
      </c>
      <c r="W750" s="19" t="s">
        <v>138</v>
      </c>
      <c r="Z750" s="44" t="s">
        <v>1142</v>
      </c>
      <c r="AA750" s="44" t="s">
        <v>180</v>
      </c>
    </row>
    <row r="751" spans="1:27" hidden="1" x14ac:dyDescent="0.25">
      <c r="A751" s="26">
        <v>145</v>
      </c>
      <c r="B751" s="19" t="s">
        <v>1270</v>
      </c>
      <c r="C751" s="44" t="s">
        <v>172</v>
      </c>
      <c r="D751" s="19" t="s">
        <v>803</v>
      </c>
      <c r="E751" s="19">
        <v>12</v>
      </c>
      <c r="F751" s="19">
        <v>135</v>
      </c>
      <c r="G751" s="19">
        <v>488</v>
      </c>
      <c r="H751" s="19">
        <v>4</v>
      </c>
      <c r="I751" s="80">
        <v>6.19</v>
      </c>
      <c r="J751" s="80">
        <v>24.76</v>
      </c>
      <c r="K751" s="19" t="s">
        <v>184</v>
      </c>
      <c r="L751" s="19" t="s">
        <v>1258</v>
      </c>
      <c r="Q751" s="20">
        <v>17</v>
      </c>
      <c r="R751" s="65" t="s">
        <v>1141</v>
      </c>
      <c r="T751" s="19" t="s">
        <v>307</v>
      </c>
      <c r="V751" s="19" t="s">
        <v>178</v>
      </c>
      <c r="W751" s="19" t="s">
        <v>138</v>
      </c>
      <c r="Z751" s="44" t="s">
        <v>1142</v>
      </c>
      <c r="AA751" s="44" t="s">
        <v>180</v>
      </c>
    </row>
    <row r="752" spans="1:27" hidden="1" x14ac:dyDescent="0.25">
      <c r="A752" s="26">
        <v>146</v>
      </c>
      <c r="B752" s="19" t="s">
        <v>1271</v>
      </c>
      <c r="C752" s="44" t="s">
        <v>172</v>
      </c>
      <c r="D752" s="19" t="s">
        <v>803</v>
      </c>
      <c r="E752" s="19">
        <v>12</v>
      </c>
      <c r="F752" s="19">
        <v>135</v>
      </c>
      <c r="G752" s="19">
        <v>488</v>
      </c>
      <c r="H752" s="19">
        <v>4</v>
      </c>
      <c r="I752" s="80">
        <v>6.19</v>
      </c>
      <c r="J752" s="80">
        <v>24.76</v>
      </c>
      <c r="K752" s="19" t="s">
        <v>184</v>
      </c>
      <c r="L752" s="19" t="s">
        <v>1258</v>
      </c>
      <c r="Q752" s="20">
        <v>17</v>
      </c>
      <c r="R752" s="65" t="s">
        <v>1141</v>
      </c>
      <c r="T752" s="19" t="s">
        <v>307</v>
      </c>
      <c r="V752" s="19" t="s">
        <v>178</v>
      </c>
      <c r="W752" s="19" t="s">
        <v>138</v>
      </c>
      <c r="Z752" s="44" t="s">
        <v>1142</v>
      </c>
      <c r="AA752" s="44" t="s">
        <v>180</v>
      </c>
    </row>
    <row r="753" spans="1:27" hidden="1" x14ac:dyDescent="0.25">
      <c r="A753" s="26">
        <v>147</v>
      </c>
      <c r="B753" s="19" t="s">
        <v>1272</v>
      </c>
      <c r="C753" s="44" t="s">
        <v>172</v>
      </c>
      <c r="D753" s="19" t="s">
        <v>803</v>
      </c>
      <c r="E753" s="19">
        <v>12</v>
      </c>
      <c r="F753" s="19">
        <v>135</v>
      </c>
      <c r="G753" s="19">
        <v>488</v>
      </c>
      <c r="H753" s="19">
        <v>4</v>
      </c>
      <c r="I753" s="80">
        <v>6.19</v>
      </c>
      <c r="J753" s="80">
        <v>24.76</v>
      </c>
      <c r="K753" s="19" t="s">
        <v>184</v>
      </c>
      <c r="L753" s="19" t="s">
        <v>1258</v>
      </c>
      <c r="Q753" s="20">
        <v>17</v>
      </c>
      <c r="R753" s="65" t="s">
        <v>1141</v>
      </c>
      <c r="T753" s="19" t="s">
        <v>307</v>
      </c>
      <c r="V753" s="19" t="s">
        <v>178</v>
      </c>
      <c r="W753" s="19" t="s">
        <v>138</v>
      </c>
      <c r="Z753" s="44" t="s">
        <v>1142</v>
      </c>
      <c r="AA753" s="44" t="s">
        <v>180</v>
      </c>
    </row>
    <row r="754" spans="1:27" hidden="1" x14ac:dyDescent="0.25">
      <c r="A754" s="26">
        <v>148</v>
      </c>
      <c r="B754" s="19" t="s">
        <v>1273</v>
      </c>
      <c r="C754" s="44" t="s">
        <v>172</v>
      </c>
      <c r="D754" s="19" t="s">
        <v>803</v>
      </c>
      <c r="E754" s="19">
        <v>12</v>
      </c>
      <c r="F754" s="19">
        <v>135</v>
      </c>
      <c r="G754" s="19">
        <v>488</v>
      </c>
      <c r="H754" s="19">
        <v>4</v>
      </c>
      <c r="I754" s="80">
        <v>6.19</v>
      </c>
      <c r="J754" s="80">
        <v>24.76</v>
      </c>
      <c r="K754" s="19" t="s">
        <v>184</v>
      </c>
      <c r="L754" s="19" t="s">
        <v>1258</v>
      </c>
      <c r="Q754" s="20">
        <v>17</v>
      </c>
      <c r="R754" s="65" t="s">
        <v>1141</v>
      </c>
      <c r="T754" s="19" t="s">
        <v>307</v>
      </c>
      <c r="V754" s="19" t="s">
        <v>178</v>
      </c>
      <c r="W754" s="19" t="s">
        <v>138</v>
      </c>
      <c r="Z754" s="44" t="s">
        <v>1142</v>
      </c>
      <c r="AA754" s="44" t="s">
        <v>180</v>
      </c>
    </row>
    <row r="755" spans="1:27" hidden="1" x14ac:dyDescent="0.25">
      <c r="A755" s="26">
        <v>149</v>
      </c>
      <c r="B755" s="19" t="s">
        <v>1274</v>
      </c>
      <c r="C755" s="44" t="s">
        <v>172</v>
      </c>
      <c r="D755" s="19" t="s">
        <v>803</v>
      </c>
      <c r="E755" s="19">
        <v>12</v>
      </c>
      <c r="F755" s="19">
        <v>135</v>
      </c>
      <c r="G755" s="19">
        <v>488</v>
      </c>
      <c r="H755" s="19">
        <v>4</v>
      </c>
      <c r="I755" s="80">
        <v>6.19</v>
      </c>
      <c r="J755" s="80">
        <v>24.76</v>
      </c>
      <c r="K755" s="19" t="s">
        <v>184</v>
      </c>
      <c r="L755" s="19" t="s">
        <v>1258</v>
      </c>
      <c r="Q755" s="20">
        <v>17</v>
      </c>
      <c r="R755" s="65" t="s">
        <v>1141</v>
      </c>
      <c r="T755" s="19" t="s">
        <v>307</v>
      </c>
      <c r="V755" s="19" t="s">
        <v>178</v>
      </c>
      <c r="W755" s="19" t="s">
        <v>138</v>
      </c>
      <c r="Z755" s="44" t="s">
        <v>1142</v>
      </c>
      <c r="AA755" s="44" t="s">
        <v>180</v>
      </c>
    </row>
    <row r="756" spans="1:27" hidden="1" x14ac:dyDescent="0.25">
      <c r="A756" s="26">
        <v>150</v>
      </c>
      <c r="B756" s="19" t="s">
        <v>1275</v>
      </c>
      <c r="C756" s="44" t="s">
        <v>172</v>
      </c>
      <c r="D756" s="19" t="s">
        <v>803</v>
      </c>
      <c r="E756" s="19">
        <v>12</v>
      </c>
      <c r="F756" s="19">
        <v>135</v>
      </c>
      <c r="G756" s="19">
        <v>488</v>
      </c>
      <c r="H756" s="19">
        <v>4</v>
      </c>
      <c r="I756" s="80">
        <v>6.19</v>
      </c>
      <c r="J756" s="80">
        <v>24.76</v>
      </c>
      <c r="K756" s="19" t="s">
        <v>184</v>
      </c>
      <c r="L756" s="19" t="s">
        <v>1258</v>
      </c>
      <c r="Q756" s="20">
        <v>17</v>
      </c>
      <c r="R756" s="65" t="s">
        <v>1141</v>
      </c>
      <c r="T756" s="19" t="s">
        <v>307</v>
      </c>
      <c r="V756" s="19" t="s">
        <v>178</v>
      </c>
      <c r="W756" s="19" t="s">
        <v>138</v>
      </c>
      <c r="Z756" s="44" t="s">
        <v>1142</v>
      </c>
      <c r="AA756" s="44" t="s">
        <v>180</v>
      </c>
    </row>
    <row r="757" spans="1:27" hidden="1" x14ac:dyDescent="0.25">
      <c r="A757" s="26">
        <v>151</v>
      </c>
      <c r="B757" s="19" t="s">
        <v>1276</v>
      </c>
      <c r="C757" s="44" t="s">
        <v>172</v>
      </c>
      <c r="D757" s="19" t="s">
        <v>803</v>
      </c>
      <c r="E757" s="19">
        <v>12</v>
      </c>
      <c r="F757" s="19">
        <v>135</v>
      </c>
      <c r="G757" s="19">
        <v>488</v>
      </c>
      <c r="H757" s="19">
        <v>4</v>
      </c>
      <c r="I757" s="80">
        <v>6.19</v>
      </c>
      <c r="J757" s="80">
        <v>24.76</v>
      </c>
      <c r="K757" s="19" t="s">
        <v>184</v>
      </c>
      <c r="L757" s="19" t="s">
        <v>1258</v>
      </c>
      <c r="Q757" s="20">
        <v>17</v>
      </c>
      <c r="R757" s="65" t="s">
        <v>1141</v>
      </c>
      <c r="T757" s="19" t="s">
        <v>307</v>
      </c>
      <c r="V757" s="19" t="s">
        <v>178</v>
      </c>
      <c r="W757" s="19" t="s">
        <v>138</v>
      </c>
      <c r="Z757" s="44" t="s">
        <v>1142</v>
      </c>
      <c r="AA757" s="44" t="s">
        <v>180</v>
      </c>
    </row>
    <row r="758" spans="1:27" hidden="1" x14ac:dyDescent="0.25">
      <c r="A758" s="26">
        <v>152</v>
      </c>
      <c r="B758" s="19" t="s">
        <v>1194</v>
      </c>
      <c r="C758" s="44" t="s">
        <v>172</v>
      </c>
      <c r="D758" s="19" t="s">
        <v>839</v>
      </c>
      <c r="E758" s="19">
        <v>12</v>
      </c>
      <c r="F758" s="19">
        <v>120</v>
      </c>
      <c r="G758" s="19">
        <v>129</v>
      </c>
      <c r="H758" s="19">
        <v>2</v>
      </c>
      <c r="I758" s="80">
        <v>1.32</v>
      </c>
      <c r="J758" s="80">
        <v>2.65</v>
      </c>
      <c r="K758" s="19" t="s">
        <v>184</v>
      </c>
      <c r="L758" s="19" t="s">
        <v>1277</v>
      </c>
      <c r="Q758" s="20">
        <v>17</v>
      </c>
      <c r="R758" s="65" t="s">
        <v>1141</v>
      </c>
      <c r="T758" s="19" t="s">
        <v>307</v>
      </c>
      <c r="V758" s="19" t="s">
        <v>178</v>
      </c>
      <c r="W758" s="19" t="s">
        <v>138</v>
      </c>
      <c r="Z758" s="44" t="s">
        <v>1142</v>
      </c>
      <c r="AA758" s="44" t="s">
        <v>180</v>
      </c>
    </row>
    <row r="759" spans="1:27" hidden="1" x14ac:dyDescent="0.25">
      <c r="A759" s="26">
        <v>153</v>
      </c>
      <c r="B759" s="19" t="s">
        <v>1200</v>
      </c>
      <c r="C759" s="44" t="s">
        <v>172</v>
      </c>
      <c r="D759" s="19" t="s">
        <v>839</v>
      </c>
      <c r="E759" s="19">
        <v>12</v>
      </c>
      <c r="F759" s="19">
        <v>120</v>
      </c>
      <c r="G759" s="19">
        <v>129</v>
      </c>
      <c r="H759" s="19">
        <v>22</v>
      </c>
      <c r="I759" s="80">
        <v>1.32</v>
      </c>
      <c r="J759" s="80">
        <v>29.13</v>
      </c>
      <c r="K759" s="19" t="s">
        <v>184</v>
      </c>
      <c r="L759" s="19" t="s">
        <v>1277</v>
      </c>
      <c r="Q759" s="20">
        <v>17</v>
      </c>
      <c r="R759" s="65" t="s">
        <v>1141</v>
      </c>
      <c r="T759" s="19" t="s">
        <v>307</v>
      </c>
      <c r="V759" s="19" t="s">
        <v>178</v>
      </c>
      <c r="W759" s="19" t="s">
        <v>138</v>
      </c>
      <c r="Z759" s="44" t="s">
        <v>1142</v>
      </c>
      <c r="AA759" s="44" t="s">
        <v>180</v>
      </c>
    </row>
    <row r="760" spans="1:27" hidden="1" x14ac:dyDescent="0.25">
      <c r="A760" s="26">
        <v>154</v>
      </c>
      <c r="B760" s="19" t="s">
        <v>1278</v>
      </c>
      <c r="C760" s="44" t="s">
        <v>172</v>
      </c>
      <c r="D760" s="19" t="s">
        <v>812</v>
      </c>
      <c r="E760" s="19">
        <v>12</v>
      </c>
      <c r="F760" s="19">
        <v>490</v>
      </c>
      <c r="G760" s="19">
        <v>6464</v>
      </c>
      <c r="H760" s="19">
        <v>1</v>
      </c>
      <c r="I760" s="80">
        <v>298.16000000000003</v>
      </c>
      <c r="J760" s="80">
        <v>298.16000000000003</v>
      </c>
      <c r="K760" s="19" t="s">
        <v>184</v>
      </c>
      <c r="L760" s="19" t="s">
        <v>1277</v>
      </c>
      <c r="Q760" s="20">
        <v>17</v>
      </c>
      <c r="R760" s="65" t="s">
        <v>1141</v>
      </c>
      <c r="T760" s="19" t="s">
        <v>307</v>
      </c>
      <c r="V760" s="19" t="s">
        <v>178</v>
      </c>
      <c r="Y760" s="19" t="s">
        <v>138</v>
      </c>
      <c r="Z760" s="44" t="s">
        <v>1142</v>
      </c>
      <c r="AA760" s="44" t="s">
        <v>180</v>
      </c>
    </row>
    <row r="761" spans="1:27" hidden="1" x14ac:dyDescent="0.25">
      <c r="A761" s="26">
        <v>155</v>
      </c>
      <c r="B761" s="19" t="s">
        <v>1279</v>
      </c>
      <c r="C761" s="44" t="s">
        <v>172</v>
      </c>
      <c r="D761" s="19" t="s">
        <v>839</v>
      </c>
      <c r="E761" s="19">
        <v>12</v>
      </c>
      <c r="F761" s="19">
        <v>120</v>
      </c>
      <c r="G761" s="19">
        <v>129</v>
      </c>
      <c r="H761" s="19">
        <v>24</v>
      </c>
      <c r="I761" s="80">
        <v>1.32</v>
      </c>
      <c r="J761" s="80">
        <v>31.78</v>
      </c>
      <c r="K761" s="19" t="s">
        <v>184</v>
      </c>
      <c r="L761" s="19" t="s">
        <v>1277</v>
      </c>
      <c r="Q761" s="20">
        <v>17</v>
      </c>
      <c r="R761" s="65" t="s">
        <v>1141</v>
      </c>
      <c r="T761" s="19" t="s">
        <v>307</v>
      </c>
      <c r="V761" s="19" t="s">
        <v>178</v>
      </c>
      <c r="W761" s="19" t="s">
        <v>138</v>
      </c>
      <c r="Z761" s="44" t="s">
        <v>1142</v>
      </c>
      <c r="AA761" s="44" t="s">
        <v>180</v>
      </c>
    </row>
    <row r="762" spans="1:27" hidden="1" x14ac:dyDescent="0.25">
      <c r="A762" s="26">
        <v>156</v>
      </c>
      <c r="B762" s="19" t="s">
        <v>1280</v>
      </c>
      <c r="C762" s="44" t="s">
        <v>172</v>
      </c>
      <c r="D762" s="19" t="s">
        <v>839</v>
      </c>
      <c r="E762" s="19">
        <v>12</v>
      </c>
      <c r="F762" s="19">
        <v>120</v>
      </c>
      <c r="G762" s="19">
        <v>129</v>
      </c>
      <c r="H762" s="19">
        <v>24</v>
      </c>
      <c r="I762" s="80">
        <v>1.32</v>
      </c>
      <c r="J762" s="80">
        <v>31.78</v>
      </c>
      <c r="K762" s="19" t="s">
        <v>184</v>
      </c>
      <c r="L762" s="19" t="s">
        <v>1277</v>
      </c>
      <c r="Q762" s="20">
        <v>17</v>
      </c>
      <c r="R762" s="65" t="s">
        <v>1141</v>
      </c>
      <c r="T762" s="19" t="s">
        <v>307</v>
      </c>
      <c r="V762" s="19" t="s">
        <v>178</v>
      </c>
      <c r="W762" s="19" t="s">
        <v>138</v>
      </c>
      <c r="Z762" s="44" t="s">
        <v>1142</v>
      </c>
      <c r="AA762" s="44" t="s">
        <v>180</v>
      </c>
    </row>
    <row r="763" spans="1:27" hidden="1" x14ac:dyDescent="0.25">
      <c r="A763" s="26">
        <v>157</v>
      </c>
      <c r="B763" s="19" t="s">
        <v>1281</v>
      </c>
      <c r="C763" s="44" t="s">
        <v>172</v>
      </c>
      <c r="D763" s="19" t="s">
        <v>839</v>
      </c>
      <c r="E763" s="19">
        <v>12</v>
      </c>
      <c r="F763" s="19">
        <v>120</v>
      </c>
      <c r="G763" s="19">
        <v>129</v>
      </c>
      <c r="H763" s="19">
        <v>24</v>
      </c>
      <c r="I763" s="80">
        <v>1.32</v>
      </c>
      <c r="J763" s="80">
        <v>31.78</v>
      </c>
      <c r="K763" s="19" t="s">
        <v>184</v>
      </c>
      <c r="L763" s="19" t="s">
        <v>1277</v>
      </c>
      <c r="Q763" s="20">
        <v>17</v>
      </c>
      <c r="R763" s="65" t="s">
        <v>1141</v>
      </c>
      <c r="T763" s="19" t="s">
        <v>307</v>
      </c>
      <c r="V763" s="19" t="s">
        <v>178</v>
      </c>
      <c r="W763" s="19" t="s">
        <v>138</v>
      </c>
      <c r="Z763" s="44" t="s">
        <v>1142</v>
      </c>
      <c r="AA763" s="44" t="s">
        <v>180</v>
      </c>
    </row>
    <row r="764" spans="1:27" hidden="1" x14ac:dyDescent="0.25">
      <c r="A764" s="26">
        <v>158</v>
      </c>
      <c r="B764" s="19" t="s">
        <v>1282</v>
      </c>
      <c r="C764" s="44" t="s">
        <v>172</v>
      </c>
      <c r="D764" s="19" t="s">
        <v>839</v>
      </c>
      <c r="E764" s="19">
        <v>12</v>
      </c>
      <c r="F764" s="19">
        <v>120</v>
      </c>
      <c r="G764" s="19">
        <v>129</v>
      </c>
      <c r="H764" s="19">
        <v>24</v>
      </c>
      <c r="I764" s="80">
        <v>1.32</v>
      </c>
      <c r="J764" s="80">
        <v>31.78</v>
      </c>
      <c r="K764" s="19" t="s">
        <v>184</v>
      </c>
      <c r="L764" s="19" t="s">
        <v>1277</v>
      </c>
      <c r="Q764" s="20">
        <v>17</v>
      </c>
      <c r="R764" s="65" t="s">
        <v>1141</v>
      </c>
      <c r="T764" s="19" t="s">
        <v>307</v>
      </c>
      <c r="V764" s="19" t="s">
        <v>178</v>
      </c>
      <c r="W764" s="19" t="s">
        <v>138</v>
      </c>
      <c r="Z764" s="44" t="s">
        <v>1142</v>
      </c>
      <c r="AA764" s="44" t="s">
        <v>180</v>
      </c>
    </row>
    <row r="765" spans="1:27" hidden="1" x14ac:dyDescent="0.25">
      <c r="A765" s="26">
        <v>159</v>
      </c>
      <c r="B765" s="19" t="s">
        <v>1283</v>
      </c>
      <c r="C765" s="44" t="s">
        <v>172</v>
      </c>
      <c r="D765" s="19" t="s">
        <v>839</v>
      </c>
      <c r="E765" s="19">
        <v>12</v>
      </c>
      <c r="F765" s="19">
        <v>120</v>
      </c>
      <c r="G765" s="19">
        <v>129</v>
      </c>
      <c r="H765" s="19">
        <v>24</v>
      </c>
      <c r="I765" s="80">
        <v>1.32</v>
      </c>
      <c r="J765" s="80">
        <v>31.78</v>
      </c>
      <c r="K765" s="19" t="s">
        <v>184</v>
      </c>
      <c r="L765" s="19" t="s">
        <v>1277</v>
      </c>
      <c r="Q765" s="20">
        <v>17</v>
      </c>
      <c r="R765" s="65" t="s">
        <v>1141</v>
      </c>
      <c r="T765" s="19" t="s">
        <v>307</v>
      </c>
      <c r="V765" s="19" t="s">
        <v>178</v>
      </c>
      <c r="W765" s="19" t="s">
        <v>138</v>
      </c>
      <c r="Z765" s="44" t="s">
        <v>1142</v>
      </c>
      <c r="AA765" s="44" t="s">
        <v>180</v>
      </c>
    </row>
    <row r="766" spans="1:27" hidden="1" x14ac:dyDescent="0.25">
      <c r="A766" s="26">
        <v>160</v>
      </c>
      <c r="B766" s="19" t="s">
        <v>1284</v>
      </c>
      <c r="C766" s="44" t="s">
        <v>172</v>
      </c>
      <c r="D766" s="19" t="s">
        <v>839</v>
      </c>
      <c r="E766" s="19">
        <v>12</v>
      </c>
      <c r="F766" s="19">
        <v>120</v>
      </c>
      <c r="G766" s="19">
        <v>129</v>
      </c>
      <c r="H766" s="19">
        <v>24</v>
      </c>
      <c r="I766" s="80">
        <v>1.32</v>
      </c>
      <c r="J766" s="80">
        <v>31.78</v>
      </c>
      <c r="K766" s="19" t="s">
        <v>184</v>
      </c>
      <c r="L766" s="19" t="s">
        <v>1277</v>
      </c>
      <c r="Q766" s="20">
        <v>17</v>
      </c>
      <c r="R766" s="65" t="s">
        <v>1141</v>
      </c>
      <c r="T766" s="19" t="s">
        <v>307</v>
      </c>
      <c r="V766" s="19" t="s">
        <v>178</v>
      </c>
      <c r="W766" s="19" t="s">
        <v>138</v>
      </c>
      <c r="Z766" s="44" t="s">
        <v>1142</v>
      </c>
      <c r="AA766" s="44" t="s">
        <v>180</v>
      </c>
    </row>
    <row r="767" spans="1:27" hidden="1" x14ac:dyDescent="0.25">
      <c r="A767" s="26">
        <v>161</v>
      </c>
      <c r="B767" s="19" t="s">
        <v>1201</v>
      </c>
      <c r="C767" s="44" t="s">
        <v>172</v>
      </c>
      <c r="D767" s="19" t="s">
        <v>803</v>
      </c>
      <c r="E767" s="19">
        <v>12</v>
      </c>
      <c r="F767" s="19">
        <v>135</v>
      </c>
      <c r="G767" s="19">
        <v>488</v>
      </c>
      <c r="H767" s="19">
        <v>2</v>
      </c>
      <c r="I767" s="80">
        <v>6.19</v>
      </c>
      <c r="J767" s="80">
        <v>12.38</v>
      </c>
      <c r="K767" s="19" t="s">
        <v>184</v>
      </c>
      <c r="L767" s="19" t="s">
        <v>1277</v>
      </c>
      <c r="Q767" s="20">
        <v>17</v>
      </c>
      <c r="R767" s="65" t="s">
        <v>1141</v>
      </c>
      <c r="T767" s="19" t="s">
        <v>307</v>
      </c>
      <c r="V767" s="19" t="s">
        <v>178</v>
      </c>
      <c r="W767" s="19" t="s">
        <v>138</v>
      </c>
      <c r="Z767" s="44" t="s">
        <v>1142</v>
      </c>
      <c r="AA767" s="44" t="s">
        <v>180</v>
      </c>
    </row>
    <row r="768" spans="1:27" hidden="1" x14ac:dyDescent="0.25">
      <c r="A768" s="26">
        <v>162</v>
      </c>
      <c r="B768" s="19" t="s">
        <v>1285</v>
      </c>
      <c r="C768" s="44" t="s">
        <v>172</v>
      </c>
      <c r="D768" s="19" t="s">
        <v>839</v>
      </c>
      <c r="E768" s="19">
        <v>12</v>
      </c>
      <c r="F768" s="19">
        <v>120</v>
      </c>
      <c r="G768" s="19">
        <v>129</v>
      </c>
      <c r="H768" s="19">
        <v>18</v>
      </c>
      <c r="I768" s="80">
        <v>1.32</v>
      </c>
      <c r="J768" s="80">
        <v>23.83</v>
      </c>
      <c r="K768" s="19" t="s">
        <v>184</v>
      </c>
      <c r="L768" s="19" t="s">
        <v>1277</v>
      </c>
      <c r="Q768" s="20">
        <v>17</v>
      </c>
      <c r="R768" s="65" t="s">
        <v>1141</v>
      </c>
      <c r="T768" s="19" t="s">
        <v>307</v>
      </c>
      <c r="V768" s="19" t="s">
        <v>178</v>
      </c>
      <c r="W768" s="19" t="s">
        <v>138</v>
      </c>
      <c r="Z768" s="44" t="s">
        <v>1142</v>
      </c>
      <c r="AA768" s="44" t="s">
        <v>180</v>
      </c>
    </row>
    <row r="769" spans="1:27" hidden="1" x14ac:dyDescent="0.25">
      <c r="A769" s="26">
        <v>163</v>
      </c>
      <c r="B769" s="19" t="s">
        <v>1286</v>
      </c>
      <c r="C769" s="44" t="s">
        <v>172</v>
      </c>
      <c r="D769" s="19" t="s">
        <v>839</v>
      </c>
      <c r="E769" s="19">
        <v>12</v>
      </c>
      <c r="F769" s="19">
        <v>120</v>
      </c>
      <c r="G769" s="19">
        <v>129</v>
      </c>
      <c r="H769" s="19">
        <v>18</v>
      </c>
      <c r="I769" s="80">
        <v>1.32</v>
      </c>
      <c r="J769" s="80">
        <v>23.83</v>
      </c>
      <c r="K769" s="19" t="s">
        <v>184</v>
      </c>
      <c r="L769" s="19" t="s">
        <v>1277</v>
      </c>
      <c r="Q769" s="20">
        <v>17</v>
      </c>
      <c r="R769" s="65" t="s">
        <v>1141</v>
      </c>
      <c r="T769" s="19" t="s">
        <v>307</v>
      </c>
      <c r="V769" s="19" t="s">
        <v>178</v>
      </c>
      <c r="W769" s="19" t="s">
        <v>138</v>
      </c>
      <c r="Z769" s="44" t="s">
        <v>1142</v>
      </c>
      <c r="AA769" s="44" t="s">
        <v>180</v>
      </c>
    </row>
    <row r="770" spans="1:27" hidden="1" x14ac:dyDescent="0.25">
      <c r="A770" s="26">
        <v>164</v>
      </c>
      <c r="B770" s="19" t="s">
        <v>1287</v>
      </c>
      <c r="C770" s="44" t="s">
        <v>172</v>
      </c>
      <c r="D770" s="19" t="s">
        <v>839</v>
      </c>
      <c r="E770" s="19">
        <v>12</v>
      </c>
      <c r="F770" s="19">
        <v>120</v>
      </c>
      <c r="G770" s="19">
        <v>129</v>
      </c>
      <c r="H770" s="19">
        <v>18</v>
      </c>
      <c r="I770" s="80">
        <v>1.32</v>
      </c>
      <c r="J770" s="80">
        <v>23.83</v>
      </c>
      <c r="K770" s="19" t="s">
        <v>184</v>
      </c>
      <c r="L770" s="19" t="s">
        <v>1277</v>
      </c>
      <c r="Q770" s="20">
        <v>17</v>
      </c>
      <c r="R770" s="65" t="s">
        <v>1141</v>
      </c>
      <c r="T770" s="19" t="s">
        <v>307</v>
      </c>
      <c r="V770" s="19" t="s">
        <v>178</v>
      </c>
      <c r="W770" s="19" t="s">
        <v>138</v>
      </c>
      <c r="Z770" s="44" t="s">
        <v>1142</v>
      </c>
      <c r="AA770" s="44" t="s">
        <v>180</v>
      </c>
    </row>
    <row r="771" spans="1:27" hidden="1" x14ac:dyDescent="0.25">
      <c r="A771" s="26">
        <v>165</v>
      </c>
      <c r="B771" s="19" t="s">
        <v>1288</v>
      </c>
      <c r="C771" s="44" t="s">
        <v>172</v>
      </c>
      <c r="D771" s="19" t="s">
        <v>839</v>
      </c>
      <c r="E771" s="19">
        <v>12</v>
      </c>
      <c r="F771" s="19">
        <v>120</v>
      </c>
      <c r="G771" s="19">
        <v>129</v>
      </c>
      <c r="H771" s="19">
        <v>18</v>
      </c>
      <c r="I771" s="80">
        <v>1.32</v>
      </c>
      <c r="J771" s="80">
        <v>23.83</v>
      </c>
      <c r="K771" s="19" t="s">
        <v>184</v>
      </c>
      <c r="L771" s="19" t="s">
        <v>1277</v>
      </c>
      <c r="Q771" s="20">
        <v>17</v>
      </c>
      <c r="R771" s="65" t="s">
        <v>1141</v>
      </c>
      <c r="T771" s="19" t="s">
        <v>307</v>
      </c>
      <c r="V771" s="19" t="s">
        <v>178</v>
      </c>
      <c r="W771" s="19" t="s">
        <v>138</v>
      </c>
      <c r="Z771" s="44" t="s">
        <v>1142</v>
      </c>
      <c r="AA771" s="44" t="s">
        <v>180</v>
      </c>
    </row>
    <row r="772" spans="1:27" hidden="1" x14ac:dyDescent="0.25">
      <c r="A772" s="26">
        <v>166</v>
      </c>
      <c r="B772" s="19" t="s">
        <v>1289</v>
      </c>
      <c r="C772" s="44" t="s">
        <v>172</v>
      </c>
      <c r="D772" s="19" t="s">
        <v>839</v>
      </c>
      <c r="E772" s="19">
        <v>12</v>
      </c>
      <c r="F772" s="19">
        <v>120</v>
      </c>
      <c r="G772" s="19">
        <v>129</v>
      </c>
      <c r="H772" s="19">
        <v>18</v>
      </c>
      <c r="I772" s="80">
        <v>1.32</v>
      </c>
      <c r="J772" s="80">
        <v>23.83</v>
      </c>
      <c r="K772" s="19" t="s">
        <v>184</v>
      </c>
      <c r="L772" s="19" t="s">
        <v>1277</v>
      </c>
      <c r="Q772" s="20">
        <v>17</v>
      </c>
      <c r="R772" s="65" t="s">
        <v>1141</v>
      </c>
      <c r="T772" s="19" t="s">
        <v>307</v>
      </c>
      <c r="V772" s="19" t="s">
        <v>178</v>
      </c>
      <c r="W772" s="19" t="s">
        <v>138</v>
      </c>
      <c r="Z772" s="44" t="s">
        <v>1142</v>
      </c>
      <c r="AA772" s="44" t="s">
        <v>180</v>
      </c>
    </row>
    <row r="773" spans="1:27" hidden="1" x14ac:dyDescent="0.25">
      <c r="A773" s="26">
        <v>167</v>
      </c>
      <c r="B773" s="19" t="s">
        <v>1290</v>
      </c>
      <c r="C773" s="44" t="s">
        <v>172</v>
      </c>
      <c r="D773" s="19" t="s">
        <v>839</v>
      </c>
      <c r="E773" s="19">
        <v>12</v>
      </c>
      <c r="F773" s="19">
        <v>120</v>
      </c>
      <c r="G773" s="19">
        <v>129</v>
      </c>
      <c r="H773" s="19">
        <v>4</v>
      </c>
      <c r="I773" s="80">
        <v>1.32</v>
      </c>
      <c r="J773" s="80">
        <v>5.3</v>
      </c>
      <c r="K773" s="19" t="s">
        <v>184</v>
      </c>
      <c r="L773" s="19" t="s">
        <v>1277</v>
      </c>
      <c r="Q773" s="20">
        <v>17</v>
      </c>
      <c r="R773" s="65" t="s">
        <v>1141</v>
      </c>
      <c r="T773" s="19" t="s">
        <v>307</v>
      </c>
      <c r="V773" s="19" t="s">
        <v>178</v>
      </c>
      <c r="W773" s="19" t="s">
        <v>138</v>
      </c>
      <c r="Z773" s="44" t="s">
        <v>1142</v>
      </c>
      <c r="AA773" s="44" t="s">
        <v>180</v>
      </c>
    </row>
    <row r="774" spans="1:27" hidden="1" x14ac:dyDescent="0.25">
      <c r="A774" s="26">
        <v>168</v>
      </c>
      <c r="B774" s="19" t="s">
        <v>1291</v>
      </c>
      <c r="C774" s="44" t="s">
        <v>172</v>
      </c>
      <c r="D774" s="19" t="s">
        <v>839</v>
      </c>
      <c r="E774" s="19">
        <v>12</v>
      </c>
      <c r="F774" s="19">
        <v>120</v>
      </c>
      <c r="G774" s="19">
        <v>129</v>
      </c>
      <c r="H774" s="19">
        <v>4</v>
      </c>
      <c r="I774" s="80">
        <v>1.32</v>
      </c>
      <c r="J774" s="80">
        <v>5.3</v>
      </c>
      <c r="K774" s="19" t="s">
        <v>184</v>
      </c>
      <c r="L774" s="19" t="s">
        <v>1277</v>
      </c>
      <c r="Q774" s="20">
        <v>17</v>
      </c>
      <c r="R774" s="65" t="s">
        <v>1141</v>
      </c>
      <c r="T774" s="19" t="s">
        <v>307</v>
      </c>
      <c r="V774" s="19" t="s">
        <v>178</v>
      </c>
      <c r="W774" s="19" t="s">
        <v>138</v>
      </c>
      <c r="Z774" s="44" t="s">
        <v>1142</v>
      </c>
      <c r="AA774" s="44" t="s">
        <v>180</v>
      </c>
    </row>
    <row r="775" spans="1:27" hidden="1" x14ac:dyDescent="0.25">
      <c r="A775" s="26">
        <v>169</v>
      </c>
      <c r="B775" s="19" t="s">
        <v>1292</v>
      </c>
      <c r="C775" s="44" t="s">
        <v>172</v>
      </c>
      <c r="D775" s="19" t="s">
        <v>839</v>
      </c>
      <c r="E775" s="19">
        <v>12</v>
      </c>
      <c r="F775" s="19">
        <v>120</v>
      </c>
      <c r="G775" s="19">
        <v>129</v>
      </c>
      <c r="H775" s="19">
        <v>4</v>
      </c>
      <c r="I775" s="80">
        <v>1.32</v>
      </c>
      <c r="J775" s="80">
        <v>5.3</v>
      </c>
      <c r="K775" s="19" t="s">
        <v>184</v>
      </c>
      <c r="L775" s="19" t="s">
        <v>1277</v>
      </c>
      <c r="Q775" s="20">
        <v>17</v>
      </c>
      <c r="R775" s="65" t="s">
        <v>1141</v>
      </c>
      <c r="T775" s="19" t="s">
        <v>307</v>
      </c>
      <c r="V775" s="19" t="s">
        <v>178</v>
      </c>
      <c r="W775" s="19" t="s">
        <v>138</v>
      </c>
      <c r="Z775" s="44" t="s">
        <v>1142</v>
      </c>
      <c r="AA775" s="44" t="s">
        <v>180</v>
      </c>
    </row>
    <row r="776" spans="1:27" hidden="1" x14ac:dyDescent="0.25">
      <c r="A776" s="26">
        <v>170</v>
      </c>
      <c r="B776" s="19" t="s">
        <v>1293</v>
      </c>
      <c r="C776" s="44" t="s">
        <v>172</v>
      </c>
      <c r="D776" s="19" t="s">
        <v>839</v>
      </c>
      <c r="E776" s="19">
        <v>12</v>
      </c>
      <c r="F776" s="19">
        <v>120</v>
      </c>
      <c r="G776" s="19">
        <v>129</v>
      </c>
      <c r="H776" s="19">
        <v>4</v>
      </c>
      <c r="I776" s="80">
        <v>1.32</v>
      </c>
      <c r="J776" s="80">
        <v>5.3</v>
      </c>
      <c r="K776" s="19" t="s">
        <v>184</v>
      </c>
      <c r="L776" s="19" t="s">
        <v>1277</v>
      </c>
      <c r="Q776" s="20">
        <v>17</v>
      </c>
      <c r="R776" s="65" t="s">
        <v>1141</v>
      </c>
      <c r="T776" s="19" t="s">
        <v>307</v>
      </c>
      <c r="V776" s="19" t="s">
        <v>178</v>
      </c>
      <c r="W776" s="19" t="s">
        <v>138</v>
      </c>
      <c r="Z776" s="44" t="s">
        <v>1142</v>
      </c>
      <c r="AA776" s="44" t="s">
        <v>180</v>
      </c>
    </row>
    <row r="777" spans="1:27" hidden="1" x14ac:dyDescent="0.25">
      <c r="A777" s="26">
        <v>171</v>
      </c>
      <c r="B777" s="19" t="s">
        <v>1294</v>
      </c>
      <c r="C777" s="44" t="s">
        <v>172</v>
      </c>
      <c r="D777" s="19" t="s">
        <v>839</v>
      </c>
      <c r="E777" s="19">
        <v>12</v>
      </c>
      <c r="F777" s="19">
        <v>120</v>
      </c>
      <c r="G777" s="19">
        <v>129</v>
      </c>
      <c r="H777" s="19">
        <v>4</v>
      </c>
      <c r="I777" s="80">
        <v>1.32</v>
      </c>
      <c r="J777" s="80">
        <v>5.3</v>
      </c>
      <c r="K777" s="19" t="s">
        <v>184</v>
      </c>
      <c r="L777" s="19" t="s">
        <v>1277</v>
      </c>
      <c r="Q777" s="20">
        <v>17</v>
      </c>
      <c r="R777" s="65" t="s">
        <v>1141</v>
      </c>
      <c r="T777" s="19" t="s">
        <v>307</v>
      </c>
      <c r="V777" s="19" t="s">
        <v>178</v>
      </c>
      <c r="W777" s="19" t="s">
        <v>138</v>
      </c>
      <c r="Z777" s="44" t="s">
        <v>1142</v>
      </c>
      <c r="AA777" s="44" t="s">
        <v>180</v>
      </c>
    </row>
    <row r="778" spans="1:27" hidden="1" x14ac:dyDescent="0.25">
      <c r="A778" s="26">
        <v>172</v>
      </c>
      <c r="B778" s="19" t="s">
        <v>1295</v>
      </c>
      <c r="C778" s="44" t="s">
        <v>172</v>
      </c>
      <c r="D778" s="19" t="s">
        <v>839</v>
      </c>
      <c r="E778" s="19">
        <v>12</v>
      </c>
      <c r="F778" s="19">
        <v>120</v>
      </c>
      <c r="G778" s="19">
        <v>129</v>
      </c>
      <c r="H778" s="19">
        <v>4</v>
      </c>
      <c r="I778" s="80">
        <v>1.32</v>
      </c>
      <c r="J778" s="80">
        <v>5.3</v>
      </c>
      <c r="K778" s="19" t="s">
        <v>184</v>
      </c>
      <c r="L778" s="19" t="s">
        <v>1277</v>
      </c>
      <c r="Q778" s="20">
        <v>17</v>
      </c>
      <c r="R778" s="65" t="s">
        <v>1141</v>
      </c>
      <c r="T778" s="19" t="s">
        <v>307</v>
      </c>
      <c r="V778" s="19" t="s">
        <v>178</v>
      </c>
      <c r="W778" s="19" t="s">
        <v>138</v>
      </c>
      <c r="Z778" s="44" t="s">
        <v>1142</v>
      </c>
      <c r="AA778" s="44" t="s">
        <v>180</v>
      </c>
    </row>
    <row r="779" spans="1:27" hidden="1" x14ac:dyDescent="0.25">
      <c r="A779" s="26">
        <v>173</v>
      </c>
      <c r="B779" s="19" t="s">
        <v>1296</v>
      </c>
      <c r="C779" s="44" t="s">
        <v>172</v>
      </c>
      <c r="D779" s="19" t="s">
        <v>839</v>
      </c>
      <c r="E779" s="19">
        <v>12</v>
      </c>
      <c r="F779" s="19">
        <v>120</v>
      </c>
      <c r="G779" s="19">
        <v>129</v>
      </c>
      <c r="H779" s="19">
        <v>4</v>
      </c>
      <c r="I779" s="80">
        <v>1.32</v>
      </c>
      <c r="J779" s="80">
        <v>5.3</v>
      </c>
      <c r="K779" s="19" t="s">
        <v>184</v>
      </c>
      <c r="L779" s="19" t="s">
        <v>1277</v>
      </c>
      <c r="Q779" s="20">
        <v>17</v>
      </c>
      <c r="R779" s="65" t="s">
        <v>1141</v>
      </c>
      <c r="T779" s="19" t="s">
        <v>307</v>
      </c>
      <c r="V779" s="19" t="s">
        <v>178</v>
      </c>
      <c r="W779" s="19" t="s">
        <v>138</v>
      </c>
      <c r="Z779" s="44" t="s">
        <v>1142</v>
      </c>
      <c r="AA779" s="44" t="s">
        <v>180</v>
      </c>
    </row>
    <row r="780" spans="1:27" hidden="1" x14ac:dyDescent="0.25">
      <c r="A780" s="26">
        <v>174</v>
      </c>
      <c r="B780" s="19" t="s">
        <v>1297</v>
      </c>
      <c r="C780" s="44" t="s">
        <v>172</v>
      </c>
      <c r="D780" s="19" t="s">
        <v>839</v>
      </c>
      <c r="E780" s="19">
        <v>12</v>
      </c>
      <c r="F780" s="19">
        <v>120</v>
      </c>
      <c r="G780" s="19">
        <v>129</v>
      </c>
      <c r="H780" s="19">
        <v>4</v>
      </c>
      <c r="I780" s="80">
        <v>1.32</v>
      </c>
      <c r="J780" s="80">
        <v>5.3</v>
      </c>
      <c r="K780" s="19" t="s">
        <v>184</v>
      </c>
      <c r="L780" s="19" t="s">
        <v>1277</v>
      </c>
      <c r="Q780" s="20">
        <v>17</v>
      </c>
      <c r="R780" s="65" t="s">
        <v>1141</v>
      </c>
      <c r="T780" s="19" t="s">
        <v>307</v>
      </c>
      <c r="V780" s="19" t="s">
        <v>178</v>
      </c>
      <c r="W780" s="19" t="s">
        <v>138</v>
      </c>
      <c r="Z780" s="44" t="s">
        <v>1142</v>
      </c>
      <c r="AA780" s="44" t="s">
        <v>180</v>
      </c>
    </row>
    <row r="781" spans="1:27" hidden="1" x14ac:dyDescent="0.25">
      <c r="A781" s="26">
        <v>175</v>
      </c>
      <c r="B781" s="19" t="s">
        <v>1298</v>
      </c>
      <c r="C781" s="44" t="s">
        <v>172</v>
      </c>
      <c r="D781" s="19" t="s">
        <v>839</v>
      </c>
      <c r="E781" s="19">
        <v>12</v>
      </c>
      <c r="F781" s="19">
        <v>120</v>
      </c>
      <c r="G781" s="19">
        <v>129</v>
      </c>
      <c r="H781" s="19">
        <v>24</v>
      </c>
      <c r="I781" s="80">
        <v>1.32</v>
      </c>
      <c r="J781" s="80">
        <v>31.78</v>
      </c>
      <c r="K781" s="19" t="s">
        <v>184</v>
      </c>
      <c r="L781" s="19" t="s">
        <v>1277</v>
      </c>
      <c r="Q781" s="20">
        <v>17</v>
      </c>
      <c r="R781" s="65" t="s">
        <v>1141</v>
      </c>
      <c r="T781" s="19" t="s">
        <v>307</v>
      </c>
      <c r="V781" s="19" t="s">
        <v>178</v>
      </c>
      <c r="W781" s="19" t="s">
        <v>138</v>
      </c>
      <c r="Z781" s="44" t="s">
        <v>1142</v>
      </c>
      <c r="AA781" s="44" t="s">
        <v>180</v>
      </c>
    </row>
    <row r="782" spans="1:27" hidden="1" x14ac:dyDescent="0.25">
      <c r="A782" s="26">
        <v>176</v>
      </c>
      <c r="B782" s="19" t="s">
        <v>1299</v>
      </c>
      <c r="C782" s="44" t="s">
        <v>172</v>
      </c>
      <c r="D782" s="19" t="s">
        <v>839</v>
      </c>
      <c r="E782" s="19">
        <v>12</v>
      </c>
      <c r="F782" s="19">
        <v>120</v>
      </c>
      <c r="G782" s="19">
        <v>129</v>
      </c>
      <c r="H782" s="19">
        <v>24</v>
      </c>
      <c r="I782" s="80">
        <v>1.32</v>
      </c>
      <c r="J782" s="80">
        <v>31.78</v>
      </c>
      <c r="K782" s="19" t="s">
        <v>184</v>
      </c>
      <c r="L782" s="19" t="s">
        <v>1277</v>
      </c>
      <c r="Q782" s="20">
        <v>17</v>
      </c>
      <c r="R782" s="65" t="s">
        <v>1141</v>
      </c>
      <c r="T782" s="19" t="s">
        <v>307</v>
      </c>
      <c r="V782" s="19" t="s">
        <v>178</v>
      </c>
      <c r="W782" s="19" t="s">
        <v>138</v>
      </c>
      <c r="Z782" s="44" t="s">
        <v>1142</v>
      </c>
      <c r="AA782" s="44" t="s">
        <v>180</v>
      </c>
    </row>
    <row r="783" spans="1:27" hidden="1" x14ac:dyDescent="0.25">
      <c r="A783" s="26">
        <v>177</v>
      </c>
      <c r="B783" s="19" t="s">
        <v>1300</v>
      </c>
      <c r="C783" s="44" t="s">
        <v>172</v>
      </c>
      <c r="D783" s="19" t="s">
        <v>839</v>
      </c>
      <c r="E783" s="19">
        <v>12</v>
      </c>
      <c r="F783" s="19">
        <v>120</v>
      </c>
      <c r="G783" s="19">
        <v>129</v>
      </c>
      <c r="H783" s="19">
        <v>24</v>
      </c>
      <c r="I783" s="80">
        <v>1.32</v>
      </c>
      <c r="J783" s="80">
        <v>31.78</v>
      </c>
      <c r="K783" s="19" t="s">
        <v>184</v>
      </c>
      <c r="L783" s="19" t="s">
        <v>1277</v>
      </c>
      <c r="Q783" s="20">
        <v>17</v>
      </c>
      <c r="R783" s="65" t="s">
        <v>1141</v>
      </c>
      <c r="T783" s="19" t="s">
        <v>307</v>
      </c>
      <c r="V783" s="19" t="s">
        <v>178</v>
      </c>
      <c r="W783" s="19" t="s">
        <v>138</v>
      </c>
      <c r="Z783" s="44" t="s">
        <v>1142</v>
      </c>
      <c r="AA783" s="44" t="s">
        <v>180</v>
      </c>
    </row>
    <row r="784" spans="1:27" hidden="1" x14ac:dyDescent="0.25">
      <c r="A784" s="26">
        <v>178</v>
      </c>
      <c r="B784" s="19" t="s">
        <v>1301</v>
      </c>
      <c r="C784" s="44" t="s">
        <v>172</v>
      </c>
      <c r="D784" s="19" t="s">
        <v>839</v>
      </c>
      <c r="E784" s="19">
        <v>12</v>
      </c>
      <c r="F784" s="19">
        <v>120</v>
      </c>
      <c r="G784" s="19">
        <v>129</v>
      </c>
      <c r="H784" s="19">
        <v>24</v>
      </c>
      <c r="I784" s="80">
        <v>1.32</v>
      </c>
      <c r="J784" s="80">
        <v>31.78</v>
      </c>
      <c r="K784" s="19" t="s">
        <v>184</v>
      </c>
      <c r="L784" s="19" t="s">
        <v>1277</v>
      </c>
      <c r="Q784" s="20">
        <v>17</v>
      </c>
      <c r="R784" s="65" t="s">
        <v>1141</v>
      </c>
      <c r="T784" s="19" t="s">
        <v>307</v>
      </c>
      <c r="V784" s="19" t="s">
        <v>178</v>
      </c>
      <c r="W784" s="19" t="s">
        <v>138</v>
      </c>
      <c r="Z784" s="44" t="s">
        <v>1142</v>
      </c>
      <c r="AA784" s="44" t="s">
        <v>180</v>
      </c>
    </row>
    <row r="785" spans="1:27" hidden="1" x14ac:dyDescent="0.25">
      <c r="A785" s="26">
        <v>179</v>
      </c>
      <c r="B785" s="19" t="s">
        <v>1302</v>
      </c>
      <c r="C785" s="44" t="s">
        <v>172</v>
      </c>
      <c r="D785" s="19" t="s">
        <v>839</v>
      </c>
      <c r="E785" s="19">
        <v>12</v>
      </c>
      <c r="F785" s="19">
        <v>120</v>
      </c>
      <c r="G785" s="19">
        <v>129</v>
      </c>
      <c r="H785" s="19">
        <v>24</v>
      </c>
      <c r="I785" s="80">
        <v>1.32</v>
      </c>
      <c r="J785" s="80">
        <v>31.78</v>
      </c>
      <c r="K785" s="19" t="s">
        <v>184</v>
      </c>
      <c r="L785" s="19" t="s">
        <v>1277</v>
      </c>
      <c r="Q785" s="20">
        <v>17</v>
      </c>
      <c r="R785" s="65" t="s">
        <v>1141</v>
      </c>
      <c r="T785" s="19" t="s">
        <v>307</v>
      </c>
      <c r="V785" s="19" t="s">
        <v>178</v>
      </c>
      <c r="W785" s="19" t="s">
        <v>138</v>
      </c>
      <c r="Z785" s="44" t="s">
        <v>1142</v>
      </c>
      <c r="AA785" s="44" t="s">
        <v>180</v>
      </c>
    </row>
    <row r="786" spans="1:27" hidden="1" x14ac:dyDescent="0.25">
      <c r="A786" s="26">
        <v>180</v>
      </c>
      <c r="B786" s="19" t="s">
        <v>1303</v>
      </c>
      <c r="C786" s="44" t="s">
        <v>172</v>
      </c>
      <c r="D786" s="19" t="s">
        <v>839</v>
      </c>
      <c r="E786" s="19">
        <v>12</v>
      </c>
      <c r="F786" s="19">
        <v>120</v>
      </c>
      <c r="G786" s="19">
        <v>129</v>
      </c>
      <c r="H786" s="19">
        <v>24</v>
      </c>
      <c r="I786" s="80">
        <v>1.32</v>
      </c>
      <c r="J786" s="80">
        <v>31.78</v>
      </c>
      <c r="K786" s="19" t="s">
        <v>184</v>
      </c>
      <c r="L786" s="19" t="s">
        <v>1277</v>
      </c>
      <c r="Q786" s="20">
        <v>17</v>
      </c>
      <c r="R786" s="65" t="s">
        <v>1141</v>
      </c>
      <c r="T786" s="19" t="s">
        <v>307</v>
      </c>
      <c r="V786" s="19" t="s">
        <v>178</v>
      </c>
      <c r="W786" s="19" t="s">
        <v>138</v>
      </c>
      <c r="Z786" s="44" t="s">
        <v>1142</v>
      </c>
      <c r="AA786" s="44" t="s">
        <v>180</v>
      </c>
    </row>
    <row r="787" spans="1:27" hidden="1" x14ac:dyDescent="0.25">
      <c r="A787" s="26">
        <v>181</v>
      </c>
      <c r="B787" s="19" t="s">
        <v>1304</v>
      </c>
      <c r="C787" s="44" t="s">
        <v>172</v>
      </c>
      <c r="D787" s="19" t="s">
        <v>839</v>
      </c>
      <c r="E787" s="19">
        <v>12</v>
      </c>
      <c r="F787" s="19">
        <v>120</v>
      </c>
      <c r="G787" s="19">
        <v>129</v>
      </c>
      <c r="H787" s="19">
        <v>24</v>
      </c>
      <c r="I787" s="80">
        <v>1.32</v>
      </c>
      <c r="J787" s="80">
        <v>31.78</v>
      </c>
      <c r="K787" s="19" t="s">
        <v>184</v>
      </c>
      <c r="L787" s="19" t="s">
        <v>1277</v>
      </c>
      <c r="Q787" s="20">
        <v>17</v>
      </c>
      <c r="R787" s="65" t="s">
        <v>1141</v>
      </c>
      <c r="T787" s="19" t="s">
        <v>307</v>
      </c>
      <c r="V787" s="19" t="s">
        <v>178</v>
      </c>
      <c r="W787" s="19" t="s">
        <v>138</v>
      </c>
      <c r="Z787" s="44" t="s">
        <v>1142</v>
      </c>
      <c r="AA787" s="44" t="s">
        <v>180</v>
      </c>
    </row>
    <row r="788" spans="1:27" hidden="1" x14ac:dyDescent="0.25">
      <c r="A788" s="26">
        <v>182</v>
      </c>
      <c r="B788" s="19" t="s">
        <v>1305</v>
      </c>
      <c r="C788" s="44" t="s">
        <v>172</v>
      </c>
      <c r="D788" s="19" t="s">
        <v>839</v>
      </c>
      <c r="E788" s="19">
        <v>12</v>
      </c>
      <c r="F788" s="19">
        <v>120</v>
      </c>
      <c r="G788" s="19">
        <v>129</v>
      </c>
      <c r="H788" s="19">
        <v>24</v>
      </c>
      <c r="I788" s="80">
        <v>1.32</v>
      </c>
      <c r="J788" s="80">
        <v>31.78</v>
      </c>
      <c r="K788" s="19" t="s">
        <v>184</v>
      </c>
      <c r="L788" s="19" t="s">
        <v>1277</v>
      </c>
      <c r="Q788" s="20">
        <v>17</v>
      </c>
      <c r="R788" s="65" t="s">
        <v>1141</v>
      </c>
      <c r="T788" s="19" t="s">
        <v>307</v>
      </c>
      <c r="V788" s="19" t="s">
        <v>178</v>
      </c>
      <c r="W788" s="19" t="s">
        <v>138</v>
      </c>
      <c r="Z788" s="44" t="s">
        <v>1142</v>
      </c>
      <c r="AA788" s="44" t="s">
        <v>180</v>
      </c>
    </row>
    <row r="789" spans="1:27" hidden="1" x14ac:dyDescent="0.25">
      <c r="A789" s="26">
        <v>183</v>
      </c>
      <c r="B789" s="19" t="s">
        <v>1306</v>
      </c>
      <c r="C789" s="44" t="s">
        <v>172</v>
      </c>
      <c r="D789" s="19" t="s">
        <v>839</v>
      </c>
      <c r="E789" s="19">
        <v>12</v>
      </c>
      <c r="F789" s="19">
        <v>120</v>
      </c>
      <c r="G789" s="19">
        <v>129</v>
      </c>
      <c r="H789" s="19">
        <v>24</v>
      </c>
      <c r="I789" s="80">
        <v>1.32</v>
      </c>
      <c r="J789" s="80">
        <v>31.78</v>
      </c>
      <c r="K789" s="19" t="s">
        <v>184</v>
      </c>
      <c r="L789" s="19" t="s">
        <v>1277</v>
      </c>
      <c r="Q789" s="20">
        <v>17</v>
      </c>
      <c r="R789" s="65" t="s">
        <v>1141</v>
      </c>
      <c r="T789" s="19" t="s">
        <v>307</v>
      </c>
      <c r="V789" s="19" t="s">
        <v>178</v>
      </c>
      <c r="W789" s="19" t="s">
        <v>138</v>
      </c>
      <c r="Z789" s="44" t="s">
        <v>1142</v>
      </c>
      <c r="AA789" s="44" t="s">
        <v>180</v>
      </c>
    </row>
    <row r="790" spans="1:27" hidden="1" x14ac:dyDescent="0.25">
      <c r="A790" s="26">
        <v>184</v>
      </c>
      <c r="B790" s="19" t="s">
        <v>1307</v>
      </c>
      <c r="C790" s="44" t="s">
        <v>172</v>
      </c>
      <c r="D790" s="19" t="s">
        <v>839</v>
      </c>
      <c r="E790" s="19">
        <v>12</v>
      </c>
      <c r="F790" s="19">
        <v>120</v>
      </c>
      <c r="G790" s="19">
        <v>129</v>
      </c>
      <c r="H790" s="19">
        <v>24</v>
      </c>
      <c r="I790" s="80">
        <v>1.32</v>
      </c>
      <c r="J790" s="80">
        <v>31.78</v>
      </c>
      <c r="K790" s="19" t="s">
        <v>184</v>
      </c>
      <c r="L790" s="19" t="s">
        <v>1277</v>
      </c>
      <c r="Q790" s="20">
        <v>17</v>
      </c>
      <c r="R790" s="65" t="s">
        <v>1141</v>
      </c>
      <c r="T790" s="19" t="s">
        <v>307</v>
      </c>
      <c r="V790" s="19" t="s">
        <v>178</v>
      </c>
      <c r="W790" s="19" t="s">
        <v>138</v>
      </c>
      <c r="Z790" s="44" t="s">
        <v>1142</v>
      </c>
      <c r="AA790" s="44" t="s">
        <v>180</v>
      </c>
    </row>
    <row r="791" spans="1:27" hidden="1" x14ac:dyDescent="0.25">
      <c r="A791" s="26">
        <v>185</v>
      </c>
      <c r="B791" s="19" t="s">
        <v>1308</v>
      </c>
      <c r="C791" s="44" t="s">
        <v>172</v>
      </c>
      <c r="D791" s="19" t="s">
        <v>839</v>
      </c>
      <c r="E791" s="19">
        <v>12</v>
      </c>
      <c r="F791" s="19">
        <v>120</v>
      </c>
      <c r="G791" s="19">
        <v>129</v>
      </c>
      <c r="H791" s="19">
        <v>18</v>
      </c>
      <c r="I791" s="80">
        <v>1.32</v>
      </c>
      <c r="J791" s="80">
        <v>23.83</v>
      </c>
      <c r="K791" s="19" t="s">
        <v>184</v>
      </c>
      <c r="L791" s="19" t="s">
        <v>1277</v>
      </c>
      <c r="Q791" s="20">
        <v>17</v>
      </c>
      <c r="R791" s="65" t="s">
        <v>1141</v>
      </c>
      <c r="T791" s="19" t="s">
        <v>307</v>
      </c>
      <c r="V791" s="19" t="s">
        <v>178</v>
      </c>
      <c r="W791" s="19" t="s">
        <v>138</v>
      </c>
      <c r="Z791" s="44" t="s">
        <v>1142</v>
      </c>
      <c r="AA791" s="44" t="s">
        <v>180</v>
      </c>
    </row>
    <row r="792" spans="1:27" hidden="1" x14ac:dyDescent="0.25">
      <c r="A792" s="26">
        <v>186</v>
      </c>
      <c r="B792" s="19" t="s">
        <v>1309</v>
      </c>
      <c r="C792" s="44" t="s">
        <v>172</v>
      </c>
      <c r="D792" s="19" t="s">
        <v>839</v>
      </c>
      <c r="E792" s="19">
        <v>12</v>
      </c>
      <c r="F792" s="19">
        <v>120</v>
      </c>
      <c r="G792" s="19">
        <v>129</v>
      </c>
      <c r="H792" s="19">
        <v>18</v>
      </c>
      <c r="I792" s="80">
        <v>1.32</v>
      </c>
      <c r="J792" s="80">
        <v>23.83</v>
      </c>
      <c r="K792" s="19" t="s">
        <v>184</v>
      </c>
      <c r="L792" s="19" t="s">
        <v>1277</v>
      </c>
      <c r="Q792" s="20">
        <v>17</v>
      </c>
      <c r="R792" s="65" t="s">
        <v>1141</v>
      </c>
      <c r="T792" s="19" t="s">
        <v>307</v>
      </c>
      <c r="V792" s="19" t="s">
        <v>178</v>
      </c>
      <c r="W792" s="19" t="s">
        <v>138</v>
      </c>
      <c r="Z792" s="44" t="s">
        <v>1142</v>
      </c>
      <c r="AA792" s="44" t="s">
        <v>180</v>
      </c>
    </row>
    <row r="793" spans="1:27" hidden="1" x14ac:dyDescent="0.25">
      <c r="A793" s="26">
        <v>187</v>
      </c>
      <c r="B793" s="19" t="s">
        <v>1310</v>
      </c>
      <c r="C793" s="44" t="s">
        <v>172</v>
      </c>
      <c r="D793" s="19" t="s">
        <v>839</v>
      </c>
      <c r="E793" s="19">
        <v>12</v>
      </c>
      <c r="F793" s="19">
        <v>120</v>
      </c>
      <c r="G793" s="19">
        <v>129</v>
      </c>
      <c r="H793" s="19">
        <v>18</v>
      </c>
      <c r="I793" s="80">
        <v>1.32</v>
      </c>
      <c r="J793" s="80">
        <v>23.83</v>
      </c>
      <c r="K793" s="19" t="s">
        <v>184</v>
      </c>
      <c r="L793" s="19" t="s">
        <v>1277</v>
      </c>
      <c r="Q793" s="20">
        <v>17</v>
      </c>
      <c r="R793" s="65" t="s">
        <v>1141</v>
      </c>
      <c r="T793" s="19" t="s">
        <v>307</v>
      </c>
      <c r="V793" s="19" t="s">
        <v>178</v>
      </c>
      <c r="W793" s="19" t="s">
        <v>138</v>
      </c>
      <c r="Z793" s="44" t="s">
        <v>1142</v>
      </c>
      <c r="AA793" s="44" t="s">
        <v>180</v>
      </c>
    </row>
    <row r="794" spans="1:27" hidden="1" x14ac:dyDescent="0.25">
      <c r="A794" s="26">
        <v>188</v>
      </c>
      <c r="B794" s="19" t="s">
        <v>1311</v>
      </c>
      <c r="C794" s="44" t="s">
        <v>172</v>
      </c>
      <c r="D794" s="19" t="s">
        <v>839</v>
      </c>
      <c r="E794" s="19">
        <v>12</v>
      </c>
      <c r="F794" s="19">
        <v>120</v>
      </c>
      <c r="G794" s="19">
        <v>129</v>
      </c>
      <c r="H794" s="19">
        <v>18</v>
      </c>
      <c r="I794" s="80">
        <v>1.32</v>
      </c>
      <c r="J794" s="80">
        <v>23.83</v>
      </c>
      <c r="K794" s="19" t="s">
        <v>184</v>
      </c>
      <c r="L794" s="19" t="s">
        <v>1277</v>
      </c>
      <c r="Q794" s="20">
        <v>17</v>
      </c>
      <c r="R794" s="65" t="s">
        <v>1141</v>
      </c>
      <c r="T794" s="19" t="s">
        <v>307</v>
      </c>
      <c r="V794" s="19" t="s">
        <v>178</v>
      </c>
      <c r="W794" s="19" t="s">
        <v>138</v>
      </c>
      <c r="Z794" s="44" t="s">
        <v>1142</v>
      </c>
      <c r="AA794" s="44" t="s">
        <v>180</v>
      </c>
    </row>
    <row r="795" spans="1:27" hidden="1" x14ac:dyDescent="0.25">
      <c r="A795" s="26">
        <v>189</v>
      </c>
      <c r="B795" s="19" t="s">
        <v>1312</v>
      </c>
      <c r="C795" s="44" t="s">
        <v>172</v>
      </c>
      <c r="D795" s="19" t="s">
        <v>839</v>
      </c>
      <c r="E795" s="19">
        <v>12</v>
      </c>
      <c r="F795" s="19">
        <v>120</v>
      </c>
      <c r="G795" s="19">
        <v>129</v>
      </c>
      <c r="H795" s="19">
        <v>18</v>
      </c>
      <c r="I795" s="80">
        <v>1.32</v>
      </c>
      <c r="J795" s="80">
        <v>23.83</v>
      </c>
      <c r="K795" s="19" t="s">
        <v>184</v>
      </c>
      <c r="L795" s="19" t="s">
        <v>1277</v>
      </c>
      <c r="Q795" s="20">
        <v>17</v>
      </c>
      <c r="R795" s="65" t="s">
        <v>1141</v>
      </c>
      <c r="T795" s="19" t="s">
        <v>307</v>
      </c>
      <c r="V795" s="19" t="s">
        <v>178</v>
      </c>
      <c r="W795" s="19" t="s">
        <v>138</v>
      </c>
      <c r="Z795" s="44" t="s">
        <v>1142</v>
      </c>
      <c r="AA795" s="44" t="s">
        <v>180</v>
      </c>
    </row>
    <row r="796" spans="1:27" hidden="1" x14ac:dyDescent="0.25">
      <c r="A796" s="26">
        <v>190</v>
      </c>
      <c r="B796" s="19" t="s">
        <v>1313</v>
      </c>
      <c r="C796" s="44" t="s">
        <v>172</v>
      </c>
      <c r="D796" s="19" t="s">
        <v>839</v>
      </c>
      <c r="E796" s="19">
        <v>12</v>
      </c>
      <c r="F796" s="19">
        <v>120</v>
      </c>
      <c r="G796" s="19">
        <v>129</v>
      </c>
      <c r="H796" s="19">
        <v>4</v>
      </c>
      <c r="I796" s="80">
        <v>1.32</v>
      </c>
      <c r="J796" s="80">
        <v>5.3</v>
      </c>
      <c r="K796" s="19" t="s">
        <v>184</v>
      </c>
      <c r="L796" s="19" t="s">
        <v>1277</v>
      </c>
      <c r="Q796" s="20">
        <v>17</v>
      </c>
      <c r="R796" s="65" t="s">
        <v>1141</v>
      </c>
      <c r="T796" s="19" t="s">
        <v>307</v>
      </c>
      <c r="V796" s="19" t="s">
        <v>178</v>
      </c>
      <c r="W796" s="19" t="s">
        <v>138</v>
      </c>
      <c r="Z796" s="44" t="s">
        <v>1142</v>
      </c>
      <c r="AA796" s="44" t="s">
        <v>180</v>
      </c>
    </row>
    <row r="797" spans="1:27" hidden="1" x14ac:dyDescent="0.25">
      <c r="A797" s="26">
        <v>191</v>
      </c>
      <c r="B797" s="19" t="s">
        <v>1314</v>
      </c>
      <c r="C797" s="44" t="s">
        <v>172</v>
      </c>
      <c r="D797" s="19" t="s">
        <v>839</v>
      </c>
      <c r="E797" s="19">
        <v>12</v>
      </c>
      <c r="F797" s="19">
        <v>120</v>
      </c>
      <c r="G797" s="19">
        <v>129</v>
      </c>
      <c r="H797" s="19">
        <v>4</v>
      </c>
      <c r="I797" s="80">
        <v>1.32</v>
      </c>
      <c r="J797" s="80">
        <v>5.3</v>
      </c>
      <c r="K797" s="19" t="s">
        <v>184</v>
      </c>
      <c r="L797" s="19" t="s">
        <v>1277</v>
      </c>
      <c r="Q797" s="20">
        <v>17</v>
      </c>
      <c r="R797" s="65" t="s">
        <v>1141</v>
      </c>
      <c r="T797" s="19" t="s">
        <v>307</v>
      </c>
      <c r="V797" s="19" t="s">
        <v>178</v>
      </c>
      <c r="W797" s="19" t="s">
        <v>138</v>
      </c>
      <c r="Z797" s="44" t="s">
        <v>1142</v>
      </c>
      <c r="AA797" s="44" t="s">
        <v>180</v>
      </c>
    </row>
    <row r="798" spans="1:27" hidden="1" x14ac:dyDescent="0.25">
      <c r="A798" s="26">
        <v>192</v>
      </c>
      <c r="B798" s="19" t="s">
        <v>1315</v>
      </c>
      <c r="C798" s="44" t="s">
        <v>172</v>
      </c>
      <c r="D798" s="19" t="s">
        <v>839</v>
      </c>
      <c r="E798" s="19">
        <v>12</v>
      </c>
      <c r="F798" s="19">
        <v>120</v>
      </c>
      <c r="G798" s="19">
        <v>129</v>
      </c>
      <c r="H798" s="19">
        <v>4</v>
      </c>
      <c r="I798" s="80">
        <v>1.32</v>
      </c>
      <c r="J798" s="80">
        <v>5.3</v>
      </c>
      <c r="K798" s="19" t="s">
        <v>184</v>
      </c>
      <c r="L798" s="19" t="s">
        <v>1277</v>
      </c>
      <c r="Q798" s="20">
        <v>17</v>
      </c>
      <c r="R798" s="65" t="s">
        <v>1141</v>
      </c>
      <c r="T798" s="19" t="s">
        <v>307</v>
      </c>
      <c r="V798" s="19" t="s">
        <v>178</v>
      </c>
      <c r="W798" s="19" t="s">
        <v>138</v>
      </c>
      <c r="Z798" s="44" t="s">
        <v>1142</v>
      </c>
      <c r="AA798" s="44" t="s">
        <v>180</v>
      </c>
    </row>
    <row r="799" spans="1:27" hidden="1" x14ac:dyDescent="0.25">
      <c r="A799" s="26">
        <v>193</v>
      </c>
      <c r="B799" s="19" t="s">
        <v>1316</v>
      </c>
      <c r="C799" s="44" t="s">
        <v>172</v>
      </c>
      <c r="D799" s="19" t="s">
        <v>839</v>
      </c>
      <c r="E799" s="19">
        <v>12</v>
      </c>
      <c r="F799" s="19">
        <v>120</v>
      </c>
      <c r="G799" s="19">
        <v>129</v>
      </c>
      <c r="H799" s="19">
        <v>4</v>
      </c>
      <c r="I799" s="80">
        <v>1.32</v>
      </c>
      <c r="J799" s="80">
        <v>5.3</v>
      </c>
      <c r="K799" s="19" t="s">
        <v>184</v>
      </c>
      <c r="L799" s="19" t="s">
        <v>1277</v>
      </c>
      <c r="Q799" s="20">
        <v>17</v>
      </c>
      <c r="R799" s="65" t="s">
        <v>1141</v>
      </c>
      <c r="T799" s="19" t="s">
        <v>307</v>
      </c>
      <c r="V799" s="19" t="s">
        <v>178</v>
      </c>
      <c r="W799" s="19" t="s">
        <v>138</v>
      </c>
      <c r="Z799" s="44" t="s">
        <v>1142</v>
      </c>
      <c r="AA799" s="44" t="s">
        <v>180</v>
      </c>
    </row>
    <row r="800" spans="1:27" hidden="1" x14ac:dyDescent="0.25">
      <c r="A800" s="26">
        <v>194</v>
      </c>
      <c r="B800" s="19" t="s">
        <v>1317</v>
      </c>
      <c r="C800" s="44" t="s">
        <v>172</v>
      </c>
      <c r="D800" s="19" t="s">
        <v>839</v>
      </c>
      <c r="E800" s="19">
        <v>12</v>
      </c>
      <c r="F800" s="19">
        <v>120</v>
      </c>
      <c r="G800" s="19">
        <v>129</v>
      </c>
      <c r="H800" s="19">
        <v>4</v>
      </c>
      <c r="I800" s="80">
        <v>1.32</v>
      </c>
      <c r="J800" s="80">
        <v>5.3</v>
      </c>
      <c r="K800" s="19" t="s">
        <v>184</v>
      </c>
      <c r="L800" s="19" t="s">
        <v>1277</v>
      </c>
      <c r="Q800" s="20">
        <v>17</v>
      </c>
      <c r="R800" s="65" t="s">
        <v>1141</v>
      </c>
      <c r="T800" s="19" t="s">
        <v>307</v>
      </c>
      <c r="V800" s="19" t="s">
        <v>178</v>
      </c>
      <c r="W800" s="19" t="s">
        <v>138</v>
      </c>
      <c r="Z800" s="44" t="s">
        <v>1142</v>
      </c>
      <c r="AA800" s="44" t="s">
        <v>180</v>
      </c>
    </row>
    <row r="801" spans="1:27" hidden="1" x14ac:dyDescent="0.25">
      <c r="A801" s="26">
        <v>195</v>
      </c>
      <c r="B801" s="19" t="s">
        <v>1318</v>
      </c>
      <c r="C801" s="44" t="s">
        <v>172</v>
      </c>
      <c r="D801" s="19" t="s">
        <v>839</v>
      </c>
      <c r="E801" s="19">
        <v>12</v>
      </c>
      <c r="F801" s="19">
        <v>120</v>
      </c>
      <c r="G801" s="19">
        <v>129</v>
      </c>
      <c r="H801" s="19">
        <v>4</v>
      </c>
      <c r="I801" s="80">
        <v>1.32</v>
      </c>
      <c r="J801" s="80">
        <v>5.3</v>
      </c>
      <c r="K801" s="19" t="s">
        <v>184</v>
      </c>
      <c r="L801" s="19" t="s">
        <v>1277</v>
      </c>
      <c r="Q801" s="20">
        <v>17</v>
      </c>
      <c r="R801" s="65" t="s">
        <v>1141</v>
      </c>
      <c r="T801" s="19" t="s">
        <v>307</v>
      </c>
      <c r="V801" s="19" t="s">
        <v>178</v>
      </c>
      <c r="W801" s="19" t="s">
        <v>138</v>
      </c>
      <c r="Z801" s="44" t="s">
        <v>1142</v>
      </c>
      <c r="AA801" s="44" t="s">
        <v>180</v>
      </c>
    </row>
    <row r="802" spans="1:27" hidden="1" x14ac:dyDescent="0.25">
      <c r="A802" s="26">
        <v>196</v>
      </c>
      <c r="B802" s="19" t="s">
        <v>1319</v>
      </c>
      <c r="C802" s="44" t="s">
        <v>172</v>
      </c>
      <c r="D802" s="19" t="s">
        <v>839</v>
      </c>
      <c r="E802" s="19">
        <v>12</v>
      </c>
      <c r="F802" s="19">
        <v>120</v>
      </c>
      <c r="G802" s="19">
        <v>129</v>
      </c>
      <c r="H802" s="19">
        <v>4</v>
      </c>
      <c r="I802" s="80">
        <v>1.32</v>
      </c>
      <c r="J802" s="80">
        <v>5.3</v>
      </c>
      <c r="K802" s="19" t="s">
        <v>184</v>
      </c>
      <c r="L802" s="19" t="s">
        <v>1277</v>
      </c>
      <c r="Q802" s="20">
        <v>17</v>
      </c>
      <c r="R802" s="65" t="s">
        <v>1141</v>
      </c>
      <c r="T802" s="19" t="s">
        <v>307</v>
      </c>
      <c r="V802" s="19" t="s">
        <v>178</v>
      </c>
      <c r="W802" s="19" t="s">
        <v>138</v>
      </c>
      <c r="Z802" s="44" t="s">
        <v>1142</v>
      </c>
      <c r="AA802" s="44" t="s">
        <v>180</v>
      </c>
    </row>
    <row r="803" spans="1:27" hidden="1" x14ac:dyDescent="0.25">
      <c r="A803" s="26">
        <v>197</v>
      </c>
      <c r="B803" s="19" t="s">
        <v>1320</v>
      </c>
      <c r="C803" s="44" t="s">
        <v>172</v>
      </c>
      <c r="D803" s="19" t="s">
        <v>839</v>
      </c>
      <c r="E803" s="19">
        <v>12</v>
      </c>
      <c r="F803" s="19">
        <v>120</v>
      </c>
      <c r="G803" s="19">
        <v>129</v>
      </c>
      <c r="H803" s="19">
        <v>4</v>
      </c>
      <c r="I803" s="80">
        <v>1.32</v>
      </c>
      <c r="J803" s="80">
        <v>5.3</v>
      </c>
      <c r="K803" s="19" t="s">
        <v>184</v>
      </c>
      <c r="L803" s="19" t="s">
        <v>1277</v>
      </c>
      <c r="Q803" s="20">
        <v>17</v>
      </c>
      <c r="R803" s="65" t="s">
        <v>1141</v>
      </c>
      <c r="T803" s="19" t="s">
        <v>307</v>
      </c>
      <c r="V803" s="19" t="s">
        <v>178</v>
      </c>
      <c r="W803" s="19" t="s">
        <v>138</v>
      </c>
      <c r="Z803" s="44" t="s">
        <v>1142</v>
      </c>
      <c r="AA803" s="44" t="s">
        <v>180</v>
      </c>
    </row>
    <row r="804" spans="1:27" hidden="1" x14ac:dyDescent="0.25">
      <c r="A804" s="26">
        <v>198</v>
      </c>
      <c r="B804" s="19" t="s">
        <v>1321</v>
      </c>
      <c r="C804" s="44" t="s">
        <v>172</v>
      </c>
      <c r="D804" s="19" t="s">
        <v>879</v>
      </c>
      <c r="E804" s="19">
        <v>12</v>
      </c>
      <c r="F804" s="19">
        <v>130</v>
      </c>
      <c r="G804" s="19">
        <v>263</v>
      </c>
      <c r="H804" s="19">
        <v>1</v>
      </c>
      <c r="I804" s="80">
        <v>3.21</v>
      </c>
      <c r="J804" s="80">
        <v>3.21</v>
      </c>
      <c r="K804" s="19" t="s">
        <v>184</v>
      </c>
      <c r="L804" s="19" t="s">
        <v>1277</v>
      </c>
      <c r="Q804" s="20">
        <v>17</v>
      </c>
      <c r="R804" s="65" t="s">
        <v>1141</v>
      </c>
      <c r="T804" s="19" t="s">
        <v>307</v>
      </c>
      <c r="V804" s="19" t="s">
        <v>178</v>
      </c>
      <c r="W804" s="19" t="s">
        <v>138</v>
      </c>
      <c r="Z804" s="44" t="s">
        <v>1142</v>
      </c>
      <c r="AA804" s="44" t="s">
        <v>180</v>
      </c>
    </row>
    <row r="805" spans="1:27" hidden="1" x14ac:dyDescent="0.25">
      <c r="A805" s="26">
        <v>199</v>
      </c>
      <c r="B805" s="19" t="s">
        <v>1322</v>
      </c>
      <c r="C805" s="44" t="s">
        <v>172</v>
      </c>
      <c r="D805" s="19" t="s">
        <v>828</v>
      </c>
      <c r="E805" s="19">
        <v>12</v>
      </c>
      <c r="F805" s="19">
        <v>490</v>
      </c>
      <c r="G805" s="19">
        <v>9980</v>
      </c>
      <c r="H805" s="19">
        <v>1</v>
      </c>
      <c r="I805" s="80">
        <v>460.46</v>
      </c>
      <c r="J805" s="80">
        <v>460.46</v>
      </c>
      <c r="K805" s="19" t="s">
        <v>184</v>
      </c>
      <c r="L805" s="19" t="s">
        <v>1323</v>
      </c>
      <c r="Q805" s="20">
        <v>17</v>
      </c>
      <c r="R805" s="65" t="s">
        <v>1141</v>
      </c>
      <c r="T805" s="19" t="s">
        <v>307</v>
      </c>
      <c r="V805" s="19" t="s">
        <v>178</v>
      </c>
      <c r="Y805" s="19" t="s">
        <v>138</v>
      </c>
      <c r="Z805" s="44" t="s">
        <v>1142</v>
      </c>
      <c r="AA805" s="44" t="s">
        <v>180</v>
      </c>
    </row>
    <row r="806" spans="1:27" hidden="1" x14ac:dyDescent="0.25">
      <c r="A806" s="26">
        <v>200</v>
      </c>
      <c r="B806" s="19" t="s">
        <v>1324</v>
      </c>
      <c r="C806" s="44" t="s">
        <v>172</v>
      </c>
      <c r="D806" s="19" t="s">
        <v>828</v>
      </c>
      <c r="E806" s="19">
        <v>12</v>
      </c>
      <c r="F806" s="19">
        <v>490</v>
      </c>
      <c r="G806" s="19">
        <v>9980</v>
      </c>
      <c r="H806" s="19">
        <v>1</v>
      </c>
      <c r="I806" s="80">
        <v>460.46</v>
      </c>
      <c r="J806" s="80">
        <v>460.46</v>
      </c>
      <c r="K806" s="19" t="s">
        <v>184</v>
      </c>
      <c r="L806" s="19" t="s">
        <v>1323</v>
      </c>
      <c r="Q806" s="20">
        <v>17</v>
      </c>
      <c r="R806" s="65" t="s">
        <v>1141</v>
      </c>
      <c r="T806" s="19" t="s">
        <v>307</v>
      </c>
      <c r="V806" s="19" t="s">
        <v>178</v>
      </c>
      <c r="Y806" s="19" t="s">
        <v>138</v>
      </c>
      <c r="Z806" s="44" t="s">
        <v>1142</v>
      </c>
      <c r="AA806" s="44" t="s">
        <v>180</v>
      </c>
    </row>
    <row r="807" spans="1:27" hidden="1" x14ac:dyDescent="0.25">
      <c r="A807" s="26">
        <v>201</v>
      </c>
      <c r="B807" s="19" t="s">
        <v>1325</v>
      </c>
      <c r="C807" s="44" t="s">
        <v>172</v>
      </c>
      <c r="D807" s="19" t="s">
        <v>812</v>
      </c>
      <c r="E807" s="19">
        <v>12</v>
      </c>
      <c r="F807" s="19">
        <v>490</v>
      </c>
      <c r="G807" s="19">
        <v>6464</v>
      </c>
      <c r="H807" s="19">
        <v>1</v>
      </c>
      <c r="I807" s="80">
        <v>298.16000000000003</v>
      </c>
      <c r="J807" s="80">
        <v>298.16000000000003</v>
      </c>
      <c r="K807" s="19" t="s">
        <v>184</v>
      </c>
      <c r="L807" s="19" t="s">
        <v>1326</v>
      </c>
      <c r="Q807" s="20">
        <v>17</v>
      </c>
      <c r="R807" s="65" t="s">
        <v>1141</v>
      </c>
      <c r="T807" s="19" t="s">
        <v>307</v>
      </c>
      <c r="V807" s="19" t="s">
        <v>178</v>
      </c>
      <c r="Y807" s="19" t="s">
        <v>138</v>
      </c>
      <c r="Z807" s="44" t="s">
        <v>1142</v>
      </c>
      <c r="AA807" s="44" t="s">
        <v>180</v>
      </c>
    </row>
    <row r="808" spans="1:27" hidden="1" x14ac:dyDescent="0.25">
      <c r="A808" s="26">
        <v>202</v>
      </c>
      <c r="B808" s="19" t="s">
        <v>1327</v>
      </c>
      <c r="C808" s="44" t="s">
        <v>172</v>
      </c>
      <c r="D808" s="19" t="s">
        <v>812</v>
      </c>
      <c r="E808" s="19">
        <v>12</v>
      </c>
      <c r="F808" s="19">
        <v>490</v>
      </c>
      <c r="G808" s="19">
        <v>6464</v>
      </c>
      <c r="H808" s="19">
        <v>1</v>
      </c>
      <c r="I808" s="80">
        <v>298.16000000000003</v>
      </c>
      <c r="J808" s="80">
        <v>298.16000000000003</v>
      </c>
      <c r="K808" s="19" t="s">
        <v>184</v>
      </c>
      <c r="L808" s="19" t="s">
        <v>1326</v>
      </c>
      <c r="Q808" s="20">
        <v>17</v>
      </c>
      <c r="R808" s="65" t="s">
        <v>1141</v>
      </c>
      <c r="T808" s="19" t="s">
        <v>307</v>
      </c>
      <c r="V808" s="19" t="s">
        <v>178</v>
      </c>
      <c r="Y808" s="19" t="s">
        <v>138</v>
      </c>
      <c r="Z808" s="44" t="s">
        <v>1142</v>
      </c>
      <c r="AA808" s="44" t="s">
        <v>180</v>
      </c>
    </row>
    <row r="809" spans="1:27" hidden="1" x14ac:dyDescent="0.25">
      <c r="A809" s="26">
        <v>203</v>
      </c>
      <c r="B809" s="19" t="s">
        <v>1328</v>
      </c>
      <c r="C809" s="44" t="s">
        <v>172</v>
      </c>
      <c r="D809" s="19" t="s">
        <v>812</v>
      </c>
      <c r="E809" s="19">
        <v>12</v>
      </c>
      <c r="F809" s="19">
        <v>490</v>
      </c>
      <c r="G809" s="19">
        <v>6464</v>
      </c>
      <c r="H809" s="19">
        <v>1</v>
      </c>
      <c r="I809" s="80">
        <v>298.16000000000003</v>
      </c>
      <c r="J809" s="80">
        <v>298.16000000000003</v>
      </c>
      <c r="K809" s="19" t="s">
        <v>184</v>
      </c>
      <c r="L809" s="19" t="s">
        <v>1329</v>
      </c>
      <c r="Q809" s="20">
        <v>17</v>
      </c>
      <c r="R809" s="65" t="s">
        <v>1141</v>
      </c>
      <c r="T809" s="19" t="s">
        <v>307</v>
      </c>
      <c r="V809" s="19" t="s">
        <v>178</v>
      </c>
      <c r="Y809" s="19" t="s">
        <v>138</v>
      </c>
      <c r="Z809" s="44" t="s">
        <v>1142</v>
      </c>
      <c r="AA809" s="44" t="s">
        <v>180</v>
      </c>
    </row>
    <row r="810" spans="1:27" hidden="1" x14ac:dyDescent="0.25">
      <c r="A810" s="26">
        <v>204</v>
      </c>
      <c r="B810" s="19" t="s">
        <v>1330</v>
      </c>
      <c r="C810" s="44" t="s">
        <v>172</v>
      </c>
      <c r="D810" s="19" t="s">
        <v>812</v>
      </c>
      <c r="E810" s="19">
        <v>12</v>
      </c>
      <c r="F810" s="19">
        <v>490</v>
      </c>
      <c r="G810" s="19">
        <v>6464</v>
      </c>
      <c r="H810" s="19">
        <v>1</v>
      </c>
      <c r="I810" s="80">
        <v>298.16000000000003</v>
      </c>
      <c r="J810" s="80">
        <v>298.16000000000003</v>
      </c>
      <c r="K810" s="19" t="s">
        <v>184</v>
      </c>
      <c r="L810" s="19" t="s">
        <v>1329</v>
      </c>
      <c r="Q810" s="20">
        <v>17</v>
      </c>
      <c r="R810" s="65" t="s">
        <v>1141</v>
      </c>
      <c r="T810" s="19" t="s">
        <v>307</v>
      </c>
      <c r="V810" s="19" t="s">
        <v>178</v>
      </c>
      <c r="Y810" s="19" t="s">
        <v>138</v>
      </c>
      <c r="Z810" s="44" t="s">
        <v>1142</v>
      </c>
      <c r="AA810" s="44" t="s">
        <v>180</v>
      </c>
    </row>
    <row r="811" spans="1:27" hidden="1" x14ac:dyDescent="0.25">
      <c r="A811" s="26">
        <v>205</v>
      </c>
      <c r="B811" s="19" t="s">
        <v>1331</v>
      </c>
      <c r="C811" s="44" t="s">
        <v>172</v>
      </c>
      <c r="D811" s="19" t="s">
        <v>812</v>
      </c>
      <c r="E811" s="19">
        <v>12</v>
      </c>
      <c r="F811" s="19">
        <v>490</v>
      </c>
      <c r="G811" s="19">
        <v>6464</v>
      </c>
      <c r="H811" s="19">
        <v>1</v>
      </c>
      <c r="I811" s="80">
        <v>298.16000000000003</v>
      </c>
      <c r="J811" s="80">
        <v>298.16000000000003</v>
      </c>
      <c r="K811" s="19" t="s">
        <v>184</v>
      </c>
      <c r="L811" s="19" t="s">
        <v>1329</v>
      </c>
      <c r="Q811" s="20">
        <v>17</v>
      </c>
      <c r="R811" s="65" t="s">
        <v>1141</v>
      </c>
      <c r="T811" s="19" t="s">
        <v>307</v>
      </c>
      <c r="V811" s="19" t="s">
        <v>178</v>
      </c>
      <c r="Y811" s="19" t="s">
        <v>138</v>
      </c>
      <c r="Z811" s="44" t="s">
        <v>1142</v>
      </c>
      <c r="AA811" s="44" t="s">
        <v>180</v>
      </c>
    </row>
    <row r="812" spans="1:27" hidden="1" x14ac:dyDescent="0.25">
      <c r="A812" s="26">
        <v>206</v>
      </c>
      <c r="B812" s="19" t="s">
        <v>1332</v>
      </c>
      <c r="C812" s="44" t="s">
        <v>172</v>
      </c>
      <c r="D812" s="19" t="s">
        <v>812</v>
      </c>
      <c r="E812" s="19">
        <v>12</v>
      </c>
      <c r="F812" s="19">
        <v>490</v>
      </c>
      <c r="G812" s="19">
        <v>6464</v>
      </c>
      <c r="H812" s="19">
        <v>1</v>
      </c>
      <c r="I812" s="80">
        <v>298.16000000000003</v>
      </c>
      <c r="J812" s="80">
        <v>298.16000000000003</v>
      </c>
      <c r="K812" s="19" t="s">
        <v>184</v>
      </c>
      <c r="L812" s="19" t="s">
        <v>1329</v>
      </c>
      <c r="Q812" s="20">
        <v>17</v>
      </c>
      <c r="R812" s="65" t="s">
        <v>1141</v>
      </c>
      <c r="T812" s="19" t="s">
        <v>307</v>
      </c>
      <c r="V812" s="19" t="s">
        <v>178</v>
      </c>
      <c r="Y812" s="19" t="s">
        <v>138</v>
      </c>
      <c r="Z812" s="44" t="s">
        <v>1142</v>
      </c>
      <c r="AA812" s="44" t="s">
        <v>180</v>
      </c>
    </row>
    <row r="813" spans="1:27" hidden="1" x14ac:dyDescent="0.25">
      <c r="A813" s="26">
        <v>207</v>
      </c>
      <c r="B813" s="19" t="s">
        <v>1333</v>
      </c>
      <c r="C813" s="44" t="s">
        <v>172</v>
      </c>
      <c r="D813" s="19" t="s">
        <v>1334</v>
      </c>
      <c r="E813" s="19">
        <v>16</v>
      </c>
      <c r="F813" s="19">
        <v>210</v>
      </c>
      <c r="G813" s="19">
        <v>750</v>
      </c>
      <c r="H813" s="19">
        <v>2</v>
      </c>
      <c r="I813" s="80">
        <v>19.61</v>
      </c>
      <c r="J813" s="80">
        <v>39.22</v>
      </c>
      <c r="K813" s="19" t="s">
        <v>1000</v>
      </c>
      <c r="L813" s="19" t="s">
        <v>1335</v>
      </c>
      <c r="Q813" s="20">
        <v>17</v>
      </c>
      <c r="R813" s="65" t="s">
        <v>1141</v>
      </c>
      <c r="T813" s="19" t="s">
        <v>307</v>
      </c>
      <c r="V813" s="19" t="s">
        <v>178</v>
      </c>
      <c r="W813" s="19" t="s">
        <v>138</v>
      </c>
      <c r="Z813" s="44" t="s">
        <v>1142</v>
      </c>
      <c r="AA813" s="44" t="s">
        <v>1001</v>
      </c>
    </row>
    <row r="814" spans="1:27" hidden="1" x14ac:dyDescent="0.25">
      <c r="A814" s="26">
        <v>208</v>
      </c>
      <c r="B814" s="19" t="s">
        <v>1336</v>
      </c>
      <c r="C814" s="44" t="s">
        <v>172</v>
      </c>
      <c r="D814" s="19" t="s">
        <v>1334</v>
      </c>
      <c r="E814" s="19">
        <v>16</v>
      </c>
      <c r="F814" s="19">
        <v>210</v>
      </c>
      <c r="G814" s="19">
        <v>750</v>
      </c>
      <c r="H814" s="19">
        <v>12</v>
      </c>
      <c r="I814" s="80">
        <v>19.61</v>
      </c>
      <c r="J814" s="80">
        <v>235.33</v>
      </c>
      <c r="K814" s="19" t="s">
        <v>1000</v>
      </c>
      <c r="L814" s="19" t="s">
        <v>1335</v>
      </c>
      <c r="Q814" s="20">
        <v>17</v>
      </c>
      <c r="R814" s="65" t="s">
        <v>1141</v>
      </c>
      <c r="T814" s="19" t="s">
        <v>307</v>
      </c>
      <c r="V814" s="19" t="s">
        <v>178</v>
      </c>
      <c r="W814" s="19" t="s">
        <v>138</v>
      </c>
      <c r="Z814" s="44" t="s">
        <v>1142</v>
      </c>
      <c r="AA814" s="44" t="s">
        <v>1001</v>
      </c>
    </row>
    <row r="815" spans="1:27" hidden="1" x14ac:dyDescent="0.25">
      <c r="A815" s="26">
        <v>209</v>
      </c>
      <c r="B815" s="19" t="s">
        <v>1337</v>
      </c>
      <c r="C815" s="44" t="s">
        <v>172</v>
      </c>
      <c r="D815" s="19" t="s">
        <v>1338</v>
      </c>
      <c r="E815" s="19">
        <v>16</v>
      </c>
      <c r="F815" s="19">
        <v>210</v>
      </c>
      <c r="G815" s="19">
        <v>651</v>
      </c>
      <c r="H815" s="19">
        <v>10</v>
      </c>
      <c r="I815" s="80">
        <v>17.149999999999999</v>
      </c>
      <c r="J815" s="80">
        <v>171.53</v>
      </c>
      <c r="K815" s="19" t="s">
        <v>1000</v>
      </c>
      <c r="L815" s="19" t="s">
        <v>1335</v>
      </c>
      <c r="Q815" s="20">
        <v>17</v>
      </c>
      <c r="R815" s="65" t="s">
        <v>1141</v>
      </c>
      <c r="T815" s="19" t="s">
        <v>307</v>
      </c>
      <c r="V815" s="19" t="s">
        <v>178</v>
      </c>
      <c r="W815" s="19" t="s">
        <v>138</v>
      </c>
      <c r="Z815" s="44" t="s">
        <v>1142</v>
      </c>
      <c r="AA815" s="44" t="s">
        <v>1001</v>
      </c>
    </row>
    <row r="816" spans="1:27" hidden="1" x14ac:dyDescent="0.25">
      <c r="A816" s="26">
        <v>210</v>
      </c>
      <c r="B816" s="19" t="s">
        <v>1339</v>
      </c>
      <c r="C816" s="44" t="s">
        <v>172</v>
      </c>
      <c r="D816" s="19" t="s">
        <v>1334</v>
      </c>
      <c r="E816" s="19">
        <v>16</v>
      </c>
      <c r="F816" s="19">
        <v>210</v>
      </c>
      <c r="G816" s="19">
        <v>750</v>
      </c>
      <c r="H816" s="19">
        <v>12</v>
      </c>
      <c r="I816" s="80">
        <v>19.61</v>
      </c>
      <c r="J816" s="80">
        <v>235.33</v>
      </c>
      <c r="K816" s="19" t="s">
        <v>1000</v>
      </c>
      <c r="L816" s="19" t="s">
        <v>1335</v>
      </c>
      <c r="Q816" s="20">
        <v>17</v>
      </c>
      <c r="R816" s="65" t="s">
        <v>1141</v>
      </c>
      <c r="T816" s="19" t="s">
        <v>307</v>
      </c>
      <c r="V816" s="19" t="s">
        <v>178</v>
      </c>
      <c r="W816" s="19" t="s">
        <v>138</v>
      </c>
      <c r="Z816" s="44" t="s">
        <v>1142</v>
      </c>
      <c r="AA816" s="44" t="s">
        <v>1001</v>
      </c>
    </row>
    <row r="817" spans="1:27" hidden="1" x14ac:dyDescent="0.25">
      <c r="A817" s="26">
        <v>211</v>
      </c>
      <c r="B817" s="19" t="s">
        <v>1340</v>
      </c>
      <c r="C817" s="44" t="s">
        <v>172</v>
      </c>
      <c r="D817" s="19" t="s">
        <v>1338</v>
      </c>
      <c r="E817" s="19">
        <v>16</v>
      </c>
      <c r="F817" s="19">
        <v>210</v>
      </c>
      <c r="G817" s="19">
        <v>651</v>
      </c>
      <c r="H817" s="19">
        <v>6</v>
      </c>
      <c r="I817" s="80">
        <v>17.149999999999999</v>
      </c>
      <c r="J817" s="80">
        <v>102.92</v>
      </c>
      <c r="K817" s="19" t="s">
        <v>1000</v>
      </c>
      <c r="L817" s="19" t="s">
        <v>1335</v>
      </c>
      <c r="Q817" s="20">
        <v>17</v>
      </c>
      <c r="R817" s="65" t="s">
        <v>1141</v>
      </c>
      <c r="T817" s="19" t="s">
        <v>307</v>
      </c>
      <c r="V817" s="19" t="s">
        <v>178</v>
      </c>
      <c r="W817" s="19" t="s">
        <v>138</v>
      </c>
      <c r="Z817" s="44" t="s">
        <v>1142</v>
      </c>
      <c r="AA817" s="44" t="s">
        <v>1001</v>
      </c>
    </row>
    <row r="818" spans="1:27" hidden="1" x14ac:dyDescent="0.25">
      <c r="A818" s="26">
        <v>212</v>
      </c>
      <c r="B818" s="19" t="s">
        <v>1341</v>
      </c>
      <c r="C818" s="44" t="s">
        <v>172</v>
      </c>
      <c r="D818" s="19" t="s">
        <v>1050</v>
      </c>
      <c r="E818" s="19">
        <v>20</v>
      </c>
      <c r="F818" s="19">
        <v>300</v>
      </c>
      <c r="G818" s="19">
        <v>1383</v>
      </c>
      <c r="H818" s="19">
        <v>1</v>
      </c>
      <c r="I818" s="80">
        <v>65.14</v>
      </c>
      <c r="J818" s="80">
        <v>65.14</v>
      </c>
      <c r="K818" s="19" t="s">
        <v>1342</v>
      </c>
      <c r="L818" s="19" t="s">
        <v>1343</v>
      </c>
      <c r="P818" s="19" t="s">
        <v>138</v>
      </c>
      <c r="Q818" s="20">
        <v>17</v>
      </c>
      <c r="R818" s="65" t="s">
        <v>1141</v>
      </c>
      <c r="T818" s="19" t="s">
        <v>307</v>
      </c>
      <c r="V818" s="19" t="s">
        <v>178</v>
      </c>
      <c r="Y818" s="19" t="s">
        <v>138</v>
      </c>
      <c r="Z818" s="44" t="s">
        <v>1142</v>
      </c>
      <c r="AA818" s="44" t="s">
        <v>1082</v>
      </c>
    </row>
    <row r="819" spans="1:27" hidden="1" x14ac:dyDescent="0.25">
      <c r="A819" s="26">
        <v>213</v>
      </c>
      <c r="B819" s="19" t="s">
        <v>1344</v>
      </c>
      <c r="C819" s="44" t="s">
        <v>172</v>
      </c>
      <c r="D819" s="19" t="s">
        <v>1050</v>
      </c>
      <c r="E819" s="19">
        <v>20</v>
      </c>
      <c r="F819" s="19">
        <v>300</v>
      </c>
      <c r="G819" s="19">
        <v>1383</v>
      </c>
      <c r="H819" s="19">
        <v>1</v>
      </c>
      <c r="I819" s="80">
        <v>65.14</v>
      </c>
      <c r="J819" s="80">
        <v>65.14</v>
      </c>
      <c r="K819" s="19" t="s">
        <v>1342</v>
      </c>
      <c r="L819" s="19" t="s">
        <v>1343</v>
      </c>
      <c r="P819" s="19" t="s">
        <v>138</v>
      </c>
      <c r="Q819" s="20">
        <v>17</v>
      </c>
      <c r="R819" s="65" t="s">
        <v>1141</v>
      </c>
      <c r="T819" s="19" t="s">
        <v>307</v>
      </c>
      <c r="V819" s="19" t="s">
        <v>178</v>
      </c>
      <c r="Y819" s="19" t="s">
        <v>138</v>
      </c>
      <c r="Z819" s="44" t="s">
        <v>1142</v>
      </c>
      <c r="AA819" s="44" t="s">
        <v>1082</v>
      </c>
    </row>
    <row r="820" spans="1:27" hidden="1" x14ac:dyDescent="0.25">
      <c r="A820" s="26">
        <v>214</v>
      </c>
      <c r="B820" s="19" t="s">
        <v>1345</v>
      </c>
      <c r="C820" s="44" t="s">
        <v>172</v>
      </c>
      <c r="D820" s="19" t="s">
        <v>1022</v>
      </c>
      <c r="E820" s="19">
        <v>20</v>
      </c>
      <c r="F820" s="19">
        <v>300</v>
      </c>
      <c r="G820" s="19">
        <v>1096</v>
      </c>
      <c r="H820" s="19">
        <v>2</v>
      </c>
      <c r="I820" s="80">
        <v>51.62</v>
      </c>
      <c r="J820" s="80">
        <v>103.24</v>
      </c>
      <c r="K820" s="19" t="s">
        <v>1342</v>
      </c>
      <c r="L820" s="19" t="s">
        <v>1343</v>
      </c>
      <c r="P820" s="19" t="s">
        <v>138</v>
      </c>
      <c r="Q820" s="20">
        <v>17</v>
      </c>
      <c r="R820" s="65" t="s">
        <v>1141</v>
      </c>
      <c r="T820" s="19" t="s">
        <v>307</v>
      </c>
      <c r="V820" s="19" t="s">
        <v>178</v>
      </c>
      <c r="Y820" s="19" t="s">
        <v>138</v>
      </c>
      <c r="Z820" s="44" t="s">
        <v>1142</v>
      </c>
      <c r="AA820" s="44" t="s">
        <v>1082</v>
      </c>
    </row>
    <row r="821" spans="1:27" hidden="1" x14ac:dyDescent="0.25">
      <c r="A821" s="26">
        <v>215</v>
      </c>
      <c r="B821" s="19" t="s">
        <v>1346</v>
      </c>
      <c r="C821" s="44" t="s">
        <v>172</v>
      </c>
      <c r="D821" s="19" t="s">
        <v>1022</v>
      </c>
      <c r="E821" s="19">
        <v>20</v>
      </c>
      <c r="F821" s="19">
        <v>300</v>
      </c>
      <c r="G821" s="19">
        <v>1096</v>
      </c>
      <c r="H821" s="19">
        <v>2</v>
      </c>
      <c r="I821" s="80">
        <v>51.62</v>
      </c>
      <c r="J821" s="80">
        <v>103.24</v>
      </c>
      <c r="K821" s="19" t="s">
        <v>1342</v>
      </c>
      <c r="L821" s="19" t="s">
        <v>1343</v>
      </c>
      <c r="P821" s="19" t="s">
        <v>138</v>
      </c>
      <c r="Q821" s="20">
        <v>17</v>
      </c>
      <c r="R821" s="65" t="s">
        <v>1141</v>
      </c>
      <c r="T821" s="19" t="s">
        <v>307</v>
      </c>
      <c r="V821" s="19" t="s">
        <v>178</v>
      </c>
      <c r="Y821" s="19" t="s">
        <v>138</v>
      </c>
      <c r="Z821" s="44" t="s">
        <v>1142</v>
      </c>
      <c r="AA821" s="44" t="s">
        <v>1082</v>
      </c>
    </row>
    <row r="822" spans="1:27" hidden="1" x14ac:dyDescent="0.25">
      <c r="A822" s="26">
        <v>216</v>
      </c>
      <c r="B822" s="19" t="s">
        <v>1347</v>
      </c>
      <c r="C822" s="44" t="s">
        <v>172</v>
      </c>
      <c r="D822" s="19" t="s">
        <v>1022</v>
      </c>
      <c r="E822" s="19">
        <v>20</v>
      </c>
      <c r="F822" s="19">
        <v>300</v>
      </c>
      <c r="G822" s="19">
        <v>1096</v>
      </c>
      <c r="H822" s="19">
        <v>2</v>
      </c>
      <c r="I822" s="80">
        <v>51.62</v>
      </c>
      <c r="J822" s="80">
        <v>103.24</v>
      </c>
      <c r="K822" s="19" t="s">
        <v>1342</v>
      </c>
      <c r="L822" s="19" t="s">
        <v>1343</v>
      </c>
      <c r="P822" s="19" t="s">
        <v>138</v>
      </c>
      <c r="Q822" s="20">
        <v>17</v>
      </c>
      <c r="R822" s="65" t="s">
        <v>1141</v>
      </c>
      <c r="T822" s="19" t="s">
        <v>307</v>
      </c>
      <c r="V822" s="19" t="s">
        <v>178</v>
      </c>
      <c r="Y822" s="19" t="s">
        <v>138</v>
      </c>
      <c r="Z822" s="44" t="s">
        <v>1142</v>
      </c>
      <c r="AA822" s="44" t="s">
        <v>1082</v>
      </c>
    </row>
    <row r="823" spans="1:27" hidden="1" x14ac:dyDescent="0.25">
      <c r="A823" s="26">
        <v>217</v>
      </c>
      <c r="B823" s="19" t="s">
        <v>1348</v>
      </c>
      <c r="C823" s="44" t="s">
        <v>172</v>
      </c>
      <c r="D823" s="19" t="s">
        <v>1022</v>
      </c>
      <c r="E823" s="19">
        <v>20</v>
      </c>
      <c r="F823" s="19">
        <v>300</v>
      </c>
      <c r="G823" s="19">
        <v>1096</v>
      </c>
      <c r="H823" s="19">
        <v>2</v>
      </c>
      <c r="I823" s="80">
        <v>51.62</v>
      </c>
      <c r="J823" s="80">
        <v>103.24</v>
      </c>
      <c r="K823" s="19" t="s">
        <v>1342</v>
      </c>
      <c r="L823" s="19" t="s">
        <v>1343</v>
      </c>
      <c r="P823" s="19" t="s">
        <v>138</v>
      </c>
      <c r="Q823" s="20">
        <v>17</v>
      </c>
      <c r="R823" s="65" t="s">
        <v>1141</v>
      </c>
      <c r="T823" s="19" t="s">
        <v>307</v>
      </c>
      <c r="V823" s="19" t="s">
        <v>178</v>
      </c>
      <c r="Y823" s="19" t="s">
        <v>138</v>
      </c>
      <c r="Z823" s="44" t="s">
        <v>1142</v>
      </c>
      <c r="AA823" s="44" t="s">
        <v>1082</v>
      </c>
    </row>
    <row r="824" spans="1:27" hidden="1" x14ac:dyDescent="0.25">
      <c r="A824" s="26">
        <v>218</v>
      </c>
      <c r="B824" s="19" t="s">
        <v>1349</v>
      </c>
      <c r="C824" s="44" t="s">
        <v>172</v>
      </c>
      <c r="D824" s="19" t="s">
        <v>1041</v>
      </c>
      <c r="E824" s="19">
        <v>20</v>
      </c>
      <c r="F824" s="19">
        <v>300</v>
      </c>
      <c r="G824" s="19">
        <v>6101</v>
      </c>
      <c r="H824" s="19">
        <v>1</v>
      </c>
      <c r="I824" s="80">
        <v>287.36</v>
      </c>
      <c r="J824" s="80">
        <v>287.36</v>
      </c>
      <c r="K824" s="19" t="s">
        <v>1342</v>
      </c>
      <c r="L824" s="19" t="s">
        <v>1343</v>
      </c>
      <c r="P824" s="19" t="s">
        <v>138</v>
      </c>
      <c r="Q824" s="20">
        <v>17</v>
      </c>
      <c r="R824" s="65" t="s">
        <v>1141</v>
      </c>
      <c r="T824" s="19" t="s">
        <v>307</v>
      </c>
      <c r="V824" s="19" t="s">
        <v>178</v>
      </c>
      <c r="Y824" s="19" t="s">
        <v>138</v>
      </c>
      <c r="Z824" s="44" t="s">
        <v>1142</v>
      </c>
      <c r="AA824" s="44" t="s">
        <v>1082</v>
      </c>
    </row>
    <row r="825" spans="1:27" hidden="1" x14ac:dyDescent="0.25">
      <c r="A825" s="26">
        <v>219</v>
      </c>
      <c r="B825" s="19" t="s">
        <v>1350</v>
      </c>
      <c r="C825" s="44" t="s">
        <v>172</v>
      </c>
      <c r="D825" s="19" t="s">
        <v>1041</v>
      </c>
      <c r="E825" s="19">
        <v>20</v>
      </c>
      <c r="F825" s="19">
        <v>300</v>
      </c>
      <c r="G825" s="19">
        <v>6101</v>
      </c>
      <c r="H825" s="19">
        <v>1</v>
      </c>
      <c r="I825" s="80">
        <v>287.36</v>
      </c>
      <c r="J825" s="80">
        <v>287.36</v>
      </c>
      <c r="K825" s="19" t="s">
        <v>1342</v>
      </c>
      <c r="L825" s="19" t="s">
        <v>1343</v>
      </c>
      <c r="P825" s="19" t="s">
        <v>138</v>
      </c>
      <c r="Q825" s="20">
        <v>17</v>
      </c>
      <c r="R825" s="65" t="s">
        <v>1141</v>
      </c>
      <c r="T825" s="19" t="s">
        <v>307</v>
      </c>
      <c r="V825" s="19" t="s">
        <v>178</v>
      </c>
      <c r="Y825" s="19" t="s">
        <v>138</v>
      </c>
      <c r="Z825" s="44" t="s">
        <v>1142</v>
      </c>
      <c r="AA825" s="44" t="s">
        <v>1082</v>
      </c>
    </row>
    <row r="826" spans="1:27" hidden="1" x14ac:dyDescent="0.25">
      <c r="A826" s="26">
        <v>220</v>
      </c>
      <c r="B826" s="19" t="s">
        <v>1351</v>
      </c>
      <c r="C826" s="44" t="s">
        <v>172</v>
      </c>
      <c r="D826" s="19" t="s">
        <v>1041</v>
      </c>
      <c r="E826" s="19">
        <v>20</v>
      </c>
      <c r="F826" s="19">
        <v>300</v>
      </c>
      <c r="G826" s="19">
        <v>6101</v>
      </c>
      <c r="H826" s="19">
        <v>1</v>
      </c>
      <c r="I826" s="80">
        <v>287.36</v>
      </c>
      <c r="J826" s="80">
        <v>287.36</v>
      </c>
      <c r="K826" s="19" t="s">
        <v>1342</v>
      </c>
      <c r="L826" s="19" t="s">
        <v>1343</v>
      </c>
      <c r="P826" s="19" t="s">
        <v>138</v>
      </c>
      <c r="Q826" s="20">
        <v>17</v>
      </c>
      <c r="R826" s="65" t="s">
        <v>1141</v>
      </c>
      <c r="T826" s="19" t="s">
        <v>307</v>
      </c>
      <c r="V826" s="19" t="s">
        <v>178</v>
      </c>
      <c r="Y826" s="19" t="s">
        <v>138</v>
      </c>
      <c r="Z826" s="44" t="s">
        <v>1142</v>
      </c>
      <c r="AA826" s="44" t="s">
        <v>1082</v>
      </c>
    </row>
    <row r="827" spans="1:27" hidden="1" x14ac:dyDescent="0.25">
      <c r="A827" s="26">
        <v>221</v>
      </c>
      <c r="B827" s="19" t="s">
        <v>1352</v>
      </c>
      <c r="C827" s="44" t="s">
        <v>172</v>
      </c>
      <c r="D827" s="19" t="s">
        <v>1050</v>
      </c>
      <c r="E827" s="19">
        <v>20</v>
      </c>
      <c r="F827" s="19">
        <v>300</v>
      </c>
      <c r="G827" s="19">
        <v>1383</v>
      </c>
      <c r="H827" s="19">
        <v>1</v>
      </c>
      <c r="I827" s="80">
        <v>65.14</v>
      </c>
      <c r="J827" s="80">
        <v>65.14</v>
      </c>
      <c r="K827" s="19" t="s">
        <v>1342</v>
      </c>
      <c r="L827" s="19" t="s">
        <v>1343</v>
      </c>
      <c r="P827" s="19" t="s">
        <v>138</v>
      </c>
      <c r="Q827" s="20">
        <v>17</v>
      </c>
      <c r="R827" s="65" t="s">
        <v>1141</v>
      </c>
      <c r="T827" s="19" t="s">
        <v>307</v>
      </c>
      <c r="V827" s="19" t="s">
        <v>178</v>
      </c>
      <c r="Y827" s="19" t="s">
        <v>138</v>
      </c>
      <c r="Z827" s="44" t="s">
        <v>1142</v>
      </c>
      <c r="AA827" s="44" t="s">
        <v>1082</v>
      </c>
    </row>
    <row r="828" spans="1:27" hidden="1" x14ac:dyDescent="0.25">
      <c r="A828" s="26">
        <v>222</v>
      </c>
      <c r="B828" s="19" t="s">
        <v>1353</v>
      </c>
      <c r="C828" s="44" t="s">
        <v>172</v>
      </c>
      <c r="D828" s="19" t="s">
        <v>1022</v>
      </c>
      <c r="E828" s="19">
        <v>20</v>
      </c>
      <c r="F828" s="19">
        <v>300</v>
      </c>
      <c r="G828" s="19">
        <v>1096</v>
      </c>
      <c r="H828" s="19">
        <v>1</v>
      </c>
      <c r="I828" s="80">
        <v>51.62</v>
      </c>
      <c r="J828" s="80">
        <v>51.62</v>
      </c>
      <c r="K828" s="19" t="s">
        <v>1342</v>
      </c>
      <c r="L828" s="19" t="s">
        <v>1343</v>
      </c>
      <c r="P828" s="19" t="s">
        <v>138</v>
      </c>
      <c r="Q828" s="20">
        <v>17</v>
      </c>
      <c r="R828" s="65" t="s">
        <v>1141</v>
      </c>
      <c r="T828" s="19" t="s">
        <v>307</v>
      </c>
      <c r="V828" s="19" t="s">
        <v>178</v>
      </c>
      <c r="Y828" s="19" t="s">
        <v>138</v>
      </c>
      <c r="Z828" s="44" t="s">
        <v>1142</v>
      </c>
      <c r="AA828" s="44" t="s">
        <v>1082</v>
      </c>
    </row>
    <row r="829" spans="1:27" hidden="1" x14ac:dyDescent="0.25">
      <c r="A829" s="26">
        <v>223</v>
      </c>
      <c r="B829" s="19" t="s">
        <v>1354</v>
      </c>
      <c r="C829" s="44" t="s">
        <v>172</v>
      </c>
      <c r="D829" s="19" t="s">
        <v>1022</v>
      </c>
      <c r="E829" s="19">
        <v>20</v>
      </c>
      <c r="F829" s="19">
        <v>300</v>
      </c>
      <c r="G829" s="19">
        <v>1096</v>
      </c>
      <c r="H829" s="19">
        <v>2</v>
      </c>
      <c r="I829" s="80">
        <v>51.62</v>
      </c>
      <c r="J829" s="80">
        <v>103.24</v>
      </c>
      <c r="K829" s="19" t="s">
        <v>1342</v>
      </c>
      <c r="L829" s="19" t="s">
        <v>1343</v>
      </c>
      <c r="P829" s="19" t="s">
        <v>138</v>
      </c>
      <c r="Q829" s="20">
        <v>17</v>
      </c>
      <c r="R829" s="65" t="s">
        <v>1141</v>
      </c>
      <c r="T829" s="19" t="s">
        <v>307</v>
      </c>
      <c r="V829" s="19" t="s">
        <v>178</v>
      </c>
      <c r="Y829" s="19" t="s">
        <v>138</v>
      </c>
      <c r="Z829" s="44" t="s">
        <v>1142</v>
      </c>
      <c r="AA829" s="44" t="s">
        <v>1082</v>
      </c>
    </row>
    <row r="830" spans="1:27" hidden="1" x14ac:dyDescent="0.25">
      <c r="A830" s="26">
        <v>224</v>
      </c>
      <c r="B830" s="19" t="s">
        <v>1355</v>
      </c>
      <c r="C830" s="44" t="s">
        <v>172</v>
      </c>
      <c r="D830" s="19" t="s">
        <v>1022</v>
      </c>
      <c r="E830" s="19">
        <v>20</v>
      </c>
      <c r="F830" s="19">
        <v>300</v>
      </c>
      <c r="G830" s="19">
        <v>1096</v>
      </c>
      <c r="H830" s="19">
        <v>2</v>
      </c>
      <c r="I830" s="80">
        <v>51.62</v>
      </c>
      <c r="J830" s="80">
        <v>103.24</v>
      </c>
      <c r="K830" s="19" t="s">
        <v>1342</v>
      </c>
      <c r="L830" s="19" t="s">
        <v>1343</v>
      </c>
      <c r="P830" s="19" t="s">
        <v>138</v>
      </c>
      <c r="Q830" s="20">
        <v>17</v>
      </c>
      <c r="R830" s="65" t="s">
        <v>1141</v>
      </c>
      <c r="T830" s="19" t="s">
        <v>307</v>
      </c>
      <c r="V830" s="19" t="s">
        <v>178</v>
      </c>
      <c r="Y830" s="19" t="s">
        <v>138</v>
      </c>
      <c r="Z830" s="44" t="s">
        <v>1142</v>
      </c>
      <c r="AA830" s="44" t="s">
        <v>1082</v>
      </c>
    </row>
    <row r="831" spans="1:27" hidden="1" x14ac:dyDescent="0.25">
      <c r="A831" s="26">
        <v>225</v>
      </c>
      <c r="B831" s="19" t="s">
        <v>1356</v>
      </c>
      <c r="C831" s="44" t="s">
        <v>172</v>
      </c>
      <c r="D831" s="19" t="s">
        <v>1022</v>
      </c>
      <c r="E831" s="19">
        <v>20</v>
      </c>
      <c r="F831" s="19">
        <v>300</v>
      </c>
      <c r="G831" s="19">
        <v>1096</v>
      </c>
      <c r="H831" s="19">
        <v>2</v>
      </c>
      <c r="I831" s="80">
        <v>51.62</v>
      </c>
      <c r="J831" s="80">
        <v>103.24</v>
      </c>
      <c r="K831" s="19" t="s">
        <v>1342</v>
      </c>
      <c r="L831" s="19" t="s">
        <v>1343</v>
      </c>
      <c r="P831" s="19" t="s">
        <v>138</v>
      </c>
      <c r="Q831" s="20">
        <v>17</v>
      </c>
      <c r="R831" s="65" t="s">
        <v>1141</v>
      </c>
      <c r="T831" s="19" t="s">
        <v>307</v>
      </c>
      <c r="V831" s="19" t="s">
        <v>178</v>
      </c>
      <c r="Y831" s="19" t="s">
        <v>138</v>
      </c>
      <c r="Z831" s="44" t="s">
        <v>1142</v>
      </c>
      <c r="AA831" s="44" t="s">
        <v>1082</v>
      </c>
    </row>
    <row r="832" spans="1:27" hidden="1" x14ac:dyDescent="0.25">
      <c r="A832" s="26">
        <v>226</v>
      </c>
      <c r="B832" s="19" t="s">
        <v>1357</v>
      </c>
      <c r="C832" s="44" t="s">
        <v>172</v>
      </c>
      <c r="D832" s="19" t="s">
        <v>1020</v>
      </c>
      <c r="E832" s="19">
        <v>20</v>
      </c>
      <c r="F832" s="19">
        <v>1436</v>
      </c>
      <c r="G832" s="19">
        <v>9068</v>
      </c>
      <c r="H832" s="19">
        <v>1</v>
      </c>
      <c r="I832" s="80">
        <v>2029.94</v>
      </c>
      <c r="J832" s="80">
        <v>2029.94</v>
      </c>
      <c r="K832" s="19" t="s">
        <v>1358</v>
      </c>
      <c r="L832" s="19" t="s">
        <v>1359</v>
      </c>
      <c r="Q832" s="20">
        <v>17</v>
      </c>
      <c r="R832" s="65" t="s">
        <v>1141</v>
      </c>
      <c r="T832" s="19" t="s">
        <v>307</v>
      </c>
      <c r="V832" s="19" t="s">
        <v>178</v>
      </c>
      <c r="Y832" s="19" t="s">
        <v>138</v>
      </c>
      <c r="Z832" s="44" t="s">
        <v>1142</v>
      </c>
      <c r="AA832" s="44" t="s">
        <v>1098</v>
      </c>
    </row>
    <row r="833" spans="1:27" hidden="1" x14ac:dyDescent="0.25">
      <c r="A833" s="26">
        <v>227</v>
      </c>
      <c r="B833" s="19" t="s">
        <v>1360</v>
      </c>
      <c r="C833" s="44" t="s">
        <v>172</v>
      </c>
      <c r="D833" s="19" t="s">
        <v>1106</v>
      </c>
      <c r="E833" s="19">
        <v>20</v>
      </c>
      <c r="F833" s="19">
        <v>300</v>
      </c>
      <c r="G833" s="19">
        <v>9068</v>
      </c>
      <c r="H833" s="19">
        <v>1</v>
      </c>
      <c r="I833" s="80">
        <v>427.1</v>
      </c>
      <c r="J833" s="80">
        <v>427.1</v>
      </c>
      <c r="K833" s="19" t="s">
        <v>1358</v>
      </c>
      <c r="L833" s="19" t="s">
        <v>1359</v>
      </c>
      <c r="Q833" s="20">
        <v>17</v>
      </c>
      <c r="R833" s="65" t="s">
        <v>1141</v>
      </c>
      <c r="T833" s="19" t="s">
        <v>307</v>
      </c>
      <c r="V833" s="19" t="s">
        <v>178</v>
      </c>
      <c r="Y833" s="19" t="s">
        <v>138</v>
      </c>
      <c r="Z833" s="44" t="s">
        <v>1142</v>
      </c>
      <c r="AA833" s="44" t="s">
        <v>1098</v>
      </c>
    </row>
    <row r="834" spans="1:27" hidden="1" x14ac:dyDescent="0.25">
      <c r="A834" s="26">
        <v>228</v>
      </c>
      <c r="B834" s="19" t="s">
        <v>1361</v>
      </c>
      <c r="C834" s="44" t="s">
        <v>172</v>
      </c>
      <c r="D834" s="19" t="s">
        <v>1050</v>
      </c>
      <c r="E834" s="19">
        <v>20</v>
      </c>
      <c r="F834" s="19">
        <v>300</v>
      </c>
      <c r="G834" s="19">
        <v>1383</v>
      </c>
      <c r="H834" s="19">
        <v>1</v>
      </c>
      <c r="I834" s="80">
        <v>65.14</v>
      </c>
      <c r="J834" s="80">
        <v>65.14</v>
      </c>
      <c r="K834" s="19" t="s">
        <v>1358</v>
      </c>
      <c r="L834" s="19" t="s">
        <v>1359</v>
      </c>
      <c r="P834" s="19" t="s">
        <v>138</v>
      </c>
      <c r="Q834" s="20">
        <v>17</v>
      </c>
      <c r="R834" s="65" t="s">
        <v>1141</v>
      </c>
      <c r="T834" s="19" t="s">
        <v>307</v>
      </c>
      <c r="V834" s="19" t="s">
        <v>178</v>
      </c>
      <c r="Y834" s="19" t="s">
        <v>138</v>
      </c>
      <c r="Z834" s="44" t="s">
        <v>1142</v>
      </c>
      <c r="AA834" s="44" t="s">
        <v>1098</v>
      </c>
    </row>
    <row r="835" spans="1:27" hidden="1" x14ac:dyDescent="0.25">
      <c r="A835" s="26">
        <v>229</v>
      </c>
      <c r="B835" s="19" t="s">
        <v>1362</v>
      </c>
      <c r="C835" s="44" t="s">
        <v>172</v>
      </c>
      <c r="D835" s="19" t="s">
        <v>1363</v>
      </c>
      <c r="E835" s="19">
        <v>20</v>
      </c>
      <c r="F835" s="19">
        <v>270</v>
      </c>
      <c r="G835" s="19">
        <v>300</v>
      </c>
      <c r="H835" s="19">
        <v>1</v>
      </c>
      <c r="I835" s="80">
        <v>12.72</v>
      </c>
      <c r="J835" s="80">
        <v>12.72</v>
      </c>
      <c r="K835" s="19" t="s">
        <v>1358</v>
      </c>
      <c r="L835" s="19" t="s">
        <v>1359</v>
      </c>
      <c r="Q835" s="20">
        <v>17</v>
      </c>
      <c r="R835" s="65" t="s">
        <v>1141</v>
      </c>
      <c r="T835" s="19" t="s">
        <v>307</v>
      </c>
      <c r="V835" s="19" t="s">
        <v>178</v>
      </c>
      <c r="W835" s="19" t="s">
        <v>138</v>
      </c>
      <c r="Z835" s="44" t="s">
        <v>1142</v>
      </c>
      <c r="AA835" s="44" t="s">
        <v>1098</v>
      </c>
    </row>
    <row r="836" spans="1:27" hidden="1" x14ac:dyDescent="0.25">
      <c r="A836" s="26">
        <v>230</v>
      </c>
      <c r="B836" s="19" t="s">
        <v>1364</v>
      </c>
      <c r="C836" s="44" t="s">
        <v>172</v>
      </c>
      <c r="D836" s="19" t="s">
        <v>1025</v>
      </c>
      <c r="E836" s="19">
        <v>20</v>
      </c>
      <c r="F836" s="19">
        <v>300</v>
      </c>
      <c r="G836" s="19">
        <v>1514</v>
      </c>
      <c r="H836" s="19">
        <v>1</v>
      </c>
      <c r="I836" s="80">
        <v>71.31</v>
      </c>
      <c r="J836" s="80">
        <v>71.31</v>
      </c>
      <c r="K836" s="19" t="s">
        <v>195</v>
      </c>
      <c r="L836" s="19" t="s">
        <v>1365</v>
      </c>
      <c r="Q836" s="20">
        <v>17</v>
      </c>
      <c r="R836" s="65" t="s">
        <v>1141</v>
      </c>
      <c r="T836" s="19" t="s">
        <v>307</v>
      </c>
      <c r="V836" s="19" t="s">
        <v>178</v>
      </c>
      <c r="Y836" s="19" t="s">
        <v>138</v>
      </c>
      <c r="Z836" s="44" t="s">
        <v>1142</v>
      </c>
      <c r="AA836" s="44" t="s">
        <v>180</v>
      </c>
    </row>
    <row r="837" spans="1:27" hidden="1" x14ac:dyDescent="0.25">
      <c r="A837" s="26">
        <v>231</v>
      </c>
      <c r="B837" s="19" t="s">
        <v>1366</v>
      </c>
      <c r="C837" s="44" t="s">
        <v>172</v>
      </c>
      <c r="D837" s="19" t="s">
        <v>1025</v>
      </c>
      <c r="E837" s="19">
        <v>20</v>
      </c>
      <c r="F837" s="19">
        <v>300</v>
      </c>
      <c r="G837" s="19">
        <v>1514</v>
      </c>
      <c r="H837" s="19">
        <v>1</v>
      </c>
      <c r="I837" s="80">
        <v>71.31</v>
      </c>
      <c r="J837" s="80">
        <v>71.31</v>
      </c>
      <c r="K837" s="19" t="s">
        <v>195</v>
      </c>
      <c r="L837" s="19" t="s">
        <v>1365</v>
      </c>
      <c r="Q837" s="20">
        <v>17</v>
      </c>
      <c r="R837" s="65" t="s">
        <v>1141</v>
      </c>
      <c r="T837" s="19" t="s">
        <v>307</v>
      </c>
      <c r="V837" s="19" t="s">
        <v>178</v>
      </c>
      <c r="Y837" s="19" t="s">
        <v>138</v>
      </c>
      <c r="Z837" s="44" t="s">
        <v>1142</v>
      </c>
      <c r="AA837" s="44" t="s">
        <v>180</v>
      </c>
    </row>
    <row r="838" spans="1:27" hidden="1" x14ac:dyDescent="0.25">
      <c r="A838" s="26">
        <v>232</v>
      </c>
      <c r="B838" s="19" t="s">
        <v>1367</v>
      </c>
      <c r="C838" s="44" t="s">
        <v>172</v>
      </c>
      <c r="D838" s="19" t="s">
        <v>1025</v>
      </c>
      <c r="E838" s="19">
        <v>20</v>
      </c>
      <c r="F838" s="19">
        <v>300</v>
      </c>
      <c r="G838" s="19">
        <v>1514</v>
      </c>
      <c r="H838" s="19">
        <v>1</v>
      </c>
      <c r="I838" s="80">
        <v>71.31</v>
      </c>
      <c r="J838" s="80">
        <v>71.31</v>
      </c>
      <c r="K838" s="19" t="s">
        <v>195</v>
      </c>
      <c r="L838" s="19" t="s">
        <v>1365</v>
      </c>
      <c r="Q838" s="20">
        <v>17</v>
      </c>
      <c r="R838" s="65" t="s">
        <v>1141</v>
      </c>
      <c r="T838" s="19" t="s">
        <v>307</v>
      </c>
      <c r="V838" s="19" t="s">
        <v>178</v>
      </c>
      <c r="Y838" s="19" t="s">
        <v>138</v>
      </c>
      <c r="Z838" s="44" t="s">
        <v>1142</v>
      </c>
      <c r="AA838" s="44" t="s">
        <v>180</v>
      </c>
    </row>
    <row r="839" spans="1:27" hidden="1" x14ac:dyDescent="0.25">
      <c r="A839" s="26">
        <v>233</v>
      </c>
      <c r="B839" s="19" t="s">
        <v>1368</v>
      </c>
      <c r="C839" s="44" t="s">
        <v>172</v>
      </c>
      <c r="D839" s="19" t="s">
        <v>1044</v>
      </c>
      <c r="E839" s="19">
        <v>20</v>
      </c>
      <c r="F839" s="19">
        <v>300</v>
      </c>
      <c r="G839" s="19">
        <v>8016</v>
      </c>
      <c r="H839" s="19">
        <v>1</v>
      </c>
      <c r="I839" s="80">
        <v>377.55</v>
      </c>
      <c r="J839" s="80">
        <v>377.55</v>
      </c>
      <c r="K839" s="19" t="s">
        <v>195</v>
      </c>
      <c r="L839" s="19" t="s">
        <v>1365</v>
      </c>
      <c r="P839" s="19" t="s">
        <v>138</v>
      </c>
      <c r="Q839" s="20">
        <v>17</v>
      </c>
      <c r="R839" s="65" t="s">
        <v>1141</v>
      </c>
      <c r="T839" s="19" t="s">
        <v>307</v>
      </c>
      <c r="V839" s="19" t="s">
        <v>178</v>
      </c>
      <c r="Y839" s="19" t="s">
        <v>138</v>
      </c>
      <c r="Z839" s="44" t="s">
        <v>1142</v>
      </c>
      <c r="AA839" s="44" t="s">
        <v>180</v>
      </c>
    </row>
    <row r="840" spans="1:27" hidden="1" x14ac:dyDescent="0.25">
      <c r="A840" s="26">
        <v>234</v>
      </c>
      <c r="B840" s="19" t="s">
        <v>1369</v>
      </c>
      <c r="C840" s="44" t="s">
        <v>172</v>
      </c>
      <c r="D840" s="19" t="s">
        <v>1370</v>
      </c>
      <c r="E840" s="19">
        <v>20</v>
      </c>
      <c r="F840" s="19">
        <v>300</v>
      </c>
      <c r="G840" s="19">
        <v>480</v>
      </c>
      <c r="H840" s="19">
        <v>2</v>
      </c>
      <c r="I840" s="80">
        <v>22.61</v>
      </c>
      <c r="J840" s="80">
        <v>45.22</v>
      </c>
      <c r="K840" s="19" t="s">
        <v>195</v>
      </c>
      <c r="L840" s="19" t="s">
        <v>1365</v>
      </c>
      <c r="Q840" s="20">
        <v>17</v>
      </c>
      <c r="R840" s="65" t="s">
        <v>1141</v>
      </c>
      <c r="T840" s="19" t="s">
        <v>307</v>
      </c>
      <c r="V840" s="19" t="s">
        <v>178</v>
      </c>
      <c r="W840" s="19" t="s">
        <v>138</v>
      </c>
      <c r="Z840" s="44" t="s">
        <v>1142</v>
      </c>
      <c r="AA840" s="44" t="s">
        <v>180</v>
      </c>
    </row>
    <row r="841" spans="1:27" hidden="1" x14ac:dyDescent="0.25">
      <c r="A841" s="26">
        <v>235</v>
      </c>
      <c r="B841" s="19" t="s">
        <v>1371</v>
      </c>
      <c r="C841" s="44" t="s">
        <v>172</v>
      </c>
      <c r="D841" s="19" t="s">
        <v>1020</v>
      </c>
      <c r="E841" s="19">
        <v>20</v>
      </c>
      <c r="F841" s="19">
        <v>1436</v>
      </c>
      <c r="G841" s="19">
        <v>9068</v>
      </c>
      <c r="H841" s="19">
        <v>1</v>
      </c>
      <c r="I841" s="80">
        <v>2029.94</v>
      </c>
      <c r="J841" s="80">
        <v>2029.94</v>
      </c>
      <c r="K841" s="19" t="s">
        <v>195</v>
      </c>
      <c r="L841" s="19" t="s">
        <v>1365</v>
      </c>
      <c r="Q841" s="20">
        <v>17</v>
      </c>
      <c r="R841" s="65" t="s">
        <v>1141</v>
      </c>
      <c r="T841" s="19" t="s">
        <v>307</v>
      </c>
      <c r="V841" s="19" t="s">
        <v>178</v>
      </c>
      <c r="Y841" s="19" t="s">
        <v>138</v>
      </c>
      <c r="Z841" s="44" t="s">
        <v>1142</v>
      </c>
      <c r="AA841" s="44" t="s">
        <v>180</v>
      </c>
    </row>
    <row r="842" spans="1:27" hidden="1" x14ac:dyDescent="0.25">
      <c r="A842" s="26">
        <v>236</v>
      </c>
      <c r="B842" s="19" t="s">
        <v>1372</v>
      </c>
      <c r="C842" s="44" t="s">
        <v>172</v>
      </c>
      <c r="D842" s="19" t="s">
        <v>1370</v>
      </c>
      <c r="E842" s="19">
        <v>20</v>
      </c>
      <c r="F842" s="19">
        <v>300</v>
      </c>
      <c r="G842" s="19">
        <v>480</v>
      </c>
      <c r="H842" s="19">
        <v>2</v>
      </c>
      <c r="I842" s="80">
        <v>22.61</v>
      </c>
      <c r="J842" s="80">
        <v>45.22</v>
      </c>
      <c r="K842" s="19" t="s">
        <v>195</v>
      </c>
      <c r="L842" s="19" t="s">
        <v>1365</v>
      </c>
      <c r="Q842" s="20">
        <v>17</v>
      </c>
      <c r="R842" s="65" t="s">
        <v>1141</v>
      </c>
      <c r="T842" s="19" t="s">
        <v>307</v>
      </c>
      <c r="V842" s="19" t="s">
        <v>178</v>
      </c>
      <c r="W842" s="19" t="s">
        <v>138</v>
      </c>
      <c r="Z842" s="44" t="s">
        <v>1142</v>
      </c>
      <c r="AA842" s="44" t="s">
        <v>180</v>
      </c>
    </row>
    <row r="843" spans="1:27" hidden="1" x14ac:dyDescent="0.25">
      <c r="A843" s="26">
        <v>237</v>
      </c>
      <c r="B843" s="19" t="s">
        <v>1373</v>
      </c>
      <c r="C843" s="44" t="s">
        <v>172</v>
      </c>
      <c r="D843" s="19" t="s">
        <v>1011</v>
      </c>
      <c r="E843" s="19">
        <v>20</v>
      </c>
      <c r="F843" s="19">
        <v>300</v>
      </c>
      <c r="G843" s="19">
        <v>9980</v>
      </c>
      <c r="H843" s="19">
        <v>1</v>
      </c>
      <c r="I843" s="80">
        <v>470.06</v>
      </c>
      <c r="J843" s="80">
        <v>470.06</v>
      </c>
      <c r="K843" s="19" t="s">
        <v>195</v>
      </c>
      <c r="L843" s="19" t="s">
        <v>1365</v>
      </c>
      <c r="Q843" s="20">
        <v>17</v>
      </c>
      <c r="R843" s="65" t="s">
        <v>1141</v>
      </c>
      <c r="T843" s="19" t="s">
        <v>307</v>
      </c>
      <c r="V843" s="19" t="s">
        <v>178</v>
      </c>
      <c r="Y843" s="19" t="s">
        <v>138</v>
      </c>
      <c r="Z843" s="44" t="s">
        <v>1142</v>
      </c>
      <c r="AA843" s="44" t="s">
        <v>180</v>
      </c>
    </row>
    <row r="844" spans="1:27" hidden="1" x14ac:dyDescent="0.25">
      <c r="A844" s="26">
        <v>238</v>
      </c>
      <c r="B844" s="19" t="s">
        <v>1374</v>
      </c>
      <c r="C844" s="44" t="s">
        <v>172</v>
      </c>
      <c r="D844" s="19" t="s">
        <v>1011</v>
      </c>
      <c r="E844" s="19">
        <v>20</v>
      </c>
      <c r="F844" s="19">
        <v>300</v>
      </c>
      <c r="G844" s="19">
        <v>9980</v>
      </c>
      <c r="H844" s="19">
        <v>1</v>
      </c>
      <c r="I844" s="80">
        <v>470.06</v>
      </c>
      <c r="J844" s="80">
        <v>470.06</v>
      </c>
      <c r="K844" s="19" t="s">
        <v>195</v>
      </c>
      <c r="L844" s="19" t="s">
        <v>1365</v>
      </c>
      <c r="Q844" s="20">
        <v>17</v>
      </c>
      <c r="R844" s="65" t="s">
        <v>1141</v>
      </c>
      <c r="T844" s="19" t="s">
        <v>307</v>
      </c>
      <c r="V844" s="19" t="s">
        <v>178</v>
      </c>
      <c r="Y844" s="19" t="s">
        <v>138</v>
      </c>
      <c r="Z844" s="44" t="s">
        <v>1142</v>
      </c>
      <c r="AA844" s="44" t="s">
        <v>180</v>
      </c>
    </row>
    <row r="845" spans="1:27" hidden="1" x14ac:dyDescent="0.25">
      <c r="A845" s="26">
        <v>239</v>
      </c>
      <c r="B845" s="19" t="s">
        <v>1375</v>
      </c>
      <c r="C845" s="44" t="s">
        <v>172</v>
      </c>
      <c r="D845" s="19" t="s">
        <v>1025</v>
      </c>
      <c r="E845" s="19">
        <v>20</v>
      </c>
      <c r="F845" s="19">
        <v>300</v>
      </c>
      <c r="G845" s="19">
        <v>1514</v>
      </c>
      <c r="H845" s="19">
        <v>1</v>
      </c>
      <c r="I845" s="80">
        <v>71.31</v>
      </c>
      <c r="J845" s="80">
        <v>71.31</v>
      </c>
      <c r="K845" s="19" t="s">
        <v>195</v>
      </c>
      <c r="L845" s="19" t="s">
        <v>1365</v>
      </c>
      <c r="Q845" s="20">
        <v>17</v>
      </c>
      <c r="R845" s="65" t="s">
        <v>1141</v>
      </c>
      <c r="T845" s="19" t="s">
        <v>307</v>
      </c>
      <c r="V845" s="19" t="s">
        <v>178</v>
      </c>
      <c r="Y845" s="19" t="s">
        <v>138</v>
      </c>
      <c r="Z845" s="44" t="s">
        <v>1142</v>
      </c>
      <c r="AA845" s="44" t="s">
        <v>180</v>
      </c>
    </row>
    <row r="846" spans="1:27" hidden="1" x14ac:dyDescent="0.25">
      <c r="A846" s="26">
        <v>240</v>
      </c>
      <c r="B846" s="19" t="s">
        <v>1376</v>
      </c>
      <c r="C846" s="44" t="s">
        <v>172</v>
      </c>
      <c r="D846" s="19" t="s">
        <v>1025</v>
      </c>
      <c r="E846" s="19">
        <v>20</v>
      </c>
      <c r="F846" s="19">
        <v>300</v>
      </c>
      <c r="G846" s="19">
        <v>1514</v>
      </c>
      <c r="H846" s="19">
        <v>1</v>
      </c>
      <c r="I846" s="80">
        <v>71.31</v>
      </c>
      <c r="J846" s="80">
        <v>71.31</v>
      </c>
      <c r="K846" s="19" t="s">
        <v>195</v>
      </c>
      <c r="L846" s="19" t="s">
        <v>1365</v>
      </c>
      <c r="Q846" s="20">
        <v>17</v>
      </c>
      <c r="R846" s="65" t="s">
        <v>1141</v>
      </c>
      <c r="T846" s="19" t="s">
        <v>307</v>
      </c>
      <c r="V846" s="19" t="s">
        <v>178</v>
      </c>
      <c r="Y846" s="19" t="s">
        <v>138</v>
      </c>
      <c r="Z846" s="44" t="s">
        <v>1142</v>
      </c>
      <c r="AA846" s="44" t="s">
        <v>180</v>
      </c>
    </row>
    <row r="847" spans="1:27" hidden="1" x14ac:dyDescent="0.25">
      <c r="A847" s="26">
        <v>241</v>
      </c>
      <c r="B847" s="19" t="s">
        <v>1377</v>
      </c>
      <c r="C847" s="44" t="s">
        <v>172</v>
      </c>
      <c r="D847" s="19" t="s">
        <v>1025</v>
      </c>
      <c r="E847" s="19">
        <v>20</v>
      </c>
      <c r="F847" s="19">
        <v>300</v>
      </c>
      <c r="G847" s="19">
        <v>1514</v>
      </c>
      <c r="H847" s="19">
        <v>1</v>
      </c>
      <c r="I847" s="80">
        <v>71.31</v>
      </c>
      <c r="J847" s="80">
        <v>71.31</v>
      </c>
      <c r="K847" s="19" t="s">
        <v>195</v>
      </c>
      <c r="L847" s="19" t="s">
        <v>1365</v>
      </c>
      <c r="Q847" s="20">
        <v>17</v>
      </c>
      <c r="R847" s="65" t="s">
        <v>1141</v>
      </c>
      <c r="T847" s="19" t="s">
        <v>307</v>
      </c>
      <c r="V847" s="19" t="s">
        <v>178</v>
      </c>
      <c r="Y847" s="19" t="s">
        <v>138</v>
      </c>
      <c r="Z847" s="44" t="s">
        <v>1142</v>
      </c>
      <c r="AA847" s="44" t="s">
        <v>180</v>
      </c>
    </row>
    <row r="848" spans="1:27" hidden="1" x14ac:dyDescent="0.25">
      <c r="A848" s="26">
        <v>242</v>
      </c>
      <c r="B848" s="19" t="s">
        <v>1378</v>
      </c>
      <c r="C848" s="44" t="s">
        <v>172</v>
      </c>
      <c r="D848" s="19" t="s">
        <v>1025</v>
      </c>
      <c r="E848" s="19">
        <v>20</v>
      </c>
      <c r="F848" s="19">
        <v>300</v>
      </c>
      <c r="G848" s="19">
        <v>1514</v>
      </c>
      <c r="H848" s="19">
        <v>1</v>
      </c>
      <c r="I848" s="80">
        <v>71.31</v>
      </c>
      <c r="J848" s="80">
        <v>71.31</v>
      </c>
      <c r="K848" s="19" t="s">
        <v>195</v>
      </c>
      <c r="L848" s="19" t="s">
        <v>1365</v>
      </c>
      <c r="Q848" s="20">
        <v>17</v>
      </c>
      <c r="R848" s="65" t="s">
        <v>1141</v>
      </c>
      <c r="T848" s="19" t="s">
        <v>307</v>
      </c>
      <c r="V848" s="19" t="s">
        <v>178</v>
      </c>
      <c r="Y848" s="19" t="s">
        <v>138</v>
      </c>
      <c r="Z848" s="44" t="s">
        <v>1142</v>
      </c>
      <c r="AA848" s="44" t="s">
        <v>180</v>
      </c>
    </row>
    <row r="849" spans="1:27" hidden="1" x14ac:dyDescent="0.25">
      <c r="A849" s="26">
        <v>243</v>
      </c>
      <c r="B849" s="19" t="s">
        <v>1362</v>
      </c>
      <c r="C849" s="44" t="s">
        <v>172</v>
      </c>
      <c r="D849" s="19" t="s">
        <v>1363</v>
      </c>
      <c r="E849" s="19">
        <v>20</v>
      </c>
      <c r="F849" s="19">
        <v>270</v>
      </c>
      <c r="G849" s="19">
        <v>300</v>
      </c>
      <c r="H849" s="19">
        <v>1</v>
      </c>
      <c r="I849" s="80">
        <v>12.72</v>
      </c>
      <c r="J849" s="80">
        <v>12.72</v>
      </c>
      <c r="K849" s="19" t="s">
        <v>195</v>
      </c>
      <c r="L849" s="19" t="s">
        <v>1365</v>
      </c>
      <c r="Q849" s="20">
        <v>17</v>
      </c>
      <c r="R849" s="65" t="s">
        <v>1141</v>
      </c>
      <c r="T849" s="19" t="s">
        <v>307</v>
      </c>
      <c r="V849" s="19" t="s">
        <v>178</v>
      </c>
      <c r="W849" s="19" t="s">
        <v>138</v>
      </c>
      <c r="Z849" s="44" t="s">
        <v>1142</v>
      </c>
      <c r="AA849" s="44" t="s">
        <v>180</v>
      </c>
    </row>
    <row r="850" spans="1:27" hidden="1" x14ac:dyDescent="0.25">
      <c r="A850" s="26">
        <v>244</v>
      </c>
      <c r="B850" s="19" t="s">
        <v>1353</v>
      </c>
      <c r="C850" s="44" t="s">
        <v>172</v>
      </c>
      <c r="D850" s="19" t="s">
        <v>1022</v>
      </c>
      <c r="E850" s="19">
        <v>20</v>
      </c>
      <c r="F850" s="19">
        <v>300</v>
      </c>
      <c r="G850" s="19">
        <v>1096</v>
      </c>
      <c r="H850" s="19">
        <v>1</v>
      </c>
      <c r="I850" s="80">
        <v>51.62</v>
      </c>
      <c r="J850" s="80">
        <v>51.62</v>
      </c>
      <c r="K850" s="19" t="s">
        <v>195</v>
      </c>
      <c r="L850" s="19" t="s">
        <v>1365</v>
      </c>
      <c r="P850" s="19" t="s">
        <v>138</v>
      </c>
      <c r="Q850" s="20">
        <v>17</v>
      </c>
      <c r="R850" s="65" t="s">
        <v>1141</v>
      </c>
      <c r="T850" s="19" t="s">
        <v>307</v>
      </c>
      <c r="V850" s="19" t="s">
        <v>178</v>
      </c>
      <c r="Y850" s="19" t="s">
        <v>138</v>
      </c>
      <c r="Z850" s="44" t="s">
        <v>1142</v>
      </c>
      <c r="AA850" s="44" t="s">
        <v>180</v>
      </c>
    </row>
    <row r="851" spans="1:27" hidden="1" x14ac:dyDescent="0.25">
      <c r="A851" s="26">
        <v>245</v>
      </c>
      <c r="B851" s="19" t="s">
        <v>1379</v>
      </c>
      <c r="C851" s="44" t="s">
        <v>172</v>
      </c>
      <c r="D851" s="19" t="s">
        <v>1028</v>
      </c>
      <c r="E851" s="19">
        <v>20</v>
      </c>
      <c r="F851" s="19">
        <v>300</v>
      </c>
      <c r="G851" s="19">
        <v>9516</v>
      </c>
      <c r="H851" s="19">
        <v>1</v>
      </c>
      <c r="I851" s="80">
        <v>448.2</v>
      </c>
      <c r="J851" s="80">
        <v>448.2</v>
      </c>
      <c r="K851" s="19" t="s">
        <v>195</v>
      </c>
      <c r="L851" s="19" t="s">
        <v>1380</v>
      </c>
      <c r="P851" s="19" t="s">
        <v>138</v>
      </c>
      <c r="Q851" s="20">
        <v>17</v>
      </c>
      <c r="R851" s="65" t="s">
        <v>1141</v>
      </c>
      <c r="T851" s="19" t="s">
        <v>307</v>
      </c>
      <c r="V851" s="19" t="s">
        <v>178</v>
      </c>
      <c r="Y851" s="19" t="s">
        <v>138</v>
      </c>
      <c r="Z851" s="44" t="s">
        <v>1142</v>
      </c>
      <c r="AA851" s="44" t="s">
        <v>180</v>
      </c>
    </row>
    <row r="852" spans="1:27" hidden="1" x14ac:dyDescent="0.25">
      <c r="A852" s="26">
        <v>246</v>
      </c>
      <c r="B852" s="19" t="s">
        <v>1381</v>
      </c>
      <c r="C852" s="44" t="s">
        <v>172</v>
      </c>
      <c r="D852" s="19" t="s">
        <v>1028</v>
      </c>
      <c r="E852" s="19">
        <v>20</v>
      </c>
      <c r="F852" s="19">
        <v>300</v>
      </c>
      <c r="G852" s="19">
        <v>9516</v>
      </c>
      <c r="H852" s="19">
        <v>1</v>
      </c>
      <c r="I852" s="80">
        <v>448.2</v>
      </c>
      <c r="J852" s="80">
        <v>448.2</v>
      </c>
      <c r="K852" s="19" t="s">
        <v>195</v>
      </c>
      <c r="L852" s="19" t="s">
        <v>1380</v>
      </c>
      <c r="P852" s="19" t="s">
        <v>138</v>
      </c>
      <c r="Q852" s="20">
        <v>17</v>
      </c>
      <c r="R852" s="65" t="s">
        <v>1141</v>
      </c>
      <c r="T852" s="19" t="s">
        <v>307</v>
      </c>
      <c r="V852" s="19" t="s">
        <v>178</v>
      </c>
      <c r="Y852" s="19" t="s">
        <v>138</v>
      </c>
      <c r="Z852" s="44" t="s">
        <v>1142</v>
      </c>
      <c r="AA852" s="44" t="s">
        <v>180</v>
      </c>
    </row>
    <row r="853" spans="1:27" hidden="1" x14ac:dyDescent="0.25">
      <c r="A853" s="26">
        <v>247</v>
      </c>
      <c r="B853" s="19" t="s">
        <v>1382</v>
      </c>
      <c r="C853" s="44" t="s">
        <v>172</v>
      </c>
      <c r="D853" s="19" t="s">
        <v>1028</v>
      </c>
      <c r="E853" s="19">
        <v>20</v>
      </c>
      <c r="F853" s="19">
        <v>300</v>
      </c>
      <c r="G853" s="19">
        <v>9516</v>
      </c>
      <c r="H853" s="19">
        <v>1</v>
      </c>
      <c r="I853" s="80">
        <v>448.2</v>
      </c>
      <c r="J853" s="80">
        <v>448.2</v>
      </c>
      <c r="K853" s="19" t="s">
        <v>195</v>
      </c>
      <c r="L853" s="19" t="s">
        <v>1380</v>
      </c>
      <c r="P853" s="19" t="s">
        <v>138</v>
      </c>
      <c r="Q853" s="20">
        <v>17</v>
      </c>
      <c r="R853" s="65" t="s">
        <v>1141</v>
      </c>
      <c r="T853" s="19" t="s">
        <v>307</v>
      </c>
      <c r="V853" s="19" t="s">
        <v>178</v>
      </c>
      <c r="Y853" s="19" t="s">
        <v>138</v>
      </c>
      <c r="Z853" s="44" t="s">
        <v>1142</v>
      </c>
      <c r="AA853" s="44" t="s">
        <v>180</v>
      </c>
    </row>
    <row r="854" spans="1:27" hidden="1" x14ac:dyDescent="0.25">
      <c r="A854" s="26">
        <v>248</v>
      </c>
      <c r="B854" s="19" t="s">
        <v>1383</v>
      </c>
      <c r="C854" s="44" t="s">
        <v>172</v>
      </c>
      <c r="D854" s="19" t="s">
        <v>1028</v>
      </c>
      <c r="E854" s="19">
        <v>20</v>
      </c>
      <c r="F854" s="19">
        <v>300</v>
      </c>
      <c r="G854" s="19">
        <v>9516</v>
      </c>
      <c r="H854" s="19">
        <v>1</v>
      </c>
      <c r="I854" s="80">
        <v>448.2</v>
      </c>
      <c r="J854" s="80">
        <v>448.2</v>
      </c>
      <c r="K854" s="19" t="s">
        <v>195</v>
      </c>
      <c r="L854" s="19" t="s">
        <v>1380</v>
      </c>
      <c r="P854" s="19" t="s">
        <v>138</v>
      </c>
      <c r="Q854" s="20">
        <v>17</v>
      </c>
      <c r="R854" s="65" t="s">
        <v>1141</v>
      </c>
      <c r="T854" s="19" t="s">
        <v>307</v>
      </c>
      <c r="V854" s="19" t="s">
        <v>178</v>
      </c>
      <c r="Y854" s="19" t="s">
        <v>138</v>
      </c>
      <c r="Z854" s="44" t="s">
        <v>1142</v>
      </c>
      <c r="AA854" s="44" t="s">
        <v>180</v>
      </c>
    </row>
    <row r="855" spans="1:27" hidden="1" x14ac:dyDescent="0.25">
      <c r="A855" s="26">
        <v>249</v>
      </c>
      <c r="B855" s="19" t="s">
        <v>1384</v>
      </c>
      <c r="C855" s="44" t="s">
        <v>172</v>
      </c>
      <c r="D855" s="19" t="s">
        <v>1025</v>
      </c>
      <c r="E855" s="19">
        <v>20</v>
      </c>
      <c r="F855" s="19">
        <v>300</v>
      </c>
      <c r="G855" s="19">
        <v>1514</v>
      </c>
      <c r="H855" s="19">
        <v>1</v>
      </c>
      <c r="I855" s="80">
        <v>71.31</v>
      </c>
      <c r="J855" s="80">
        <v>71.31</v>
      </c>
      <c r="K855" s="19" t="s">
        <v>195</v>
      </c>
      <c r="L855" s="19" t="s">
        <v>1380</v>
      </c>
      <c r="Q855" s="20">
        <v>17</v>
      </c>
      <c r="R855" s="65" t="s">
        <v>1141</v>
      </c>
      <c r="T855" s="19" t="s">
        <v>307</v>
      </c>
      <c r="V855" s="19" t="s">
        <v>178</v>
      </c>
      <c r="Y855" s="19" t="s">
        <v>138</v>
      </c>
      <c r="Z855" s="44" t="s">
        <v>1142</v>
      </c>
      <c r="AA855" s="44" t="s">
        <v>180</v>
      </c>
    </row>
    <row r="856" spans="1:27" hidden="1" x14ac:dyDescent="0.25">
      <c r="A856" s="26">
        <v>250</v>
      </c>
      <c r="B856" s="19" t="s">
        <v>1385</v>
      </c>
      <c r="C856" s="44" t="s">
        <v>172</v>
      </c>
      <c r="D856" s="19" t="s">
        <v>1025</v>
      </c>
      <c r="E856" s="19">
        <v>20</v>
      </c>
      <c r="F856" s="19">
        <v>300</v>
      </c>
      <c r="G856" s="19">
        <v>1514</v>
      </c>
      <c r="H856" s="19">
        <v>1</v>
      </c>
      <c r="I856" s="80">
        <v>71.31</v>
      </c>
      <c r="J856" s="80">
        <v>71.31</v>
      </c>
      <c r="K856" s="19" t="s">
        <v>195</v>
      </c>
      <c r="L856" s="19" t="s">
        <v>1380</v>
      </c>
      <c r="Q856" s="20">
        <v>17</v>
      </c>
      <c r="R856" s="65" t="s">
        <v>1141</v>
      </c>
      <c r="T856" s="19" t="s">
        <v>307</v>
      </c>
      <c r="V856" s="19" t="s">
        <v>178</v>
      </c>
      <c r="Y856" s="19" t="s">
        <v>138</v>
      </c>
      <c r="Z856" s="44" t="s">
        <v>1142</v>
      </c>
      <c r="AA856" s="44" t="s">
        <v>180</v>
      </c>
    </row>
    <row r="857" spans="1:27" hidden="1" x14ac:dyDescent="0.25">
      <c r="A857" s="26">
        <v>251</v>
      </c>
      <c r="B857" s="19" t="s">
        <v>1386</v>
      </c>
      <c r="C857" s="44" t="s">
        <v>172</v>
      </c>
      <c r="D857" s="19" t="s">
        <v>1025</v>
      </c>
      <c r="E857" s="19">
        <v>20</v>
      </c>
      <c r="F857" s="19">
        <v>300</v>
      </c>
      <c r="G857" s="19">
        <v>1514</v>
      </c>
      <c r="H857" s="19">
        <v>1</v>
      </c>
      <c r="I857" s="80">
        <v>71.31</v>
      </c>
      <c r="J857" s="80">
        <v>71.31</v>
      </c>
      <c r="K857" s="19" t="s">
        <v>195</v>
      </c>
      <c r="L857" s="19" t="s">
        <v>1380</v>
      </c>
      <c r="Q857" s="20">
        <v>17</v>
      </c>
      <c r="R857" s="65" t="s">
        <v>1141</v>
      </c>
      <c r="T857" s="19" t="s">
        <v>307</v>
      </c>
      <c r="V857" s="19" t="s">
        <v>178</v>
      </c>
      <c r="Y857" s="19" t="s">
        <v>138</v>
      </c>
      <c r="Z857" s="44" t="s">
        <v>1142</v>
      </c>
      <c r="AA857" s="44" t="s">
        <v>180</v>
      </c>
    </row>
    <row r="858" spans="1:27" hidden="1" x14ac:dyDescent="0.25">
      <c r="A858" s="26">
        <v>252</v>
      </c>
      <c r="B858" s="19" t="s">
        <v>1387</v>
      </c>
      <c r="C858" s="44" t="s">
        <v>172</v>
      </c>
      <c r="D858" s="19" t="s">
        <v>1025</v>
      </c>
      <c r="E858" s="19">
        <v>20</v>
      </c>
      <c r="F858" s="19">
        <v>300</v>
      </c>
      <c r="G858" s="19">
        <v>1514</v>
      </c>
      <c r="H858" s="19">
        <v>1</v>
      </c>
      <c r="I858" s="80">
        <v>71.31</v>
      </c>
      <c r="J858" s="80">
        <v>71.31</v>
      </c>
      <c r="K858" s="19" t="s">
        <v>195</v>
      </c>
      <c r="L858" s="19" t="s">
        <v>1380</v>
      </c>
      <c r="Q858" s="20">
        <v>17</v>
      </c>
      <c r="R858" s="65" t="s">
        <v>1141</v>
      </c>
      <c r="T858" s="19" t="s">
        <v>307</v>
      </c>
      <c r="V858" s="19" t="s">
        <v>178</v>
      </c>
      <c r="Y858" s="19" t="s">
        <v>138</v>
      </c>
      <c r="Z858" s="44" t="s">
        <v>1142</v>
      </c>
      <c r="AA858" s="44" t="s">
        <v>180</v>
      </c>
    </row>
    <row r="859" spans="1:27" hidden="1" x14ac:dyDescent="0.25">
      <c r="A859" s="26">
        <v>253</v>
      </c>
      <c r="B859" s="19" t="s">
        <v>1388</v>
      </c>
      <c r="C859" s="44" t="s">
        <v>172</v>
      </c>
      <c r="D859" s="19" t="s">
        <v>1025</v>
      </c>
      <c r="E859" s="19">
        <v>20</v>
      </c>
      <c r="F859" s="19">
        <v>300</v>
      </c>
      <c r="G859" s="19">
        <v>1514</v>
      </c>
      <c r="H859" s="19">
        <v>1</v>
      </c>
      <c r="I859" s="80">
        <v>71.31</v>
      </c>
      <c r="J859" s="80">
        <v>71.31</v>
      </c>
      <c r="K859" s="19" t="s">
        <v>195</v>
      </c>
      <c r="L859" s="19" t="s">
        <v>1380</v>
      </c>
      <c r="Q859" s="20">
        <v>17</v>
      </c>
      <c r="R859" s="65" t="s">
        <v>1141</v>
      </c>
      <c r="T859" s="19" t="s">
        <v>307</v>
      </c>
      <c r="V859" s="19" t="s">
        <v>178</v>
      </c>
      <c r="Y859" s="19" t="s">
        <v>138</v>
      </c>
      <c r="Z859" s="44" t="s">
        <v>1142</v>
      </c>
      <c r="AA859" s="44" t="s">
        <v>180</v>
      </c>
    </row>
    <row r="860" spans="1:27" hidden="1" x14ac:dyDescent="0.25">
      <c r="A860" s="26">
        <v>254</v>
      </c>
      <c r="B860" s="19" t="s">
        <v>1389</v>
      </c>
      <c r="C860" s="44" t="s">
        <v>172</v>
      </c>
      <c r="D860" s="19" t="s">
        <v>1028</v>
      </c>
      <c r="E860" s="19">
        <v>20</v>
      </c>
      <c r="F860" s="19">
        <v>300</v>
      </c>
      <c r="G860" s="19">
        <v>9516</v>
      </c>
      <c r="H860" s="19">
        <v>1</v>
      </c>
      <c r="I860" s="80">
        <v>448.2</v>
      </c>
      <c r="J860" s="80">
        <v>448.2</v>
      </c>
      <c r="K860" s="19" t="s">
        <v>195</v>
      </c>
      <c r="L860" s="19" t="s">
        <v>1380</v>
      </c>
      <c r="P860" s="19" t="s">
        <v>138</v>
      </c>
      <c r="Q860" s="20">
        <v>17</v>
      </c>
      <c r="R860" s="65" t="s">
        <v>1141</v>
      </c>
      <c r="T860" s="19" t="s">
        <v>307</v>
      </c>
      <c r="V860" s="19" t="s">
        <v>178</v>
      </c>
      <c r="Y860" s="19" t="s">
        <v>138</v>
      </c>
      <c r="Z860" s="44" t="s">
        <v>1142</v>
      </c>
      <c r="AA860" s="44" t="s">
        <v>180</v>
      </c>
    </row>
    <row r="861" spans="1:27" hidden="1" x14ac:dyDescent="0.25">
      <c r="A861" s="26">
        <v>255</v>
      </c>
      <c r="B861" s="19" t="s">
        <v>1390</v>
      </c>
      <c r="C861" s="44" t="s">
        <v>172</v>
      </c>
      <c r="D861" s="19" t="s">
        <v>1028</v>
      </c>
      <c r="E861" s="19">
        <v>20</v>
      </c>
      <c r="F861" s="19">
        <v>300</v>
      </c>
      <c r="G861" s="19">
        <v>9516</v>
      </c>
      <c r="H861" s="19">
        <v>1</v>
      </c>
      <c r="I861" s="80">
        <v>448.2</v>
      </c>
      <c r="J861" s="80">
        <v>448.2</v>
      </c>
      <c r="K861" s="19" t="s">
        <v>195</v>
      </c>
      <c r="L861" s="19" t="s">
        <v>1380</v>
      </c>
      <c r="P861" s="19" t="s">
        <v>138</v>
      </c>
      <c r="Q861" s="20">
        <v>17</v>
      </c>
      <c r="R861" s="65" t="s">
        <v>1141</v>
      </c>
      <c r="T861" s="19" t="s">
        <v>307</v>
      </c>
      <c r="V861" s="19" t="s">
        <v>178</v>
      </c>
      <c r="Y861" s="19" t="s">
        <v>138</v>
      </c>
      <c r="Z861" s="44" t="s">
        <v>1142</v>
      </c>
      <c r="AA861" s="44" t="s">
        <v>180</v>
      </c>
    </row>
    <row r="862" spans="1:27" hidden="1" x14ac:dyDescent="0.25">
      <c r="A862" s="26">
        <v>256</v>
      </c>
      <c r="B862" s="19" t="s">
        <v>1391</v>
      </c>
      <c r="C862" s="44" t="s">
        <v>172</v>
      </c>
      <c r="D862" s="19" t="s">
        <v>1028</v>
      </c>
      <c r="E862" s="19">
        <v>20</v>
      </c>
      <c r="F862" s="19">
        <v>300</v>
      </c>
      <c r="G862" s="19">
        <v>9516</v>
      </c>
      <c r="H862" s="19">
        <v>1</v>
      </c>
      <c r="I862" s="80">
        <v>448.2</v>
      </c>
      <c r="J862" s="80">
        <v>448.2</v>
      </c>
      <c r="K862" s="19" t="s">
        <v>195</v>
      </c>
      <c r="L862" s="19" t="s">
        <v>1380</v>
      </c>
      <c r="P862" s="19" t="s">
        <v>138</v>
      </c>
      <c r="Q862" s="20">
        <v>17</v>
      </c>
      <c r="R862" s="65" t="s">
        <v>1141</v>
      </c>
      <c r="T862" s="19" t="s">
        <v>307</v>
      </c>
      <c r="V862" s="19" t="s">
        <v>178</v>
      </c>
      <c r="Y862" s="19" t="s">
        <v>138</v>
      </c>
      <c r="Z862" s="44" t="s">
        <v>1142</v>
      </c>
      <c r="AA862" s="44" t="s">
        <v>180</v>
      </c>
    </row>
    <row r="863" spans="1:27" hidden="1" x14ac:dyDescent="0.25">
      <c r="A863" s="26">
        <v>257</v>
      </c>
      <c r="B863" s="19" t="s">
        <v>1392</v>
      </c>
      <c r="C863" s="44" t="s">
        <v>172</v>
      </c>
      <c r="D863" s="19" t="s">
        <v>1028</v>
      </c>
      <c r="E863" s="19">
        <v>20</v>
      </c>
      <c r="F863" s="19">
        <v>300</v>
      </c>
      <c r="G863" s="19">
        <v>9516</v>
      </c>
      <c r="H863" s="19">
        <v>1</v>
      </c>
      <c r="I863" s="80">
        <v>448.2</v>
      </c>
      <c r="J863" s="80">
        <v>448.2</v>
      </c>
      <c r="K863" s="19" t="s">
        <v>195</v>
      </c>
      <c r="L863" s="19" t="s">
        <v>1380</v>
      </c>
      <c r="P863" s="19" t="s">
        <v>138</v>
      </c>
      <c r="Q863" s="20">
        <v>17</v>
      </c>
      <c r="R863" s="65" t="s">
        <v>1141</v>
      </c>
      <c r="T863" s="19" t="s">
        <v>307</v>
      </c>
      <c r="V863" s="19" t="s">
        <v>178</v>
      </c>
      <c r="Y863" s="19" t="s">
        <v>138</v>
      </c>
      <c r="Z863" s="44" t="s">
        <v>1142</v>
      </c>
      <c r="AA863" s="44" t="s">
        <v>180</v>
      </c>
    </row>
    <row r="864" spans="1:27" hidden="1" x14ac:dyDescent="0.25">
      <c r="A864" s="26">
        <v>258</v>
      </c>
      <c r="B864" s="19" t="s">
        <v>1393</v>
      </c>
      <c r="C864" s="44" t="s">
        <v>172</v>
      </c>
      <c r="D864" s="19" t="s">
        <v>1025</v>
      </c>
      <c r="E864" s="19">
        <v>20</v>
      </c>
      <c r="F864" s="19">
        <v>300</v>
      </c>
      <c r="G864" s="19">
        <v>1514</v>
      </c>
      <c r="H864" s="19">
        <v>1</v>
      </c>
      <c r="I864" s="80">
        <v>71.31</v>
      </c>
      <c r="J864" s="80">
        <v>71.31</v>
      </c>
      <c r="K864" s="19" t="s">
        <v>195</v>
      </c>
      <c r="L864" s="19" t="s">
        <v>1380</v>
      </c>
      <c r="Q864" s="20">
        <v>17</v>
      </c>
      <c r="R864" s="65" t="s">
        <v>1141</v>
      </c>
      <c r="T864" s="19" t="s">
        <v>307</v>
      </c>
      <c r="V864" s="19" t="s">
        <v>178</v>
      </c>
      <c r="Y864" s="19" t="s">
        <v>138</v>
      </c>
      <c r="Z864" s="44" t="s">
        <v>1142</v>
      </c>
      <c r="AA864" s="44" t="s">
        <v>180</v>
      </c>
    </row>
    <row r="865" spans="1:27" hidden="1" x14ac:dyDescent="0.25">
      <c r="A865" s="26">
        <v>259</v>
      </c>
      <c r="B865" s="19" t="s">
        <v>1394</v>
      </c>
      <c r="C865" s="44" t="s">
        <v>172</v>
      </c>
      <c r="D865" s="19" t="s">
        <v>1025</v>
      </c>
      <c r="E865" s="19">
        <v>20</v>
      </c>
      <c r="F865" s="19">
        <v>300</v>
      </c>
      <c r="G865" s="19">
        <v>1514</v>
      </c>
      <c r="H865" s="19">
        <v>1</v>
      </c>
      <c r="I865" s="80">
        <v>71.31</v>
      </c>
      <c r="J865" s="80">
        <v>71.31</v>
      </c>
      <c r="K865" s="19" t="s">
        <v>195</v>
      </c>
      <c r="L865" s="19" t="s">
        <v>1380</v>
      </c>
      <c r="Q865" s="20">
        <v>17</v>
      </c>
      <c r="R865" s="65" t="s">
        <v>1141</v>
      </c>
      <c r="T865" s="19" t="s">
        <v>307</v>
      </c>
      <c r="V865" s="19" t="s">
        <v>178</v>
      </c>
      <c r="Y865" s="19" t="s">
        <v>138</v>
      </c>
      <c r="Z865" s="44" t="s">
        <v>1142</v>
      </c>
      <c r="AA865" s="44" t="s">
        <v>180</v>
      </c>
    </row>
    <row r="866" spans="1:27" hidden="1" x14ac:dyDescent="0.25">
      <c r="A866" s="26">
        <v>260</v>
      </c>
      <c r="B866" s="19" t="s">
        <v>1395</v>
      </c>
      <c r="C866" s="44" t="s">
        <v>172</v>
      </c>
      <c r="D866" s="19" t="s">
        <v>1025</v>
      </c>
      <c r="E866" s="19">
        <v>20</v>
      </c>
      <c r="F866" s="19">
        <v>300</v>
      </c>
      <c r="G866" s="19">
        <v>1514</v>
      </c>
      <c r="H866" s="19">
        <v>1</v>
      </c>
      <c r="I866" s="80">
        <v>71.31</v>
      </c>
      <c r="J866" s="80">
        <v>71.31</v>
      </c>
      <c r="K866" s="19" t="s">
        <v>195</v>
      </c>
      <c r="L866" s="19" t="s">
        <v>1380</v>
      </c>
      <c r="Q866" s="20">
        <v>17</v>
      </c>
      <c r="R866" s="65" t="s">
        <v>1141</v>
      </c>
      <c r="T866" s="19" t="s">
        <v>307</v>
      </c>
      <c r="V866" s="19" t="s">
        <v>178</v>
      </c>
      <c r="Y866" s="19" t="s">
        <v>138</v>
      </c>
      <c r="Z866" s="44" t="s">
        <v>1142</v>
      </c>
      <c r="AA866" s="44" t="s">
        <v>180</v>
      </c>
    </row>
    <row r="867" spans="1:27" hidden="1" x14ac:dyDescent="0.25">
      <c r="A867" s="26">
        <v>261</v>
      </c>
      <c r="B867" s="19" t="s">
        <v>1396</v>
      </c>
      <c r="C867" s="44" t="s">
        <v>172</v>
      </c>
      <c r="D867" s="19" t="s">
        <v>1028</v>
      </c>
      <c r="E867" s="19">
        <v>20</v>
      </c>
      <c r="F867" s="19">
        <v>300</v>
      </c>
      <c r="G867" s="19">
        <v>9516</v>
      </c>
      <c r="H867" s="19">
        <v>1</v>
      </c>
      <c r="I867" s="80">
        <v>448.2</v>
      </c>
      <c r="J867" s="80">
        <v>448.2</v>
      </c>
      <c r="K867" s="19" t="s">
        <v>195</v>
      </c>
      <c r="L867" s="19" t="s">
        <v>1397</v>
      </c>
      <c r="P867" s="19" t="s">
        <v>138</v>
      </c>
      <c r="Q867" s="20">
        <v>17</v>
      </c>
      <c r="R867" s="65" t="s">
        <v>1141</v>
      </c>
      <c r="T867" s="19" t="s">
        <v>307</v>
      </c>
      <c r="V867" s="19" t="s">
        <v>178</v>
      </c>
      <c r="Y867" s="19" t="s">
        <v>138</v>
      </c>
      <c r="Z867" s="44" t="s">
        <v>1142</v>
      </c>
      <c r="AA867" s="44" t="s">
        <v>180</v>
      </c>
    </row>
    <row r="868" spans="1:27" hidden="1" x14ac:dyDescent="0.25">
      <c r="A868" s="26">
        <v>262</v>
      </c>
      <c r="B868" s="19" t="s">
        <v>1398</v>
      </c>
      <c r="C868" s="44" t="s">
        <v>172</v>
      </c>
      <c r="D868" s="19" t="s">
        <v>1050</v>
      </c>
      <c r="E868" s="19">
        <v>20</v>
      </c>
      <c r="F868" s="19">
        <v>300</v>
      </c>
      <c r="G868" s="19">
        <v>1383</v>
      </c>
      <c r="H868" s="19">
        <v>1</v>
      </c>
      <c r="I868" s="80">
        <v>65.14</v>
      </c>
      <c r="J868" s="80">
        <v>65.14</v>
      </c>
      <c r="K868" s="19" t="s">
        <v>195</v>
      </c>
      <c r="L868" s="19" t="s">
        <v>1397</v>
      </c>
      <c r="P868" s="19" t="s">
        <v>138</v>
      </c>
      <c r="Q868" s="20">
        <v>17</v>
      </c>
      <c r="R868" s="65" t="s">
        <v>1141</v>
      </c>
      <c r="T868" s="19" t="s">
        <v>307</v>
      </c>
      <c r="V868" s="19" t="s">
        <v>178</v>
      </c>
      <c r="Y868" s="19" t="s">
        <v>138</v>
      </c>
      <c r="Z868" s="44" t="s">
        <v>1142</v>
      </c>
      <c r="AA868" s="44" t="s">
        <v>180</v>
      </c>
    </row>
    <row r="869" spans="1:27" hidden="1" x14ac:dyDescent="0.25">
      <c r="A869" s="26">
        <v>263</v>
      </c>
      <c r="B869" s="19" t="s">
        <v>1399</v>
      </c>
      <c r="C869" s="44" t="s">
        <v>172</v>
      </c>
      <c r="D869" s="19" t="s">
        <v>1050</v>
      </c>
      <c r="E869" s="19">
        <v>20</v>
      </c>
      <c r="F869" s="19">
        <v>300</v>
      </c>
      <c r="G869" s="19">
        <v>1383</v>
      </c>
      <c r="H869" s="19">
        <v>1</v>
      </c>
      <c r="I869" s="80">
        <v>65.14</v>
      </c>
      <c r="J869" s="80">
        <v>65.14</v>
      </c>
      <c r="K869" s="19" t="s">
        <v>195</v>
      </c>
      <c r="L869" s="19" t="s">
        <v>1397</v>
      </c>
      <c r="P869" s="19" t="s">
        <v>138</v>
      </c>
      <c r="Q869" s="20">
        <v>17</v>
      </c>
      <c r="R869" s="65" t="s">
        <v>1141</v>
      </c>
      <c r="T869" s="19" t="s">
        <v>307</v>
      </c>
      <c r="V869" s="19" t="s">
        <v>178</v>
      </c>
      <c r="Y869" s="19" t="s">
        <v>138</v>
      </c>
      <c r="Z869" s="44" t="s">
        <v>1142</v>
      </c>
      <c r="AA869" s="44" t="s">
        <v>180</v>
      </c>
    </row>
    <row r="870" spans="1:27" hidden="1" x14ac:dyDescent="0.25">
      <c r="A870" s="26">
        <v>264</v>
      </c>
      <c r="B870" s="19" t="s">
        <v>1400</v>
      </c>
      <c r="C870" s="44" t="s">
        <v>172</v>
      </c>
      <c r="D870" s="19" t="s">
        <v>1050</v>
      </c>
      <c r="E870" s="19">
        <v>20</v>
      </c>
      <c r="F870" s="19">
        <v>300</v>
      </c>
      <c r="G870" s="19">
        <v>1383</v>
      </c>
      <c r="H870" s="19">
        <v>1</v>
      </c>
      <c r="I870" s="80">
        <v>65.14</v>
      </c>
      <c r="J870" s="80">
        <v>65.14</v>
      </c>
      <c r="K870" s="19" t="s">
        <v>195</v>
      </c>
      <c r="L870" s="19" t="s">
        <v>1397</v>
      </c>
      <c r="P870" s="19" t="s">
        <v>138</v>
      </c>
      <c r="Q870" s="20">
        <v>17</v>
      </c>
      <c r="R870" s="65" t="s">
        <v>1141</v>
      </c>
      <c r="T870" s="19" t="s">
        <v>307</v>
      </c>
      <c r="V870" s="19" t="s">
        <v>178</v>
      </c>
      <c r="Y870" s="19" t="s">
        <v>138</v>
      </c>
      <c r="Z870" s="44" t="s">
        <v>1142</v>
      </c>
      <c r="AA870" s="44" t="s">
        <v>180</v>
      </c>
    </row>
    <row r="871" spans="1:27" hidden="1" x14ac:dyDescent="0.25">
      <c r="A871" s="26">
        <v>265</v>
      </c>
      <c r="B871" s="19" t="s">
        <v>1401</v>
      </c>
      <c r="C871" s="44" t="s">
        <v>172</v>
      </c>
      <c r="D871" s="19" t="s">
        <v>1050</v>
      </c>
      <c r="E871" s="19">
        <v>20</v>
      </c>
      <c r="F871" s="19">
        <v>300</v>
      </c>
      <c r="G871" s="19">
        <v>1383</v>
      </c>
      <c r="H871" s="19">
        <v>1</v>
      </c>
      <c r="I871" s="80">
        <v>65.14</v>
      </c>
      <c r="J871" s="80">
        <v>65.14</v>
      </c>
      <c r="K871" s="19" t="s">
        <v>195</v>
      </c>
      <c r="L871" s="19" t="s">
        <v>1397</v>
      </c>
      <c r="P871" s="19" t="s">
        <v>138</v>
      </c>
      <c r="Q871" s="20">
        <v>17</v>
      </c>
      <c r="R871" s="65" t="s">
        <v>1141</v>
      </c>
      <c r="T871" s="19" t="s">
        <v>307</v>
      </c>
      <c r="V871" s="19" t="s">
        <v>178</v>
      </c>
      <c r="Y871" s="19" t="s">
        <v>138</v>
      </c>
      <c r="Z871" s="44" t="s">
        <v>1142</v>
      </c>
      <c r="AA871" s="44" t="s">
        <v>180</v>
      </c>
    </row>
    <row r="872" spans="1:27" hidden="1" x14ac:dyDescent="0.25">
      <c r="A872" s="26">
        <v>266</v>
      </c>
      <c r="B872" s="19" t="s">
        <v>1402</v>
      </c>
      <c r="C872" s="44" t="s">
        <v>172</v>
      </c>
      <c r="D872" s="19" t="s">
        <v>1050</v>
      </c>
      <c r="E872" s="19">
        <v>20</v>
      </c>
      <c r="F872" s="19">
        <v>300</v>
      </c>
      <c r="G872" s="19">
        <v>1383</v>
      </c>
      <c r="H872" s="19">
        <v>1</v>
      </c>
      <c r="I872" s="80">
        <v>65.14</v>
      </c>
      <c r="J872" s="80">
        <v>65.14</v>
      </c>
      <c r="K872" s="19" t="s">
        <v>195</v>
      </c>
      <c r="L872" s="19" t="s">
        <v>1397</v>
      </c>
      <c r="P872" s="19" t="s">
        <v>138</v>
      </c>
      <c r="Q872" s="20">
        <v>17</v>
      </c>
      <c r="R872" s="65" t="s">
        <v>1141</v>
      </c>
      <c r="T872" s="19" t="s">
        <v>307</v>
      </c>
      <c r="V872" s="19" t="s">
        <v>178</v>
      </c>
      <c r="Y872" s="19" t="s">
        <v>138</v>
      </c>
      <c r="Z872" s="44" t="s">
        <v>1142</v>
      </c>
      <c r="AA872" s="44" t="s">
        <v>180</v>
      </c>
    </row>
    <row r="873" spans="1:27" hidden="1" x14ac:dyDescent="0.25">
      <c r="A873" s="26">
        <v>267</v>
      </c>
      <c r="B873" s="19" t="s">
        <v>1403</v>
      </c>
      <c r="C873" s="44" t="s">
        <v>172</v>
      </c>
      <c r="D873" s="19" t="s">
        <v>1050</v>
      </c>
      <c r="E873" s="19">
        <v>20</v>
      </c>
      <c r="F873" s="19">
        <v>300</v>
      </c>
      <c r="G873" s="19">
        <v>1383</v>
      </c>
      <c r="H873" s="19">
        <v>1</v>
      </c>
      <c r="I873" s="80">
        <v>65.14</v>
      </c>
      <c r="J873" s="80">
        <v>65.14</v>
      </c>
      <c r="K873" s="19" t="s">
        <v>195</v>
      </c>
      <c r="L873" s="19" t="s">
        <v>1397</v>
      </c>
      <c r="P873" s="19" t="s">
        <v>138</v>
      </c>
      <c r="Q873" s="20">
        <v>17</v>
      </c>
      <c r="R873" s="65" t="s">
        <v>1141</v>
      </c>
      <c r="T873" s="19" t="s">
        <v>307</v>
      </c>
      <c r="V873" s="19" t="s">
        <v>178</v>
      </c>
      <c r="Y873" s="19" t="s">
        <v>138</v>
      </c>
      <c r="Z873" s="44" t="s">
        <v>1142</v>
      </c>
      <c r="AA873" s="44" t="s">
        <v>180</v>
      </c>
    </row>
    <row r="874" spans="1:27" hidden="1" x14ac:dyDescent="0.25">
      <c r="A874" s="26">
        <v>268</v>
      </c>
      <c r="B874" s="19" t="s">
        <v>1404</v>
      </c>
      <c r="C874" s="44" t="s">
        <v>172</v>
      </c>
      <c r="D874" s="19" t="s">
        <v>1106</v>
      </c>
      <c r="E874" s="19">
        <v>20</v>
      </c>
      <c r="F874" s="19">
        <v>300</v>
      </c>
      <c r="G874" s="19">
        <v>9068</v>
      </c>
      <c r="H874" s="19">
        <v>1</v>
      </c>
      <c r="I874" s="80">
        <v>427.1</v>
      </c>
      <c r="J874" s="80">
        <v>427.1</v>
      </c>
      <c r="K874" s="19" t="s">
        <v>195</v>
      </c>
      <c r="L874" s="19" t="s">
        <v>1397</v>
      </c>
      <c r="Q874" s="20">
        <v>17</v>
      </c>
      <c r="R874" s="65" t="s">
        <v>1141</v>
      </c>
      <c r="T874" s="19" t="s">
        <v>307</v>
      </c>
      <c r="V874" s="19" t="s">
        <v>178</v>
      </c>
      <c r="Y874" s="19" t="s">
        <v>138</v>
      </c>
      <c r="Z874" s="44" t="s">
        <v>1142</v>
      </c>
      <c r="AA874" s="44" t="s">
        <v>180</v>
      </c>
    </row>
    <row r="875" spans="1:27" hidden="1" x14ac:dyDescent="0.25">
      <c r="A875" s="26">
        <v>269</v>
      </c>
      <c r="B875" s="19" t="s">
        <v>1372</v>
      </c>
      <c r="C875" s="44" t="s">
        <v>172</v>
      </c>
      <c r="D875" s="19" t="s">
        <v>1370</v>
      </c>
      <c r="E875" s="19">
        <v>20</v>
      </c>
      <c r="F875" s="19">
        <v>300</v>
      </c>
      <c r="G875" s="19">
        <v>480</v>
      </c>
      <c r="H875" s="19">
        <v>1</v>
      </c>
      <c r="I875" s="80">
        <v>22.61</v>
      </c>
      <c r="J875" s="80">
        <v>22.61</v>
      </c>
      <c r="K875" s="19" t="s">
        <v>195</v>
      </c>
      <c r="L875" s="19" t="s">
        <v>1397</v>
      </c>
      <c r="Q875" s="20">
        <v>17</v>
      </c>
      <c r="R875" s="65" t="s">
        <v>1141</v>
      </c>
      <c r="T875" s="19" t="s">
        <v>307</v>
      </c>
      <c r="V875" s="19" t="s">
        <v>178</v>
      </c>
      <c r="W875" s="19" t="s">
        <v>138</v>
      </c>
      <c r="Z875" s="44" t="s">
        <v>1142</v>
      </c>
      <c r="AA875" s="44" t="s">
        <v>180</v>
      </c>
    </row>
    <row r="876" spans="1:27" hidden="1" x14ac:dyDescent="0.25">
      <c r="A876" s="26">
        <v>270</v>
      </c>
      <c r="B876" s="19" t="s">
        <v>1405</v>
      </c>
      <c r="C876" s="44" t="s">
        <v>172</v>
      </c>
      <c r="D876" s="19" t="s">
        <v>1044</v>
      </c>
      <c r="E876" s="19">
        <v>20</v>
      </c>
      <c r="F876" s="19">
        <v>300</v>
      </c>
      <c r="G876" s="19">
        <v>8016</v>
      </c>
      <c r="H876" s="19">
        <v>1</v>
      </c>
      <c r="I876" s="80">
        <v>377.55</v>
      </c>
      <c r="J876" s="80">
        <v>377.55</v>
      </c>
      <c r="K876" s="19" t="s">
        <v>195</v>
      </c>
      <c r="L876" s="19" t="s">
        <v>1397</v>
      </c>
      <c r="P876" s="19" t="s">
        <v>138</v>
      </c>
      <c r="Q876" s="20">
        <v>17</v>
      </c>
      <c r="R876" s="65" t="s">
        <v>1141</v>
      </c>
      <c r="T876" s="19" t="s">
        <v>307</v>
      </c>
      <c r="V876" s="19" t="s">
        <v>178</v>
      </c>
      <c r="Y876" s="19" t="s">
        <v>138</v>
      </c>
      <c r="Z876" s="44" t="s">
        <v>1142</v>
      </c>
      <c r="AA876" s="44" t="s">
        <v>180</v>
      </c>
    </row>
    <row r="877" spans="1:27" hidden="1" x14ac:dyDescent="0.25">
      <c r="A877" s="26">
        <v>271</v>
      </c>
      <c r="B877" s="19" t="s">
        <v>1406</v>
      </c>
      <c r="C877" s="44" t="s">
        <v>172</v>
      </c>
      <c r="D877" s="19" t="s">
        <v>1028</v>
      </c>
      <c r="E877" s="19">
        <v>20</v>
      </c>
      <c r="F877" s="19">
        <v>300</v>
      </c>
      <c r="G877" s="19">
        <v>9516</v>
      </c>
      <c r="H877" s="19">
        <v>1</v>
      </c>
      <c r="I877" s="80">
        <v>448.2</v>
      </c>
      <c r="J877" s="80">
        <v>448.2</v>
      </c>
      <c r="K877" s="19" t="s">
        <v>195</v>
      </c>
      <c r="L877" s="19" t="s">
        <v>1397</v>
      </c>
      <c r="P877" s="19" t="s">
        <v>138</v>
      </c>
      <c r="Q877" s="20">
        <v>17</v>
      </c>
      <c r="R877" s="65" t="s">
        <v>1141</v>
      </c>
      <c r="T877" s="19" t="s">
        <v>307</v>
      </c>
      <c r="V877" s="19" t="s">
        <v>178</v>
      </c>
      <c r="Y877" s="19" t="s">
        <v>138</v>
      </c>
      <c r="Z877" s="44" t="s">
        <v>1142</v>
      </c>
      <c r="AA877" s="44" t="s">
        <v>180</v>
      </c>
    </row>
    <row r="878" spans="1:27" hidden="1" x14ac:dyDescent="0.25">
      <c r="A878" s="26">
        <v>272</v>
      </c>
      <c r="B878" s="19" t="s">
        <v>1407</v>
      </c>
      <c r="C878" s="44" t="s">
        <v>172</v>
      </c>
      <c r="D878" s="19" t="s">
        <v>1050</v>
      </c>
      <c r="E878" s="19">
        <v>20</v>
      </c>
      <c r="F878" s="19">
        <v>300</v>
      </c>
      <c r="G878" s="19">
        <v>1383</v>
      </c>
      <c r="H878" s="19">
        <v>1</v>
      </c>
      <c r="I878" s="80">
        <v>65.14</v>
      </c>
      <c r="J878" s="80">
        <v>65.14</v>
      </c>
      <c r="K878" s="19" t="s">
        <v>195</v>
      </c>
      <c r="L878" s="19" t="s">
        <v>1397</v>
      </c>
      <c r="P878" s="19" t="s">
        <v>138</v>
      </c>
      <c r="Q878" s="20">
        <v>17</v>
      </c>
      <c r="R878" s="65" t="s">
        <v>1141</v>
      </c>
      <c r="T878" s="19" t="s">
        <v>307</v>
      </c>
      <c r="V878" s="19" t="s">
        <v>178</v>
      </c>
      <c r="Y878" s="19" t="s">
        <v>138</v>
      </c>
      <c r="Z878" s="44" t="s">
        <v>1142</v>
      </c>
      <c r="AA878" s="44" t="s">
        <v>180</v>
      </c>
    </row>
    <row r="879" spans="1:27" hidden="1" x14ac:dyDescent="0.25">
      <c r="A879" s="26">
        <v>273</v>
      </c>
      <c r="B879" s="19" t="s">
        <v>1408</v>
      </c>
      <c r="C879" s="44" t="s">
        <v>172</v>
      </c>
      <c r="D879" s="19" t="s">
        <v>1050</v>
      </c>
      <c r="E879" s="19">
        <v>20</v>
      </c>
      <c r="F879" s="19">
        <v>300</v>
      </c>
      <c r="G879" s="19">
        <v>1383</v>
      </c>
      <c r="H879" s="19">
        <v>1</v>
      </c>
      <c r="I879" s="80">
        <v>65.14</v>
      </c>
      <c r="J879" s="80">
        <v>65.14</v>
      </c>
      <c r="K879" s="19" t="s">
        <v>195</v>
      </c>
      <c r="L879" s="19" t="s">
        <v>1397</v>
      </c>
      <c r="P879" s="19" t="s">
        <v>138</v>
      </c>
      <c r="Q879" s="20">
        <v>17</v>
      </c>
      <c r="R879" s="65" t="s">
        <v>1141</v>
      </c>
      <c r="T879" s="19" t="s">
        <v>307</v>
      </c>
      <c r="V879" s="19" t="s">
        <v>178</v>
      </c>
      <c r="Y879" s="19" t="s">
        <v>138</v>
      </c>
      <c r="Z879" s="44" t="s">
        <v>1142</v>
      </c>
      <c r="AA879" s="44" t="s">
        <v>180</v>
      </c>
    </row>
    <row r="880" spans="1:27" hidden="1" x14ac:dyDescent="0.25">
      <c r="A880" s="26">
        <v>274</v>
      </c>
      <c r="B880" s="19" t="s">
        <v>1409</v>
      </c>
      <c r="C880" s="44" t="s">
        <v>172</v>
      </c>
      <c r="D880" s="19" t="s">
        <v>1050</v>
      </c>
      <c r="E880" s="19">
        <v>20</v>
      </c>
      <c r="F880" s="19">
        <v>300</v>
      </c>
      <c r="G880" s="19">
        <v>1383</v>
      </c>
      <c r="H880" s="19">
        <v>1</v>
      </c>
      <c r="I880" s="80">
        <v>65.14</v>
      </c>
      <c r="J880" s="80">
        <v>65.14</v>
      </c>
      <c r="K880" s="19" t="s">
        <v>195</v>
      </c>
      <c r="L880" s="19" t="s">
        <v>1397</v>
      </c>
      <c r="P880" s="19" t="s">
        <v>138</v>
      </c>
      <c r="Q880" s="20">
        <v>17</v>
      </c>
      <c r="R880" s="65" t="s">
        <v>1141</v>
      </c>
      <c r="T880" s="19" t="s">
        <v>307</v>
      </c>
      <c r="V880" s="19" t="s">
        <v>178</v>
      </c>
      <c r="Y880" s="19" t="s">
        <v>138</v>
      </c>
      <c r="Z880" s="44" t="s">
        <v>1142</v>
      </c>
      <c r="AA880" s="44" t="s">
        <v>180</v>
      </c>
    </row>
    <row r="881" spans="1:27" hidden="1" x14ac:dyDescent="0.25">
      <c r="A881" s="26">
        <v>275</v>
      </c>
      <c r="B881" s="19" t="s">
        <v>1410</v>
      </c>
      <c r="C881" s="44" t="s">
        <v>172</v>
      </c>
      <c r="D881" s="19" t="s">
        <v>1050</v>
      </c>
      <c r="E881" s="19">
        <v>20</v>
      </c>
      <c r="F881" s="19">
        <v>300</v>
      </c>
      <c r="G881" s="19">
        <v>1383</v>
      </c>
      <c r="H881" s="19">
        <v>1</v>
      </c>
      <c r="I881" s="80">
        <v>65.14</v>
      </c>
      <c r="J881" s="80">
        <v>65.14</v>
      </c>
      <c r="K881" s="19" t="s">
        <v>195</v>
      </c>
      <c r="L881" s="19" t="s">
        <v>1397</v>
      </c>
      <c r="P881" s="19" t="s">
        <v>138</v>
      </c>
      <c r="Q881" s="20">
        <v>17</v>
      </c>
      <c r="R881" s="65" t="s">
        <v>1141</v>
      </c>
      <c r="T881" s="19" t="s">
        <v>307</v>
      </c>
      <c r="V881" s="19" t="s">
        <v>178</v>
      </c>
      <c r="Y881" s="19" t="s">
        <v>138</v>
      </c>
      <c r="Z881" s="44" t="s">
        <v>1142</v>
      </c>
      <c r="AA881" s="44" t="s">
        <v>180</v>
      </c>
    </row>
    <row r="882" spans="1:27" hidden="1" x14ac:dyDescent="0.25">
      <c r="A882" s="26">
        <v>276</v>
      </c>
      <c r="B882" s="19" t="s">
        <v>1411</v>
      </c>
      <c r="C882" s="44" t="s">
        <v>172</v>
      </c>
      <c r="D882" s="19" t="s">
        <v>1050</v>
      </c>
      <c r="E882" s="19">
        <v>20</v>
      </c>
      <c r="F882" s="19">
        <v>300</v>
      </c>
      <c r="G882" s="19">
        <v>1383</v>
      </c>
      <c r="H882" s="19">
        <v>1</v>
      </c>
      <c r="I882" s="80">
        <v>65.14</v>
      </c>
      <c r="J882" s="80">
        <v>65.14</v>
      </c>
      <c r="K882" s="19" t="s">
        <v>195</v>
      </c>
      <c r="L882" s="19" t="s">
        <v>1397</v>
      </c>
      <c r="P882" s="19" t="s">
        <v>138</v>
      </c>
      <c r="Q882" s="20">
        <v>17</v>
      </c>
      <c r="R882" s="65" t="s">
        <v>1141</v>
      </c>
      <c r="T882" s="19" t="s">
        <v>307</v>
      </c>
      <c r="V882" s="19" t="s">
        <v>178</v>
      </c>
      <c r="Y882" s="19" t="s">
        <v>138</v>
      </c>
      <c r="Z882" s="44" t="s">
        <v>1142</v>
      </c>
      <c r="AA882" s="44" t="s">
        <v>180</v>
      </c>
    </row>
    <row r="883" spans="1:27" hidden="1" x14ac:dyDescent="0.25">
      <c r="A883" s="26">
        <v>277</v>
      </c>
      <c r="B883" s="19" t="s">
        <v>1412</v>
      </c>
      <c r="C883" s="44" t="s">
        <v>172</v>
      </c>
      <c r="D883" s="19" t="s">
        <v>1025</v>
      </c>
      <c r="E883" s="19">
        <v>20</v>
      </c>
      <c r="F883" s="19">
        <v>300</v>
      </c>
      <c r="G883" s="19">
        <v>1514</v>
      </c>
      <c r="H883" s="19">
        <v>1</v>
      </c>
      <c r="I883" s="80">
        <v>71.31</v>
      </c>
      <c r="J883" s="80">
        <v>71.31</v>
      </c>
      <c r="K883" s="19" t="s">
        <v>195</v>
      </c>
      <c r="L883" s="19" t="s">
        <v>1397</v>
      </c>
      <c r="Q883" s="20">
        <v>17</v>
      </c>
      <c r="R883" s="65" t="s">
        <v>1141</v>
      </c>
      <c r="T883" s="19" t="s">
        <v>307</v>
      </c>
      <c r="V883" s="19" t="s">
        <v>178</v>
      </c>
      <c r="Y883" s="19" t="s">
        <v>138</v>
      </c>
      <c r="Z883" s="44" t="s">
        <v>1142</v>
      </c>
      <c r="AA883" s="44" t="s">
        <v>180</v>
      </c>
    </row>
    <row r="884" spans="1:27" hidden="1" x14ac:dyDescent="0.25">
      <c r="A884" s="26">
        <v>278</v>
      </c>
      <c r="B884" s="19" t="s">
        <v>1413</v>
      </c>
      <c r="C884" s="44" t="s">
        <v>172</v>
      </c>
      <c r="D884" s="19" t="s">
        <v>1050</v>
      </c>
      <c r="E884" s="19">
        <v>20</v>
      </c>
      <c r="F884" s="19">
        <v>300</v>
      </c>
      <c r="G884" s="19">
        <v>1383</v>
      </c>
      <c r="H884" s="19">
        <v>1</v>
      </c>
      <c r="I884" s="80">
        <v>65.14</v>
      </c>
      <c r="J884" s="80">
        <v>65.14</v>
      </c>
      <c r="K884" s="19" t="s">
        <v>195</v>
      </c>
      <c r="L884" s="19" t="s">
        <v>1397</v>
      </c>
      <c r="P884" s="19" t="s">
        <v>138</v>
      </c>
      <c r="Q884" s="20">
        <v>17</v>
      </c>
      <c r="R884" s="65" t="s">
        <v>1141</v>
      </c>
      <c r="T884" s="19" t="s">
        <v>307</v>
      </c>
      <c r="V884" s="19" t="s">
        <v>178</v>
      </c>
      <c r="Y884" s="19" t="s">
        <v>138</v>
      </c>
      <c r="Z884" s="44" t="s">
        <v>1142</v>
      </c>
      <c r="AA884" s="44" t="s">
        <v>180</v>
      </c>
    </row>
    <row r="885" spans="1:27" hidden="1" x14ac:dyDescent="0.25">
      <c r="A885" s="26">
        <v>279</v>
      </c>
      <c r="B885" s="19" t="s">
        <v>1414</v>
      </c>
      <c r="C885" s="44" t="s">
        <v>172</v>
      </c>
      <c r="D885" s="19" t="s">
        <v>1061</v>
      </c>
      <c r="E885" s="19">
        <v>20</v>
      </c>
      <c r="F885" s="19">
        <v>300</v>
      </c>
      <c r="G885" s="19">
        <v>7800</v>
      </c>
      <c r="H885" s="19">
        <v>2</v>
      </c>
      <c r="I885" s="80">
        <v>367.38</v>
      </c>
      <c r="J885" s="80">
        <v>734.76</v>
      </c>
      <c r="K885" s="19" t="s">
        <v>195</v>
      </c>
      <c r="L885" s="19" t="s">
        <v>1397</v>
      </c>
      <c r="Q885" s="20">
        <v>17</v>
      </c>
      <c r="R885" s="65" t="s">
        <v>1141</v>
      </c>
      <c r="T885" s="19" t="s">
        <v>307</v>
      </c>
      <c r="V885" s="19" t="s">
        <v>178</v>
      </c>
      <c r="Y885" s="19" t="s">
        <v>138</v>
      </c>
      <c r="Z885" s="44" t="s">
        <v>1142</v>
      </c>
      <c r="AA885" s="44" t="s">
        <v>180</v>
      </c>
    </row>
    <row r="886" spans="1:27" hidden="1" x14ac:dyDescent="0.25">
      <c r="A886" s="26">
        <v>280</v>
      </c>
      <c r="B886" s="19" t="s">
        <v>1415</v>
      </c>
      <c r="C886" s="44" t="s">
        <v>172</v>
      </c>
      <c r="D886" s="19" t="s">
        <v>1363</v>
      </c>
      <c r="E886" s="19">
        <v>20</v>
      </c>
      <c r="F886" s="19">
        <v>270</v>
      </c>
      <c r="G886" s="19">
        <v>300</v>
      </c>
      <c r="H886" s="19">
        <v>3</v>
      </c>
      <c r="I886" s="80">
        <v>12.72</v>
      </c>
      <c r="J886" s="80">
        <v>38.15</v>
      </c>
      <c r="K886" s="19" t="s">
        <v>195</v>
      </c>
      <c r="L886" s="19" t="s">
        <v>1397</v>
      </c>
      <c r="Q886" s="20">
        <v>17</v>
      </c>
      <c r="R886" s="65" t="s">
        <v>1141</v>
      </c>
      <c r="T886" s="19" t="s">
        <v>307</v>
      </c>
      <c r="V886" s="19" t="s">
        <v>178</v>
      </c>
      <c r="W886" s="19" t="s">
        <v>138</v>
      </c>
      <c r="Z886" s="44" t="s">
        <v>1142</v>
      </c>
      <c r="AA886" s="44" t="s">
        <v>180</v>
      </c>
    </row>
    <row r="887" spans="1:27" hidden="1" x14ac:dyDescent="0.25">
      <c r="A887" s="26">
        <v>281</v>
      </c>
      <c r="B887" s="19" t="s">
        <v>1416</v>
      </c>
      <c r="C887" s="44" t="s">
        <v>172</v>
      </c>
      <c r="D887" s="19" t="s">
        <v>1370</v>
      </c>
      <c r="E887" s="19">
        <v>20</v>
      </c>
      <c r="F887" s="19">
        <v>300</v>
      </c>
      <c r="G887" s="19">
        <v>480</v>
      </c>
      <c r="H887" s="19">
        <v>1</v>
      </c>
      <c r="I887" s="80">
        <v>22.61</v>
      </c>
      <c r="J887" s="80">
        <v>22.61</v>
      </c>
      <c r="K887" s="19" t="s">
        <v>195</v>
      </c>
      <c r="L887" s="19" t="s">
        <v>1397</v>
      </c>
      <c r="Q887" s="20">
        <v>17</v>
      </c>
      <c r="R887" s="65" t="s">
        <v>1141</v>
      </c>
      <c r="T887" s="19" t="s">
        <v>307</v>
      </c>
      <c r="V887" s="19" t="s">
        <v>178</v>
      </c>
      <c r="W887" s="19" t="s">
        <v>138</v>
      </c>
      <c r="Z887" s="44" t="s">
        <v>1142</v>
      </c>
      <c r="AA887" s="44" t="s">
        <v>180</v>
      </c>
    </row>
    <row r="888" spans="1:27" hidden="1" x14ac:dyDescent="0.25">
      <c r="A888" s="26">
        <v>282</v>
      </c>
      <c r="B888" s="19" t="s">
        <v>1417</v>
      </c>
      <c r="C888" s="44" t="s">
        <v>172</v>
      </c>
      <c r="D888" s="19" t="s">
        <v>1061</v>
      </c>
      <c r="E888" s="19">
        <v>20</v>
      </c>
      <c r="F888" s="19">
        <v>300</v>
      </c>
      <c r="G888" s="19">
        <v>7800</v>
      </c>
      <c r="H888" s="19">
        <v>2</v>
      </c>
      <c r="I888" s="80">
        <v>367.38</v>
      </c>
      <c r="J888" s="80">
        <v>734.76</v>
      </c>
      <c r="K888" s="19" t="s">
        <v>195</v>
      </c>
      <c r="L888" s="19" t="s">
        <v>1397</v>
      </c>
      <c r="Q888" s="20">
        <v>17</v>
      </c>
      <c r="R888" s="65" t="s">
        <v>1141</v>
      </c>
      <c r="T888" s="19" t="s">
        <v>307</v>
      </c>
      <c r="V888" s="19" t="s">
        <v>178</v>
      </c>
      <c r="Y888" s="19" t="s">
        <v>138</v>
      </c>
      <c r="Z888" s="44" t="s">
        <v>1142</v>
      </c>
      <c r="AA888" s="44" t="s">
        <v>180</v>
      </c>
    </row>
    <row r="889" spans="1:27" hidden="1" x14ac:dyDescent="0.25">
      <c r="A889" s="26">
        <v>283</v>
      </c>
      <c r="B889" s="19" t="s">
        <v>1418</v>
      </c>
      <c r="C889" s="44" t="s">
        <v>172</v>
      </c>
      <c r="D889" s="19" t="s">
        <v>1041</v>
      </c>
      <c r="E889" s="19">
        <v>20</v>
      </c>
      <c r="F889" s="19">
        <v>300</v>
      </c>
      <c r="G889" s="19">
        <v>6101</v>
      </c>
      <c r="H889" s="19">
        <v>1</v>
      </c>
      <c r="I889" s="80">
        <v>287.36</v>
      </c>
      <c r="J889" s="80">
        <v>287.36</v>
      </c>
      <c r="K889" s="19" t="s">
        <v>195</v>
      </c>
      <c r="L889" s="19" t="s">
        <v>1419</v>
      </c>
      <c r="P889" s="19" t="s">
        <v>138</v>
      </c>
      <c r="Q889" s="20">
        <v>17</v>
      </c>
      <c r="R889" s="65" t="s">
        <v>1141</v>
      </c>
      <c r="T889" s="19" t="s">
        <v>307</v>
      </c>
      <c r="V889" s="19" t="s">
        <v>178</v>
      </c>
      <c r="Y889" s="19" t="s">
        <v>138</v>
      </c>
      <c r="Z889" s="44" t="s">
        <v>1142</v>
      </c>
      <c r="AA889" s="44" t="s">
        <v>180</v>
      </c>
    </row>
    <row r="890" spans="1:27" hidden="1" x14ac:dyDescent="0.25">
      <c r="A890" s="26">
        <v>284</v>
      </c>
      <c r="B890" s="19" t="s">
        <v>1420</v>
      </c>
      <c r="C890" s="44" t="s">
        <v>172</v>
      </c>
      <c r="D890" s="19" t="s">
        <v>1363</v>
      </c>
      <c r="E890" s="19">
        <v>20</v>
      </c>
      <c r="F890" s="19">
        <v>270</v>
      </c>
      <c r="G890" s="19">
        <v>300</v>
      </c>
      <c r="H890" s="19">
        <v>2</v>
      </c>
      <c r="I890" s="80">
        <v>12.72</v>
      </c>
      <c r="J890" s="80">
        <v>25.43</v>
      </c>
      <c r="K890" s="19" t="s">
        <v>1067</v>
      </c>
      <c r="L890" s="19" t="s">
        <v>1421</v>
      </c>
      <c r="Q890" s="20">
        <v>17</v>
      </c>
      <c r="R890" s="65" t="s">
        <v>1141</v>
      </c>
      <c r="T890" s="19" t="s">
        <v>307</v>
      </c>
      <c r="V890" s="19" t="s">
        <v>178</v>
      </c>
      <c r="W890" s="19" t="s">
        <v>138</v>
      </c>
      <c r="Z890" s="44" t="s">
        <v>1142</v>
      </c>
      <c r="AA890" s="44" t="s">
        <v>180</v>
      </c>
    </row>
    <row r="891" spans="1:27" hidden="1" x14ac:dyDescent="0.25">
      <c r="A891" s="26">
        <v>285</v>
      </c>
      <c r="B891" s="19" t="s">
        <v>1422</v>
      </c>
      <c r="C891" s="44" t="s">
        <v>172</v>
      </c>
      <c r="D891" s="19" t="s">
        <v>1066</v>
      </c>
      <c r="E891" s="19">
        <v>20</v>
      </c>
      <c r="F891" s="19">
        <v>300</v>
      </c>
      <c r="G891" s="19">
        <v>6464</v>
      </c>
      <c r="H891" s="19">
        <v>1</v>
      </c>
      <c r="I891" s="80">
        <v>304.45</v>
      </c>
      <c r="J891" s="80">
        <v>304.45</v>
      </c>
      <c r="K891" s="19" t="s">
        <v>1067</v>
      </c>
      <c r="L891" s="19" t="s">
        <v>1421</v>
      </c>
      <c r="Q891" s="20">
        <v>17</v>
      </c>
      <c r="R891" s="65" t="s">
        <v>1141</v>
      </c>
      <c r="T891" s="19" t="s">
        <v>307</v>
      </c>
      <c r="V891" s="19" t="s">
        <v>178</v>
      </c>
      <c r="Y891" s="19" t="s">
        <v>138</v>
      </c>
      <c r="Z891" s="44" t="s">
        <v>1142</v>
      </c>
      <c r="AA891" s="44" t="s">
        <v>180</v>
      </c>
    </row>
    <row r="892" spans="1:27" hidden="1" x14ac:dyDescent="0.25">
      <c r="A892" s="26">
        <v>286</v>
      </c>
      <c r="B892" s="19" t="s">
        <v>1423</v>
      </c>
      <c r="C892" s="44" t="s">
        <v>172</v>
      </c>
      <c r="D892" s="19" t="s">
        <v>1066</v>
      </c>
      <c r="E892" s="19">
        <v>20</v>
      </c>
      <c r="F892" s="19">
        <v>300</v>
      </c>
      <c r="G892" s="19">
        <v>6464</v>
      </c>
      <c r="H892" s="19">
        <v>1</v>
      </c>
      <c r="I892" s="80">
        <v>304.45</v>
      </c>
      <c r="J892" s="80">
        <v>304.45</v>
      </c>
      <c r="K892" s="19" t="s">
        <v>1067</v>
      </c>
      <c r="L892" s="19" t="s">
        <v>1421</v>
      </c>
      <c r="Q892" s="20">
        <v>17</v>
      </c>
      <c r="R892" s="65" t="s">
        <v>1141</v>
      </c>
      <c r="T892" s="19" t="s">
        <v>307</v>
      </c>
      <c r="V892" s="19" t="s">
        <v>178</v>
      </c>
      <c r="Y892" s="19" t="s">
        <v>138</v>
      </c>
      <c r="Z892" s="44" t="s">
        <v>1142</v>
      </c>
      <c r="AA892" s="44" t="s">
        <v>180</v>
      </c>
    </row>
    <row r="893" spans="1:27" hidden="1" x14ac:dyDescent="0.25">
      <c r="A893" s="26">
        <v>287</v>
      </c>
      <c r="B893" s="19" t="s">
        <v>1424</v>
      </c>
      <c r="C893" s="44" t="s">
        <v>172</v>
      </c>
      <c r="D893" s="19" t="s">
        <v>1066</v>
      </c>
      <c r="E893" s="19">
        <v>20</v>
      </c>
      <c r="F893" s="19">
        <v>300</v>
      </c>
      <c r="G893" s="19">
        <v>6464</v>
      </c>
      <c r="H893" s="19">
        <v>1</v>
      </c>
      <c r="I893" s="80">
        <v>304.45</v>
      </c>
      <c r="J893" s="80">
        <v>304.45</v>
      </c>
      <c r="K893" s="19" t="s">
        <v>1067</v>
      </c>
      <c r="L893" s="19" t="s">
        <v>1421</v>
      </c>
      <c r="Q893" s="20">
        <v>17</v>
      </c>
      <c r="R893" s="65" t="s">
        <v>1141</v>
      </c>
      <c r="T893" s="19" t="s">
        <v>307</v>
      </c>
      <c r="V893" s="19" t="s">
        <v>178</v>
      </c>
      <c r="Y893" s="19" t="s">
        <v>138</v>
      </c>
      <c r="Z893" s="44" t="s">
        <v>1142</v>
      </c>
      <c r="AA893" s="44" t="s">
        <v>180</v>
      </c>
    </row>
    <row r="894" spans="1:27" hidden="1" x14ac:dyDescent="0.25">
      <c r="A894" s="26">
        <v>288</v>
      </c>
      <c r="B894" s="19" t="s">
        <v>1425</v>
      </c>
      <c r="C894" s="44" t="s">
        <v>172</v>
      </c>
      <c r="D894" s="19" t="s">
        <v>1066</v>
      </c>
      <c r="E894" s="19">
        <v>20</v>
      </c>
      <c r="F894" s="19">
        <v>300</v>
      </c>
      <c r="G894" s="19">
        <v>6464</v>
      </c>
      <c r="H894" s="19">
        <v>1</v>
      </c>
      <c r="I894" s="80">
        <v>304.45</v>
      </c>
      <c r="J894" s="80">
        <v>304.45</v>
      </c>
      <c r="K894" s="19" t="s">
        <v>1067</v>
      </c>
      <c r="L894" s="19" t="s">
        <v>1421</v>
      </c>
      <c r="Q894" s="20">
        <v>17</v>
      </c>
      <c r="R894" s="65" t="s">
        <v>1141</v>
      </c>
      <c r="T894" s="19" t="s">
        <v>307</v>
      </c>
      <c r="V894" s="19" t="s">
        <v>178</v>
      </c>
      <c r="Y894" s="19" t="s">
        <v>138</v>
      </c>
      <c r="Z894" s="44" t="s">
        <v>1142</v>
      </c>
      <c r="AA894" s="44" t="s">
        <v>180</v>
      </c>
    </row>
    <row r="895" spans="1:27" hidden="1" x14ac:dyDescent="0.25">
      <c r="A895" s="26">
        <v>289</v>
      </c>
      <c r="B895" s="19" t="s">
        <v>1426</v>
      </c>
      <c r="C895" s="44" t="s">
        <v>172</v>
      </c>
      <c r="D895" s="19" t="s">
        <v>1066</v>
      </c>
      <c r="E895" s="19">
        <v>20</v>
      </c>
      <c r="F895" s="19">
        <v>300</v>
      </c>
      <c r="G895" s="19">
        <v>6464</v>
      </c>
      <c r="H895" s="19">
        <v>1</v>
      </c>
      <c r="I895" s="80">
        <v>304.45</v>
      </c>
      <c r="J895" s="80">
        <v>304.45</v>
      </c>
      <c r="K895" s="19" t="s">
        <v>1067</v>
      </c>
      <c r="L895" s="19" t="s">
        <v>1421</v>
      </c>
      <c r="Q895" s="20">
        <v>17</v>
      </c>
      <c r="R895" s="65" t="s">
        <v>1141</v>
      </c>
      <c r="T895" s="19" t="s">
        <v>307</v>
      </c>
      <c r="V895" s="19" t="s">
        <v>178</v>
      </c>
      <c r="Y895" s="19" t="s">
        <v>138</v>
      </c>
      <c r="Z895" s="44" t="s">
        <v>1142</v>
      </c>
      <c r="AA895" s="44" t="s">
        <v>180</v>
      </c>
    </row>
    <row r="896" spans="1:27" hidden="1" x14ac:dyDescent="0.25">
      <c r="A896" s="26">
        <v>290</v>
      </c>
      <c r="B896" s="19" t="s">
        <v>1427</v>
      </c>
      <c r="C896" s="44" t="s">
        <v>172</v>
      </c>
      <c r="D896" s="19" t="s">
        <v>1066</v>
      </c>
      <c r="E896" s="19">
        <v>20</v>
      </c>
      <c r="F896" s="19">
        <v>300</v>
      </c>
      <c r="G896" s="19">
        <v>6464</v>
      </c>
      <c r="H896" s="19">
        <v>1</v>
      </c>
      <c r="I896" s="80">
        <v>304.45</v>
      </c>
      <c r="J896" s="80">
        <v>304.45</v>
      </c>
      <c r="K896" s="19" t="s">
        <v>1067</v>
      </c>
      <c r="L896" s="19" t="s">
        <v>1421</v>
      </c>
      <c r="Q896" s="20">
        <v>17</v>
      </c>
      <c r="R896" s="65" t="s">
        <v>1141</v>
      </c>
      <c r="T896" s="19" t="s">
        <v>307</v>
      </c>
      <c r="V896" s="19" t="s">
        <v>178</v>
      </c>
      <c r="Y896" s="19" t="s">
        <v>138</v>
      </c>
      <c r="Z896" s="44" t="s">
        <v>1142</v>
      </c>
      <c r="AA896" s="44" t="s">
        <v>180</v>
      </c>
    </row>
    <row r="897" spans="1:27" hidden="1" x14ac:dyDescent="0.25">
      <c r="A897" s="26">
        <v>291</v>
      </c>
      <c r="B897" s="19" t="s">
        <v>1415</v>
      </c>
      <c r="C897" s="44" t="s">
        <v>172</v>
      </c>
      <c r="D897" s="19" t="s">
        <v>1363</v>
      </c>
      <c r="E897" s="19">
        <v>20</v>
      </c>
      <c r="F897" s="19">
        <v>270</v>
      </c>
      <c r="G897" s="19">
        <v>300</v>
      </c>
      <c r="H897" s="19">
        <v>1</v>
      </c>
      <c r="I897" s="80">
        <v>12.72</v>
      </c>
      <c r="J897" s="80">
        <v>12.72</v>
      </c>
      <c r="K897" s="19" t="s">
        <v>1067</v>
      </c>
      <c r="L897" s="19" t="s">
        <v>1421</v>
      </c>
      <c r="Q897" s="20">
        <v>17</v>
      </c>
      <c r="R897" s="65" t="s">
        <v>1141</v>
      </c>
      <c r="T897" s="19" t="s">
        <v>307</v>
      </c>
      <c r="V897" s="19" t="s">
        <v>178</v>
      </c>
      <c r="W897" s="19" t="s">
        <v>138</v>
      </c>
      <c r="Z897" s="44" t="s">
        <v>1142</v>
      </c>
      <c r="AA897" s="44" t="s">
        <v>180</v>
      </c>
    </row>
    <row r="898" spans="1:27" hidden="1" x14ac:dyDescent="0.25">
      <c r="A898" s="26">
        <v>292</v>
      </c>
      <c r="B898" s="19" t="s">
        <v>1428</v>
      </c>
      <c r="C898" s="44" t="s">
        <v>172</v>
      </c>
      <c r="D898" s="19" t="s">
        <v>1079</v>
      </c>
      <c r="E898" s="19">
        <v>20</v>
      </c>
      <c r="F898" s="19">
        <v>1436</v>
      </c>
      <c r="G898" s="19">
        <v>6298</v>
      </c>
      <c r="H898" s="19">
        <v>1</v>
      </c>
      <c r="I898" s="80">
        <v>1414.64</v>
      </c>
      <c r="J898" s="80">
        <v>1414.64</v>
      </c>
      <c r="K898" s="19" t="s">
        <v>1067</v>
      </c>
      <c r="L898" s="19" t="s">
        <v>1421</v>
      </c>
      <c r="P898" s="19" t="s">
        <v>138</v>
      </c>
      <c r="Q898" s="20">
        <v>17</v>
      </c>
      <c r="R898" s="65" t="s">
        <v>1141</v>
      </c>
      <c r="T898" s="19" t="s">
        <v>307</v>
      </c>
      <c r="V898" s="19" t="s">
        <v>178</v>
      </c>
      <c r="Y898" s="19" t="s">
        <v>138</v>
      </c>
      <c r="Z898" s="44" t="s">
        <v>1142</v>
      </c>
      <c r="AA898" s="44" t="s">
        <v>180</v>
      </c>
    </row>
    <row r="899" spans="1:27" hidden="1" x14ac:dyDescent="0.25">
      <c r="A899" s="26">
        <v>293</v>
      </c>
      <c r="B899" s="19" t="s">
        <v>1429</v>
      </c>
      <c r="C899" s="44" t="s">
        <v>172</v>
      </c>
      <c r="D899" s="19" t="s">
        <v>1079</v>
      </c>
      <c r="E899" s="19">
        <v>20</v>
      </c>
      <c r="F899" s="19">
        <v>1436</v>
      </c>
      <c r="G899" s="19">
        <v>6298</v>
      </c>
      <c r="H899" s="19">
        <v>1</v>
      </c>
      <c r="I899" s="80">
        <v>1414.64</v>
      </c>
      <c r="J899" s="80">
        <v>1414.64</v>
      </c>
      <c r="K899" s="19" t="s">
        <v>1067</v>
      </c>
      <c r="L899" s="19" t="s">
        <v>1421</v>
      </c>
      <c r="P899" s="19" t="s">
        <v>138</v>
      </c>
      <c r="Q899" s="20">
        <v>17</v>
      </c>
      <c r="R899" s="65" t="s">
        <v>1141</v>
      </c>
      <c r="T899" s="19" t="s">
        <v>307</v>
      </c>
      <c r="V899" s="19" t="s">
        <v>178</v>
      </c>
      <c r="Y899" s="19" t="s">
        <v>138</v>
      </c>
      <c r="Z899" s="44" t="s">
        <v>1142</v>
      </c>
      <c r="AA899" s="44" t="s">
        <v>180</v>
      </c>
    </row>
    <row r="900" spans="1:27" hidden="1" x14ac:dyDescent="0.25">
      <c r="A900" s="26">
        <v>294</v>
      </c>
      <c r="B900" s="19" t="s">
        <v>1362</v>
      </c>
      <c r="C900" s="44" t="s">
        <v>172</v>
      </c>
      <c r="D900" s="19" t="s">
        <v>1363</v>
      </c>
      <c r="E900" s="19">
        <v>20</v>
      </c>
      <c r="F900" s="19">
        <v>270</v>
      </c>
      <c r="G900" s="19">
        <v>300</v>
      </c>
      <c r="H900" s="19">
        <v>2</v>
      </c>
      <c r="I900" s="80">
        <v>12.72</v>
      </c>
      <c r="J900" s="80">
        <v>25.43</v>
      </c>
      <c r="K900" s="19" t="s">
        <v>1067</v>
      </c>
      <c r="L900" s="19" t="s">
        <v>1421</v>
      </c>
      <c r="Q900" s="20">
        <v>17</v>
      </c>
      <c r="R900" s="65" t="s">
        <v>1141</v>
      </c>
      <c r="T900" s="19" t="s">
        <v>307</v>
      </c>
      <c r="V900" s="19" t="s">
        <v>178</v>
      </c>
      <c r="W900" s="19" t="s">
        <v>138</v>
      </c>
      <c r="Z900" s="44" t="s">
        <v>1142</v>
      </c>
      <c r="AA900" s="44" t="s">
        <v>180</v>
      </c>
    </row>
    <row r="901" spans="1:27" hidden="1" x14ac:dyDescent="0.25">
      <c r="A901" s="26">
        <v>295</v>
      </c>
      <c r="B901" s="19" t="s">
        <v>1430</v>
      </c>
      <c r="C901" s="44" t="s">
        <v>172</v>
      </c>
      <c r="D901" s="19" t="s">
        <v>1086</v>
      </c>
      <c r="E901" s="19">
        <v>20</v>
      </c>
      <c r="F901" s="19">
        <v>300</v>
      </c>
      <c r="G901" s="19">
        <v>6232</v>
      </c>
      <c r="H901" s="19">
        <v>1</v>
      </c>
      <c r="I901" s="80">
        <v>293.52999999999997</v>
      </c>
      <c r="J901" s="80">
        <v>293.52999999999997</v>
      </c>
      <c r="K901" s="19" t="s">
        <v>1067</v>
      </c>
      <c r="L901" s="19" t="s">
        <v>1431</v>
      </c>
      <c r="Q901" s="20">
        <v>17</v>
      </c>
      <c r="R901" s="65" t="s">
        <v>1141</v>
      </c>
      <c r="T901" s="19" t="s">
        <v>307</v>
      </c>
      <c r="V901" s="19" t="s">
        <v>178</v>
      </c>
      <c r="Y901" s="19" t="s">
        <v>138</v>
      </c>
      <c r="Z901" s="44" t="s">
        <v>1142</v>
      </c>
      <c r="AA901" s="44" t="s">
        <v>180</v>
      </c>
    </row>
    <row r="902" spans="1:27" hidden="1" x14ac:dyDescent="0.25">
      <c r="A902" s="26">
        <v>296</v>
      </c>
      <c r="B902" s="19" t="s">
        <v>1432</v>
      </c>
      <c r="C902" s="44" t="s">
        <v>172</v>
      </c>
      <c r="D902" s="19" t="s">
        <v>1086</v>
      </c>
      <c r="E902" s="19">
        <v>20</v>
      </c>
      <c r="F902" s="19">
        <v>300</v>
      </c>
      <c r="G902" s="19">
        <v>6232</v>
      </c>
      <c r="H902" s="19">
        <v>1</v>
      </c>
      <c r="I902" s="80">
        <v>293.52999999999997</v>
      </c>
      <c r="J902" s="80">
        <v>293.52999999999997</v>
      </c>
      <c r="K902" s="19" t="s">
        <v>1067</v>
      </c>
      <c r="L902" s="19" t="s">
        <v>1431</v>
      </c>
      <c r="Q902" s="20">
        <v>17</v>
      </c>
      <c r="R902" s="65" t="s">
        <v>1141</v>
      </c>
      <c r="T902" s="19" t="s">
        <v>307</v>
      </c>
      <c r="V902" s="19" t="s">
        <v>178</v>
      </c>
      <c r="Y902" s="19" t="s">
        <v>138</v>
      </c>
      <c r="Z902" s="44" t="s">
        <v>1142</v>
      </c>
      <c r="AA902" s="44" t="s">
        <v>180</v>
      </c>
    </row>
    <row r="903" spans="1:27" hidden="1" x14ac:dyDescent="0.25">
      <c r="A903" s="26">
        <v>297</v>
      </c>
      <c r="B903" s="19" t="s">
        <v>1433</v>
      </c>
      <c r="C903" s="44" t="s">
        <v>172</v>
      </c>
      <c r="D903" s="19" t="s">
        <v>1041</v>
      </c>
      <c r="E903" s="19">
        <v>20</v>
      </c>
      <c r="F903" s="19">
        <v>300</v>
      </c>
      <c r="G903" s="19">
        <v>6101</v>
      </c>
      <c r="H903" s="19">
        <v>1</v>
      </c>
      <c r="I903" s="80">
        <v>287.36</v>
      </c>
      <c r="J903" s="80">
        <v>287.36</v>
      </c>
      <c r="K903" s="19" t="s">
        <v>1067</v>
      </c>
      <c r="L903" s="19" t="s">
        <v>1431</v>
      </c>
      <c r="P903" s="19" t="s">
        <v>138</v>
      </c>
      <c r="Q903" s="20">
        <v>17</v>
      </c>
      <c r="R903" s="65" t="s">
        <v>1141</v>
      </c>
      <c r="T903" s="19" t="s">
        <v>307</v>
      </c>
      <c r="V903" s="19" t="s">
        <v>178</v>
      </c>
      <c r="Y903" s="19" t="s">
        <v>138</v>
      </c>
      <c r="Z903" s="44" t="s">
        <v>1142</v>
      </c>
      <c r="AA903" s="44" t="s">
        <v>180</v>
      </c>
    </row>
    <row r="904" spans="1:27" hidden="1" x14ac:dyDescent="0.25">
      <c r="A904" s="26">
        <v>298</v>
      </c>
      <c r="B904" s="19" t="s">
        <v>1434</v>
      </c>
      <c r="C904" s="44" t="s">
        <v>172</v>
      </c>
      <c r="D904" s="19" t="s">
        <v>1041</v>
      </c>
      <c r="E904" s="19">
        <v>20</v>
      </c>
      <c r="F904" s="19">
        <v>300</v>
      </c>
      <c r="G904" s="19">
        <v>6101</v>
      </c>
      <c r="H904" s="19">
        <v>1</v>
      </c>
      <c r="I904" s="80">
        <v>287.36</v>
      </c>
      <c r="J904" s="80">
        <v>287.36</v>
      </c>
      <c r="K904" s="19" t="s">
        <v>1067</v>
      </c>
      <c r="L904" s="19" t="s">
        <v>1431</v>
      </c>
      <c r="P904" s="19" t="s">
        <v>138</v>
      </c>
      <c r="Q904" s="20">
        <v>17</v>
      </c>
      <c r="R904" s="65" t="s">
        <v>1141</v>
      </c>
      <c r="T904" s="19" t="s">
        <v>307</v>
      </c>
      <c r="V904" s="19" t="s">
        <v>178</v>
      </c>
      <c r="Y904" s="19" t="s">
        <v>138</v>
      </c>
      <c r="Z904" s="44" t="s">
        <v>1142</v>
      </c>
      <c r="AA904" s="44" t="s">
        <v>180</v>
      </c>
    </row>
    <row r="905" spans="1:27" hidden="1" x14ac:dyDescent="0.25">
      <c r="A905" s="26">
        <v>299</v>
      </c>
      <c r="B905" s="19" t="s">
        <v>1435</v>
      </c>
      <c r="C905" s="44" t="s">
        <v>172</v>
      </c>
      <c r="D905" s="19" t="s">
        <v>1041</v>
      </c>
      <c r="E905" s="19">
        <v>20</v>
      </c>
      <c r="F905" s="19">
        <v>300</v>
      </c>
      <c r="G905" s="19">
        <v>6101</v>
      </c>
      <c r="H905" s="19">
        <v>1</v>
      </c>
      <c r="I905" s="80">
        <v>287.36</v>
      </c>
      <c r="J905" s="80">
        <v>287.36</v>
      </c>
      <c r="K905" s="19" t="s">
        <v>1067</v>
      </c>
      <c r="L905" s="19" t="s">
        <v>1431</v>
      </c>
      <c r="P905" s="19" t="s">
        <v>138</v>
      </c>
      <c r="Q905" s="20">
        <v>17</v>
      </c>
      <c r="R905" s="65" t="s">
        <v>1141</v>
      </c>
      <c r="T905" s="19" t="s">
        <v>307</v>
      </c>
      <c r="V905" s="19" t="s">
        <v>178</v>
      </c>
      <c r="Y905" s="19" t="s">
        <v>138</v>
      </c>
      <c r="Z905" s="44" t="s">
        <v>1142</v>
      </c>
      <c r="AA905" s="44" t="s">
        <v>180</v>
      </c>
    </row>
    <row r="906" spans="1:27" hidden="1" x14ac:dyDescent="0.25">
      <c r="A906" s="26">
        <v>300</v>
      </c>
      <c r="B906" s="19" t="s">
        <v>1436</v>
      </c>
      <c r="C906" s="44" t="s">
        <v>172</v>
      </c>
      <c r="D906" s="19" t="s">
        <v>1041</v>
      </c>
      <c r="E906" s="19">
        <v>20</v>
      </c>
      <c r="F906" s="19">
        <v>300</v>
      </c>
      <c r="G906" s="19">
        <v>6101</v>
      </c>
      <c r="H906" s="19">
        <v>1</v>
      </c>
      <c r="I906" s="80">
        <v>287.36</v>
      </c>
      <c r="J906" s="80">
        <v>287.36</v>
      </c>
      <c r="K906" s="19" t="s">
        <v>1067</v>
      </c>
      <c r="L906" s="19" t="s">
        <v>1431</v>
      </c>
      <c r="P906" s="19" t="s">
        <v>138</v>
      </c>
      <c r="Q906" s="20">
        <v>17</v>
      </c>
      <c r="R906" s="65" t="s">
        <v>1141</v>
      </c>
      <c r="T906" s="19" t="s">
        <v>307</v>
      </c>
      <c r="V906" s="19" t="s">
        <v>178</v>
      </c>
      <c r="Y906" s="19" t="s">
        <v>138</v>
      </c>
      <c r="Z906" s="44" t="s">
        <v>1142</v>
      </c>
      <c r="AA906" s="44" t="s">
        <v>180</v>
      </c>
    </row>
    <row r="907" spans="1:27" hidden="1" x14ac:dyDescent="0.25">
      <c r="A907" s="26">
        <v>301</v>
      </c>
      <c r="B907" s="19" t="s">
        <v>1437</v>
      </c>
      <c r="C907" s="44" t="s">
        <v>172</v>
      </c>
      <c r="D907" s="19" t="s">
        <v>1041</v>
      </c>
      <c r="E907" s="19">
        <v>20</v>
      </c>
      <c r="F907" s="19">
        <v>300</v>
      </c>
      <c r="G907" s="19">
        <v>6101</v>
      </c>
      <c r="H907" s="19">
        <v>1</v>
      </c>
      <c r="I907" s="80">
        <v>287.36</v>
      </c>
      <c r="J907" s="80">
        <v>287.36</v>
      </c>
      <c r="K907" s="19" t="s">
        <v>1067</v>
      </c>
      <c r="L907" s="19" t="s">
        <v>1431</v>
      </c>
      <c r="P907" s="19" t="s">
        <v>138</v>
      </c>
      <c r="Q907" s="20">
        <v>17</v>
      </c>
      <c r="R907" s="65" t="s">
        <v>1141</v>
      </c>
      <c r="T907" s="19" t="s">
        <v>307</v>
      </c>
      <c r="V907" s="19" t="s">
        <v>178</v>
      </c>
      <c r="Y907" s="19" t="s">
        <v>138</v>
      </c>
      <c r="Z907" s="44" t="s">
        <v>1142</v>
      </c>
      <c r="AA907" s="44" t="s">
        <v>180</v>
      </c>
    </row>
    <row r="908" spans="1:27" hidden="1" x14ac:dyDescent="0.25">
      <c r="A908" s="26">
        <v>302</v>
      </c>
      <c r="B908" s="19" t="s">
        <v>1438</v>
      </c>
      <c r="C908" s="44" t="s">
        <v>172</v>
      </c>
      <c r="D908" s="19" t="s">
        <v>1041</v>
      </c>
      <c r="E908" s="19">
        <v>20</v>
      </c>
      <c r="F908" s="19">
        <v>300</v>
      </c>
      <c r="G908" s="19">
        <v>6101</v>
      </c>
      <c r="H908" s="19">
        <v>1</v>
      </c>
      <c r="I908" s="80">
        <v>287.36</v>
      </c>
      <c r="J908" s="80">
        <v>287.36</v>
      </c>
      <c r="K908" s="19" t="s">
        <v>1067</v>
      </c>
      <c r="L908" s="19" t="s">
        <v>1431</v>
      </c>
      <c r="P908" s="19" t="s">
        <v>138</v>
      </c>
      <c r="Q908" s="20">
        <v>17</v>
      </c>
      <c r="R908" s="65" t="s">
        <v>1141</v>
      </c>
      <c r="T908" s="19" t="s">
        <v>307</v>
      </c>
      <c r="V908" s="19" t="s">
        <v>178</v>
      </c>
      <c r="Y908" s="19" t="s">
        <v>138</v>
      </c>
      <c r="Z908" s="44" t="s">
        <v>1142</v>
      </c>
      <c r="AA908" s="44" t="s">
        <v>180</v>
      </c>
    </row>
    <row r="909" spans="1:27" hidden="1" x14ac:dyDescent="0.25">
      <c r="A909" s="26">
        <v>303</v>
      </c>
      <c r="B909" s="19" t="s">
        <v>1439</v>
      </c>
      <c r="C909" s="44" t="s">
        <v>172</v>
      </c>
      <c r="D909" s="19" t="s">
        <v>1041</v>
      </c>
      <c r="E909" s="19">
        <v>20</v>
      </c>
      <c r="F909" s="19">
        <v>300</v>
      </c>
      <c r="G909" s="19">
        <v>6101</v>
      </c>
      <c r="H909" s="19">
        <v>1</v>
      </c>
      <c r="I909" s="80">
        <v>287.36</v>
      </c>
      <c r="J909" s="80">
        <v>287.36</v>
      </c>
      <c r="K909" s="19" t="s">
        <v>1067</v>
      </c>
      <c r="L909" s="19" t="s">
        <v>1431</v>
      </c>
      <c r="P909" s="19" t="s">
        <v>138</v>
      </c>
      <c r="Q909" s="20">
        <v>17</v>
      </c>
      <c r="R909" s="65" t="s">
        <v>1141</v>
      </c>
      <c r="T909" s="19" t="s">
        <v>307</v>
      </c>
      <c r="V909" s="19" t="s">
        <v>178</v>
      </c>
      <c r="Y909" s="19" t="s">
        <v>138</v>
      </c>
      <c r="Z909" s="44" t="s">
        <v>1142</v>
      </c>
      <c r="AA909" s="44" t="s">
        <v>180</v>
      </c>
    </row>
    <row r="910" spans="1:27" hidden="1" x14ac:dyDescent="0.25">
      <c r="A910" s="26">
        <v>304</v>
      </c>
      <c r="B910" s="19" t="s">
        <v>1440</v>
      </c>
      <c r="C910" s="44" t="s">
        <v>172</v>
      </c>
      <c r="D910" s="19" t="s">
        <v>1041</v>
      </c>
      <c r="E910" s="19">
        <v>20</v>
      </c>
      <c r="F910" s="19">
        <v>300</v>
      </c>
      <c r="G910" s="19">
        <v>6101</v>
      </c>
      <c r="H910" s="19">
        <v>1</v>
      </c>
      <c r="I910" s="80">
        <v>287.36</v>
      </c>
      <c r="J910" s="80">
        <v>287.36</v>
      </c>
      <c r="K910" s="19" t="s">
        <v>1067</v>
      </c>
      <c r="L910" s="19" t="s">
        <v>1431</v>
      </c>
      <c r="P910" s="19" t="s">
        <v>138</v>
      </c>
      <c r="Q910" s="20">
        <v>17</v>
      </c>
      <c r="R910" s="65" t="s">
        <v>1141</v>
      </c>
      <c r="T910" s="19" t="s">
        <v>307</v>
      </c>
      <c r="V910" s="19" t="s">
        <v>178</v>
      </c>
      <c r="Y910" s="19" t="s">
        <v>138</v>
      </c>
      <c r="Z910" s="44" t="s">
        <v>1142</v>
      </c>
      <c r="AA910" s="44" t="s">
        <v>180</v>
      </c>
    </row>
    <row r="911" spans="1:27" hidden="1" x14ac:dyDescent="0.25">
      <c r="A911" s="26">
        <v>305</v>
      </c>
      <c r="B911" s="19" t="s">
        <v>1369</v>
      </c>
      <c r="C911" s="44" t="s">
        <v>172</v>
      </c>
      <c r="D911" s="19" t="s">
        <v>1370</v>
      </c>
      <c r="E911" s="19">
        <v>20</v>
      </c>
      <c r="F911" s="19">
        <v>300</v>
      </c>
      <c r="G911" s="19">
        <v>480</v>
      </c>
      <c r="H911" s="19">
        <v>3</v>
      </c>
      <c r="I911" s="80">
        <v>22.61</v>
      </c>
      <c r="J911" s="80">
        <v>67.819999999999993</v>
      </c>
      <c r="K911" s="19" t="s">
        <v>1067</v>
      </c>
      <c r="L911" s="19" t="s">
        <v>1431</v>
      </c>
      <c r="Q911" s="20">
        <v>17</v>
      </c>
      <c r="R911" s="65" t="s">
        <v>1141</v>
      </c>
      <c r="T911" s="19" t="s">
        <v>307</v>
      </c>
      <c r="V911" s="19" t="s">
        <v>178</v>
      </c>
      <c r="W911" s="19" t="s">
        <v>138</v>
      </c>
      <c r="Z911" s="44" t="s">
        <v>1142</v>
      </c>
      <c r="AA911" s="44" t="s">
        <v>180</v>
      </c>
    </row>
    <row r="912" spans="1:27" hidden="1" x14ac:dyDescent="0.25">
      <c r="A912" s="26">
        <v>306</v>
      </c>
      <c r="B912" s="19" t="s">
        <v>1441</v>
      </c>
      <c r="C912" s="44" t="s">
        <v>172</v>
      </c>
      <c r="D912" s="19" t="s">
        <v>1086</v>
      </c>
      <c r="E912" s="19">
        <v>20</v>
      </c>
      <c r="F912" s="19">
        <v>300</v>
      </c>
      <c r="G912" s="19">
        <v>6232</v>
      </c>
      <c r="H912" s="19">
        <v>1</v>
      </c>
      <c r="I912" s="80">
        <v>293.52999999999997</v>
      </c>
      <c r="J912" s="80">
        <v>293.52999999999997</v>
      </c>
      <c r="K912" s="19" t="s">
        <v>1067</v>
      </c>
      <c r="L912" s="19" t="s">
        <v>1431</v>
      </c>
      <c r="Q912" s="20">
        <v>17</v>
      </c>
      <c r="R912" s="65" t="s">
        <v>1141</v>
      </c>
      <c r="T912" s="19" t="s">
        <v>307</v>
      </c>
      <c r="V912" s="19" t="s">
        <v>178</v>
      </c>
      <c r="Y912" s="19" t="s">
        <v>138</v>
      </c>
      <c r="Z912" s="44" t="s">
        <v>1142</v>
      </c>
      <c r="AA912" s="44" t="s">
        <v>180</v>
      </c>
    </row>
    <row r="913" spans="1:27" hidden="1" x14ac:dyDescent="0.25">
      <c r="A913" s="26">
        <v>307</v>
      </c>
      <c r="B913" s="19" t="s">
        <v>1442</v>
      </c>
      <c r="C913" s="44" t="s">
        <v>172</v>
      </c>
      <c r="D913" s="19" t="s">
        <v>1086</v>
      </c>
      <c r="E913" s="19">
        <v>20</v>
      </c>
      <c r="F913" s="19">
        <v>300</v>
      </c>
      <c r="G913" s="19">
        <v>6232</v>
      </c>
      <c r="H913" s="19">
        <v>1</v>
      </c>
      <c r="I913" s="80">
        <v>293.52999999999997</v>
      </c>
      <c r="J913" s="80">
        <v>293.52999999999997</v>
      </c>
      <c r="K913" s="19" t="s">
        <v>1067</v>
      </c>
      <c r="L913" s="19" t="s">
        <v>1431</v>
      </c>
      <c r="Q913" s="20">
        <v>17</v>
      </c>
      <c r="R913" s="65" t="s">
        <v>1141</v>
      </c>
      <c r="T913" s="19" t="s">
        <v>307</v>
      </c>
      <c r="V913" s="19" t="s">
        <v>178</v>
      </c>
      <c r="Y913" s="19" t="s">
        <v>138</v>
      </c>
      <c r="Z913" s="44" t="s">
        <v>1142</v>
      </c>
      <c r="AA913" s="44" t="s">
        <v>180</v>
      </c>
    </row>
    <row r="914" spans="1:27" hidden="1" x14ac:dyDescent="0.25">
      <c r="A914" s="26">
        <v>308</v>
      </c>
      <c r="B914" s="19" t="s">
        <v>1443</v>
      </c>
      <c r="C914" s="44" t="s">
        <v>172</v>
      </c>
      <c r="D914" s="19" t="s">
        <v>1041</v>
      </c>
      <c r="E914" s="19">
        <v>20</v>
      </c>
      <c r="F914" s="19">
        <v>300</v>
      </c>
      <c r="G914" s="19">
        <v>6101</v>
      </c>
      <c r="H914" s="19">
        <v>1</v>
      </c>
      <c r="I914" s="80">
        <v>287.36</v>
      </c>
      <c r="J914" s="80">
        <v>287.36</v>
      </c>
      <c r="K914" s="19" t="s">
        <v>1067</v>
      </c>
      <c r="L914" s="19" t="s">
        <v>1431</v>
      </c>
      <c r="P914" s="19" t="s">
        <v>138</v>
      </c>
      <c r="Q914" s="20">
        <v>17</v>
      </c>
      <c r="R914" s="65" t="s">
        <v>1141</v>
      </c>
      <c r="T914" s="19" t="s">
        <v>307</v>
      </c>
      <c r="V914" s="19" t="s">
        <v>178</v>
      </c>
      <c r="Y914" s="19" t="s">
        <v>138</v>
      </c>
      <c r="Z914" s="44" t="s">
        <v>1142</v>
      </c>
      <c r="AA914" s="44" t="s">
        <v>180</v>
      </c>
    </row>
    <row r="915" spans="1:27" hidden="1" x14ac:dyDescent="0.25">
      <c r="A915" s="26">
        <v>309</v>
      </c>
      <c r="B915" s="19" t="s">
        <v>1444</v>
      </c>
      <c r="C915" s="44" t="s">
        <v>172</v>
      </c>
      <c r="D915" s="19" t="s">
        <v>1041</v>
      </c>
      <c r="E915" s="19">
        <v>20</v>
      </c>
      <c r="F915" s="19">
        <v>300</v>
      </c>
      <c r="G915" s="19">
        <v>6101</v>
      </c>
      <c r="H915" s="19">
        <v>1</v>
      </c>
      <c r="I915" s="80">
        <v>287.36</v>
      </c>
      <c r="J915" s="80">
        <v>287.36</v>
      </c>
      <c r="K915" s="19" t="s">
        <v>1067</v>
      </c>
      <c r="L915" s="19" t="s">
        <v>1431</v>
      </c>
      <c r="P915" s="19" t="s">
        <v>138</v>
      </c>
      <c r="Q915" s="20">
        <v>17</v>
      </c>
      <c r="R915" s="65" t="s">
        <v>1141</v>
      </c>
      <c r="T915" s="19" t="s">
        <v>307</v>
      </c>
      <c r="V915" s="19" t="s">
        <v>178</v>
      </c>
      <c r="Y915" s="19" t="s">
        <v>138</v>
      </c>
      <c r="Z915" s="44" t="s">
        <v>1142</v>
      </c>
      <c r="AA915" s="44" t="s">
        <v>180</v>
      </c>
    </row>
    <row r="916" spans="1:27" hidden="1" x14ac:dyDescent="0.25">
      <c r="A916" s="26">
        <v>310</v>
      </c>
      <c r="B916" s="19" t="s">
        <v>1445</v>
      </c>
      <c r="C916" s="44" t="s">
        <v>172</v>
      </c>
      <c r="D916" s="19" t="s">
        <v>1041</v>
      </c>
      <c r="E916" s="19">
        <v>20</v>
      </c>
      <c r="F916" s="19">
        <v>300</v>
      </c>
      <c r="G916" s="19">
        <v>6101</v>
      </c>
      <c r="H916" s="19">
        <v>1</v>
      </c>
      <c r="I916" s="80">
        <v>287.36</v>
      </c>
      <c r="J916" s="80">
        <v>287.36</v>
      </c>
      <c r="K916" s="19" t="s">
        <v>1067</v>
      </c>
      <c r="L916" s="19" t="s">
        <v>1431</v>
      </c>
      <c r="P916" s="19" t="s">
        <v>138</v>
      </c>
      <c r="Q916" s="20">
        <v>17</v>
      </c>
      <c r="R916" s="65" t="s">
        <v>1141</v>
      </c>
      <c r="T916" s="19" t="s">
        <v>307</v>
      </c>
      <c r="V916" s="19" t="s">
        <v>178</v>
      </c>
      <c r="Y916" s="19" t="s">
        <v>138</v>
      </c>
      <c r="Z916" s="44" t="s">
        <v>1142</v>
      </c>
      <c r="AA916" s="44" t="s">
        <v>180</v>
      </c>
    </row>
    <row r="917" spans="1:27" hidden="1" x14ac:dyDescent="0.25">
      <c r="A917" s="26">
        <v>311</v>
      </c>
      <c r="B917" s="19" t="s">
        <v>1446</v>
      </c>
      <c r="C917" s="44" t="s">
        <v>172</v>
      </c>
      <c r="D917" s="19" t="s">
        <v>1041</v>
      </c>
      <c r="E917" s="19">
        <v>20</v>
      </c>
      <c r="F917" s="19">
        <v>300</v>
      </c>
      <c r="G917" s="19">
        <v>6101</v>
      </c>
      <c r="H917" s="19">
        <v>1</v>
      </c>
      <c r="I917" s="80">
        <v>287.36</v>
      </c>
      <c r="J917" s="80">
        <v>287.36</v>
      </c>
      <c r="K917" s="19" t="s">
        <v>1067</v>
      </c>
      <c r="L917" s="19" t="s">
        <v>1431</v>
      </c>
      <c r="P917" s="19" t="s">
        <v>138</v>
      </c>
      <c r="Q917" s="20">
        <v>17</v>
      </c>
      <c r="R917" s="65" t="s">
        <v>1141</v>
      </c>
      <c r="T917" s="19" t="s">
        <v>307</v>
      </c>
      <c r="V917" s="19" t="s">
        <v>178</v>
      </c>
      <c r="Y917" s="19" t="s">
        <v>138</v>
      </c>
      <c r="Z917" s="44" t="s">
        <v>1142</v>
      </c>
      <c r="AA917" s="44" t="s">
        <v>180</v>
      </c>
    </row>
    <row r="918" spans="1:27" hidden="1" x14ac:dyDescent="0.25">
      <c r="A918" s="26">
        <v>312</v>
      </c>
      <c r="B918" s="19" t="s">
        <v>1447</v>
      </c>
      <c r="C918" s="44" t="s">
        <v>172</v>
      </c>
      <c r="D918" s="19" t="s">
        <v>1370</v>
      </c>
      <c r="E918" s="19">
        <v>20</v>
      </c>
      <c r="F918" s="19">
        <v>300</v>
      </c>
      <c r="G918" s="19">
        <v>480</v>
      </c>
      <c r="H918" s="19">
        <v>5</v>
      </c>
      <c r="I918" s="80">
        <v>22.61</v>
      </c>
      <c r="J918" s="80">
        <v>113.04</v>
      </c>
      <c r="K918" s="19" t="s">
        <v>1067</v>
      </c>
      <c r="L918" s="19" t="s">
        <v>1431</v>
      </c>
      <c r="Q918" s="20">
        <v>17</v>
      </c>
      <c r="R918" s="65" t="s">
        <v>1141</v>
      </c>
      <c r="T918" s="19" t="s">
        <v>307</v>
      </c>
      <c r="V918" s="19" t="s">
        <v>178</v>
      </c>
      <c r="W918" s="19" t="s">
        <v>138</v>
      </c>
      <c r="Z918" s="44" t="s">
        <v>1142</v>
      </c>
      <c r="AA918" s="44" t="s">
        <v>180</v>
      </c>
    </row>
    <row r="919" spans="1:27" hidden="1" x14ac:dyDescent="0.25">
      <c r="A919" s="26">
        <v>313</v>
      </c>
      <c r="B919" s="19" t="s">
        <v>1416</v>
      </c>
      <c r="C919" s="44" t="s">
        <v>172</v>
      </c>
      <c r="D919" s="19" t="s">
        <v>1370</v>
      </c>
      <c r="E919" s="19">
        <v>20</v>
      </c>
      <c r="F919" s="19">
        <v>300</v>
      </c>
      <c r="G919" s="19">
        <v>480</v>
      </c>
      <c r="H919" s="19">
        <v>4</v>
      </c>
      <c r="I919" s="80">
        <v>22.61</v>
      </c>
      <c r="J919" s="80">
        <v>90.43</v>
      </c>
      <c r="K919" s="19" t="s">
        <v>1067</v>
      </c>
      <c r="L919" s="19" t="s">
        <v>1431</v>
      </c>
      <c r="Q919" s="20">
        <v>17</v>
      </c>
      <c r="R919" s="65" t="s">
        <v>1141</v>
      </c>
      <c r="T919" s="19" t="s">
        <v>307</v>
      </c>
      <c r="V919" s="19" t="s">
        <v>178</v>
      </c>
      <c r="W919" s="19" t="s">
        <v>138</v>
      </c>
      <c r="Z919" s="44" t="s">
        <v>1142</v>
      </c>
      <c r="AA919" s="44" t="s">
        <v>180</v>
      </c>
    </row>
    <row r="920" spans="1:27" hidden="1" x14ac:dyDescent="0.25">
      <c r="A920" s="26">
        <v>314</v>
      </c>
      <c r="B920" s="19" t="s">
        <v>1448</v>
      </c>
      <c r="C920" s="44" t="s">
        <v>172</v>
      </c>
      <c r="D920" s="19" t="s">
        <v>1117</v>
      </c>
      <c r="E920" s="19">
        <v>32</v>
      </c>
      <c r="F920" s="19">
        <v>550</v>
      </c>
      <c r="G920" s="19">
        <v>7896</v>
      </c>
      <c r="H920" s="19">
        <v>1</v>
      </c>
      <c r="I920" s="80">
        <v>1090.9100000000001</v>
      </c>
      <c r="J920" s="80">
        <v>1090.9100000000001</v>
      </c>
      <c r="K920" s="19" t="s">
        <v>1449</v>
      </c>
      <c r="L920" s="19" t="s">
        <v>1450</v>
      </c>
      <c r="P920" s="19" t="s">
        <v>138</v>
      </c>
      <c r="Q920" s="20">
        <v>17</v>
      </c>
      <c r="R920" s="65" t="s">
        <v>1141</v>
      </c>
      <c r="T920" s="19" t="s">
        <v>307</v>
      </c>
      <c r="V920" s="19" t="s">
        <v>178</v>
      </c>
      <c r="Y920" s="19" t="s">
        <v>138</v>
      </c>
      <c r="Z920" s="44" t="s">
        <v>1142</v>
      </c>
      <c r="AA920" s="44" t="s">
        <v>1112</v>
      </c>
    </row>
    <row r="921" spans="1:27" hidden="1" x14ac:dyDescent="0.25">
      <c r="A921" s="26">
        <v>315</v>
      </c>
      <c r="B921" s="19" t="s">
        <v>1451</v>
      </c>
      <c r="C921" s="44" t="s">
        <v>172</v>
      </c>
      <c r="D921" s="19" t="s">
        <v>1117</v>
      </c>
      <c r="E921" s="19">
        <v>32</v>
      </c>
      <c r="F921" s="19">
        <v>550</v>
      </c>
      <c r="G921" s="19">
        <v>7896</v>
      </c>
      <c r="H921" s="19">
        <v>1</v>
      </c>
      <c r="I921" s="80">
        <v>1090.9100000000001</v>
      </c>
      <c r="J921" s="80">
        <v>1090.9100000000001</v>
      </c>
      <c r="K921" s="19" t="s">
        <v>1449</v>
      </c>
      <c r="L921" s="19" t="s">
        <v>1450</v>
      </c>
      <c r="P921" s="19" t="s">
        <v>138</v>
      </c>
      <c r="Q921" s="20">
        <v>17</v>
      </c>
      <c r="R921" s="65" t="s">
        <v>1141</v>
      </c>
      <c r="T921" s="19" t="s">
        <v>307</v>
      </c>
      <c r="V921" s="19" t="s">
        <v>178</v>
      </c>
      <c r="Y921" s="19" t="s">
        <v>138</v>
      </c>
      <c r="Z921" s="44" t="s">
        <v>1142</v>
      </c>
      <c r="AA921" s="44" t="s">
        <v>1112</v>
      </c>
    </row>
    <row r="922" spans="1:27" hidden="1" x14ac:dyDescent="0.25">
      <c r="A922" s="26">
        <v>316</v>
      </c>
      <c r="B922" s="19" t="s">
        <v>1452</v>
      </c>
      <c r="C922" s="44" t="s">
        <v>172</v>
      </c>
      <c r="D922" s="19" t="s">
        <v>1122</v>
      </c>
      <c r="E922" s="19">
        <v>32</v>
      </c>
      <c r="F922" s="19">
        <v>550</v>
      </c>
      <c r="G922" s="19">
        <v>7660</v>
      </c>
      <c r="H922" s="19">
        <v>2</v>
      </c>
      <c r="I922" s="80">
        <v>1058.3</v>
      </c>
      <c r="J922" s="80">
        <v>2116.61</v>
      </c>
      <c r="K922" s="19" t="s">
        <v>1123</v>
      </c>
      <c r="L922" s="19" t="s">
        <v>1453</v>
      </c>
      <c r="Q922" s="20">
        <v>17</v>
      </c>
      <c r="R922" s="65" t="s">
        <v>1141</v>
      </c>
      <c r="T922" s="19" t="s">
        <v>307</v>
      </c>
      <c r="V922" s="19" t="s">
        <v>178</v>
      </c>
      <c r="Y922" s="19" t="s">
        <v>138</v>
      </c>
      <c r="Z922" s="44" t="s">
        <v>1142</v>
      </c>
      <c r="AA922" s="44" t="s">
        <v>180</v>
      </c>
    </row>
    <row r="923" spans="1:27" hidden="1" x14ac:dyDescent="0.25">
      <c r="A923" s="26">
        <v>317</v>
      </c>
      <c r="B923" s="19" t="s">
        <v>1454</v>
      </c>
      <c r="C923" s="44" t="s">
        <v>172</v>
      </c>
      <c r="D923" s="19" t="s">
        <v>1122</v>
      </c>
      <c r="E923" s="19">
        <v>32</v>
      </c>
      <c r="F923" s="19">
        <v>550</v>
      </c>
      <c r="G923" s="19">
        <v>7660</v>
      </c>
      <c r="H923" s="19">
        <v>2</v>
      </c>
      <c r="I923" s="80">
        <v>1058.3</v>
      </c>
      <c r="J923" s="80">
        <v>2116.61</v>
      </c>
      <c r="K923" s="19" t="s">
        <v>1123</v>
      </c>
      <c r="L923" s="19" t="s">
        <v>1453</v>
      </c>
      <c r="Q923" s="20">
        <v>17</v>
      </c>
      <c r="R923" s="65" t="s">
        <v>1141</v>
      </c>
      <c r="T923" s="19" t="s">
        <v>307</v>
      </c>
      <c r="V923" s="19" t="s">
        <v>178</v>
      </c>
      <c r="Y923" s="19" t="s">
        <v>138</v>
      </c>
      <c r="Z923" s="44" t="s">
        <v>1142</v>
      </c>
      <c r="AA923" s="44" t="s">
        <v>180</v>
      </c>
    </row>
    <row r="924" spans="1:27" hidden="1" x14ac:dyDescent="0.25">
      <c r="A924" s="26">
        <v>318</v>
      </c>
      <c r="B924" s="19" t="s">
        <v>1455</v>
      </c>
      <c r="C924" s="44" t="s">
        <v>273</v>
      </c>
      <c r="D924" s="19" t="s">
        <v>1456</v>
      </c>
      <c r="E924" s="19">
        <v>40</v>
      </c>
      <c r="F924" s="19">
        <v>899</v>
      </c>
      <c r="G924" s="19">
        <v>1460</v>
      </c>
      <c r="H924" s="19">
        <v>2</v>
      </c>
      <c r="I924" s="80">
        <v>333.24</v>
      </c>
      <c r="J924" s="80">
        <v>666.47</v>
      </c>
      <c r="K924" s="19" t="s">
        <v>1457</v>
      </c>
      <c r="L924" s="19" t="s">
        <v>1458</v>
      </c>
      <c r="P924" s="19" t="s">
        <v>138</v>
      </c>
      <c r="Q924" s="20">
        <v>17</v>
      </c>
      <c r="R924" s="65" t="s">
        <v>1141</v>
      </c>
      <c r="T924" s="19" t="s">
        <v>307</v>
      </c>
      <c r="V924" s="19" t="s">
        <v>178</v>
      </c>
      <c r="W924" s="19" t="s">
        <v>138</v>
      </c>
      <c r="Z924" s="44" t="s">
        <v>1142</v>
      </c>
      <c r="AA924" s="44" t="s">
        <v>722</v>
      </c>
    </row>
    <row r="925" spans="1:27" hidden="1" x14ac:dyDescent="0.25">
      <c r="A925" s="26">
        <v>319</v>
      </c>
      <c r="B925" s="19" t="s">
        <v>1459</v>
      </c>
      <c r="C925" s="44" t="s">
        <v>273</v>
      </c>
      <c r="D925" s="19" t="s">
        <v>1456</v>
      </c>
      <c r="E925" s="19">
        <v>40</v>
      </c>
      <c r="F925" s="19">
        <v>899</v>
      </c>
      <c r="G925" s="19">
        <v>1460</v>
      </c>
      <c r="H925" s="19">
        <v>2</v>
      </c>
      <c r="I925" s="80">
        <v>333.24</v>
      </c>
      <c r="J925" s="80">
        <v>666.47</v>
      </c>
      <c r="K925" s="19" t="s">
        <v>1457</v>
      </c>
      <c r="L925" s="19" t="s">
        <v>1458</v>
      </c>
      <c r="P925" s="19" t="s">
        <v>138</v>
      </c>
      <c r="Q925" s="20">
        <v>17</v>
      </c>
      <c r="R925" s="65" t="s">
        <v>1141</v>
      </c>
      <c r="T925" s="19" t="s">
        <v>307</v>
      </c>
      <c r="V925" s="19" t="s">
        <v>178</v>
      </c>
      <c r="W925" s="19" t="s">
        <v>138</v>
      </c>
      <c r="Z925" s="44" t="s">
        <v>1142</v>
      </c>
      <c r="AA925" s="44" t="s">
        <v>722</v>
      </c>
    </row>
    <row r="926" spans="1:27" hidden="1" x14ac:dyDescent="0.25">
      <c r="A926" s="26">
        <v>320</v>
      </c>
      <c r="B926" s="19" t="s">
        <v>1460</v>
      </c>
      <c r="C926" s="44" t="s">
        <v>273</v>
      </c>
      <c r="D926" s="19" t="s">
        <v>1456</v>
      </c>
      <c r="E926" s="19">
        <v>40</v>
      </c>
      <c r="F926" s="19">
        <v>899</v>
      </c>
      <c r="G926" s="19">
        <v>1460</v>
      </c>
      <c r="H926" s="19">
        <v>2</v>
      </c>
      <c r="I926" s="80">
        <v>333.24</v>
      </c>
      <c r="J926" s="80">
        <v>666.47</v>
      </c>
      <c r="K926" s="19" t="s">
        <v>1457</v>
      </c>
      <c r="L926" s="19" t="s">
        <v>1458</v>
      </c>
      <c r="P926" s="19" t="s">
        <v>138</v>
      </c>
      <c r="Q926" s="20">
        <v>17</v>
      </c>
      <c r="R926" s="65" t="s">
        <v>1141</v>
      </c>
      <c r="T926" s="19" t="s">
        <v>307</v>
      </c>
      <c r="V926" s="19" t="s">
        <v>178</v>
      </c>
      <c r="W926" s="19" t="s">
        <v>138</v>
      </c>
      <c r="Z926" s="44" t="s">
        <v>1142</v>
      </c>
      <c r="AA926" s="44" t="s">
        <v>722</v>
      </c>
    </row>
    <row r="927" spans="1:27" hidden="1" x14ac:dyDescent="0.25">
      <c r="A927" s="26">
        <v>321</v>
      </c>
      <c r="B927" s="19" t="s">
        <v>1461</v>
      </c>
      <c r="C927" s="44" t="s">
        <v>273</v>
      </c>
      <c r="D927" s="19" t="s">
        <v>1456</v>
      </c>
      <c r="E927" s="19">
        <v>40</v>
      </c>
      <c r="F927" s="19">
        <v>899</v>
      </c>
      <c r="G927" s="19">
        <v>1460</v>
      </c>
      <c r="H927" s="19">
        <v>2</v>
      </c>
      <c r="I927" s="80">
        <v>333.24</v>
      </c>
      <c r="J927" s="80">
        <v>666.47</v>
      </c>
      <c r="K927" s="19" t="s">
        <v>1457</v>
      </c>
      <c r="L927" s="19" t="s">
        <v>1458</v>
      </c>
      <c r="P927" s="19" t="s">
        <v>138</v>
      </c>
      <c r="Q927" s="20">
        <v>17</v>
      </c>
      <c r="R927" s="65" t="s">
        <v>1141</v>
      </c>
      <c r="T927" s="19" t="s">
        <v>307</v>
      </c>
      <c r="V927" s="19" t="s">
        <v>178</v>
      </c>
      <c r="W927" s="19" t="s">
        <v>138</v>
      </c>
      <c r="Z927" s="44" t="s">
        <v>1142</v>
      </c>
      <c r="AA927" s="44" t="s">
        <v>722</v>
      </c>
    </row>
    <row r="928" spans="1:27" hidden="1" x14ac:dyDescent="0.25">
      <c r="A928" s="26">
        <v>322</v>
      </c>
      <c r="B928" s="19" t="s">
        <v>1462</v>
      </c>
      <c r="C928" s="44" t="s">
        <v>273</v>
      </c>
      <c r="D928" s="19" t="s">
        <v>1456</v>
      </c>
      <c r="E928" s="19">
        <v>40</v>
      </c>
      <c r="F928" s="19">
        <v>899</v>
      </c>
      <c r="G928" s="19">
        <v>1460</v>
      </c>
      <c r="H928" s="19">
        <v>2</v>
      </c>
      <c r="I928" s="80">
        <v>333.24</v>
      </c>
      <c r="J928" s="80">
        <v>666.47</v>
      </c>
      <c r="K928" s="19" t="s">
        <v>1457</v>
      </c>
      <c r="L928" s="19" t="s">
        <v>1458</v>
      </c>
      <c r="P928" s="19" t="s">
        <v>138</v>
      </c>
      <c r="Q928" s="20">
        <v>17</v>
      </c>
      <c r="R928" s="65" t="s">
        <v>1141</v>
      </c>
      <c r="T928" s="19" t="s">
        <v>307</v>
      </c>
      <c r="V928" s="19" t="s">
        <v>178</v>
      </c>
      <c r="W928" s="19" t="s">
        <v>138</v>
      </c>
      <c r="Z928" s="44" t="s">
        <v>1142</v>
      </c>
      <c r="AA928" s="44" t="s">
        <v>722</v>
      </c>
    </row>
    <row r="929" spans="1:29" hidden="1" x14ac:dyDescent="0.25">
      <c r="A929" s="26">
        <v>323</v>
      </c>
      <c r="B929" s="19" t="s">
        <v>1463</v>
      </c>
      <c r="C929" s="44" t="s">
        <v>257</v>
      </c>
      <c r="D929" s="19" t="s">
        <v>1127</v>
      </c>
      <c r="E929" s="19">
        <v>50</v>
      </c>
      <c r="F929" s="19">
        <v>1089</v>
      </c>
      <c r="G929" s="19">
        <v>1436</v>
      </c>
      <c r="H929" s="19">
        <v>2</v>
      </c>
      <c r="I929" s="80">
        <v>496.43</v>
      </c>
      <c r="J929" s="80">
        <v>992.86</v>
      </c>
      <c r="K929" s="19" t="s">
        <v>1464</v>
      </c>
      <c r="L929" s="19" t="s">
        <v>1465</v>
      </c>
      <c r="P929" s="19" t="s">
        <v>138</v>
      </c>
      <c r="Q929" s="20">
        <v>17</v>
      </c>
      <c r="R929" s="65" t="s">
        <v>1141</v>
      </c>
      <c r="T929" s="19" t="s">
        <v>307</v>
      </c>
      <c r="V929" s="19" t="s">
        <v>178</v>
      </c>
      <c r="W929" s="19" t="s">
        <v>138</v>
      </c>
      <c r="Z929" s="44" t="s">
        <v>1142</v>
      </c>
      <c r="AA929" s="44" t="s">
        <v>1466</v>
      </c>
    </row>
    <row r="930" spans="1:29" hidden="1" x14ac:dyDescent="0.25">
      <c r="A930" s="26">
        <v>324</v>
      </c>
      <c r="B930" s="19" t="s">
        <v>1467</v>
      </c>
      <c r="C930" s="44" t="s">
        <v>257</v>
      </c>
      <c r="D930" s="19" t="s">
        <v>1127</v>
      </c>
      <c r="E930" s="19">
        <v>50</v>
      </c>
      <c r="F930" s="19">
        <v>1089</v>
      </c>
      <c r="G930" s="19">
        <v>1436</v>
      </c>
      <c r="H930" s="19">
        <v>2</v>
      </c>
      <c r="I930" s="80">
        <v>496.43</v>
      </c>
      <c r="J930" s="80">
        <v>992.86</v>
      </c>
      <c r="K930" s="19" t="s">
        <v>433</v>
      </c>
      <c r="L930" s="19" t="s">
        <v>1468</v>
      </c>
      <c r="P930" s="19" t="s">
        <v>138</v>
      </c>
      <c r="Q930" s="20">
        <v>17</v>
      </c>
      <c r="R930" s="65" t="s">
        <v>1141</v>
      </c>
      <c r="T930" s="19" t="s">
        <v>307</v>
      </c>
      <c r="V930" s="19" t="s">
        <v>178</v>
      </c>
      <c r="W930" s="19" t="s">
        <v>138</v>
      </c>
      <c r="Z930" s="44" t="s">
        <v>1142</v>
      </c>
      <c r="AA930" s="44" t="s">
        <v>180</v>
      </c>
    </row>
    <row r="931" spans="1:29" hidden="1" x14ac:dyDescent="0.25">
      <c r="A931" s="26">
        <v>325</v>
      </c>
      <c r="B931" s="19" t="s">
        <v>1469</v>
      </c>
      <c r="C931" s="44" t="s">
        <v>257</v>
      </c>
      <c r="D931" s="19" t="s">
        <v>1127</v>
      </c>
      <c r="E931" s="19">
        <v>50</v>
      </c>
      <c r="F931" s="19">
        <v>1089</v>
      </c>
      <c r="G931" s="19">
        <v>1436</v>
      </c>
      <c r="H931" s="19">
        <v>2</v>
      </c>
      <c r="I931" s="80">
        <v>496.43</v>
      </c>
      <c r="J931" s="80">
        <v>992.86</v>
      </c>
      <c r="K931" s="19" t="s">
        <v>433</v>
      </c>
      <c r="L931" s="19" t="s">
        <v>1468</v>
      </c>
      <c r="P931" s="19" t="s">
        <v>138</v>
      </c>
      <c r="Q931" s="20">
        <v>17</v>
      </c>
      <c r="R931" s="65" t="s">
        <v>1141</v>
      </c>
      <c r="T931" s="19" t="s">
        <v>307</v>
      </c>
      <c r="V931" s="19" t="s">
        <v>178</v>
      </c>
      <c r="W931" s="19" t="s">
        <v>138</v>
      </c>
      <c r="Z931" s="44" t="s">
        <v>1142</v>
      </c>
      <c r="AA931" s="44" t="s">
        <v>180</v>
      </c>
    </row>
    <row r="932" spans="1:29" hidden="1" x14ac:dyDescent="0.25">
      <c r="A932" s="26">
        <v>326</v>
      </c>
      <c r="B932" s="19" t="s">
        <v>1470</v>
      </c>
      <c r="C932" s="44" t="s">
        <v>257</v>
      </c>
      <c r="D932" s="19" t="s">
        <v>1127</v>
      </c>
      <c r="E932" s="19">
        <v>50</v>
      </c>
      <c r="F932" s="19">
        <v>1089</v>
      </c>
      <c r="G932" s="19">
        <v>1436</v>
      </c>
      <c r="H932" s="19">
        <v>2</v>
      </c>
      <c r="I932" s="80">
        <v>496.43</v>
      </c>
      <c r="J932" s="80">
        <v>992.86</v>
      </c>
      <c r="K932" s="19" t="s">
        <v>433</v>
      </c>
      <c r="L932" s="19" t="s">
        <v>1468</v>
      </c>
      <c r="P932" s="19" t="s">
        <v>138</v>
      </c>
      <c r="Q932" s="20">
        <v>17</v>
      </c>
      <c r="R932" s="65" t="s">
        <v>1141</v>
      </c>
      <c r="T932" s="19" t="s">
        <v>307</v>
      </c>
      <c r="V932" s="19" t="s">
        <v>178</v>
      </c>
      <c r="W932" s="19" t="s">
        <v>138</v>
      </c>
      <c r="Z932" s="44" t="s">
        <v>1142</v>
      </c>
      <c r="AA932" s="44" t="s">
        <v>180</v>
      </c>
    </row>
    <row r="933" spans="1:29" hidden="1" x14ac:dyDescent="0.25">
      <c r="A933" s="26">
        <v>327</v>
      </c>
      <c r="B933" s="19" t="s">
        <v>1471</v>
      </c>
      <c r="C933" s="44" t="s">
        <v>257</v>
      </c>
      <c r="D933" s="19" t="s">
        <v>1127</v>
      </c>
      <c r="E933" s="19">
        <v>50</v>
      </c>
      <c r="F933" s="19">
        <v>1089</v>
      </c>
      <c r="G933" s="19">
        <v>1436</v>
      </c>
      <c r="H933" s="19">
        <v>2</v>
      </c>
      <c r="I933" s="80">
        <v>496.43</v>
      </c>
      <c r="J933" s="80">
        <v>992.86</v>
      </c>
      <c r="K933" s="19" t="s">
        <v>433</v>
      </c>
      <c r="L933" s="19" t="s">
        <v>1468</v>
      </c>
      <c r="P933" s="19" t="s">
        <v>138</v>
      </c>
      <c r="Q933" s="20">
        <v>17</v>
      </c>
      <c r="R933" s="65" t="s">
        <v>1141</v>
      </c>
      <c r="T933" s="19" t="s">
        <v>307</v>
      </c>
      <c r="V933" s="19" t="s">
        <v>178</v>
      </c>
      <c r="W933" s="19" t="s">
        <v>138</v>
      </c>
      <c r="Z933" s="44" t="s">
        <v>1142</v>
      </c>
      <c r="AA933" s="44" t="s">
        <v>180</v>
      </c>
    </row>
    <row r="934" spans="1:29" hidden="1" x14ac:dyDescent="0.25">
      <c r="A934" s="26">
        <v>328</v>
      </c>
      <c r="B934" s="19" t="s">
        <v>1472</v>
      </c>
      <c r="C934" s="44" t="s">
        <v>257</v>
      </c>
      <c r="D934" s="19" t="s">
        <v>1127</v>
      </c>
      <c r="E934" s="19">
        <v>50</v>
      </c>
      <c r="F934" s="19">
        <v>1089</v>
      </c>
      <c r="G934" s="19">
        <v>1436</v>
      </c>
      <c r="H934" s="19">
        <v>1</v>
      </c>
      <c r="I934" s="80">
        <v>496.43</v>
      </c>
      <c r="J934" s="80">
        <v>496.43</v>
      </c>
      <c r="K934" s="19" t="s">
        <v>433</v>
      </c>
      <c r="L934" s="19" t="s">
        <v>1468</v>
      </c>
      <c r="P934" s="19" t="s">
        <v>138</v>
      </c>
      <c r="Q934" s="20">
        <v>17</v>
      </c>
      <c r="R934" s="65" t="s">
        <v>1141</v>
      </c>
      <c r="T934" s="19" t="s">
        <v>307</v>
      </c>
      <c r="V934" s="19" t="s">
        <v>178</v>
      </c>
      <c r="W934" s="19" t="s">
        <v>138</v>
      </c>
      <c r="Z934" s="44" t="s">
        <v>1142</v>
      </c>
      <c r="AA934" s="44" t="s">
        <v>180</v>
      </c>
    </row>
    <row r="935" spans="1:29" hidden="1" x14ac:dyDescent="0.25">
      <c r="A935" s="26">
        <v>329</v>
      </c>
      <c r="B935" s="19" t="s">
        <v>1472</v>
      </c>
      <c r="C935" s="44" t="s">
        <v>257</v>
      </c>
      <c r="D935" s="19" t="s">
        <v>1127</v>
      </c>
      <c r="E935" s="19">
        <v>50</v>
      </c>
      <c r="F935" s="19">
        <v>1089</v>
      </c>
      <c r="G935" s="19">
        <v>1436</v>
      </c>
      <c r="H935" s="19">
        <v>1</v>
      </c>
      <c r="I935" s="80">
        <v>496.43</v>
      </c>
      <c r="J935" s="80">
        <v>496.43</v>
      </c>
      <c r="K935" s="19" t="s">
        <v>1485</v>
      </c>
      <c r="L935" s="19" t="s">
        <v>1473</v>
      </c>
      <c r="P935" s="19" t="s">
        <v>138</v>
      </c>
      <c r="Q935" s="20">
        <v>17</v>
      </c>
      <c r="R935" s="65" t="s">
        <v>1141</v>
      </c>
      <c r="T935" s="19" t="s">
        <v>307</v>
      </c>
      <c r="V935" s="19" t="s">
        <v>178</v>
      </c>
      <c r="W935" s="19" t="s">
        <v>138</v>
      </c>
      <c r="Z935" s="44" t="s">
        <v>1142</v>
      </c>
      <c r="AA935" s="44" t="s">
        <v>180</v>
      </c>
    </row>
    <row r="936" spans="1:29" hidden="1" x14ac:dyDescent="0.25">
      <c r="A936" s="26">
        <v>330</v>
      </c>
      <c r="B936" s="19" t="s">
        <v>1474</v>
      </c>
      <c r="C936" s="44" t="s">
        <v>257</v>
      </c>
      <c r="D936" s="19" t="s">
        <v>1127</v>
      </c>
      <c r="E936" s="19">
        <v>50</v>
      </c>
      <c r="F936" s="19">
        <v>1089</v>
      </c>
      <c r="G936" s="19">
        <v>1436</v>
      </c>
      <c r="H936" s="19">
        <v>2</v>
      </c>
      <c r="I936" s="80">
        <v>496.43</v>
      </c>
      <c r="J936" s="80">
        <v>992.86</v>
      </c>
      <c r="K936" s="19" t="s">
        <v>1485</v>
      </c>
      <c r="L936" s="19" t="s">
        <v>1473</v>
      </c>
      <c r="P936" s="19" t="s">
        <v>138</v>
      </c>
      <c r="Q936" s="20">
        <v>17</v>
      </c>
      <c r="R936" s="65" t="s">
        <v>1141</v>
      </c>
      <c r="T936" s="19" t="s">
        <v>307</v>
      </c>
      <c r="V936" s="19" t="s">
        <v>178</v>
      </c>
      <c r="W936" s="19" t="s">
        <v>138</v>
      </c>
      <c r="Z936" s="44" t="s">
        <v>1142</v>
      </c>
      <c r="AA936" s="44" t="s">
        <v>180</v>
      </c>
    </row>
    <row r="937" spans="1:29" hidden="1" x14ac:dyDescent="0.25">
      <c r="A937" s="26">
        <v>331</v>
      </c>
      <c r="B937" s="19" t="s">
        <v>1475</v>
      </c>
      <c r="C937" s="44" t="s">
        <v>257</v>
      </c>
      <c r="D937" s="19" t="s">
        <v>1127</v>
      </c>
      <c r="E937" s="19">
        <v>50</v>
      </c>
      <c r="F937" s="19">
        <v>1089</v>
      </c>
      <c r="G937" s="19">
        <v>1436</v>
      </c>
      <c r="H937" s="19">
        <v>2</v>
      </c>
      <c r="I937" s="80">
        <v>496.43</v>
      </c>
      <c r="J937" s="80">
        <v>992.86</v>
      </c>
      <c r="K937" s="19" t="s">
        <v>1485</v>
      </c>
      <c r="L937" s="19" t="s">
        <v>1473</v>
      </c>
      <c r="P937" s="19" t="s">
        <v>138</v>
      </c>
      <c r="Q937" s="20">
        <v>17</v>
      </c>
      <c r="R937" s="65" t="s">
        <v>1141</v>
      </c>
      <c r="T937" s="19" t="s">
        <v>307</v>
      </c>
      <c r="V937" s="19" t="s">
        <v>178</v>
      </c>
      <c r="W937" s="19" t="s">
        <v>138</v>
      </c>
      <c r="Z937" s="44" t="s">
        <v>1142</v>
      </c>
      <c r="AA937" s="44" t="s">
        <v>180</v>
      </c>
    </row>
    <row r="938" spans="1:29" hidden="1" x14ac:dyDescent="0.25">
      <c r="A938" s="26">
        <v>1</v>
      </c>
      <c r="B938" s="19" t="s">
        <v>1486</v>
      </c>
      <c r="C938" s="44" t="s">
        <v>273</v>
      </c>
      <c r="D938" s="19" t="s">
        <v>1487</v>
      </c>
      <c r="E938" s="19">
        <v>40</v>
      </c>
      <c r="F938" s="19">
        <v>350</v>
      </c>
      <c r="G938" s="19">
        <v>400</v>
      </c>
      <c r="H938" s="19">
        <v>2</v>
      </c>
      <c r="I938" s="80">
        <v>43.96</v>
      </c>
      <c r="J938" s="80">
        <v>87.92</v>
      </c>
      <c r="K938" s="19" t="s">
        <v>603</v>
      </c>
      <c r="L938" s="19" t="s">
        <v>1488</v>
      </c>
      <c r="Q938" s="20">
        <v>18</v>
      </c>
      <c r="R938" s="65" t="s">
        <v>1489</v>
      </c>
      <c r="T938" s="19" t="s">
        <v>307</v>
      </c>
      <c r="V938" s="19" t="s">
        <v>178</v>
      </c>
      <c r="Z938" s="44" t="s">
        <v>1490</v>
      </c>
      <c r="AA938" s="44" t="s">
        <v>655</v>
      </c>
    </row>
    <row r="939" spans="1:29" hidden="1" x14ac:dyDescent="0.25">
      <c r="A939" s="26">
        <v>1</v>
      </c>
      <c r="B939" s="19" t="s">
        <v>1492</v>
      </c>
      <c r="C939" s="44" t="s">
        <v>273</v>
      </c>
      <c r="D939" s="19" t="s">
        <v>1493</v>
      </c>
      <c r="E939" s="19">
        <v>12</v>
      </c>
      <c r="F939" s="19">
        <v>238</v>
      </c>
      <c r="G939" s="19">
        <v>1280</v>
      </c>
      <c r="H939" s="19">
        <v>1</v>
      </c>
      <c r="I939" s="80">
        <v>28.7</v>
      </c>
      <c r="J939" s="80">
        <v>28.7</v>
      </c>
      <c r="K939" s="19" t="s">
        <v>184</v>
      </c>
      <c r="L939" s="19" t="s">
        <v>1494</v>
      </c>
      <c r="O939" s="19" t="s">
        <v>138</v>
      </c>
      <c r="Q939" s="20">
        <v>20</v>
      </c>
      <c r="R939" s="65" t="s">
        <v>1495</v>
      </c>
      <c r="T939" s="19" t="s">
        <v>307</v>
      </c>
      <c r="V939" s="19" t="s">
        <v>178</v>
      </c>
      <c r="Z939" s="44" t="s">
        <v>1496</v>
      </c>
      <c r="AA939" s="44" t="s">
        <v>180</v>
      </c>
      <c r="AC939" s="19" t="s">
        <v>1497</v>
      </c>
    </row>
    <row r="940" spans="1:29" hidden="1" x14ac:dyDescent="0.25">
      <c r="A940" s="26">
        <v>2</v>
      </c>
      <c r="B940" s="19" t="s">
        <v>1498</v>
      </c>
      <c r="C940" s="44" t="s">
        <v>273</v>
      </c>
      <c r="D940" s="19" t="s">
        <v>1493</v>
      </c>
      <c r="E940" s="19">
        <v>12</v>
      </c>
      <c r="F940" s="19">
        <v>238</v>
      </c>
      <c r="G940" s="19">
        <v>1280</v>
      </c>
      <c r="H940" s="19">
        <v>1</v>
      </c>
      <c r="I940" s="80">
        <v>28.7</v>
      </c>
      <c r="J940" s="80">
        <v>28.7</v>
      </c>
      <c r="K940" s="19" t="s">
        <v>184</v>
      </c>
      <c r="L940" s="19" t="s">
        <v>1494</v>
      </c>
      <c r="O940" s="19" t="s">
        <v>138</v>
      </c>
      <c r="Q940" s="20">
        <v>20</v>
      </c>
      <c r="R940" s="65" t="s">
        <v>1495</v>
      </c>
      <c r="T940" s="19" t="s">
        <v>307</v>
      </c>
      <c r="V940" s="19" t="s">
        <v>178</v>
      </c>
      <c r="Z940" s="44" t="s">
        <v>1496</v>
      </c>
      <c r="AA940" s="44" t="s">
        <v>180</v>
      </c>
      <c r="AC940" s="19" t="s">
        <v>1497</v>
      </c>
    </row>
    <row r="941" spans="1:29" hidden="1" x14ac:dyDescent="0.25">
      <c r="A941" s="26">
        <v>3</v>
      </c>
      <c r="B941" s="19" t="s">
        <v>1499</v>
      </c>
      <c r="C941" s="44" t="s">
        <v>273</v>
      </c>
      <c r="D941" s="19" t="s">
        <v>1493</v>
      </c>
      <c r="E941" s="19">
        <v>12</v>
      </c>
      <c r="F941" s="19">
        <v>238</v>
      </c>
      <c r="G941" s="19">
        <v>1280</v>
      </c>
      <c r="H941" s="19">
        <v>1</v>
      </c>
      <c r="I941" s="80">
        <v>28.7</v>
      </c>
      <c r="J941" s="80">
        <v>28.7</v>
      </c>
      <c r="K941" s="19" t="s">
        <v>184</v>
      </c>
      <c r="L941" s="19" t="s">
        <v>1494</v>
      </c>
      <c r="O941" s="19" t="s">
        <v>138</v>
      </c>
      <c r="Q941" s="20">
        <v>20</v>
      </c>
      <c r="R941" s="65" t="s">
        <v>1495</v>
      </c>
      <c r="T941" s="19" t="s">
        <v>307</v>
      </c>
      <c r="V941" s="19" t="s">
        <v>178</v>
      </c>
      <c r="Z941" s="44" t="s">
        <v>1496</v>
      </c>
      <c r="AA941" s="44" t="s">
        <v>180</v>
      </c>
      <c r="AC941" s="19" t="s">
        <v>1497</v>
      </c>
    </row>
    <row r="942" spans="1:29" hidden="1" x14ac:dyDescent="0.25">
      <c r="A942" s="26">
        <v>4</v>
      </c>
      <c r="B942" s="19" t="s">
        <v>1500</v>
      </c>
      <c r="C942" s="44" t="s">
        <v>273</v>
      </c>
      <c r="D942" s="19" t="s">
        <v>1493</v>
      </c>
      <c r="E942" s="19">
        <v>12</v>
      </c>
      <c r="F942" s="19">
        <v>238</v>
      </c>
      <c r="G942" s="19">
        <v>1280</v>
      </c>
      <c r="H942" s="19">
        <v>1</v>
      </c>
      <c r="I942" s="80">
        <v>28.7</v>
      </c>
      <c r="J942" s="80">
        <v>28.7</v>
      </c>
      <c r="K942" s="19" t="s">
        <v>184</v>
      </c>
      <c r="L942" s="19" t="s">
        <v>1494</v>
      </c>
      <c r="O942" s="19" t="s">
        <v>138</v>
      </c>
      <c r="Q942" s="20">
        <v>20</v>
      </c>
      <c r="R942" s="65" t="s">
        <v>1495</v>
      </c>
      <c r="T942" s="19" t="s">
        <v>307</v>
      </c>
      <c r="V942" s="19" t="s">
        <v>178</v>
      </c>
      <c r="Z942" s="44" t="s">
        <v>1496</v>
      </c>
      <c r="AA942" s="44" t="s">
        <v>180</v>
      </c>
      <c r="AC942" s="19" t="s">
        <v>1497</v>
      </c>
    </row>
    <row r="943" spans="1:29" hidden="1" x14ac:dyDescent="0.25">
      <c r="A943" s="26">
        <v>5</v>
      </c>
      <c r="B943" s="19" t="s">
        <v>1501</v>
      </c>
      <c r="C943" s="44" t="s">
        <v>273</v>
      </c>
      <c r="D943" s="19" t="s">
        <v>1493</v>
      </c>
      <c r="E943" s="19">
        <v>12</v>
      </c>
      <c r="F943" s="19">
        <v>238</v>
      </c>
      <c r="G943" s="19">
        <v>1280</v>
      </c>
      <c r="H943" s="19">
        <v>1</v>
      </c>
      <c r="I943" s="80">
        <v>28.7</v>
      </c>
      <c r="J943" s="80">
        <v>28.7</v>
      </c>
      <c r="K943" s="19" t="s">
        <v>184</v>
      </c>
      <c r="L943" s="19" t="s">
        <v>1494</v>
      </c>
      <c r="O943" s="19" t="s">
        <v>138</v>
      </c>
      <c r="Q943" s="20">
        <v>20</v>
      </c>
      <c r="R943" s="65" t="s">
        <v>1495</v>
      </c>
      <c r="T943" s="19" t="s">
        <v>307</v>
      </c>
      <c r="V943" s="19" t="s">
        <v>178</v>
      </c>
      <c r="Z943" s="44" t="s">
        <v>1496</v>
      </c>
      <c r="AA943" s="44" t="s">
        <v>180</v>
      </c>
      <c r="AC943" s="19" t="s">
        <v>1497</v>
      </c>
    </row>
    <row r="944" spans="1:29" hidden="1" x14ac:dyDescent="0.25">
      <c r="A944" s="26">
        <v>6</v>
      </c>
      <c r="B944" s="19" t="s">
        <v>1502</v>
      </c>
      <c r="C944" s="44" t="s">
        <v>273</v>
      </c>
      <c r="D944" s="19" t="s">
        <v>1493</v>
      </c>
      <c r="E944" s="19">
        <v>12</v>
      </c>
      <c r="F944" s="19">
        <v>238</v>
      </c>
      <c r="G944" s="19">
        <v>1280</v>
      </c>
      <c r="H944" s="19">
        <v>1</v>
      </c>
      <c r="I944" s="80">
        <v>28.7</v>
      </c>
      <c r="J944" s="80">
        <v>28.7</v>
      </c>
      <c r="K944" s="19" t="s">
        <v>184</v>
      </c>
      <c r="L944" s="19" t="s">
        <v>1494</v>
      </c>
      <c r="O944" s="19" t="s">
        <v>138</v>
      </c>
      <c r="Q944" s="20">
        <v>20</v>
      </c>
      <c r="R944" s="65" t="s">
        <v>1495</v>
      </c>
      <c r="T944" s="19" t="s">
        <v>307</v>
      </c>
      <c r="V944" s="19" t="s">
        <v>178</v>
      </c>
      <c r="Z944" s="44" t="s">
        <v>1496</v>
      </c>
      <c r="AA944" s="44" t="s">
        <v>180</v>
      </c>
      <c r="AC944" s="19" t="s">
        <v>1497</v>
      </c>
    </row>
    <row r="945" spans="1:29" hidden="1" x14ac:dyDescent="0.25">
      <c r="A945" s="26">
        <v>7</v>
      </c>
      <c r="B945" s="19" t="s">
        <v>1503</v>
      </c>
      <c r="C945" s="44" t="s">
        <v>273</v>
      </c>
      <c r="D945" s="19" t="s">
        <v>1493</v>
      </c>
      <c r="E945" s="19">
        <v>12</v>
      </c>
      <c r="F945" s="19">
        <v>238</v>
      </c>
      <c r="G945" s="19">
        <v>1280</v>
      </c>
      <c r="H945" s="19">
        <v>1</v>
      </c>
      <c r="I945" s="80">
        <v>28.7</v>
      </c>
      <c r="J945" s="80">
        <v>28.7</v>
      </c>
      <c r="K945" s="19" t="s">
        <v>184</v>
      </c>
      <c r="L945" s="19" t="s">
        <v>1494</v>
      </c>
      <c r="O945" s="19" t="s">
        <v>138</v>
      </c>
      <c r="Q945" s="20">
        <v>20</v>
      </c>
      <c r="R945" s="65" t="s">
        <v>1495</v>
      </c>
      <c r="T945" s="19" t="s">
        <v>307</v>
      </c>
      <c r="V945" s="19" t="s">
        <v>178</v>
      </c>
      <c r="Z945" s="44" t="s">
        <v>1496</v>
      </c>
      <c r="AA945" s="44" t="s">
        <v>180</v>
      </c>
      <c r="AC945" s="19" t="s">
        <v>1497</v>
      </c>
    </row>
    <row r="946" spans="1:29" hidden="1" x14ac:dyDescent="0.25">
      <c r="A946" s="26">
        <v>8</v>
      </c>
      <c r="B946" s="19" t="s">
        <v>1504</v>
      </c>
      <c r="C946" s="44" t="s">
        <v>273</v>
      </c>
      <c r="D946" s="19" t="s">
        <v>1493</v>
      </c>
      <c r="E946" s="19">
        <v>12</v>
      </c>
      <c r="F946" s="19">
        <v>238</v>
      </c>
      <c r="G946" s="19">
        <v>1280</v>
      </c>
      <c r="H946" s="19">
        <v>1</v>
      </c>
      <c r="I946" s="80">
        <v>28.7</v>
      </c>
      <c r="J946" s="80">
        <v>28.7</v>
      </c>
      <c r="K946" s="19" t="s">
        <v>184</v>
      </c>
      <c r="L946" s="19" t="s">
        <v>1494</v>
      </c>
      <c r="O946" s="19" t="s">
        <v>138</v>
      </c>
      <c r="Q946" s="20">
        <v>20</v>
      </c>
      <c r="R946" s="65" t="s">
        <v>1495</v>
      </c>
      <c r="T946" s="19" t="s">
        <v>307</v>
      </c>
      <c r="V946" s="19" t="s">
        <v>178</v>
      </c>
      <c r="Z946" s="44" t="s">
        <v>1496</v>
      </c>
      <c r="AA946" s="44" t="s">
        <v>180</v>
      </c>
      <c r="AC946" s="19" t="s">
        <v>1497</v>
      </c>
    </row>
    <row r="947" spans="1:29" hidden="1" x14ac:dyDescent="0.25">
      <c r="A947" s="26">
        <v>9</v>
      </c>
      <c r="B947" s="19" t="s">
        <v>1505</v>
      </c>
      <c r="C947" s="44" t="s">
        <v>273</v>
      </c>
      <c r="D947" s="19" t="s">
        <v>1493</v>
      </c>
      <c r="E947" s="19">
        <v>12</v>
      </c>
      <c r="F947" s="19">
        <v>238</v>
      </c>
      <c r="G947" s="19">
        <v>1280</v>
      </c>
      <c r="H947" s="19">
        <v>1</v>
      </c>
      <c r="I947" s="80">
        <v>28.7</v>
      </c>
      <c r="J947" s="80">
        <v>28.7</v>
      </c>
      <c r="K947" s="19" t="s">
        <v>184</v>
      </c>
      <c r="L947" s="19" t="s">
        <v>1494</v>
      </c>
      <c r="O947" s="19" t="s">
        <v>138</v>
      </c>
      <c r="Q947" s="20">
        <v>20</v>
      </c>
      <c r="R947" s="65" t="s">
        <v>1495</v>
      </c>
      <c r="T947" s="19" t="s">
        <v>307</v>
      </c>
      <c r="V947" s="19" t="s">
        <v>178</v>
      </c>
      <c r="Z947" s="44" t="s">
        <v>1496</v>
      </c>
      <c r="AA947" s="44" t="s">
        <v>180</v>
      </c>
      <c r="AC947" s="19" t="s">
        <v>1497</v>
      </c>
    </row>
    <row r="948" spans="1:29" hidden="1" x14ac:dyDescent="0.25">
      <c r="A948" s="26">
        <v>10</v>
      </c>
      <c r="B948" s="19" t="s">
        <v>1506</v>
      </c>
      <c r="C948" s="44" t="s">
        <v>273</v>
      </c>
      <c r="D948" s="19" t="s">
        <v>1493</v>
      </c>
      <c r="E948" s="19">
        <v>12</v>
      </c>
      <c r="F948" s="19">
        <v>238</v>
      </c>
      <c r="G948" s="19">
        <v>1280</v>
      </c>
      <c r="H948" s="19">
        <v>1</v>
      </c>
      <c r="I948" s="80">
        <v>28.7</v>
      </c>
      <c r="J948" s="80">
        <v>28.7</v>
      </c>
      <c r="K948" s="19" t="s">
        <v>184</v>
      </c>
      <c r="L948" s="19" t="s">
        <v>1494</v>
      </c>
      <c r="O948" s="19" t="s">
        <v>138</v>
      </c>
      <c r="Q948" s="20">
        <v>20</v>
      </c>
      <c r="R948" s="65" t="s">
        <v>1495</v>
      </c>
      <c r="T948" s="19" t="s">
        <v>307</v>
      </c>
      <c r="V948" s="19" t="s">
        <v>178</v>
      </c>
      <c r="Z948" s="44" t="s">
        <v>1496</v>
      </c>
      <c r="AA948" s="44" t="s">
        <v>180</v>
      </c>
      <c r="AC948" s="19" t="s">
        <v>1497</v>
      </c>
    </row>
    <row r="949" spans="1:29" hidden="1" x14ac:dyDescent="0.25">
      <c r="A949" s="26">
        <v>11</v>
      </c>
      <c r="B949" s="19" t="s">
        <v>1507</v>
      </c>
      <c r="C949" s="44" t="s">
        <v>273</v>
      </c>
      <c r="D949" s="19" t="s">
        <v>1493</v>
      </c>
      <c r="E949" s="19">
        <v>12</v>
      </c>
      <c r="F949" s="19">
        <v>238</v>
      </c>
      <c r="G949" s="19">
        <v>1280</v>
      </c>
      <c r="H949" s="19">
        <v>1</v>
      </c>
      <c r="I949" s="80">
        <v>28.7</v>
      </c>
      <c r="J949" s="80">
        <v>28.7</v>
      </c>
      <c r="K949" s="19" t="s">
        <v>184</v>
      </c>
      <c r="L949" s="19" t="s">
        <v>1494</v>
      </c>
      <c r="O949" s="19" t="s">
        <v>138</v>
      </c>
      <c r="Q949" s="20">
        <v>20</v>
      </c>
      <c r="R949" s="65" t="s">
        <v>1495</v>
      </c>
      <c r="T949" s="19" t="s">
        <v>307</v>
      </c>
      <c r="V949" s="19" t="s">
        <v>178</v>
      </c>
      <c r="Z949" s="44" t="s">
        <v>1496</v>
      </c>
      <c r="AA949" s="44" t="s">
        <v>180</v>
      </c>
      <c r="AC949" s="19" t="s">
        <v>1497</v>
      </c>
    </row>
    <row r="950" spans="1:29" hidden="1" x14ac:dyDescent="0.25">
      <c r="A950" s="26">
        <v>12</v>
      </c>
      <c r="B950" s="19" t="s">
        <v>1508</v>
      </c>
      <c r="C950" s="44" t="s">
        <v>273</v>
      </c>
      <c r="D950" s="19" t="s">
        <v>1493</v>
      </c>
      <c r="E950" s="19">
        <v>12</v>
      </c>
      <c r="F950" s="19">
        <v>238</v>
      </c>
      <c r="G950" s="19">
        <v>1280</v>
      </c>
      <c r="H950" s="19">
        <v>1</v>
      </c>
      <c r="I950" s="80">
        <v>28.7</v>
      </c>
      <c r="J950" s="80">
        <v>28.7</v>
      </c>
      <c r="K950" s="19" t="s">
        <v>184</v>
      </c>
      <c r="L950" s="19" t="s">
        <v>1494</v>
      </c>
      <c r="O950" s="19" t="s">
        <v>138</v>
      </c>
      <c r="Q950" s="20">
        <v>20</v>
      </c>
      <c r="R950" s="65" t="s">
        <v>1495</v>
      </c>
      <c r="T950" s="19" t="s">
        <v>307</v>
      </c>
      <c r="V950" s="19" t="s">
        <v>178</v>
      </c>
      <c r="Z950" s="44" t="s">
        <v>1496</v>
      </c>
      <c r="AA950" s="44" t="s">
        <v>180</v>
      </c>
      <c r="AC950" s="19" t="s">
        <v>1497</v>
      </c>
    </row>
    <row r="951" spans="1:29" hidden="1" x14ac:dyDescent="0.25">
      <c r="A951" s="26">
        <v>13</v>
      </c>
      <c r="B951" s="19" t="s">
        <v>1509</v>
      </c>
      <c r="C951" s="44" t="s">
        <v>273</v>
      </c>
      <c r="D951" s="19" t="s">
        <v>1493</v>
      </c>
      <c r="E951" s="19">
        <v>12</v>
      </c>
      <c r="F951" s="19">
        <v>238</v>
      </c>
      <c r="G951" s="19">
        <v>1280</v>
      </c>
      <c r="H951" s="19">
        <v>1</v>
      </c>
      <c r="I951" s="80">
        <v>28.7</v>
      </c>
      <c r="J951" s="80">
        <v>28.7</v>
      </c>
      <c r="K951" s="19" t="s">
        <v>184</v>
      </c>
      <c r="L951" s="19" t="s">
        <v>1494</v>
      </c>
      <c r="O951" s="19" t="s">
        <v>138</v>
      </c>
      <c r="Q951" s="20">
        <v>20</v>
      </c>
      <c r="R951" s="65" t="s">
        <v>1495</v>
      </c>
      <c r="T951" s="19" t="s">
        <v>307</v>
      </c>
      <c r="V951" s="19" t="s">
        <v>178</v>
      </c>
      <c r="Z951" s="44" t="s">
        <v>1496</v>
      </c>
      <c r="AA951" s="44" t="s">
        <v>180</v>
      </c>
      <c r="AC951" s="19" t="s">
        <v>1497</v>
      </c>
    </row>
    <row r="952" spans="1:29" hidden="1" x14ac:dyDescent="0.25">
      <c r="A952" s="26">
        <v>14</v>
      </c>
      <c r="B952" s="19" t="s">
        <v>1510</v>
      </c>
      <c r="C952" s="44" t="s">
        <v>273</v>
      </c>
      <c r="D952" s="19" t="s">
        <v>1493</v>
      </c>
      <c r="E952" s="19">
        <v>12</v>
      </c>
      <c r="F952" s="19">
        <v>238</v>
      </c>
      <c r="G952" s="19">
        <v>1280</v>
      </c>
      <c r="H952" s="19">
        <v>1</v>
      </c>
      <c r="I952" s="80">
        <v>28.7</v>
      </c>
      <c r="J952" s="80">
        <v>28.7</v>
      </c>
      <c r="K952" s="19" t="s">
        <v>184</v>
      </c>
      <c r="L952" s="19" t="s">
        <v>1494</v>
      </c>
      <c r="O952" s="19" t="s">
        <v>138</v>
      </c>
      <c r="Q952" s="20">
        <v>20</v>
      </c>
      <c r="R952" s="65" t="s">
        <v>1495</v>
      </c>
      <c r="T952" s="19" t="s">
        <v>307</v>
      </c>
      <c r="V952" s="19" t="s">
        <v>178</v>
      </c>
      <c r="Z952" s="44" t="s">
        <v>1496</v>
      </c>
      <c r="AA952" s="44" t="s">
        <v>180</v>
      </c>
      <c r="AC952" s="19" t="s">
        <v>1497</v>
      </c>
    </row>
    <row r="953" spans="1:29" hidden="1" x14ac:dyDescent="0.25">
      <c r="A953" s="26">
        <v>15</v>
      </c>
      <c r="B953" s="19" t="s">
        <v>1511</v>
      </c>
      <c r="C953" s="44" t="s">
        <v>273</v>
      </c>
      <c r="D953" s="19" t="s">
        <v>1493</v>
      </c>
      <c r="E953" s="19">
        <v>12</v>
      </c>
      <c r="F953" s="19">
        <v>238</v>
      </c>
      <c r="G953" s="19">
        <v>1280</v>
      </c>
      <c r="H953" s="19">
        <v>1</v>
      </c>
      <c r="I953" s="80">
        <v>28.7</v>
      </c>
      <c r="J953" s="80">
        <v>28.7</v>
      </c>
      <c r="K953" s="19" t="s">
        <v>184</v>
      </c>
      <c r="L953" s="19" t="s">
        <v>1494</v>
      </c>
      <c r="O953" s="19" t="s">
        <v>138</v>
      </c>
      <c r="Q953" s="20">
        <v>20</v>
      </c>
      <c r="R953" s="65" t="s">
        <v>1495</v>
      </c>
      <c r="T953" s="19" t="s">
        <v>307</v>
      </c>
      <c r="V953" s="19" t="s">
        <v>178</v>
      </c>
      <c r="Z953" s="44" t="s">
        <v>1496</v>
      </c>
      <c r="AA953" s="44" t="s">
        <v>180</v>
      </c>
      <c r="AC953" s="19" t="s">
        <v>1497</v>
      </c>
    </row>
    <row r="954" spans="1:29" hidden="1" x14ac:dyDescent="0.25">
      <c r="A954" s="26">
        <v>16</v>
      </c>
      <c r="B954" s="19" t="s">
        <v>1512</v>
      </c>
      <c r="C954" s="44" t="s">
        <v>273</v>
      </c>
      <c r="D954" s="19" t="s">
        <v>1493</v>
      </c>
      <c r="E954" s="19">
        <v>12</v>
      </c>
      <c r="F954" s="19">
        <v>238</v>
      </c>
      <c r="G954" s="19">
        <v>1280</v>
      </c>
      <c r="H954" s="19">
        <v>1</v>
      </c>
      <c r="I954" s="80">
        <v>28.7</v>
      </c>
      <c r="J954" s="80">
        <v>28.7</v>
      </c>
      <c r="K954" s="19" t="s">
        <v>184</v>
      </c>
      <c r="L954" s="19" t="s">
        <v>1494</v>
      </c>
      <c r="O954" s="19" t="s">
        <v>138</v>
      </c>
      <c r="Q954" s="20">
        <v>20</v>
      </c>
      <c r="R954" s="65" t="s">
        <v>1495</v>
      </c>
      <c r="T954" s="19" t="s">
        <v>307</v>
      </c>
      <c r="V954" s="19" t="s">
        <v>178</v>
      </c>
      <c r="Z954" s="44" t="s">
        <v>1496</v>
      </c>
      <c r="AA954" s="44" t="s">
        <v>180</v>
      </c>
      <c r="AC954" s="19" t="s">
        <v>1497</v>
      </c>
    </row>
    <row r="955" spans="1:29" hidden="1" x14ac:dyDescent="0.25">
      <c r="A955" s="26">
        <v>17</v>
      </c>
      <c r="B955" s="19" t="s">
        <v>1513</v>
      </c>
      <c r="C955" s="44" t="s">
        <v>273</v>
      </c>
      <c r="D955" s="19" t="s">
        <v>1493</v>
      </c>
      <c r="E955" s="19">
        <v>12</v>
      </c>
      <c r="F955" s="19">
        <v>238</v>
      </c>
      <c r="G955" s="19">
        <v>1280</v>
      </c>
      <c r="H955" s="19">
        <v>1</v>
      </c>
      <c r="I955" s="80">
        <v>28.7</v>
      </c>
      <c r="J955" s="80">
        <v>28.7</v>
      </c>
      <c r="K955" s="19" t="s">
        <v>184</v>
      </c>
      <c r="L955" s="19" t="s">
        <v>1494</v>
      </c>
      <c r="O955" s="19" t="s">
        <v>138</v>
      </c>
      <c r="Q955" s="20">
        <v>20</v>
      </c>
      <c r="R955" s="65" t="s">
        <v>1495</v>
      </c>
      <c r="T955" s="19" t="s">
        <v>307</v>
      </c>
      <c r="V955" s="19" t="s">
        <v>178</v>
      </c>
      <c r="Z955" s="44" t="s">
        <v>1496</v>
      </c>
      <c r="AA955" s="44" t="s">
        <v>180</v>
      </c>
      <c r="AC955" s="19" t="s">
        <v>1497</v>
      </c>
    </row>
    <row r="956" spans="1:29" hidden="1" x14ac:dyDescent="0.25">
      <c r="A956" s="26">
        <v>18</v>
      </c>
      <c r="B956" s="19" t="s">
        <v>1514</v>
      </c>
      <c r="C956" s="44" t="s">
        <v>273</v>
      </c>
      <c r="D956" s="19" t="s">
        <v>1493</v>
      </c>
      <c r="E956" s="19">
        <v>12</v>
      </c>
      <c r="F956" s="19">
        <v>238</v>
      </c>
      <c r="G956" s="19">
        <v>1280</v>
      </c>
      <c r="H956" s="19">
        <v>1</v>
      </c>
      <c r="I956" s="80">
        <v>28.7</v>
      </c>
      <c r="J956" s="80">
        <v>28.7</v>
      </c>
      <c r="K956" s="19" t="s">
        <v>184</v>
      </c>
      <c r="L956" s="19" t="s">
        <v>1494</v>
      </c>
      <c r="O956" s="19" t="s">
        <v>138</v>
      </c>
      <c r="Q956" s="20">
        <v>20</v>
      </c>
      <c r="R956" s="65" t="s">
        <v>1495</v>
      </c>
      <c r="T956" s="19" t="s">
        <v>307</v>
      </c>
      <c r="V956" s="19" t="s">
        <v>178</v>
      </c>
      <c r="Z956" s="44" t="s">
        <v>1496</v>
      </c>
      <c r="AA956" s="44" t="s">
        <v>180</v>
      </c>
      <c r="AC956" s="19" t="s">
        <v>1497</v>
      </c>
    </row>
    <row r="957" spans="1:29" hidden="1" x14ac:dyDescent="0.25">
      <c r="A957" s="26">
        <v>19</v>
      </c>
      <c r="B957" s="19" t="s">
        <v>1515</v>
      </c>
      <c r="C957" s="44" t="s">
        <v>273</v>
      </c>
      <c r="D957" s="19" t="s">
        <v>1493</v>
      </c>
      <c r="E957" s="19">
        <v>12</v>
      </c>
      <c r="F957" s="19">
        <v>238</v>
      </c>
      <c r="G957" s="19">
        <v>1280</v>
      </c>
      <c r="H957" s="19">
        <v>1</v>
      </c>
      <c r="I957" s="80">
        <v>28.7</v>
      </c>
      <c r="J957" s="80">
        <v>28.7</v>
      </c>
      <c r="K957" s="19" t="s">
        <v>184</v>
      </c>
      <c r="L957" s="19" t="s">
        <v>1494</v>
      </c>
      <c r="O957" s="19" t="s">
        <v>138</v>
      </c>
      <c r="Q957" s="20">
        <v>20</v>
      </c>
      <c r="R957" s="65" t="s">
        <v>1495</v>
      </c>
      <c r="T957" s="19" t="s">
        <v>307</v>
      </c>
      <c r="V957" s="19" t="s">
        <v>178</v>
      </c>
      <c r="Z957" s="44" t="s">
        <v>1496</v>
      </c>
      <c r="AA957" s="44" t="s">
        <v>180</v>
      </c>
      <c r="AC957" s="19" t="s">
        <v>1497</v>
      </c>
    </row>
    <row r="958" spans="1:29" hidden="1" x14ac:dyDescent="0.25">
      <c r="A958" s="26">
        <v>20</v>
      </c>
      <c r="B958" s="19" t="s">
        <v>1516</v>
      </c>
      <c r="C958" s="44" t="s">
        <v>273</v>
      </c>
      <c r="D958" s="19" t="s">
        <v>1493</v>
      </c>
      <c r="E958" s="19">
        <v>12</v>
      </c>
      <c r="F958" s="19">
        <v>238</v>
      </c>
      <c r="G958" s="19">
        <v>1280</v>
      </c>
      <c r="H958" s="19">
        <v>1</v>
      </c>
      <c r="I958" s="80">
        <v>28.7</v>
      </c>
      <c r="J958" s="80">
        <v>28.7</v>
      </c>
      <c r="K958" s="19" t="s">
        <v>184</v>
      </c>
      <c r="L958" s="19" t="s">
        <v>1494</v>
      </c>
      <c r="O958" s="19" t="s">
        <v>138</v>
      </c>
      <c r="Q958" s="20">
        <v>20</v>
      </c>
      <c r="R958" s="65" t="s">
        <v>1495</v>
      </c>
      <c r="T958" s="19" t="s">
        <v>307</v>
      </c>
      <c r="V958" s="19" t="s">
        <v>178</v>
      </c>
      <c r="Z958" s="44" t="s">
        <v>1496</v>
      </c>
      <c r="AA958" s="44" t="s">
        <v>180</v>
      </c>
      <c r="AC958" s="19" t="s">
        <v>1497</v>
      </c>
    </row>
    <row r="959" spans="1:29" hidden="1" x14ac:dyDescent="0.25">
      <c r="A959" s="26">
        <v>21</v>
      </c>
      <c r="B959" s="19" t="s">
        <v>1517</v>
      </c>
      <c r="C959" s="44" t="s">
        <v>273</v>
      </c>
      <c r="D959" s="19" t="s">
        <v>1493</v>
      </c>
      <c r="E959" s="19">
        <v>12</v>
      </c>
      <c r="F959" s="19">
        <v>238</v>
      </c>
      <c r="G959" s="19">
        <v>1280</v>
      </c>
      <c r="H959" s="19">
        <v>1</v>
      </c>
      <c r="I959" s="80">
        <v>28.7</v>
      </c>
      <c r="J959" s="80">
        <v>28.7</v>
      </c>
      <c r="K959" s="19" t="s">
        <v>184</v>
      </c>
      <c r="L959" s="19" t="s">
        <v>1494</v>
      </c>
      <c r="O959" s="19" t="s">
        <v>138</v>
      </c>
      <c r="Q959" s="20">
        <v>20</v>
      </c>
      <c r="R959" s="65" t="s">
        <v>1495</v>
      </c>
      <c r="T959" s="19" t="s">
        <v>307</v>
      </c>
      <c r="V959" s="19" t="s">
        <v>178</v>
      </c>
      <c r="Z959" s="44" t="s">
        <v>1496</v>
      </c>
      <c r="AA959" s="44" t="s">
        <v>180</v>
      </c>
      <c r="AC959" s="19" t="s">
        <v>1497</v>
      </c>
    </row>
    <row r="960" spans="1:29" hidden="1" x14ac:dyDescent="0.25">
      <c r="A960" s="26">
        <v>22</v>
      </c>
      <c r="B960" s="19" t="s">
        <v>1518</v>
      </c>
      <c r="C960" s="44" t="s">
        <v>273</v>
      </c>
      <c r="D960" s="19" t="s">
        <v>1493</v>
      </c>
      <c r="E960" s="19">
        <v>12</v>
      </c>
      <c r="F960" s="19">
        <v>238</v>
      </c>
      <c r="G960" s="19">
        <v>1280</v>
      </c>
      <c r="H960" s="19">
        <v>1</v>
      </c>
      <c r="I960" s="80">
        <v>28.7</v>
      </c>
      <c r="J960" s="80">
        <v>28.7</v>
      </c>
      <c r="K960" s="19" t="s">
        <v>184</v>
      </c>
      <c r="L960" s="19" t="s">
        <v>1494</v>
      </c>
      <c r="O960" s="19" t="s">
        <v>138</v>
      </c>
      <c r="Q960" s="20">
        <v>20</v>
      </c>
      <c r="R960" s="65" t="s">
        <v>1495</v>
      </c>
      <c r="T960" s="19" t="s">
        <v>307</v>
      </c>
      <c r="V960" s="19" t="s">
        <v>178</v>
      </c>
      <c r="Z960" s="44" t="s">
        <v>1496</v>
      </c>
      <c r="AA960" s="44" t="s">
        <v>180</v>
      </c>
      <c r="AC960" s="19" t="s">
        <v>1497</v>
      </c>
    </row>
    <row r="961" spans="1:29" hidden="1" x14ac:dyDescent="0.25">
      <c r="A961" s="26">
        <v>23</v>
      </c>
      <c r="B961" s="19" t="s">
        <v>1519</v>
      </c>
      <c r="C961" s="44" t="s">
        <v>273</v>
      </c>
      <c r="D961" s="19" t="s">
        <v>1493</v>
      </c>
      <c r="E961" s="19">
        <v>12</v>
      </c>
      <c r="F961" s="19">
        <v>238</v>
      </c>
      <c r="G961" s="19">
        <v>1280</v>
      </c>
      <c r="H961" s="19">
        <v>1</v>
      </c>
      <c r="I961" s="80">
        <v>28.7</v>
      </c>
      <c r="J961" s="80">
        <v>28.7</v>
      </c>
      <c r="K961" s="19" t="s">
        <v>184</v>
      </c>
      <c r="L961" s="19" t="s">
        <v>1494</v>
      </c>
      <c r="O961" s="19" t="s">
        <v>138</v>
      </c>
      <c r="Q961" s="20">
        <v>20</v>
      </c>
      <c r="R961" s="65" t="s">
        <v>1495</v>
      </c>
      <c r="T961" s="19" t="s">
        <v>307</v>
      </c>
      <c r="V961" s="19" t="s">
        <v>178</v>
      </c>
      <c r="Z961" s="44" t="s">
        <v>1496</v>
      </c>
      <c r="AA961" s="44" t="s">
        <v>180</v>
      </c>
      <c r="AC961" s="19" t="s">
        <v>1497</v>
      </c>
    </row>
    <row r="962" spans="1:29" hidden="1" x14ac:dyDescent="0.25">
      <c r="A962" s="26">
        <v>24</v>
      </c>
      <c r="B962" s="19" t="s">
        <v>1520</v>
      </c>
      <c r="C962" s="44" t="s">
        <v>273</v>
      </c>
      <c r="D962" s="19" t="s">
        <v>1493</v>
      </c>
      <c r="E962" s="19">
        <v>12</v>
      </c>
      <c r="F962" s="19">
        <v>238</v>
      </c>
      <c r="G962" s="19">
        <v>1280</v>
      </c>
      <c r="H962" s="19">
        <v>1</v>
      </c>
      <c r="I962" s="80">
        <v>28.7</v>
      </c>
      <c r="J962" s="80">
        <v>28.7</v>
      </c>
      <c r="K962" s="19" t="s">
        <v>184</v>
      </c>
      <c r="L962" s="19" t="s">
        <v>1494</v>
      </c>
      <c r="O962" s="19" t="s">
        <v>138</v>
      </c>
      <c r="Q962" s="20">
        <v>20</v>
      </c>
      <c r="R962" s="65" t="s">
        <v>1495</v>
      </c>
      <c r="T962" s="19" t="s">
        <v>307</v>
      </c>
      <c r="V962" s="19" t="s">
        <v>178</v>
      </c>
      <c r="Z962" s="44" t="s">
        <v>1496</v>
      </c>
      <c r="AA962" s="44" t="s">
        <v>180</v>
      </c>
      <c r="AC962" s="19" t="s">
        <v>1497</v>
      </c>
    </row>
    <row r="963" spans="1:29" hidden="1" x14ac:dyDescent="0.25">
      <c r="A963" s="26">
        <v>25</v>
      </c>
      <c r="B963" s="19" t="s">
        <v>1521</v>
      </c>
      <c r="C963" s="44" t="s">
        <v>273</v>
      </c>
      <c r="D963" s="19" t="s">
        <v>1493</v>
      </c>
      <c r="E963" s="19">
        <v>12</v>
      </c>
      <c r="F963" s="19">
        <v>238</v>
      </c>
      <c r="G963" s="19">
        <v>1280</v>
      </c>
      <c r="H963" s="19">
        <v>1</v>
      </c>
      <c r="I963" s="80">
        <v>28.7</v>
      </c>
      <c r="J963" s="80">
        <v>28.7</v>
      </c>
      <c r="K963" s="19" t="s">
        <v>184</v>
      </c>
      <c r="L963" s="19" t="s">
        <v>1494</v>
      </c>
      <c r="O963" s="19" t="s">
        <v>138</v>
      </c>
      <c r="Q963" s="20">
        <v>20</v>
      </c>
      <c r="R963" s="65" t="s">
        <v>1495</v>
      </c>
      <c r="T963" s="19" t="s">
        <v>307</v>
      </c>
      <c r="V963" s="19" t="s">
        <v>178</v>
      </c>
      <c r="Z963" s="44" t="s">
        <v>1496</v>
      </c>
      <c r="AA963" s="44" t="s">
        <v>180</v>
      </c>
      <c r="AC963" s="19" t="s">
        <v>1497</v>
      </c>
    </row>
    <row r="964" spans="1:29" hidden="1" x14ac:dyDescent="0.25">
      <c r="A964" s="26">
        <v>26</v>
      </c>
      <c r="B964" s="19" t="s">
        <v>1522</v>
      </c>
      <c r="C964" s="44" t="s">
        <v>273</v>
      </c>
      <c r="D964" s="19" t="s">
        <v>1493</v>
      </c>
      <c r="E964" s="19">
        <v>12</v>
      </c>
      <c r="F964" s="19">
        <v>238</v>
      </c>
      <c r="G964" s="19">
        <v>1280</v>
      </c>
      <c r="H964" s="19">
        <v>1</v>
      </c>
      <c r="I964" s="80">
        <v>28.7</v>
      </c>
      <c r="J964" s="80">
        <v>28.7</v>
      </c>
      <c r="K964" s="19" t="s">
        <v>184</v>
      </c>
      <c r="L964" s="19" t="s">
        <v>1494</v>
      </c>
      <c r="O964" s="19" t="s">
        <v>138</v>
      </c>
      <c r="Q964" s="20">
        <v>20</v>
      </c>
      <c r="R964" s="65" t="s">
        <v>1495</v>
      </c>
      <c r="T964" s="19" t="s">
        <v>307</v>
      </c>
      <c r="V964" s="19" t="s">
        <v>178</v>
      </c>
      <c r="Z964" s="44" t="s">
        <v>1496</v>
      </c>
      <c r="AA964" s="44" t="s">
        <v>180</v>
      </c>
      <c r="AC964" s="19" t="s">
        <v>1497</v>
      </c>
    </row>
    <row r="965" spans="1:29" hidden="1" x14ac:dyDescent="0.25">
      <c r="A965" s="26">
        <v>27</v>
      </c>
      <c r="B965" s="19" t="s">
        <v>1523</v>
      </c>
      <c r="C965" s="44" t="s">
        <v>273</v>
      </c>
      <c r="D965" s="19" t="s">
        <v>1493</v>
      </c>
      <c r="E965" s="19">
        <v>12</v>
      </c>
      <c r="F965" s="19">
        <v>238</v>
      </c>
      <c r="G965" s="19">
        <v>1280</v>
      </c>
      <c r="H965" s="19">
        <v>1</v>
      </c>
      <c r="I965" s="80">
        <v>28.7</v>
      </c>
      <c r="J965" s="80">
        <v>28.7</v>
      </c>
      <c r="K965" s="19" t="s">
        <v>184</v>
      </c>
      <c r="L965" s="19" t="s">
        <v>1494</v>
      </c>
      <c r="O965" s="19" t="s">
        <v>138</v>
      </c>
      <c r="Q965" s="20">
        <v>20</v>
      </c>
      <c r="R965" s="65" t="s">
        <v>1495</v>
      </c>
      <c r="T965" s="19" t="s">
        <v>307</v>
      </c>
      <c r="V965" s="19" t="s">
        <v>178</v>
      </c>
      <c r="Z965" s="44" t="s">
        <v>1496</v>
      </c>
      <c r="AA965" s="44" t="s">
        <v>180</v>
      </c>
      <c r="AC965" s="19" t="s">
        <v>1497</v>
      </c>
    </row>
    <row r="966" spans="1:29" hidden="1" x14ac:dyDescent="0.25">
      <c r="A966" s="26">
        <v>28</v>
      </c>
      <c r="B966" s="19" t="s">
        <v>1524</v>
      </c>
      <c r="C966" s="44" t="s">
        <v>273</v>
      </c>
      <c r="D966" s="19" t="s">
        <v>1493</v>
      </c>
      <c r="E966" s="19">
        <v>12</v>
      </c>
      <c r="F966" s="19">
        <v>238</v>
      </c>
      <c r="G966" s="19">
        <v>1280</v>
      </c>
      <c r="H966" s="19">
        <v>1</v>
      </c>
      <c r="I966" s="80">
        <v>28.7</v>
      </c>
      <c r="J966" s="80">
        <v>28.7</v>
      </c>
      <c r="K966" s="19" t="s">
        <v>184</v>
      </c>
      <c r="L966" s="19" t="s">
        <v>1494</v>
      </c>
      <c r="O966" s="19" t="s">
        <v>138</v>
      </c>
      <c r="Q966" s="20">
        <v>20</v>
      </c>
      <c r="R966" s="65" t="s">
        <v>1495</v>
      </c>
      <c r="T966" s="19" t="s">
        <v>307</v>
      </c>
      <c r="V966" s="19" t="s">
        <v>178</v>
      </c>
      <c r="Z966" s="44" t="s">
        <v>1496</v>
      </c>
      <c r="AA966" s="44" t="s">
        <v>180</v>
      </c>
      <c r="AC966" s="19" t="s">
        <v>1497</v>
      </c>
    </row>
    <row r="967" spans="1:29" hidden="1" x14ac:dyDescent="0.25">
      <c r="A967" s="26">
        <v>29</v>
      </c>
      <c r="B967" s="19" t="s">
        <v>1525</v>
      </c>
      <c r="C967" s="44" t="s">
        <v>273</v>
      </c>
      <c r="D967" s="19" t="s">
        <v>1493</v>
      </c>
      <c r="E967" s="19">
        <v>12</v>
      </c>
      <c r="F967" s="19">
        <v>238</v>
      </c>
      <c r="G967" s="19">
        <v>1280</v>
      </c>
      <c r="H967" s="19">
        <v>1</v>
      </c>
      <c r="I967" s="80">
        <v>28.7</v>
      </c>
      <c r="J967" s="80">
        <v>28.7</v>
      </c>
      <c r="K967" s="19" t="s">
        <v>184</v>
      </c>
      <c r="L967" s="19" t="s">
        <v>1494</v>
      </c>
      <c r="O967" s="19" t="s">
        <v>138</v>
      </c>
      <c r="Q967" s="20">
        <v>20</v>
      </c>
      <c r="R967" s="65" t="s">
        <v>1495</v>
      </c>
      <c r="T967" s="19" t="s">
        <v>307</v>
      </c>
      <c r="V967" s="19" t="s">
        <v>178</v>
      </c>
      <c r="Z967" s="44" t="s">
        <v>1496</v>
      </c>
      <c r="AA967" s="44" t="s">
        <v>180</v>
      </c>
      <c r="AC967" s="19" t="s">
        <v>1497</v>
      </c>
    </row>
    <row r="968" spans="1:29" hidden="1" x14ac:dyDescent="0.25">
      <c r="A968" s="26">
        <v>30</v>
      </c>
      <c r="B968" s="19" t="s">
        <v>1526</v>
      </c>
      <c r="C968" s="44" t="s">
        <v>273</v>
      </c>
      <c r="D968" s="19" t="s">
        <v>1493</v>
      </c>
      <c r="E968" s="19">
        <v>12</v>
      </c>
      <c r="F968" s="19">
        <v>238</v>
      </c>
      <c r="G968" s="19">
        <v>1280</v>
      </c>
      <c r="H968" s="19">
        <v>1</v>
      </c>
      <c r="I968" s="80">
        <v>28.7</v>
      </c>
      <c r="J968" s="80">
        <v>28.7</v>
      </c>
      <c r="K968" s="19" t="s">
        <v>184</v>
      </c>
      <c r="L968" s="19" t="s">
        <v>1494</v>
      </c>
      <c r="O968" s="19" t="s">
        <v>138</v>
      </c>
      <c r="Q968" s="20">
        <v>20</v>
      </c>
      <c r="R968" s="65" t="s">
        <v>1495</v>
      </c>
      <c r="T968" s="19" t="s">
        <v>307</v>
      </c>
      <c r="V968" s="19" t="s">
        <v>178</v>
      </c>
      <c r="Z968" s="44" t="s">
        <v>1496</v>
      </c>
      <c r="AA968" s="44" t="s">
        <v>180</v>
      </c>
      <c r="AC968" s="19" t="s">
        <v>1497</v>
      </c>
    </row>
    <row r="969" spans="1:29" hidden="1" x14ac:dyDescent="0.25">
      <c r="A969" s="26">
        <v>31</v>
      </c>
      <c r="B969" s="19" t="s">
        <v>1527</v>
      </c>
      <c r="C969" s="44" t="s">
        <v>273</v>
      </c>
      <c r="D969" s="19" t="s">
        <v>1493</v>
      </c>
      <c r="E969" s="19">
        <v>12</v>
      </c>
      <c r="F969" s="19">
        <v>238</v>
      </c>
      <c r="G969" s="19">
        <v>1280</v>
      </c>
      <c r="H969" s="19">
        <v>1</v>
      </c>
      <c r="I969" s="80">
        <v>28.7</v>
      </c>
      <c r="J969" s="80">
        <v>28.7</v>
      </c>
      <c r="K969" s="19" t="s">
        <v>184</v>
      </c>
      <c r="L969" s="19" t="s">
        <v>1494</v>
      </c>
      <c r="O969" s="19" t="s">
        <v>138</v>
      </c>
      <c r="Q969" s="20">
        <v>20</v>
      </c>
      <c r="R969" s="65" t="s">
        <v>1495</v>
      </c>
      <c r="T969" s="19" t="s">
        <v>307</v>
      </c>
      <c r="V969" s="19" t="s">
        <v>178</v>
      </c>
      <c r="Z969" s="44" t="s">
        <v>1496</v>
      </c>
      <c r="AA969" s="44" t="s">
        <v>180</v>
      </c>
      <c r="AC969" s="19" t="s">
        <v>1497</v>
      </c>
    </row>
    <row r="970" spans="1:29" hidden="1" x14ac:dyDescent="0.25">
      <c r="A970" s="26">
        <v>32</v>
      </c>
      <c r="B970" s="19" t="s">
        <v>1528</v>
      </c>
      <c r="C970" s="44" t="s">
        <v>273</v>
      </c>
      <c r="D970" s="19" t="s">
        <v>1493</v>
      </c>
      <c r="E970" s="19">
        <v>12</v>
      </c>
      <c r="F970" s="19">
        <v>238</v>
      </c>
      <c r="G970" s="19">
        <v>1280</v>
      </c>
      <c r="H970" s="19">
        <v>1</v>
      </c>
      <c r="I970" s="80">
        <v>28.7</v>
      </c>
      <c r="J970" s="80">
        <v>28.7</v>
      </c>
      <c r="K970" s="19" t="s">
        <v>184</v>
      </c>
      <c r="L970" s="19" t="s">
        <v>1494</v>
      </c>
      <c r="O970" s="19" t="s">
        <v>138</v>
      </c>
      <c r="Q970" s="20">
        <v>20</v>
      </c>
      <c r="R970" s="65" t="s">
        <v>1495</v>
      </c>
      <c r="T970" s="19" t="s">
        <v>307</v>
      </c>
      <c r="V970" s="19" t="s">
        <v>178</v>
      </c>
      <c r="Z970" s="44" t="s">
        <v>1496</v>
      </c>
      <c r="AA970" s="44" t="s">
        <v>180</v>
      </c>
      <c r="AC970" s="19" t="s">
        <v>1497</v>
      </c>
    </row>
    <row r="971" spans="1:29" hidden="1" x14ac:dyDescent="0.25">
      <c r="A971" s="26">
        <v>1</v>
      </c>
      <c r="B971" s="19" t="s">
        <v>1530</v>
      </c>
      <c r="C971" s="44" t="s">
        <v>273</v>
      </c>
      <c r="D971" s="19" t="s">
        <v>1493</v>
      </c>
      <c r="E971" s="19">
        <v>12</v>
      </c>
      <c r="F971" s="19">
        <v>238</v>
      </c>
      <c r="G971" s="19">
        <v>1280</v>
      </c>
      <c r="H971" s="19">
        <v>1</v>
      </c>
      <c r="I971" s="80">
        <v>28.7</v>
      </c>
      <c r="J971" s="80">
        <v>28.7</v>
      </c>
      <c r="K971" s="19" t="s">
        <v>1531</v>
      </c>
      <c r="L971" s="19" t="s">
        <v>1532</v>
      </c>
      <c r="O971" s="19" t="s">
        <v>138</v>
      </c>
      <c r="Q971" s="20">
        <v>21</v>
      </c>
      <c r="R971" s="65" t="s">
        <v>1495</v>
      </c>
      <c r="T971" s="19" t="s">
        <v>307</v>
      </c>
      <c r="V971" s="19" t="s">
        <v>178</v>
      </c>
      <c r="Z971" s="44" t="s">
        <v>1142</v>
      </c>
      <c r="AA971" s="44" t="s">
        <v>1533</v>
      </c>
      <c r="AC971" s="19" t="s">
        <v>1534</v>
      </c>
    </row>
    <row r="972" spans="1:29" hidden="1" x14ac:dyDescent="0.25">
      <c r="A972" s="26">
        <v>2</v>
      </c>
      <c r="B972" s="19" t="s">
        <v>1535</v>
      </c>
      <c r="C972" s="44" t="s">
        <v>273</v>
      </c>
      <c r="D972" s="19" t="s">
        <v>1493</v>
      </c>
      <c r="E972" s="19">
        <v>12</v>
      </c>
      <c r="F972" s="19">
        <v>238</v>
      </c>
      <c r="G972" s="19">
        <v>1280</v>
      </c>
      <c r="H972" s="19">
        <v>1</v>
      </c>
      <c r="I972" s="80">
        <v>28.7</v>
      </c>
      <c r="J972" s="80">
        <v>28.7</v>
      </c>
      <c r="K972" s="19" t="s">
        <v>1531</v>
      </c>
      <c r="L972" s="19" t="s">
        <v>1532</v>
      </c>
      <c r="O972" s="19" t="s">
        <v>138</v>
      </c>
      <c r="Q972" s="20">
        <v>21</v>
      </c>
      <c r="R972" s="65" t="s">
        <v>1495</v>
      </c>
      <c r="T972" s="19" t="s">
        <v>307</v>
      </c>
      <c r="V972" s="19" t="s">
        <v>178</v>
      </c>
      <c r="Z972" s="44" t="s">
        <v>1142</v>
      </c>
      <c r="AA972" s="44" t="s">
        <v>1533</v>
      </c>
      <c r="AC972" s="19" t="s">
        <v>1534</v>
      </c>
    </row>
    <row r="973" spans="1:29" hidden="1" x14ac:dyDescent="0.25">
      <c r="A973" s="26">
        <v>3</v>
      </c>
      <c r="B973" s="19" t="s">
        <v>1536</v>
      </c>
      <c r="C973" s="44" t="s">
        <v>273</v>
      </c>
      <c r="D973" s="19" t="s">
        <v>1493</v>
      </c>
      <c r="E973" s="19">
        <v>12</v>
      </c>
      <c r="F973" s="19">
        <v>238</v>
      </c>
      <c r="G973" s="19">
        <v>1280</v>
      </c>
      <c r="H973" s="19">
        <v>1</v>
      </c>
      <c r="I973" s="80">
        <v>28.7</v>
      </c>
      <c r="J973" s="80">
        <v>28.7</v>
      </c>
      <c r="K973" s="19" t="s">
        <v>1531</v>
      </c>
      <c r="L973" s="19" t="s">
        <v>1532</v>
      </c>
      <c r="O973" s="19" t="s">
        <v>138</v>
      </c>
      <c r="Q973" s="20">
        <v>21</v>
      </c>
      <c r="R973" s="65" t="s">
        <v>1495</v>
      </c>
      <c r="T973" s="19" t="s">
        <v>307</v>
      </c>
      <c r="V973" s="19" t="s">
        <v>178</v>
      </c>
      <c r="Z973" s="44" t="s">
        <v>1142</v>
      </c>
      <c r="AA973" s="44" t="s">
        <v>1533</v>
      </c>
      <c r="AC973" s="19" t="s">
        <v>1534</v>
      </c>
    </row>
    <row r="974" spans="1:29" hidden="1" x14ac:dyDescent="0.25">
      <c r="A974" s="26">
        <v>4</v>
      </c>
      <c r="B974" s="19" t="s">
        <v>1537</v>
      </c>
      <c r="C974" s="44" t="s">
        <v>273</v>
      </c>
      <c r="D974" s="19" t="s">
        <v>1493</v>
      </c>
      <c r="E974" s="19">
        <v>12</v>
      </c>
      <c r="F974" s="19">
        <v>238</v>
      </c>
      <c r="G974" s="19">
        <v>1280</v>
      </c>
      <c r="H974" s="19">
        <v>1</v>
      </c>
      <c r="I974" s="80">
        <v>28.7</v>
      </c>
      <c r="J974" s="80">
        <v>28.7</v>
      </c>
      <c r="K974" s="19" t="s">
        <v>1531</v>
      </c>
      <c r="L974" s="19" t="s">
        <v>1532</v>
      </c>
      <c r="O974" s="19" t="s">
        <v>138</v>
      </c>
      <c r="Q974" s="20">
        <v>21</v>
      </c>
      <c r="R974" s="65" t="s">
        <v>1495</v>
      </c>
      <c r="T974" s="19" t="s">
        <v>307</v>
      </c>
      <c r="V974" s="19" t="s">
        <v>178</v>
      </c>
      <c r="Z974" s="44" t="s">
        <v>1142</v>
      </c>
      <c r="AA974" s="44" t="s">
        <v>1533</v>
      </c>
      <c r="AC974" s="19" t="s">
        <v>1534</v>
      </c>
    </row>
    <row r="975" spans="1:29" hidden="1" x14ac:dyDescent="0.25">
      <c r="A975" s="26">
        <v>5</v>
      </c>
      <c r="B975" s="19" t="s">
        <v>1538</v>
      </c>
      <c r="C975" s="44" t="s">
        <v>273</v>
      </c>
      <c r="D975" s="19" t="s">
        <v>1493</v>
      </c>
      <c r="E975" s="19">
        <v>12</v>
      </c>
      <c r="F975" s="19">
        <v>238</v>
      </c>
      <c r="G975" s="19">
        <v>1280</v>
      </c>
      <c r="H975" s="19">
        <v>1</v>
      </c>
      <c r="I975" s="80">
        <v>28.7</v>
      </c>
      <c r="J975" s="80">
        <v>28.7</v>
      </c>
      <c r="K975" s="19" t="s">
        <v>1531</v>
      </c>
      <c r="L975" s="19" t="s">
        <v>1532</v>
      </c>
      <c r="O975" s="19" t="s">
        <v>138</v>
      </c>
      <c r="Q975" s="20">
        <v>21</v>
      </c>
      <c r="R975" s="65" t="s">
        <v>1495</v>
      </c>
      <c r="T975" s="19" t="s">
        <v>307</v>
      </c>
      <c r="V975" s="19" t="s">
        <v>178</v>
      </c>
      <c r="Z975" s="44" t="s">
        <v>1142</v>
      </c>
      <c r="AA975" s="44" t="s">
        <v>1533</v>
      </c>
      <c r="AC975" s="19" t="s">
        <v>1534</v>
      </c>
    </row>
    <row r="976" spans="1:29" hidden="1" x14ac:dyDescent="0.25">
      <c r="A976" s="26">
        <v>6</v>
      </c>
      <c r="B976" s="19" t="s">
        <v>1539</v>
      </c>
      <c r="C976" s="44" t="s">
        <v>273</v>
      </c>
      <c r="D976" s="19" t="s">
        <v>1493</v>
      </c>
      <c r="E976" s="19">
        <v>12</v>
      </c>
      <c r="F976" s="19">
        <v>238</v>
      </c>
      <c r="G976" s="19">
        <v>1280</v>
      </c>
      <c r="H976" s="19">
        <v>1</v>
      </c>
      <c r="I976" s="80">
        <v>28.7</v>
      </c>
      <c r="J976" s="80">
        <v>28.7</v>
      </c>
      <c r="K976" s="19" t="s">
        <v>1531</v>
      </c>
      <c r="L976" s="19" t="s">
        <v>1532</v>
      </c>
      <c r="O976" s="19" t="s">
        <v>138</v>
      </c>
      <c r="Q976" s="20">
        <v>21</v>
      </c>
      <c r="R976" s="65" t="s">
        <v>1495</v>
      </c>
      <c r="T976" s="19" t="s">
        <v>307</v>
      </c>
      <c r="V976" s="19" t="s">
        <v>178</v>
      </c>
      <c r="Z976" s="44" t="s">
        <v>1142</v>
      </c>
      <c r="AA976" s="44" t="s">
        <v>1533</v>
      </c>
      <c r="AC976" s="19" t="s">
        <v>1534</v>
      </c>
    </row>
    <row r="977" spans="1:29" hidden="1" x14ac:dyDescent="0.25">
      <c r="A977" s="26">
        <v>7</v>
      </c>
      <c r="B977" s="19" t="s">
        <v>1540</v>
      </c>
      <c r="C977" s="44" t="s">
        <v>273</v>
      </c>
      <c r="D977" s="19" t="s">
        <v>1493</v>
      </c>
      <c r="E977" s="19">
        <v>12</v>
      </c>
      <c r="F977" s="19">
        <v>238</v>
      </c>
      <c r="G977" s="19">
        <v>1280</v>
      </c>
      <c r="H977" s="19">
        <v>1</v>
      </c>
      <c r="I977" s="80">
        <v>28.7</v>
      </c>
      <c r="J977" s="80">
        <v>28.7</v>
      </c>
      <c r="K977" s="19" t="s">
        <v>1531</v>
      </c>
      <c r="L977" s="19" t="s">
        <v>1532</v>
      </c>
      <c r="O977" s="19" t="s">
        <v>138</v>
      </c>
      <c r="Q977" s="20">
        <v>21</v>
      </c>
      <c r="R977" s="65" t="s">
        <v>1495</v>
      </c>
      <c r="T977" s="19" t="s">
        <v>307</v>
      </c>
      <c r="V977" s="19" t="s">
        <v>178</v>
      </c>
      <c r="Z977" s="44" t="s">
        <v>1142</v>
      </c>
      <c r="AA977" s="44" t="s">
        <v>1533</v>
      </c>
      <c r="AC977" s="19" t="s">
        <v>1534</v>
      </c>
    </row>
    <row r="978" spans="1:29" hidden="1" x14ac:dyDescent="0.25">
      <c r="A978" s="26">
        <v>8</v>
      </c>
      <c r="B978" s="19" t="s">
        <v>1541</v>
      </c>
      <c r="C978" s="44" t="s">
        <v>273</v>
      </c>
      <c r="D978" s="19" t="s">
        <v>1493</v>
      </c>
      <c r="E978" s="19">
        <v>12</v>
      </c>
      <c r="F978" s="19">
        <v>238</v>
      </c>
      <c r="G978" s="19">
        <v>1280</v>
      </c>
      <c r="H978" s="19">
        <v>1</v>
      </c>
      <c r="I978" s="80">
        <v>28.7</v>
      </c>
      <c r="J978" s="80">
        <v>28.7</v>
      </c>
      <c r="K978" s="19" t="s">
        <v>1531</v>
      </c>
      <c r="L978" s="19" t="s">
        <v>1532</v>
      </c>
      <c r="O978" s="19" t="s">
        <v>138</v>
      </c>
      <c r="Q978" s="20">
        <v>21</v>
      </c>
      <c r="R978" s="65" t="s">
        <v>1495</v>
      </c>
      <c r="T978" s="19" t="s">
        <v>307</v>
      </c>
      <c r="V978" s="19" t="s">
        <v>178</v>
      </c>
      <c r="Z978" s="44" t="s">
        <v>1142</v>
      </c>
      <c r="AA978" s="44" t="s">
        <v>1533</v>
      </c>
      <c r="AC978" s="19" t="s">
        <v>1534</v>
      </c>
    </row>
    <row r="979" spans="1:29" hidden="1" x14ac:dyDescent="0.25">
      <c r="A979" s="26">
        <v>9</v>
      </c>
      <c r="B979" s="19" t="s">
        <v>1542</v>
      </c>
      <c r="C979" s="44" t="s">
        <v>273</v>
      </c>
      <c r="D979" s="19" t="s">
        <v>1493</v>
      </c>
      <c r="E979" s="19">
        <v>12</v>
      </c>
      <c r="F979" s="19">
        <v>238</v>
      </c>
      <c r="G979" s="19">
        <v>1280</v>
      </c>
      <c r="H979" s="19">
        <v>1</v>
      </c>
      <c r="I979" s="80">
        <v>28.7</v>
      </c>
      <c r="J979" s="80">
        <v>28.7</v>
      </c>
      <c r="K979" s="19" t="s">
        <v>1531</v>
      </c>
      <c r="L979" s="19" t="s">
        <v>1532</v>
      </c>
      <c r="O979" s="19" t="s">
        <v>138</v>
      </c>
      <c r="Q979" s="20">
        <v>21</v>
      </c>
      <c r="R979" s="65" t="s">
        <v>1495</v>
      </c>
      <c r="T979" s="19" t="s">
        <v>307</v>
      </c>
      <c r="V979" s="19" t="s">
        <v>178</v>
      </c>
      <c r="Z979" s="44" t="s">
        <v>1142</v>
      </c>
      <c r="AA979" s="44" t="s">
        <v>1533</v>
      </c>
      <c r="AC979" s="19" t="s">
        <v>1534</v>
      </c>
    </row>
    <row r="980" spans="1:29" hidden="1" x14ac:dyDescent="0.25">
      <c r="A980" s="26">
        <v>10</v>
      </c>
      <c r="B980" s="19" t="s">
        <v>1543</v>
      </c>
      <c r="C980" s="44" t="s">
        <v>273</v>
      </c>
      <c r="D980" s="19" t="s">
        <v>1493</v>
      </c>
      <c r="E980" s="19">
        <v>12</v>
      </c>
      <c r="F980" s="19">
        <v>238</v>
      </c>
      <c r="G980" s="19">
        <v>1280</v>
      </c>
      <c r="H980" s="19">
        <v>1</v>
      </c>
      <c r="I980" s="80">
        <v>28.7</v>
      </c>
      <c r="J980" s="80">
        <v>28.7</v>
      </c>
      <c r="K980" s="19" t="s">
        <v>1531</v>
      </c>
      <c r="L980" s="19" t="s">
        <v>1532</v>
      </c>
      <c r="O980" s="19" t="s">
        <v>138</v>
      </c>
      <c r="Q980" s="20">
        <v>21</v>
      </c>
      <c r="R980" s="65" t="s">
        <v>1495</v>
      </c>
      <c r="T980" s="19" t="s">
        <v>307</v>
      </c>
      <c r="V980" s="19" t="s">
        <v>178</v>
      </c>
      <c r="Z980" s="44" t="s">
        <v>1142</v>
      </c>
      <c r="AA980" s="44" t="s">
        <v>1533</v>
      </c>
      <c r="AC980" s="19" t="s">
        <v>1534</v>
      </c>
    </row>
    <row r="981" spans="1:29" hidden="1" x14ac:dyDescent="0.25">
      <c r="A981" s="26">
        <v>11</v>
      </c>
      <c r="B981" s="19" t="s">
        <v>1544</v>
      </c>
      <c r="C981" s="44" t="s">
        <v>273</v>
      </c>
      <c r="D981" s="19" t="s">
        <v>1493</v>
      </c>
      <c r="E981" s="19">
        <v>12</v>
      </c>
      <c r="F981" s="19">
        <v>238</v>
      </c>
      <c r="G981" s="19">
        <v>1280</v>
      </c>
      <c r="H981" s="19">
        <v>1</v>
      </c>
      <c r="I981" s="80">
        <v>28.7</v>
      </c>
      <c r="J981" s="80">
        <v>28.7</v>
      </c>
      <c r="K981" s="19" t="s">
        <v>1531</v>
      </c>
      <c r="L981" s="19" t="s">
        <v>1532</v>
      </c>
      <c r="O981" s="19" t="s">
        <v>138</v>
      </c>
      <c r="Q981" s="20">
        <v>21</v>
      </c>
      <c r="R981" s="65" t="s">
        <v>1495</v>
      </c>
      <c r="T981" s="19" t="s">
        <v>307</v>
      </c>
      <c r="V981" s="19" t="s">
        <v>178</v>
      </c>
      <c r="Z981" s="44" t="s">
        <v>1142</v>
      </c>
      <c r="AA981" s="44" t="s">
        <v>1533</v>
      </c>
      <c r="AC981" s="19" t="s">
        <v>1534</v>
      </c>
    </row>
    <row r="982" spans="1:29" hidden="1" x14ac:dyDescent="0.25">
      <c r="A982" s="26">
        <v>12</v>
      </c>
      <c r="B982" s="19" t="s">
        <v>1545</v>
      </c>
      <c r="C982" s="44" t="s">
        <v>273</v>
      </c>
      <c r="D982" s="19" t="s">
        <v>1493</v>
      </c>
      <c r="E982" s="19">
        <v>12</v>
      </c>
      <c r="F982" s="19">
        <v>238</v>
      </c>
      <c r="G982" s="19">
        <v>1280</v>
      </c>
      <c r="H982" s="19">
        <v>1</v>
      </c>
      <c r="I982" s="80">
        <v>28.7</v>
      </c>
      <c r="J982" s="80">
        <v>28.7</v>
      </c>
      <c r="K982" s="19" t="s">
        <v>1531</v>
      </c>
      <c r="L982" s="19" t="s">
        <v>1532</v>
      </c>
      <c r="O982" s="19" t="s">
        <v>138</v>
      </c>
      <c r="Q982" s="20">
        <v>21</v>
      </c>
      <c r="R982" s="65" t="s">
        <v>1495</v>
      </c>
      <c r="T982" s="19" t="s">
        <v>307</v>
      </c>
      <c r="V982" s="19" t="s">
        <v>178</v>
      </c>
      <c r="Z982" s="44" t="s">
        <v>1142</v>
      </c>
      <c r="AA982" s="44" t="s">
        <v>1533</v>
      </c>
      <c r="AC982" s="19" t="s">
        <v>1534</v>
      </c>
    </row>
    <row r="983" spans="1:29" hidden="1" x14ac:dyDescent="0.25">
      <c r="A983" s="26">
        <v>13</v>
      </c>
      <c r="B983" s="19" t="s">
        <v>1546</v>
      </c>
      <c r="C983" s="44" t="s">
        <v>273</v>
      </c>
      <c r="D983" s="19" t="s">
        <v>1493</v>
      </c>
      <c r="E983" s="19">
        <v>12</v>
      </c>
      <c r="F983" s="19">
        <v>238</v>
      </c>
      <c r="G983" s="19">
        <v>1280</v>
      </c>
      <c r="H983" s="19">
        <v>1</v>
      </c>
      <c r="I983" s="80">
        <v>28.7</v>
      </c>
      <c r="J983" s="80">
        <v>28.7</v>
      </c>
      <c r="K983" s="19" t="s">
        <v>1531</v>
      </c>
      <c r="L983" s="19" t="s">
        <v>1532</v>
      </c>
      <c r="O983" s="19" t="s">
        <v>138</v>
      </c>
      <c r="Q983" s="20">
        <v>21</v>
      </c>
      <c r="R983" s="65" t="s">
        <v>1495</v>
      </c>
      <c r="T983" s="19" t="s">
        <v>307</v>
      </c>
      <c r="V983" s="19" t="s">
        <v>178</v>
      </c>
      <c r="Z983" s="44" t="s">
        <v>1142</v>
      </c>
      <c r="AA983" s="44" t="s">
        <v>1533</v>
      </c>
      <c r="AC983" s="19" t="s">
        <v>1534</v>
      </c>
    </row>
    <row r="984" spans="1:29" hidden="1" x14ac:dyDescent="0.25">
      <c r="A984" s="26">
        <v>14</v>
      </c>
      <c r="B984" s="19" t="s">
        <v>1547</v>
      </c>
      <c r="C984" s="44" t="s">
        <v>273</v>
      </c>
      <c r="D984" s="19" t="s">
        <v>1493</v>
      </c>
      <c r="E984" s="19">
        <v>12</v>
      </c>
      <c r="F984" s="19">
        <v>238</v>
      </c>
      <c r="G984" s="19">
        <v>1280</v>
      </c>
      <c r="H984" s="19">
        <v>1</v>
      </c>
      <c r="I984" s="80">
        <v>28.7</v>
      </c>
      <c r="J984" s="80">
        <v>28.7</v>
      </c>
      <c r="K984" s="19" t="s">
        <v>1531</v>
      </c>
      <c r="L984" s="19" t="s">
        <v>1532</v>
      </c>
      <c r="O984" s="19" t="s">
        <v>138</v>
      </c>
      <c r="Q984" s="20">
        <v>21</v>
      </c>
      <c r="R984" s="65" t="s">
        <v>1495</v>
      </c>
      <c r="T984" s="19" t="s">
        <v>307</v>
      </c>
      <c r="V984" s="19" t="s">
        <v>178</v>
      </c>
      <c r="Z984" s="44" t="s">
        <v>1142</v>
      </c>
      <c r="AA984" s="44" t="s">
        <v>1533</v>
      </c>
      <c r="AC984" s="19" t="s">
        <v>1534</v>
      </c>
    </row>
    <row r="985" spans="1:29" hidden="1" x14ac:dyDescent="0.25">
      <c r="A985" s="26">
        <v>15</v>
      </c>
      <c r="B985" s="19" t="s">
        <v>1548</v>
      </c>
      <c r="C985" s="44" t="s">
        <v>273</v>
      </c>
      <c r="D985" s="19" t="s">
        <v>1493</v>
      </c>
      <c r="E985" s="19">
        <v>12</v>
      </c>
      <c r="F985" s="19">
        <v>238</v>
      </c>
      <c r="G985" s="19">
        <v>1280</v>
      </c>
      <c r="H985" s="19">
        <v>1</v>
      </c>
      <c r="I985" s="80">
        <v>28.7</v>
      </c>
      <c r="J985" s="80">
        <v>28.7</v>
      </c>
      <c r="K985" s="19" t="s">
        <v>1531</v>
      </c>
      <c r="L985" s="19" t="s">
        <v>1532</v>
      </c>
      <c r="O985" s="19" t="s">
        <v>138</v>
      </c>
      <c r="Q985" s="20">
        <v>21</v>
      </c>
      <c r="R985" s="65" t="s">
        <v>1495</v>
      </c>
      <c r="T985" s="19" t="s">
        <v>307</v>
      </c>
      <c r="V985" s="19" t="s">
        <v>178</v>
      </c>
      <c r="Z985" s="44" t="s">
        <v>1142</v>
      </c>
      <c r="AA985" s="44" t="s">
        <v>1533</v>
      </c>
      <c r="AC985" s="19" t="s">
        <v>1534</v>
      </c>
    </row>
    <row r="986" spans="1:29" hidden="1" x14ac:dyDescent="0.25">
      <c r="A986" s="26">
        <v>16</v>
      </c>
      <c r="B986" s="19" t="s">
        <v>1549</v>
      </c>
      <c r="C986" s="44" t="s">
        <v>273</v>
      </c>
      <c r="D986" s="19" t="s">
        <v>1493</v>
      </c>
      <c r="E986" s="19">
        <v>12</v>
      </c>
      <c r="F986" s="19">
        <v>238</v>
      </c>
      <c r="G986" s="19">
        <v>1280</v>
      </c>
      <c r="H986" s="19">
        <v>1</v>
      </c>
      <c r="I986" s="80">
        <v>28.7</v>
      </c>
      <c r="J986" s="80">
        <v>28.7</v>
      </c>
      <c r="K986" s="19" t="s">
        <v>1531</v>
      </c>
      <c r="L986" s="19" t="s">
        <v>1532</v>
      </c>
      <c r="O986" s="19" t="s">
        <v>138</v>
      </c>
      <c r="Q986" s="20">
        <v>21</v>
      </c>
      <c r="R986" s="65" t="s">
        <v>1495</v>
      </c>
      <c r="T986" s="19" t="s">
        <v>307</v>
      </c>
      <c r="V986" s="19" t="s">
        <v>178</v>
      </c>
      <c r="Z986" s="44" t="s">
        <v>1142</v>
      </c>
      <c r="AA986" s="44" t="s">
        <v>1533</v>
      </c>
      <c r="AC986" s="19" t="s">
        <v>1534</v>
      </c>
    </row>
    <row r="987" spans="1:29" hidden="1" x14ac:dyDescent="0.25">
      <c r="A987" s="26">
        <v>17</v>
      </c>
      <c r="B987" s="19" t="s">
        <v>1550</v>
      </c>
      <c r="C987" s="44" t="s">
        <v>273</v>
      </c>
      <c r="D987" s="19" t="s">
        <v>1493</v>
      </c>
      <c r="E987" s="19">
        <v>12</v>
      </c>
      <c r="F987" s="19">
        <v>238</v>
      </c>
      <c r="G987" s="19">
        <v>1280</v>
      </c>
      <c r="H987" s="19">
        <v>1</v>
      </c>
      <c r="I987" s="80">
        <v>28.7</v>
      </c>
      <c r="J987" s="80">
        <v>28.7</v>
      </c>
      <c r="K987" s="19" t="s">
        <v>1531</v>
      </c>
      <c r="L987" s="19" t="s">
        <v>1532</v>
      </c>
      <c r="O987" s="19" t="s">
        <v>138</v>
      </c>
      <c r="Q987" s="20">
        <v>21</v>
      </c>
      <c r="R987" s="65" t="s">
        <v>1495</v>
      </c>
      <c r="T987" s="19" t="s">
        <v>307</v>
      </c>
      <c r="V987" s="19" t="s">
        <v>178</v>
      </c>
      <c r="Z987" s="44" t="s">
        <v>1142</v>
      </c>
      <c r="AA987" s="44" t="s">
        <v>1533</v>
      </c>
      <c r="AC987" s="19" t="s">
        <v>1534</v>
      </c>
    </row>
    <row r="988" spans="1:29" hidden="1" x14ac:dyDescent="0.25">
      <c r="A988" s="26">
        <v>18</v>
      </c>
      <c r="B988" s="19" t="s">
        <v>1551</v>
      </c>
      <c r="C988" s="44" t="s">
        <v>273</v>
      </c>
      <c r="D988" s="19" t="s">
        <v>1493</v>
      </c>
      <c r="E988" s="19">
        <v>12</v>
      </c>
      <c r="F988" s="19">
        <v>238</v>
      </c>
      <c r="G988" s="19">
        <v>1280</v>
      </c>
      <c r="H988" s="19">
        <v>1</v>
      </c>
      <c r="I988" s="80">
        <v>28.7</v>
      </c>
      <c r="J988" s="80">
        <v>28.7</v>
      </c>
      <c r="K988" s="19" t="s">
        <v>1531</v>
      </c>
      <c r="L988" s="19" t="s">
        <v>1532</v>
      </c>
      <c r="O988" s="19" t="s">
        <v>138</v>
      </c>
      <c r="Q988" s="20">
        <v>21</v>
      </c>
      <c r="R988" s="65" t="s">
        <v>1495</v>
      </c>
      <c r="T988" s="19" t="s">
        <v>307</v>
      </c>
      <c r="V988" s="19" t="s">
        <v>178</v>
      </c>
      <c r="Z988" s="44" t="s">
        <v>1142</v>
      </c>
      <c r="AA988" s="44" t="s">
        <v>1533</v>
      </c>
      <c r="AC988" s="19" t="s">
        <v>1534</v>
      </c>
    </row>
    <row r="989" spans="1:29" hidden="1" x14ac:dyDescent="0.25">
      <c r="A989" s="26">
        <v>19</v>
      </c>
      <c r="B989" s="19" t="s">
        <v>1552</v>
      </c>
      <c r="C989" s="44" t="s">
        <v>273</v>
      </c>
      <c r="D989" s="19" t="s">
        <v>1493</v>
      </c>
      <c r="E989" s="19">
        <v>12</v>
      </c>
      <c r="F989" s="19">
        <v>238</v>
      </c>
      <c r="G989" s="19">
        <v>1280</v>
      </c>
      <c r="H989" s="19">
        <v>1</v>
      </c>
      <c r="I989" s="80">
        <v>28.7</v>
      </c>
      <c r="J989" s="80">
        <v>28.7</v>
      </c>
      <c r="K989" s="19" t="s">
        <v>1531</v>
      </c>
      <c r="L989" s="19" t="s">
        <v>1532</v>
      </c>
      <c r="O989" s="19" t="s">
        <v>138</v>
      </c>
      <c r="Q989" s="20">
        <v>21</v>
      </c>
      <c r="R989" s="65" t="s">
        <v>1495</v>
      </c>
      <c r="T989" s="19" t="s">
        <v>307</v>
      </c>
      <c r="V989" s="19" t="s">
        <v>178</v>
      </c>
      <c r="Z989" s="44" t="s">
        <v>1142</v>
      </c>
      <c r="AA989" s="44" t="s">
        <v>1533</v>
      </c>
      <c r="AC989" s="19" t="s">
        <v>1534</v>
      </c>
    </row>
    <row r="990" spans="1:29" hidden="1" x14ac:dyDescent="0.25">
      <c r="A990" s="26">
        <v>20</v>
      </c>
      <c r="B990" s="19" t="s">
        <v>1553</v>
      </c>
      <c r="C990" s="44" t="s">
        <v>273</v>
      </c>
      <c r="D990" s="19" t="s">
        <v>1493</v>
      </c>
      <c r="E990" s="19">
        <v>12</v>
      </c>
      <c r="F990" s="19">
        <v>238</v>
      </c>
      <c r="G990" s="19">
        <v>1280</v>
      </c>
      <c r="H990" s="19">
        <v>1</v>
      </c>
      <c r="I990" s="80">
        <v>28.7</v>
      </c>
      <c r="J990" s="80">
        <v>28.7</v>
      </c>
      <c r="K990" s="19" t="s">
        <v>1531</v>
      </c>
      <c r="L990" s="19" t="s">
        <v>1532</v>
      </c>
      <c r="O990" s="19" t="s">
        <v>138</v>
      </c>
      <c r="Q990" s="20">
        <v>21</v>
      </c>
      <c r="R990" s="65" t="s">
        <v>1495</v>
      </c>
      <c r="T990" s="19" t="s">
        <v>307</v>
      </c>
      <c r="V990" s="19" t="s">
        <v>178</v>
      </c>
      <c r="Z990" s="44" t="s">
        <v>1142</v>
      </c>
      <c r="AA990" s="44" t="s">
        <v>1533</v>
      </c>
      <c r="AC990" s="19" t="s">
        <v>1534</v>
      </c>
    </row>
    <row r="991" spans="1:29" hidden="1" x14ac:dyDescent="0.25">
      <c r="A991" s="26">
        <v>21</v>
      </c>
      <c r="B991" s="19" t="s">
        <v>1554</v>
      </c>
      <c r="C991" s="44" t="s">
        <v>273</v>
      </c>
      <c r="D991" s="19" t="s">
        <v>1493</v>
      </c>
      <c r="E991" s="19">
        <v>12</v>
      </c>
      <c r="F991" s="19">
        <v>238</v>
      </c>
      <c r="G991" s="19">
        <v>1280</v>
      </c>
      <c r="H991" s="19">
        <v>1</v>
      </c>
      <c r="I991" s="80">
        <v>28.7</v>
      </c>
      <c r="J991" s="80">
        <v>28.7</v>
      </c>
      <c r="K991" s="19" t="s">
        <v>1531</v>
      </c>
      <c r="L991" s="19" t="s">
        <v>1532</v>
      </c>
      <c r="O991" s="19" t="s">
        <v>138</v>
      </c>
      <c r="Q991" s="20">
        <v>21</v>
      </c>
      <c r="R991" s="65" t="s">
        <v>1495</v>
      </c>
      <c r="T991" s="19" t="s">
        <v>307</v>
      </c>
      <c r="V991" s="19" t="s">
        <v>178</v>
      </c>
      <c r="Z991" s="44" t="s">
        <v>1142</v>
      </c>
      <c r="AA991" s="44" t="s">
        <v>1533</v>
      </c>
      <c r="AC991" s="19" t="s">
        <v>1534</v>
      </c>
    </row>
    <row r="992" spans="1:29" hidden="1" x14ac:dyDescent="0.25">
      <c r="A992" s="26">
        <v>22</v>
      </c>
      <c r="B992" s="19" t="s">
        <v>1555</v>
      </c>
      <c r="C992" s="44" t="s">
        <v>273</v>
      </c>
      <c r="D992" s="19" t="s">
        <v>1493</v>
      </c>
      <c r="E992" s="19">
        <v>12</v>
      </c>
      <c r="F992" s="19">
        <v>238</v>
      </c>
      <c r="G992" s="19">
        <v>1280</v>
      </c>
      <c r="H992" s="19">
        <v>1</v>
      </c>
      <c r="I992" s="80">
        <v>28.7</v>
      </c>
      <c r="J992" s="80">
        <v>28.7</v>
      </c>
      <c r="K992" s="19" t="s">
        <v>1531</v>
      </c>
      <c r="L992" s="19" t="s">
        <v>1532</v>
      </c>
      <c r="O992" s="19" t="s">
        <v>138</v>
      </c>
      <c r="Q992" s="20">
        <v>21</v>
      </c>
      <c r="R992" s="65" t="s">
        <v>1495</v>
      </c>
      <c r="T992" s="19" t="s">
        <v>307</v>
      </c>
      <c r="V992" s="19" t="s">
        <v>178</v>
      </c>
      <c r="Z992" s="44" t="s">
        <v>1142</v>
      </c>
      <c r="AA992" s="44" t="s">
        <v>1533</v>
      </c>
      <c r="AC992" s="19" t="s">
        <v>1534</v>
      </c>
    </row>
    <row r="993" spans="1:29" hidden="1" x14ac:dyDescent="0.25">
      <c r="A993" s="26">
        <v>23</v>
      </c>
      <c r="B993" s="19" t="s">
        <v>1556</v>
      </c>
      <c r="C993" s="44" t="s">
        <v>273</v>
      </c>
      <c r="D993" s="19" t="s">
        <v>1493</v>
      </c>
      <c r="E993" s="19">
        <v>12</v>
      </c>
      <c r="F993" s="19">
        <v>238</v>
      </c>
      <c r="G993" s="19">
        <v>1280</v>
      </c>
      <c r="H993" s="19">
        <v>1</v>
      </c>
      <c r="I993" s="80">
        <v>28.7</v>
      </c>
      <c r="J993" s="80">
        <v>28.7</v>
      </c>
      <c r="K993" s="19" t="s">
        <v>1531</v>
      </c>
      <c r="L993" s="19" t="s">
        <v>1532</v>
      </c>
      <c r="O993" s="19" t="s">
        <v>138</v>
      </c>
      <c r="Q993" s="20">
        <v>21</v>
      </c>
      <c r="R993" s="65" t="s">
        <v>1495</v>
      </c>
      <c r="T993" s="19" t="s">
        <v>307</v>
      </c>
      <c r="V993" s="19" t="s">
        <v>178</v>
      </c>
      <c r="Z993" s="44" t="s">
        <v>1142</v>
      </c>
      <c r="AA993" s="44" t="s">
        <v>1533</v>
      </c>
      <c r="AC993" s="19" t="s">
        <v>1534</v>
      </c>
    </row>
    <row r="994" spans="1:29" hidden="1" x14ac:dyDescent="0.25">
      <c r="A994" s="26">
        <v>24</v>
      </c>
      <c r="B994" s="19" t="s">
        <v>1557</v>
      </c>
      <c r="C994" s="44" t="s">
        <v>273</v>
      </c>
      <c r="D994" s="19" t="s">
        <v>1493</v>
      </c>
      <c r="E994" s="19">
        <v>12</v>
      </c>
      <c r="F994" s="19">
        <v>238</v>
      </c>
      <c r="G994" s="19">
        <v>1280</v>
      </c>
      <c r="H994" s="19">
        <v>1</v>
      </c>
      <c r="I994" s="80">
        <v>28.7</v>
      </c>
      <c r="J994" s="80">
        <v>28.7</v>
      </c>
      <c r="K994" s="19" t="s">
        <v>1531</v>
      </c>
      <c r="L994" s="19" t="s">
        <v>1532</v>
      </c>
      <c r="O994" s="19" t="s">
        <v>138</v>
      </c>
      <c r="Q994" s="20">
        <v>21</v>
      </c>
      <c r="R994" s="65" t="s">
        <v>1495</v>
      </c>
      <c r="T994" s="19" t="s">
        <v>307</v>
      </c>
      <c r="V994" s="19" t="s">
        <v>178</v>
      </c>
      <c r="Z994" s="44" t="s">
        <v>1142</v>
      </c>
      <c r="AA994" s="44" t="s">
        <v>1533</v>
      </c>
      <c r="AC994" s="19" t="s">
        <v>1534</v>
      </c>
    </row>
    <row r="995" spans="1:29" hidden="1" x14ac:dyDescent="0.25">
      <c r="A995" s="26">
        <v>25</v>
      </c>
      <c r="B995" s="19" t="s">
        <v>1558</v>
      </c>
      <c r="C995" s="44" t="s">
        <v>273</v>
      </c>
      <c r="D995" s="19" t="s">
        <v>1493</v>
      </c>
      <c r="E995" s="19">
        <v>12</v>
      </c>
      <c r="F995" s="19">
        <v>238</v>
      </c>
      <c r="G995" s="19">
        <v>1280</v>
      </c>
      <c r="H995" s="19">
        <v>1</v>
      </c>
      <c r="I995" s="80">
        <v>28.7</v>
      </c>
      <c r="J995" s="80">
        <v>28.7</v>
      </c>
      <c r="K995" s="19" t="s">
        <v>1531</v>
      </c>
      <c r="L995" s="19" t="s">
        <v>1532</v>
      </c>
      <c r="O995" s="19" t="s">
        <v>138</v>
      </c>
      <c r="Q995" s="20">
        <v>21</v>
      </c>
      <c r="R995" s="65" t="s">
        <v>1495</v>
      </c>
      <c r="T995" s="19" t="s">
        <v>307</v>
      </c>
      <c r="V995" s="19" t="s">
        <v>178</v>
      </c>
      <c r="Z995" s="44" t="s">
        <v>1142</v>
      </c>
      <c r="AA995" s="44" t="s">
        <v>1533</v>
      </c>
      <c r="AC995" s="19" t="s">
        <v>1534</v>
      </c>
    </row>
    <row r="996" spans="1:29" hidden="1" x14ac:dyDescent="0.25">
      <c r="A996" s="26">
        <v>26</v>
      </c>
      <c r="B996" s="19" t="s">
        <v>1559</v>
      </c>
      <c r="C996" s="44" t="s">
        <v>273</v>
      </c>
      <c r="D996" s="19" t="s">
        <v>1493</v>
      </c>
      <c r="E996" s="19">
        <v>12</v>
      </c>
      <c r="F996" s="19">
        <v>238</v>
      </c>
      <c r="G996" s="19">
        <v>1280</v>
      </c>
      <c r="H996" s="19">
        <v>1</v>
      </c>
      <c r="I996" s="80">
        <v>28.7</v>
      </c>
      <c r="J996" s="80">
        <v>28.7</v>
      </c>
      <c r="K996" s="19" t="s">
        <v>1531</v>
      </c>
      <c r="L996" s="19" t="s">
        <v>1532</v>
      </c>
      <c r="O996" s="19" t="s">
        <v>138</v>
      </c>
      <c r="Q996" s="20">
        <v>21</v>
      </c>
      <c r="R996" s="65" t="s">
        <v>1495</v>
      </c>
      <c r="T996" s="19" t="s">
        <v>307</v>
      </c>
      <c r="V996" s="19" t="s">
        <v>178</v>
      </c>
      <c r="Z996" s="44" t="s">
        <v>1142</v>
      </c>
      <c r="AA996" s="44" t="s">
        <v>1533</v>
      </c>
      <c r="AC996" s="19" t="s">
        <v>1534</v>
      </c>
    </row>
    <row r="997" spans="1:29" hidden="1" x14ac:dyDescent="0.25">
      <c r="A997" s="26">
        <v>27</v>
      </c>
      <c r="B997" s="19" t="s">
        <v>1560</v>
      </c>
      <c r="C997" s="44" t="s">
        <v>273</v>
      </c>
      <c r="D997" s="19" t="s">
        <v>1493</v>
      </c>
      <c r="E997" s="19">
        <v>12</v>
      </c>
      <c r="F997" s="19">
        <v>238</v>
      </c>
      <c r="G997" s="19">
        <v>1280</v>
      </c>
      <c r="H997" s="19">
        <v>1</v>
      </c>
      <c r="I997" s="80">
        <v>28.7</v>
      </c>
      <c r="J997" s="80">
        <v>28.7</v>
      </c>
      <c r="K997" s="19" t="s">
        <v>1531</v>
      </c>
      <c r="L997" s="19" t="s">
        <v>1532</v>
      </c>
      <c r="O997" s="19" t="s">
        <v>138</v>
      </c>
      <c r="Q997" s="20">
        <v>21</v>
      </c>
      <c r="R997" s="65" t="s">
        <v>1495</v>
      </c>
      <c r="T997" s="19" t="s">
        <v>307</v>
      </c>
      <c r="V997" s="19" t="s">
        <v>178</v>
      </c>
      <c r="Z997" s="44" t="s">
        <v>1142</v>
      </c>
      <c r="AA997" s="44" t="s">
        <v>1533</v>
      </c>
      <c r="AC997" s="19" t="s">
        <v>1534</v>
      </c>
    </row>
    <row r="998" spans="1:29" hidden="1" x14ac:dyDescent="0.25">
      <c r="A998" s="26">
        <v>28</v>
      </c>
      <c r="B998" s="19" t="s">
        <v>1561</v>
      </c>
      <c r="C998" s="44" t="s">
        <v>273</v>
      </c>
      <c r="D998" s="19" t="s">
        <v>1493</v>
      </c>
      <c r="E998" s="19">
        <v>12</v>
      </c>
      <c r="F998" s="19">
        <v>238</v>
      </c>
      <c r="G998" s="19">
        <v>1280</v>
      </c>
      <c r="H998" s="19">
        <v>1</v>
      </c>
      <c r="I998" s="80">
        <v>28.7</v>
      </c>
      <c r="J998" s="80">
        <v>28.7</v>
      </c>
      <c r="K998" s="19" t="s">
        <v>1531</v>
      </c>
      <c r="L998" s="19" t="s">
        <v>1532</v>
      </c>
      <c r="O998" s="19" t="s">
        <v>138</v>
      </c>
      <c r="Q998" s="20">
        <v>21</v>
      </c>
      <c r="R998" s="65" t="s">
        <v>1495</v>
      </c>
      <c r="T998" s="19" t="s">
        <v>307</v>
      </c>
      <c r="V998" s="19" t="s">
        <v>178</v>
      </c>
      <c r="Z998" s="44" t="s">
        <v>1142</v>
      </c>
      <c r="AA998" s="44" t="s">
        <v>1533</v>
      </c>
      <c r="AC998" s="19" t="s">
        <v>1534</v>
      </c>
    </row>
    <row r="999" spans="1:29" hidden="1" x14ac:dyDescent="0.25">
      <c r="A999" s="26">
        <v>29</v>
      </c>
      <c r="B999" s="19" t="s">
        <v>1562</v>
      </c>
      <c r="C999" s="44" t="s">
        <v>273</v>
      </c>
      <c r="D999" s="19" t="s">
        <v>1493</v>
      </c>
      <c r="E999" s="19">
        <v>12</v>
      </c>
      <c r="F999" s="19">
        <v>238</v>
      </c>
      <c r="G999" s="19">
        <v>1280</v>
      </c>
      <c r="H999" s="19">
        <v>1</v>
      </c>
      <c r="I999" s="80">
        <v>28.7</v>
      </c>
      <c r="J999" s="80">
        <v>28.7</v>
      </c>
      <c r="K999" s="19" t="s">
        <v>1531</v>
      </c>
      <c r="L999" s="19" t="s">
        <v>1532</v>
      </c>
      <c r="O999" s="19" t="s">
        <v>138</v>
      </c>
      <c r="Q999" s="20">
        <v>21</v>
      </c>
      <c r="R999" s="65" t="s">
        <v>1495</v>
      </c>
      <c r="T999" s="19" t="s">
        <v>307</v>
      </c>
      <c r="V999" s="19" t="s">
        <v>178</v>
      </c>
      <c r="Z999" s="44" t="s">
        <v>1142</v>
      </c>
      <c r="AA999" s="44" t="s">
        <v>1533</v>
      </c>
      <c r="AC999" s="19" t="s">
        <v>1534</v>
      </c>
    </row>
    <row r="1000" spans="1:29" hidden="1" x14ac:dyDescent="0.25">
      <c r="A1000" s="26">
        <v>30</v>
      </c>
      <c r="B1000" s="19" t="s">
        <v>1563</v>
      </c>
      <c r="C1000" s="44" t="s">
        <v>273</v>
      </c>
      <c r="D1000" s="19" t="s">
        <v>1493</v>
      </c>
      <c r="E1000" s="19">
        <v>12</v>
      </c>
      <c r="F1000" s="19">
        <v>238</v>
      </c>
      <c r="G1000" s="19">
        <v>1280</v>
      </c>
      <c r="H1000" s="19">
        <v>1</v>
      </c>
      <c r="I1000" s="80">
        <v>28.7</v>
      </c>
      <c r="J1000" s="80">
        <v>28.7</v>
      </c>
      <c r="K1000" s="19" t="s">
        <v>1531</v>
      </c>
      <c r="L1000" s="19" t="s">
        <v>1532</v>
      </c>
      <c r="O1000" s="19" t="s">
        <v>138</v>
      </c>
      <c r="Q1000" s="20">
        <v>21</v>
      </c>
      <c r="R1000" s="65" t="s">
        <v>1495</v>
      </c>
      <c r="T1000" s="19" t="s">
        <v>307</v>
      </c>
      <c r="V1000" s="19" t="s">
        <v>178</v>
      </c>
      <c r="Z1000" s="44" t="s">
        <v>1142</v>
      </c>
      <c r="AA1000" s="44" t="s">
        <v>1533</v>
      </c>
      <c r="AC1000" s="19" t="s">
        <v>1534</v>
      </c>
    </row>
    <row r="1001" spans="1:29" hidden="1" x14ac:dyDescent="0.25">
      <c r="A1001" s="26">
        <v>31</v>
      </c>
      <c r="B1001" s="19" t="s">
        <v>1564</v>
      </c>
      <c r="C1001" s="44" t="s">
        <v>273</v>
      </c>
      <c r="D1001" s="19" t="s">
        <v>1493</v>
      </c>
      <c r="E1001" s="19">
        <v>12</v>
      </c>
      <c r="F1001" s="19">
        <v>238</v>
      </c>
      <c r="G1001" s="19">
        <v>1280</v>
      </c>
      <c r="H1001" s="19">
        <v>1</v>
      </c>
      <c r="I1001" s="80">
        <v>28.7</v>
      </c>
      <c r="J1001" s="80">
        <v>28.7</v>
      </c>
      <c r="K1001" s="19" t="s">
        <v>1531</v>
      </c>
      <c r="L1001" s="19" t="s">
        <v>1532</v>
      </c>
      <c r="O1001" s="19" t="s">
        <v>138</v>
      </c>
      <c r="Q1001" s="20">
        <v>21</v>
      </c>
      <c r="R1001" s="65" t="s">
        <v>1495</v>
      </c>
      <c r="T1001" s="19" t="s">
        <v>307</v>
      </c>
      <c r="V1001" s="19" t="s">
        <v>178</v>
      </c>
      <c r="Z1001" s="44" t="s">
        <v>1142</v>
      </c>
      <c r="AA1001" s="44" t="s">
        <v>1533</v>
      </c>
      <c r="AC1001" s="19" t="s">
        <v>1534</v>
      </c>
    </row>
    <row r="1002" spans="1:29" hidden="1" x14ac:dyDescent="0.25">
      <c r="A1002" s="26">
        <v>32</v>
      </c>
      <c r="B1002" s="19" t="s">
        <v>1565</v>
      </c>
      <c r="C1002" s="44" t="s">
        <v>273</v>
      </c>
      <c r="D1002" s="19" t="s">
        <v>1493</v>
      </c>
      <c r="E1002" s="19">
        <v>12</v>
      </c>
      <c r="F1002" s="19">
        <v>238</v>
      </c>
      <c r="G1002" s="19">
        <v>1280</v>
      </c>
      <c r="H1002" s="19">
        <v>1</v>
      </c>
      <c r="I1002" s="80">
        <v>28.7</v>
      </c>
      <c r="J1002" s="80">
        <v>28.7</v>
      </c>
      <c r="K1002" s="19" t="s">
        <v>1531</v>
      </c>
      <c r="L1002" s="19" t="s">
        <v>1532</v>
      </c>
      <c r="O1002" s="19" t="s">
        <v>138</v>
      </c>
      <c r="Q1002" s="20">
        <v>21</v>
      </c>
      <c r="R1002" s="65" t="s">
        <v>1495</v>
      </c>
      <c r="T1002" s="19" t="s">
        <v>307</v>
      </c>
      <c r="V1002" s="19" t="s">
        <v>178</v>
      </c>
      <c r="Z1002" s="44" t="s">
        <v>1142</v>
      </c>
      <c r="AA1002" s="44" t="s">
        <v>1533</v>
      </c>
      <c r="AC1002" s="19" t="s">
        <v>1534</v>
      </c>
    </row>
    <row r="1003" spans="1:29" hidden="1" x14ac:dyDescent="0.25">
      <c r="A1003" s="26">
        <v>1</v>
      </c>
      <c r="B1003" s="19" t="s">
        <v>1569</v>
      </c>
      <c r="C1003" s="44" t="s">
        <v>273</v>
      </c>
      <c r="D1003" s="19" t="s">
        <v>1493</v>
      </c>
      <c r="E1003" s="19">
        <v>12</v>
      </c>
      <c r="F1003" s="19">
        <v>238</v>
      </c>
      <c r="G1003" s="19">
        <v>1280</v>
      </c>
      <c r="H1003" s="19">
        <v>1</v>
      </c>
      <c r="I1003" s="80">
        <v>28.7</v>
      </c>
      <c r="J1003" s="80">
        <v>28.7</v>
      </c>
      <c r="K1003" s="19" t="s">
        <v>1570</v>
      </c>
      <c r="L1003" s="19" t="s">
        <v>1571</v>
      </c>
      <c r="O1003" s="19" t="s">
        <v>138</v>
      </c>
      <c r="Q1003" s="20">
        <v>22</v>
      </c>
      <c r="R1003" s="65" t="s">
        <v>1572</v>
      </c>
      <c r="T1003" s="19" t="s">
        <v>307</v>
      </c>
      <c r="V1003" s="19" t="s">
        <v>178</v>
      </c>
      <c r="Z1003" s="44" t="s">
        <v>1573</v>
      </c>
      <c r="AA1003" s="44" t="s">
        <v>1574</v>
      </c>
      <c r="AC1003" s="19" t="s">
        <v>1575</v>
      </c>
    </row>
    <row r="1004" spans="1:29" hidden="1" x14ac:dyDescent="0.25">
      <c r="A1004" s="26">
        <v>2</v>
      </c>
      <c r="B1004" s="19" t="s">
        <v>1576</v>
      </c>
      <c r="C1004" s="44" t="s">
        <v>273</v>
      </c>
      <c r="D1004" s="19" t="s">
        <v>1493</v>
      </c>
      <c r="E1004" s="19">
        <v>12</v>
      </c>
      <c r="F1004" s="19">
        <v>238</v>
      </c>
      <c r="G1004" s="19">
        <v>1280</v>
      </c>
      <c r="H1004" s="19">
        <v>1</v>
      </c>
      <c r="I1004" s="80">
        <v>28.7</v>
      </c>
      <c r="J1004" s="80">
        <v>28.7</v>
      </c>
      <c r="K1004" s="19" t="s">
        <v>1570</v>
      </c>
      <c r="L1004" s="19" t="s">
        <v>1571</v>
      </c>
      <c r="O1004" s="19" t="s">
        <v>138</v>
      </c>
      <c r="Q1004" s="20">
        <v>22</v>
      </c>
      <c r="R1004" s="65" t="s">
        <v>1572</v>
      </c>
      <c r="T1004" s="19" t="s">
        <v>307</v>
      </c>
      <c r="V1004" s="19" t="s">
        <v>178</v>
      </c>
      <c r="Z1004" s="44" t="s">
        <v>1573</v>
      </c>
      <c r="AA1004" s="44" t="s">
        <v>1574</v>
      </c>
      <c r="AC1004" s="19" t="s">
        <v>1575</v>
      </c>
    </row>
    <row r="1005" spans="1:29" hidden="1" x14ac:dyDescent="0.25">
      <c r="A1005" s="26">
        <v>3</v>
      </c>
      <c r="B1005" s="19" t="s">
        <v>1577</v>
      </c>
      <c r="C1005" s="44" t="s">
        <v>273</v>
      </c>
      <c r="D1005" s="19" t="s">
        <v>1493</v>
      </c>
      <c r="E1005" s="19">
        <v>12</v>
      </c>
      <c r="F1005" s="19">
        <v>238</v>
      </c>
      <c r="G1005" s="19">
        <v>1280</v>
      </c>
      <c r="H1005" s="19">
        <v>1</v>
      </c>
      <c r="I1005" s="80">
        <v>28.7</v>
      </c>
      <c r="J1005" s="80">
        <v>28.7</v>
      </c>
      <c r="K1005" s="19" t="s">
        <v>1570</v>
      </c>
      <c r="L1005" s="19" t="s">
        <v>1571</v>
      </c>
      <c r="O1005" s="19" t="s">
        <v>138</v>
      </c>
      <c r="Q1005" s="20">
        <v>22</v>
      </c>
      <c r="R1005" s="65" t="s">
        <v>1572</v>
      </c>
      <c r="T1005" s="19" t="s">
        <v>307</v>
      </c>
      <c r="V1005" s="19" t="s">
        <v>178</v>
      </c>
      <c r="Z1005" s="44" t="s">
        <v>1573</v>
      </c>
      <c r="AA1005" s="44" t="s">
        <v>1574</v>
      </c>
      <c r="AC1005" s="19" t="s">
        <v>1575</v>
      </c>
    </row>
    <row r="1006" spans="1:29" hidden="1" x14ac:dyDescent="0.25">
      <c r="A1006" s="26">
        <v>4</v>
      </c>
      <c r="B1006" s="19" t="s">
        <v>1578</v>
      </c>
      <c r="C1006" s="44" t="s">
        <v>273</v>
      </c>
      <c r="D1006" s="19" t="s">
        <v>1493</v>
      </c>
      <c r="E1006" s="19">
        <v>12</v>
      </c>
      <c r="F1006" s="19">
        <v>238</v>
      </c>
      <c r="G1006" s="19">
        <v>1280</v>
      </c>
      <c r="H1006" s="19">
        <v>1</v>
      </c>
      <c r="I1006" s="80">
        <v>28.7</v>
      </c>
      <c r="J1006" s="80">
        <v>28.7</v>
      </c>
      <c r="K1006" s="19" t="s">
        <v>1570</v>
      </c>
      <c r="L1006" s="19" t="s">
        <v>1571</v>
      </c>
      <c r="O1006" s="19" t="s">
        <v>138</v>
      </c>
      <c r="Q1006" s="20">
        <v>22</v>
      </c>
      <c r="R1006" s="65" t="s">
        <v>1572</v>
      </c>
      <c r="T1006" s="19" t="s">
        <v>307</v>
      </c>
      <c r="V1006" s="19" t="s">
        <v>178</v>
      </c>
      <c r="Z1006" s="44" t="s">
        <v>1573</v>
      </c>
      <c r="AA1006" s="44" t="s">
        <v>1574</v>
      </c>
      <c r="AC1006" s="19" t="s">
        <v>1575</v>
      </c>
    </row>
    <row r="1007" spans="1:29" hidden="1" x14ac:dyDescent="0.25">
      <c r="A1007" s="26">
        <v>5</v>
      </c>
      <c r="B1007" s="19" t="s">
        <v>1579</v>
      </c>
      <c r="C1007" s="44" t="s">
        <v>273</v>
      </c>
      <c r="D1007" s="19" t="s">
        <v>1493</v>
      </c>
      <c r="E1007" s="19">
        <v>12</v>
      </c>
      <c r="F1007" s="19">
        <v>238</v>
      </c>
      <c r="G1007" s="19">
        <v>1280</v>
      </c>
      <c r="H1007" s="19">
        <v>1</v>
      </c>
      <c r="I1007" s="80">
        <v>28.7</v>
      </c>
      <c r="J1007" s="80">
        <v>28.7</v>
      </c>
      <c r="K1007" s="19" t="s">
        <v>1570</v>
      </c>
      <c r="L1007" s="19" t="s">
        <v>1571</v>
      </c>
      <c r="O1007" s="19" t="s">
        <v>138</v>
      </c>
      <c r="Q1007" s="20">
        <v>22</v>
      </c>
      <c r="R1007" s="65" t="s">
        <v>1572</v>
      </c>
      <c r="T1007" s="19" t="s">
        <v>307</v>
      </c>
      <c r="V1007" s="19" t="s">
        <v>178</v>
      </c>
      <c r="Z1007" s="44" t="s">
        <v>1573</v>
      </c>
      <c r="AA1007" s="44" t="s">
        <v>1574</v>
      </c>
      <c r="AC1007" s="19" t="s">
        <v>1575</v>
      </c>
    </row>
    <row r="1008" spans="1:29" hidden="1" x14ac:dyDescent="0.25">
      <c r="A1008" s="26">
        <v>6</v>
      </c>
      <c r="B1008" s="19" t="s">
        <v>1580</v>
      </c>
      <c r="C1008" s="44" t="s">
        <v>273</v>
      </c>
      <c r="D1008" s="19" t="s">
        <v>1493</v>
      </c>
      <c r="E1008" s="19">
        <v>12</v>
      </c>
      <c r="F1008" s="19">
        <v>238</v>
      </c>
      <c r="G1008" s="19">
        <v>1280</v>
      </c>
      <c r="H1008" s="19">
        <v>1</v>
      </c>
      <c r="I1008" s="80">
        <v>28.7</v>
      </c>
      <c r="J1008" s="80">
        <v>28.7</v>
      </c>
      <c r="K1008" s="19" t="s">
        <v>1570</v>
      </c>
      <c r="L1008" s="19" t="s">
        <v>1571</v>
      </c>
      <c r="O1008" s="19" t="s">
        <v>138</v>
      </c>
      <c r="Q1008" s="20">
        <v>22</v>
      </c>
      <c r="R1008" s="65" t="s">
        <v>1572</v>
      </c>
      <c r="T1008" s="19" t="s">
        <v>307</v>
      </c>
      <c r="V1008" s="19" t="s">
        <v>178</v>
      </c>
      <c r="Z1008" s="44" t="s">
        <v>1573</v>
      </c>
      <c r="AA1008" s="44" t="s">
        <v>1574</v>
      </c>
      <c r="AC1008" s="19" t="s">
        <v>1575</v>
      </c>
    </row>
    <row r="1009" spans="1:29" hidden="1" x14ac:dyDescent="0.25">
      <c r="A1009" s="26">
        <v>7</v>
      </c>
      <c r="B1009" s="19" t="s">
        <v>1581</v>
      </c>
      <c r="C1009" s="44" t="s">
        <v>273</v>
      </c>
      <c r="D1009" s="19" t="s">
        <v>1493</v>
      </c>
      <c r="E1009" s="19">
        <v>12</v>
      </c>
      <c r="F1009" s="19">
        <v>238</v>
      </c>
      <c r="G1009" s="19">
        <v>1280</v>
      </c>
      <c r="H1009" s="19">
        <v>1</v>
      </c>
      <c r="I1009" s="80">
        <v>28.7</v>
      </c>
      <c r="J1009" s="80">
        <v>28.7</v>
      </c>
      <c r="K1009" s="19" t="s">
        <v>1570</v>
      </c>
      <c r="L1009" s="19" t="s">
        <v>1571</v>
      </c>
      <c r="O1009" s="19" t="s">
        <v>138</v>
      </c>
      <c r="Q1009" s="20">
        <v>22</v>
      </c>
      <c r="R1009" s="65" t="s">
        <v>1572</v>
      </c>
      <c r="T1009" s="19" t="s">
        <v>307</v>
      </c>
      <c r="V1009" s="19" t="s">
        <v>178</v>
      </c>
      <c r="Z1009" s="44" t="s">
        <v>1573</v>
      </c>
      <c r="AA1009" s="44" t="s">
        <v>1574</v>
      </c>
      <c r="AC1009" s="19" t="s">
        <v>1575</v>
      </c>
    </row>
    <row r="1010" spans="1:29" hidden="1" x14ac:dyDescent="0.25">
      <c r="A1010" s="26">
        <v>8</v>
      </c>
      <c r="B1010" s="19" t="s">
        <v>1582</v>
      </c>
      <c r="C1010" s="44" t="s">
        <v>273</v>
      </c>
      <c r="D1010" s="19" t="s">
        <v>1493</v>
      </c>
      <c r="E1010" s="19">
        <v>12</v>
      </c>
      <c r="F1010" s="19">
        <v>238</v>
      </c>
      <c r="G1010" s="19">
        <v>1280</v>
      </c>
      <c r="H1010" s="19">
        <v>1</v>
      </c>
      <c r="I1010" s="80">
        <v>28.7</v>
      </c>
      <c r="J1010" s="80">
        <v>28.7</v>
      </c>
      <c r="K1010" s="19" t="s">
        <v>1570</v>
      </c>
      <c r="L1010" s="19" t="s">
        <v>1571</v>
      </c>
      <c r="O1010" s="19" t="s">
        <v>138</v>
      </c>
      <c r="Q1010" s="20">
        <v>22</v>
      </c>
      <c r="R1010" s="65" t="s">
        <v>1572</v>
      </c>
      <c r="T1010" s="19" t="s">
        <v>307</v>
      </c>
      <c r="V1010" s="19" t="s">
        <v>178</v>
      </c>
      <c r="Z1010" s="44" t="s">
        <v>1573</v>
      </c>
      <c r="AA1010" s="44" t="s">
        <v>1574</v>
      </c>
      <c r="AC1010" s="19" t="s">
        <v>1575</v>
      </c>
    </row>
    <row r="1011" spans="1:29" hidden="1" x14ac:dyDescent="0.25">
      <c r="A1011" s="26">
        <v>9</v>
      </c>
      <c r="B1011" s="19" t="s">
        <v>1583</v>
      </c>
      <c r="C1011" s="44" t="s">
        <v>273</v>
      </c>
      <c r="D1011" s="19" t="s">
        <v>1493</v>
      </c>
      <c r="E1011" s="19">
        <v>12</v>
      </c>
      <c r="F1011" s="19">
        <v>238</v>
      </c>
      <c r="G1011" s="19">
        <v>1280</v>
      </c>
      <c r="H1011" s="19">
        <v>1</v>
      </c>
      <c r="I1011" s="80">
        <v>28.7</v>
      </c>
      <c r="J1011" s="80">
        <v>28.7</v>
      </c>
      <c r="K1011" s="19" t="s">
        <v>1570</v>
      </c>
      <c r="L1011" s="19" t="s">
        <v>1571</v>
      </c>
      <c r="O1011" s="19" t="s">
        <v>138</v>
      </c>
      <c r="Q1011" s="20">
        <v>22</v>
      </c>
      <c r="R1011" s="65" t="s">
        <v>1572</v>
      </c>
      <c r="T1011" s="19" t="s">
        <v>307</v>
      </c>
      <c r="V1011" s="19" t="s">
        <v>178</v>
      </c>
      <c r="Z1011" s="44" t="s">
        <v>1573</v>
      </c>
      <c r="AA1011" s="44" t="s">
        <v>1574</v>
      </c>
      <c r="AC1011" s="19" t="s">
        <v>1575</v>
      </c>
    </row>
    <row r="1012" spans="1:29" hidden="1" x14ac:dyDescent="0.25">
      <c r="A1012" s="26">
        <v>10</v>
      </c>
      <c r="B1012" s="19" t="s">
        <v>1584</v>
      </c>
      <c r="C1012" s="44" t="s">
        <v>273</v>
      </c>
      <c r="D1012" s="19" t="s">
        <v>1493</v>
      </c>
      <c r="E1012" s="19">
        <v>12</v>
      </c>
      <c r="F1012" s="19">
        <v>238</v>
      </c>
      <c r="G1012" s="19">
        <v>1280</v>
      </c>
      <c r="H1012" s="19">
        <v>1</v>
      </c>
      <c r="I1012" s="80">
        <v>28.7</v>
      </c>
      <c r="J1012" s="80">
        <v>28.7</v>
      </c>
      <c r="K1012" s="19" t="s">
        <v>1570</v>
      </c>
      <c r="L1012" s="19" t="s">
        <v>1571</v>
      </c>
      <c r="O1012" s="19" t="s">
        <v>138</v>
      </c>
      <c r="Q1012" s="20">
        <v>22</v>
      </c>
      <c r="R1012" s="65" t="s">
        <v>1572</v>
      </c>
      <c r="T1012" s="19" t="s">
        <v>307</v>
      </c>
      <c r="V1012" s="19" t="s">
        <v>178</v>
      </c>
      <c r="Z1012" s="44" t="s">
        <v>1573</v>
      </c>
      <c r="AA1012" s="44" t="s">
        <v>1574</v>
      </c>
      <c r="AC1012" s="19" t="s">
        <v>1575</v>
      </c>
    </row>
    <row r="1013" spans="1:29" hidden="1" x14ac:dyDescent="0.25">
      <c r="A1013" s="26">
        <v>11</v>
      </c>
      <c r="B1013" s="19" t="s">
        <v>1585</v>
      </c>
      <c r="C1013" s="44" t="s">
        <v>273</v>
      </c>
      <c r="D1013" s="19" t="s">
        <v>879</v>
      </c>
      <c r="E1013" s="19">
        <v>12</v>
      </c>
      <c r="F1013" s="19">
        <v>130</v>
      </c>
      <c r="G1013" s="19">
        <v>263</v>
      </c>
      <c r="H1013" s="19">
        <v>1</v>
      </c>
      <c r="I1013" s="80">
        <v>3.21</v>
      </c>
      <c r="J1013" s="80">
        <v>3.21</v>
      </c>
      <c r="K1013" s="19" t="s">
        <v>1570</v>
      </c>
      <c r="L1013" s="19" t="s">
        <v>1571</v>
      </c>
      <c r="Q1013" s="20">
        <v>22</v>
      </c>
      <c r="R1013" s="65" t="s">
        <v>1572</v>
      </c>
      <c r="T1013" s="19" t="s">
        <v>307</v>
      </c>
      <c r="V1013" s="19" t="s">
        <v>178</v>
      </c>
      <c r="W1013" s="19" t="s">
        <v>138</v>
      </c>
      <c r="Z1013" s="44" t="s">
        <v>1573</v>
      </c>
      <c r="AA1013" s="44" t="s">
        <v>1574</v>
      </c>
      <c r="AC1013" s="19" t="s">
        <v>1575</v>
      </c>
    </row>
    <row r="1014" spans="1:29" hidden="1" x14ac:dyDescent="0.25">
      <c r="A1014" s="26">
        <v>12</v>
      </c>
      <c r="B1014" s="19" t="s">
        <v>1586</v>
      </c>
      <c r="C1014" s="44" t="s">
        <v>273</v>
      </c>
      <c r="D1014" s="19" t="s">
        <v>814</v>
      </c>
      <c r="E1014" s="19">
        <v>12</v>
      </c>
      <c r="F1014" s="19">
        <v>1460</v>
      </c>
      <c r="G1014" s="19">
        <v>6688</v>
      </c>
      <c r="H1014" s="19">
        <v>1</v>
      </c>
      <c r="I1014" s="80">
        <v>917.29</v>
      </c>
      <c r="J1014" s="80">
        <v>917.29</v>
      </c>
      <c r="K1014" s="19" t="s">
        <v>1570</v>
      </c>
      <c r="L1014" s="19" t="s">
        <v>1571</v>
      </c>
      <c r="P1014" s="19" t="s">
        <v>138</v>
      </c>
      <c r="Q1014" s="20">
        <v>22</v>
      </c>
      <c r="R1014" s="65" t="s">
        <v>1572</v>
      </c>
      <c r="T1014" s="19" t="s">
        <v>307</v>
      </c>
      <c r="V1014" s="19" t="s">
        <v>178</v>
      </c>
      <c r="Y1014" s="19" t="s">
        <v>138</v>
      </c>
      <c r="Z1014" s="44" t="s">
        <v>1573</v>
      </c>
      <c r="AA1014" s="44" t="s">
        <v>1574</v>
      </c>
      <c r="AC1014" s="19" t="s">
        <v>1575</v>
      </c>
    </row>
    <row r="1015" spans="1:29" hidden="1" x14ac:dyDescent="0.25">
      <c r="A1015" s="26">
        <v>13</v>
      </c>
      <c r="B1015" s="19" t="s">
        <v>1587</v>
      </c>
      <c r="C1015" s="44" t="s">
        <v>273</v>
      </c>
      <c r="D1015" s="19" t="s">
        <v>1493</v>
      </c>
      <c r="E1015" s="19">
        <v>12</v>
      </c>
      <c r="F1015" s="19">
        <v>238</v>
      </c>
      <c r="G1015" s="19">
        <v>1280</v>
      </c>
      <c r="H1015" s="19">
        <v>1</v>
      </c>
      <c r="I1015" s="80">
        <v>28.7</v>
      </c>
      <c r="J1015" s="80">
        <v>28.7</v>
      </c>
      <c r="K1015" s="19" t="s">
        <v>1588</v>
      </c>
      <c r="L1015" s="19" t="s">
        <v>1589</v>
      </c>
      <c r="O1015" s="19" t="s">
        <v>138</v>
      </c>
      <c r="Q1015" s="20">
        <v>22</v>
      </c>
      <c r="R1015" s="65" t="s">
        <v>1572</v>
      </c>
      <c r="T1015" s="19" t="s">
        <v>307</v>
      </c>
      <c r="V1015" s="19" t="s">
        <v>178</v>
      </c>
      <c r="Z1015" s="44" t="s">
        <v>1573</v>
      </c>
      <c r="AA1015" s="44" t="s">
        <v>1590</v>
      </c>
      <c r="AC1015" s="19" t="s">
        <v>1591</v>
      </c>
    </row>
    <row r="1016" spans="1:29" hidden="1" x14ac:dyDescent="0.25">
      <c r="A1016" s="26">
        <v>14</v>
      </c>
      <c r="B1016" s="19" t="s">
        <v>1592</v>
      </c>
      <c r="C1016" s="44" t="s">
        <v>273</v>
      </c>
      <c r="D1016" s="19" t="s">
        <v>1493</v>
      </c>
      <c r="E1016" s="19">
        <v>12</v>
      </c>
      <c r="F1016" s="19">
        <v>238</v>
      </c>
      <c r="G1016" s="19">
        <v>1280</v>
      </c>
      <c r="H1016" s="19">
        <v>1</v>
      </c>
      <c r="I1016" s="80">
        <v>28.7</v>
      </c>
      <c r="J1016" s="80">
        <v>28.7</v>
      </c>
      <c r="K1016" s="19" t="s">
        <v>1588</v>
      </c>
      <c r="L1016" s="19" t="s">
        <v>1589</v>
      </c>
      <c r="O1016" s="19" t="s">
        <v>138</v>
      </c>
      <c r="Q1016" s="20">
        <v>22</v>
      </c>
      <c r="R1016" s="65" t="s">
        <v>1572</v>
      </c>
      <c r="T1016" s="19" t="s">
        <v>307</v>
      </c>
      <c r="V1016" s="19" t="s">
        <v>178</v>
      </c>
      <c r="Z1016" s="44" t="s">
        <v>1573</v>
      </c>
      <c r="AA1016" s="44" t="s">
        <v>1590</v>
      </c>
      <c r="AC1016" s="19" t="s">
        <v>1591</v>
      </c>
    </row>
    <row r="1017" spans="1:29" hidden="1" x14ac:dyDescent="0.25">
      <c r="A1017" s="26">
        <v>15</v>
      </c>
      <c r="B1017" s="19" t="s">
        <v>1593</v>
      </c>
      <c r="C1017" s="44" t="s">
        <v>273</v>
      </c>
      <c r="D1017" s="19" t="s">
        <v>1493</v>
      </c>
      <c r="E1017" s="19">
        <v>12</v>
      </c>
      <c r="F1017" s="19">
        <v>238</v>
      </c>
      <c r="G1017" s="19">
        <v>1280</v>
      </c>
      <c r="H1017" s="19">
        <v>1</v>
      </c>
      <c r="I1017" s="80">
        <v>28.7</v>
      </c>
      <c r="J1017" s="80">
        <v>28.7</v>
      </c>
      <c r="K1017" s="19" t="s">
        <v>1588</v>
      </c>
      <c r="L1017" s="19" t="s">
        <v>1589</v>
      </c>
      <c r="O1017" s="19" t="s">
        <v>138</v>
      </c>
      <c r="Q1017" s="20">
        <v>22</v>
      </c>
      <c r="R1017" s="65" t="s">
        <v>1572</v>
      </c>
      <c r="T1017" s="19" t="s">
        <v>307</v>
      </c>
      <c r="V1017" s="19" t="s">
        <v>178</v>
      </c>
      <c r="Z1017" s="44" t="s">
        <v>1573</v>
      </c>
      <c r="AA1017" s="44" t="s">
        <v>1590</v>
      </c>
      <c r="AC1017" s="19" t="s">
        <v>1591</v>
      </c>
    </row>
    <row r="1018" spans="1:29" hidden="1" x14ac:dyDescent="0.25">
      <c r="A1018" s="26">
        <v>16</v>
      </c>
      <c r="B1018" s="19" t="s">
        <v>1594</v>
      </c>
      <c r="C1018" s="44" t="s">
        <v>273</v>
      </c>
      <c r="D1018" s="19" t="s">
        <v>1493</v>
      </c>
      <c r="E1018" s="19">
        <v>12</v>
      </c>
      <c r="F1018" s="19">
        <v>238</v>
      </c>
      <c r="G1018" s="19">
        <v>1280</v>
      </c>
      <c r="H1018" s="19">
        <v>1</v>
      </c>
      <c r="I1018" s="80">
        <v>28.7</v>
      </c>
      <c r="J1018" s="80">
        <v>28.7</v>
      </c>
      <c r="K1018" s="19" t="s">
        <v>1588</v>
      </c>
      <c r="L1018" s="19" t="s">
        <v>1589</v>
      </c>
      <c r="O1018" s="19" t="s">
        <v>138</v>
      </c>
      <c r="Q1018" s="20">
        <v>22</v>
      </c>
      <c r="R1018" s="65" t="s">
        <v>1572</v>
      </c>
      <c r="T1018" s="19" t="s">
        <v>307</v>
      </c>
      <c r="V1018" s="19" t="s">
        <v>178</v>
      </c>
      <c r="Z1018" s="44" t="s">
        <v>1573</v>
      </c>
      <c r="AA1018" s="44" t="s">
        <v>1590</v>
      </c>
      <c r="AC1018" s="19" t="s">
        <v>1591</v>
      </c>
    </row>
    <row r="1019" spans="1:29" hidden="1" x14ac:dyDescent="0.25">
      <c r="A1019" s="26">
        <v>17</v>
      </c>
      <c r="B1019" s="19" t="s">
        <v>1595</v>
      </c>
      <c r="C1019" s="44" t="s">
        <v>273</v>
      </c>
      <c r="D1019" s="19" t="s">
        <v>1493</v>
      </c>
      <c r="E1019" s="19">
        <v>12</v>
      </c>
      <c r="F1019" s="19">
        <v>238</v>
      </c>
      <c r="G1019" s="19">
        <v>1280</v>
      </c>
      <c r="H1019" s="19">
        <v>1</v>
      </c>
      <c r="I1019" s="80">
        <v>28.7</v>
      </c>
      <c r="J1019" s="80">
        <v>28.7</v>
      </c>
      <c r="K1019" s="19" t="s">
        <v>1588</v>
      </c>
      <c r="L1019" s="19" t="s">
        <v>1589</v>
      </c>
      <c r="O1019" s="19" t="s">
        <v>138</v>
      </c>
      <c r="Q1019" s="20">
        <v>22</v>
      </c>
      <c r="R1019" s="65" t="s">
        <v>1572</v>
      </c>
      <c r="T1019" s="19" t="s">
        <v>307</v>
      </c>
      <c r="V1019" s="19" t="s">
        <v>178</v>
      </c>
      <c r="Z1019" s="44" t="s">
        <v>1573</v>
      </c>
      <c r="AA1019" s="44" t="s">
        <v>1590</v>
      </c>
      <c r="AC1019" s="19" t="s">
        <v>1591</v>
      </c>
    </row>
    <row r="1020" spans="1:29" hidden="1" x14ac:dyDescent="0.25">
      <c r="A1020" s="26">
        <v>18</v>
      </c>
      <c r="B1020" s="19" t="s">
        <v>1596</v>
      </c>
      <c r="C1020" s="44" t="s">
        <v>273</v>
      </c>
      <c r="D1020" s="19" t="s">
        <v>1493</v>
      </c>
      <c r="E1020" s="19">
        <v>12</v>
      </c>
      <c r="F1020" s="19">
        <v>238</v>
      </c>
      <c r="G1020" s="19">
        <v>1280</v>
      </c>
      <c r="H1020" s="19">
        <v>1</v>
      </c>
      <c r="I1020" s="80">
        <v>28.7</v>
      </c>
      <c r="J1020" s="80">
        <v>28.7</v>
      </c>
      <c r="K1020" s="19" t="s">
        <v>1588</v>
      </c>
      <c r="L1020" s="19" t="s">
        <v>1589</v>
      </c>
      <c r="O1020" s="19" t="s">
        <v>138</v>
      </c>
      <c r="Q1020" s="20">
        <v>22</v>
      </c>
      <c r="R1020" s="65" t="s">
        <v>1572</v>
      </c>
      <c r="T1020" s="19" t="s">
        <v>307</v>
      </c>
      <c r="V1020" s="19" t="s">
        <v>178</v>
      </c>
      <c r="Z1020" s="44" t="s">
        <v>1573</v>
      </c>
      <c r="AA1020" s="44" t="s">
        <v>1590</v>
      </c>
      <c r="AC1020" s="19" t="s">
        <v>1591</v>
      </c>
    </row>
    <row r="1021" spans="1:29" hidden="1" x14ac:dyDescent="0.25">
      <c r="A1021" s="26">
        <v>19</v>
      </c>
      <c r="B1021" s="19" t="s">
        <v>1597</v>
      </c>
      <c r="C1021" s="44" t="s">
        <v>273</v>
      </c>
      <c r="D1021" s="19" t="s">
        <v>814</v>
      </c>
      <c r="E1021" s="19">
        <v>12</v>
      </c>
      <c r="F1021" s="19">
        <v>1460</v>
      </c>
      <c r="G1021" s="19">
        <v>6688</v>
      </c>
      <c r="H1021" s="19">
        <v>1</v>
      </c>
      <c r="I1021" s="80">
        <v>917.29</v>
      </c>
      <c r="J1021" s="80">
        <v>917.29</v>
      </c>
      <c r="K1021" s="19" t="s">
        <v>1588</v>
      </c>
      <c r="L1021" s="19" t="s">
        <v>1589</v>
      </c>
      <c r="P1021" s="19" t="s">
        <v>138</v>
      </c>
      <c r="Q1021" s="20">
        <v>22</v>
      </c>
      <c r="R1021" s="65" t="s">
        <v>1572</v>
      </c>
      <c r="T1021" s="19" t="s">
        <v>307</v>
      </c>
      <c r="V1021" s="19" t="s">
        <v>178</v>
      </c>
      <c r="Y1021" s="19" t="s">
        <v>138</v>
      </c>
      <c r="Z1021" s="44" t="s">
        <v>1573</v>
      </c>
      <c r="AA1021" s="44" t="s">
        <v>1590</v>
      </c>
      <c r="AC1021" s="19" t="s">
        <v>1591</v>
      </c>
    </row>
    <row r="1022" spans="1:29" hidden="1" x14ac:dyDescent="0.25">
      <c r="A1022" s="26">
        <v>20</v>
      </c>
      <c r="B1022" s="19" t="s">
        <v>1598</v>
      </c>
      <c r="C1022" s="44" t="s">
        <v>273</v>
      </c>
      <c r="D1022" s="19" t="s">
        <v>1493</v>
      </c>
      <c r="E1022" s="19">
        <v>12</v>
      </c>
      <c r="F1022" s="19">
        <v>238</v>
      </c>
      <c r="G1022" s="19">
        <v>1280</v>
      </c>
      <c r="H1022" s="19">
        <v>1</v>
      </c>
      <c r="I1022" s="80">
        <v>28.7</v>
      </c>
      <c r="J1022" s="80">
        <v>28.7</v>
      </c>
      <c r="K1022" s="19" t="s">
        <v>1588</v>
      </c>
      <c r="L1022" s="19" t="s">
        <v>1589</v>
      </c>
      <c r="O1022" s="19" t="s">
        <v>138</v>
      </c>
      <c r="Q1022" s="20">
        <v>22</v>
      </c>
      <c r="R1022" s="65" t="s">
        <v>1572</v>
      </c>
      <c r="T1022" s="19" t="s">
        <v>307</v>
      </c>
      <c r="V1022" s="19" t="s">
        <v>178</v>
      </c>
      <c r="Z1022" s="44" t="s">
        <v>1573</v>
      </c>
      <c r="AA1022" s="44" t="s">
        <v>1590</v>
      </c>
      <c r="AC1022" s="19" t="s">
        <v>1591</v>
      </c>
    </row>
    <row r="1023" spans="1:29" hidden="1" x14ac:dyDescent="0.25">
      <c r="A1023" s="26">
        <v>21</v>
      </c>
      <c r="B1023" s="19" t="s">
        <v>1599</v>
      </c>
      <c r="C1023" s="44" t="s">
        <v>273</v>
      </c>
      <c r="D1023" s="19" t="s">
        <v>1493</v>
      </c>
      <c r="E1023" s="19">
        <v>12</v>
      </c>
      <c r="F1023" s="19">
        <v>238</v>
      </c>
      <c r="G1023" s="19">
        <v>1280</v>
      </c>
      <c r="H1023" s="19">
        <v>1</v>
      </c>
      <c r="I1023" s="80">
        <v>28.7</v>
      </c>
      <c r="J1023" s="80">
        <v>28.7</v>
      </c>
      <c r="K1023" s="19" t="s">
        <v>1588</v>
      </c>
      <c r="L1023" s="19" t="s">
        <v>1589</v>
      </c>
      <c r="O1023" s="19" t="s">
        <v>138</v>
      </c>
      <c r="Q1023" s="20">
        <v>22</v>
      </c>
      <c r="R1023" s="65" t="s">
        <v>1572</v>
      </c>
      <c r="T1023" s="19" t="s">
        <v>307</v>
      </c>
      <c r="V1023" s="19" t="s">
        <v>178</v>
      </c>
      <c r="Z1023" s="44" t="s">
        <v>1573</v>
      </c>
      <c r="AA1023" s="44" t="s">
        <v>1590</v>
      </c>
      <c r="AC1023" s="19" t="s">
        <v>1591</v>
      </c>
    </row>
    <row r="1024" spans="1:29" hidden="1" x14ac:dyDescent="0.25">
      <c r="A1024" s="26">
        <v>22</v>
      </c>
      <c r="B1024" s="19" t="s">
        <v>1600</v>
      </c>
      <c r="C1024" s="44" t="s">
        <v>273</v>
      </c>
      <c r="D1024" s="19" t="s">
        <v>1493</v>
      </c>
      <c r="E1024" s="19">
        <v>12</v>
      </c>
      <c r="F1024" s="19">
        <v>238</v>
      </c>
      <c r="G1024" s="19">
        <v>1280</v>
      </c>
      <c r="H1024" s="19">
        <v>1</v>
      </c>
      <c r="I1024" s="80">
        <v>28.7</v>
      </c>
      <c r="J1024" s="80">
        <v>28.7</v>
      </c>
      <c r="K1024" s="19" t="s">
        <v>1588</v>
      </c>
      <c r="L1024" s="19" t="s">
        <v>1589</v>
      </c>
      <c r="O1024" s="19" t="s">
        <v>138</v>
      </c>
      <c r="Q1024" s="20">
        <v>22</v>
      </c>
      <c r="R1024" s="65" t="s">
        <v>1572</v>
      </c>
      <c r="T1024" s="19" t="s">
        <v>307</v>
      </c>
      <c r="V1024" s="19" t="s">
        <v>178</v>
      </c>
      <c r="Z1024" s="44" t="s">
        <v>1573</v>
      </c>
      <c r="AA1024" s="44" t="s">
        <v>1590</v>
      </c>
      <c r="AC1024" s="19" t="s">
        <v>1591</v>
      </c>
    </row>
    <row r="1025" spans="1:29" hidden="1" x14ac:dyDescent="0.25">
      <c r="A1025" s="26">
        <v>23</v>
      </c>
      <c r="B1025" s="19" t="s">
        <v>1601</v>
      </c>
      <c r="C1025" s="44" t="s">
        <v>273</v>
      </c>
      <c r="D1025" s="19" t="s">
        <v>1493</v>
      </c>
      <c r="E1025" s="19">
        <v>12</v>
      </c>
      <c r="F1025" s="19">
        <v>238</v>
      </c>
      <c r="G1025" s="19">
        <v>1280</v>
      </c>
      <c r="H1025" s="19">
        <v>1</v>
      </c>
      <c r="I1025" s="80">
        <v>28.7</v>
      </c>
      <c r="J1025" s="80">
        <v>28.7</v>
      </c>
      <c r="K1025" s="19" t="s">
        <v>1588</v>
      </c>
      <c r="L1025" s="19" t="s">
        <v>1589</v>
      </c>
      <c r="O1025" s="19" t="s">
        <v>138</v>
      </c>
      <c r="Q1025" s="20">
        <v>22</v>
      </c>
      <c r="R1025" s="65" t="s">
        <v>1572</v>
      </c>
      <c r="T1025" s="19" t="s">
        <v>307</v>
      </c>
      <c r="V1025" s="19" t="s">
        <v>178</v>
      </c>
      <c r="Z1025" s="44" t="s">
        <v>1573</v>
      </c>
      <c r="AA1025" s="44" t="s">
        <v>1590</v>
      </c>
      <c r="AC1025" s="19" t="s">
        <v>1591</v>
      </c>
    </row>
    <row r="1026" spans="1:29" hidden="1" x14ac:dyDescent="0.25">
      <c r="A1026" s="26">
        <v>24</v>
      </c>
      <c r="B1026" s="19" t="s">
        <v>1602</v>
      </c>
      <c r="C1026" s="44" t="s">
        <v>273</v>
      </c>
      <c r="D1026" s="19" t="s">
        <v>803</v>
      </c>
      <c r="E1026" s="19">
        <v>12</v>
      </c>
      <c r="F1026" s="19">
        <v>135</v>
      </c>
      <c r="G1026" s="19">
        <v>488</v>
      </c>
      <c r="H1026" s="19">
        <v>1</v>
      </c>
      <c r="I1026" s="80">
        <v>6.19</v>
      </c>
      <c r="J1026" s="80">
        <v>6.19</v>
      </c>
      <c r="K1026" s="19" t="s">
        <v>1603</v>
      </c>
      <c r="L1026" s="19" t="s">
        <v>1604</v>
      </c>
      <c r="Q1026" s="20">
        <v>22</v>
      </c>
      <c r="R1026" s="65" t="s">
        <v>1572</v>
      </c>
      <c r="T1026" s="19" t="s">
        <v>307</v>
      </c>
      <c r="V1026" s="19" t="s">
        <v>178</v>
      </c>
      <c r="W1026" s="19" t="s">
        <v>138</v>
      </c>
      <c r="Z1026" s="44" t="s">
        <v>1573</v>
      </c>
      <c r="AA1026" s="44" t="s">
        <v>1605</v>
      </c>
      <c r="AC1026" s="19" t="s">
        <v>1606</v>
      </c>
    </row>
    <row r="1027" spans="1:29" hidden="1" x14ac:dyDescent="0.25">
      <c r="A1027" s="26">
        <v>25</v>
      </c>
      <c r="B1027" s="19" t="s">
        <v>1607</v>
      </c>
      <c r="C1027" s="44" t="s">
        <v>273</v>
      </c>
      <c r="D1027" s="19" t="s">
        <v>1608</v>
      </c>
      <c r="E1027" s="19">
        <v>12</v>
      </c>
      <c r="F1027" s="19">
        <v>116</v>
      </c>
      <c r="G1027" s="19">
        <v>144</v>
      </c>
      <c r="H1027" s="19">
        <v>2</v>
      </c>
      <c r="I1027" s="80">
        <v>1.32</v>
      </c>
      <c r="J1027" s="80">
        <v>2.65</v>
      </c>
      <c r="K1027" s="19" t="s">
        <v>1603</v>
      </c>
      <c r="L1027" s="19" t="s">
        <v>1604</v>
      </c>
      <c r="Q1027" s="20">
        <v>22</v>
      </c>
      <c r="R1027" s="65" t="s">
        <v>1572</v>
      </c>
      <c r="T1027" s="19" t="s">
        <v>307</v>
      </c>
      <c r="V1027" s="19" t="s">
        <v>178</v>
      </c>
      <c r="W1027" s="19" t="s">
        <v>138</v>
      </c>
      <c r="Z1027" s="44" t="s">
        <v>1573</v>
      </c>
      <c r="AA1027" s="44" t="s">
        <v>1605</v>
      </c>
      <c r="AC1027" s="19" t="s">
        <v>1606</v>
      </c>
    </row>
    <row r="1028" spans="1:29" hidden="1" x14ac:dyDescent="0.25">
      <c r="A1028" s="26">
        <v>26</v>
      </c>
      <c r="B1028" s="19" t="s">
        <v>1609</v>
      </c>
      <c r="C1028" s="44" t="s">
        <v>273</v>
      </c>
      <c r="D1028" s="19" t="s">
        <v>812</v>
      </c>
      <c r="E1028" s="19">
        <v>12</v>
      </c>
      <c r="F1028" s="19">
        <v>490</v>
      </c>
      <c r="G1028" s="19">
        <v>6464</v>
      </c>
      <c r="H1028" s="19">
        <v>1</v>
      </c>
      <c r="I1028" s="80">
        <v>298.26</v>
      </c>
      <c r="J1028" s="80">
        <v>298.26</v>
      </c>
      <c r="K1028" s="19" t="s">
        <v>1603</v>
      </c>
      <c r="L1028" s="19" t="s">
        <v>1604</v>
      </c>
      <c r="Q1028" s="20">
        <v>22</v>
      </c>
      <c r="R1028" s="65" t="s">
        <v>1572</v>
      </c>
      <c r="T1028" s="19" t="s">
        <v>307</v>
      </c>
      <c r="V1028" s="19" t="s">
        <v>178</v>
      </c>
      <c r="Y1028" s="19" t="s">
        <v>138</v>
      </c>
      <c r="Z1028" s="44" t="s">
        <v>1573</v>
      </c>
      <c r="AA1028" s="44" t="s">
        <v>1605</v>
      </c>
      <c r="AC1028" s="19" t="s">
        <v>1606</v>
      </c>
    </row>
    <row r="1029" spans="1:29" hidden="1" x14ac:dyDescent="0.25">
      <c r="A1029" s="26">
        <v>27</v>
      </c>
      <c r="B1029" s="19" t="s">
        <v>1610</v>
      </c>
      <c r="C1029" s="44" t="s">
        <v>273</v>
      </c>
      <c r="D1029" s="19" t="s">
        <v>874</v>
      </c>
      <c r="E1029" s="19">
        <v>12</v>
      </c>
      <c r="F1029" s="19">
        <v>100</v>
      </c>
      <c r="G1029" s="19">
        <v>150</v>
      </c>
      <c r="H1029" s="19">
        <v>1</v>
      </c>
      <c r="I1029" s="80">
        <v>1.41</v>
      </c>
      <c r="J1029" s="80">
        <v>1.41</v>
      </c>
      <c r="K1029" s="19" t="s">
        <v>1603</v>
      </c>
      <c r="L1029" s="19" t="s">
        <v>1604</v>
      </c>
      <c r="Q1029" s="20">
        <v>22</v>
      </c>
      <c r="R1029" s="65" t="s">
        <v>1572</v>
      </c>
      <c r="T1029" s="19" t="s">
        <v>307</v>
      </c>
      <c r="V1029" s="19" t="s">
        <v>178</v>
      </c>
      <c r="W1029" s="19" t="s">
        <v>138</v>
      </c>
      <c r="Z1029" s="44" t="s">
        <v>1573</v>
      </c>
      <c r="AA1029" s="44" t="s">
        <v>1605</v>
      </c>
      <c r="AC1029" s="19" t="s">
        <v>1606</v>
      </c>
    </row>
    <row r="1030" spans="1:29" hidden="1" x14ac:dyDescent="0.25">
      <c r="A1030" s="26">
        <v>28</v>
      </c>
      <c r="B1030" s="19" t="s">
        <v>1611</v>
      </c>
      <c r="C1030" s="44" t="s">
        <v>273</v>
      </c>
      <c r="D1030" s="19" t="s">
        <v>874</v>
      </c>
      <c r="E1030" s="19">
        <v>12</v>
      </c>
      <c r="F1030" s="19">
        <v>100</v>
      </c>
      <c r="G1030" s="19">
        <v>150</v>
      </c>
      <c r="H1030" s="19">
        <v>1</v>
      </c>
      <c r="I1030" s="80">
        <v>1.41</v>
      </c>
      <c r="J1030" s="80">
        <v>1.41</v>
      </c>
      <c r="K1030" s="19" t="s">
        <v>1603</v>
      </c>
      <c r="L1030" s="19" t="s">
        <v>1604</v>
      </c>
      <c r="Q1030" s="20">
        <v>22</v>
      </c>
      <c r="R1030" s="65" t="s">
        <v>1572</v>
      </c>
      <c r="T1030" s="19" t="s">
        <v>307</v>
      </c>
      <c r="V1030" s="19" t="s">
        <v>178</v>
      </c>
      <c r="W1030" s="19" t="s">
        <v>138</v>
      </c>
      <c r="Z1030" s="44" t="s">
        <v>1573</v>
      </c>
      <c r="AA1030" s="44" t="s">
        <v>1605</v>
      </c>
      <c r="AC1030" s="19" t="s">
        <v>1606</v>
      </c>
    </row>
    <row r="1031" spans="1:29" hidden="1" x14ac:dyDescent="0.25">
      <c r="A1031" s="26">
        <v>29</v>
      </c>
      <c r="B1031" s="19" t="s">
        <v>1612</v>
      </c>
      <c r="C1031" s="44" t="s">
        <v>273</v>
      </c>
      <c r="D1031" s="19" t="s">
        <v>869</v>
      </c>
      <c r="E1031" s="19">
        <v>12</v>
      </c>
      <c r="F1031" s="19">
        <v>490</v>
      </c>
      <c r="G1031" s="19">
        <v>1514</v>
      </c>
      <c r="H1031" s="19">
        <v>1</v>
      </c>
      <c r="I1031" s="80">
        <v>69.78</v>
      </c>
      <c r="J1031" s="80">
        <v>69.78</v>
      </c>
      <c r="K1031" s="19" t="s">
        <v>1603</v>
      </c>
      <c r="L1031" s="19" t="s">
        <v>1604</v>
      </c>
      <c r="Q1031" s="20">
        <v>22</v>
      </c>
      <c r="R1031" s="65" t="s">
        <v>1572</v>
      </c>
      <c r="T1031" s="19" t="s">
        <v>307</v>
      </c>
      <c r="V1031" s="19" t="s">
        <v>178</v>
      </c>
      <c r="Y1031" s="19" t="s">
        <v>138</v>
      </c>
      <c r="Z1031" s="44" t="s">
        <v>1573</v>
      </c>
      <c r="AA1031" s="44" t="s">
        <v>1605</v>
      </c>
      <c r="AC1031" s="19" t="s">
        <v>1606</v>
      </c>
    </row>
    <row r="1032" spans="1:29" hidden="1" x14ac:dyDescent="0.25">
      <c r="A1032" s="26">
        <v>30</v>
      </c>
      <c r="B1032" s="19" t="s">
        <v>1613</v>
      </c>
      <c r="C1032" s="44" t="s">
        <v>273</v>
      </c>
      <c r="D1032" s="19" t="s">
        <v>877</v>
      </c>
      <c r="E1032" s="19">
        <v>12</v>
      </c>
      <c r="F1032" s="19">
        <v>130</v>
      </c>
      <c r="G1032" s="19">
        <v>1458</v>
      </c>
      <c r="H1032" s="19">
        <v>1</v>
      </c>
      <c r="I1032" s="80">
        <v>17.84</v>
      </c>
      <c r="J1032" s="80">
        <v>17.84</v>
      </c>
      <c r="K1032" s="19" t="s">
        <v>1603</v>
      </c>
      <c r="L1032" s="19" t="s">
        <v>1604</v>
      </c>
      <c r="Q1032" s="20">
        <v>22</v>
      </c>
      <c r="R1032" s="65" t="s">
        <v>1572</v>
      </c>
      <c r="T1032" s="19" t="s">
        <v>307</v>
      </c>
      <c r="V1032" s="19" t="s">
        <v>178</v>
      </c>
      <c r="W1032" s="19" t="s">
        <v>138</v>
      </c>
      <c r="Z1032" s="44" t="s">
        <v>1573</v>
      </c>
      <c r="AA1032" s="44" t="s">
        <v>1605</v>
      </c>
      <c r="AC1032" s="19" t="s">
        <v>1606</v>
      </c>
    </row>
    <row r="1033" spans="1:29" hidden="1" x14ac:dyDescent="0.25">
      <c r="A1033" s="26">
        <v>31</v>
      </c>
      <c r="B1033" s="19" t="s">
        <v>1614</v>
      </c>
      <c r="C1033" s="44" t="s">
        <v>273</v>
      </c>
      <c r="D1033" s="19" t="s">
        <v>1239</v>
      </c>
      <c r="E1033" s="19">
        <v>12</v>
      </c>
      <c r="F1033" s="19">
        <v>130</v>
      </c>
      <c r="G1033" s="19">
        <v>663</v>
      </c>
      <c r="H1033" s="19">
        <v>3</v>
      </c>
      <c r="I1033" s="80">
        <v>8.11</v>
      </c>
      <c r="J1033" s="80">
        <v>24.33</v>
      </c>
      <c r="K1033" s="19" t="s">
        <v>1603</v>
      </c>
      <c r="L1033" s="19" t="s">
        <v>1604</v>
      </c>
      <c r="Q1033" s="20">
        <v>22</v>
      </c>
      <c r="R1033" s="65" t="s">
        <v>1572</v>
      </c>
      <c r="T1033" s="19" t="s">
        <v>307</v>
      </c>
      <c r="V1033" s="19" t="s">
        <v>178</v>
      </c>
      <c r="W1033" s="19" t="s">
        <v>138</v>
      </c>
      <c r="Z1033" s="44" t="s">
        <v>1573</v>
      </c>
      <c r="AA1033" s="44" t="s">
        <v>1605</v>
      </c>
      <c r="AC1033" s="19" t="s">
        <v>1606</v>
      </c>
    </row>
    <row r="1034" spans="1:29" hidden="1" x14ac:dyDescent="0.25">
      <c r="A1034" s="26">
        <v>32</v>
      </c>
      <c r="B1034" s="19" t="s">
        <v>1615</v>
      </c>
      <c r="C1034" s="44" t="s">
        <v>273</v>
      </c>
      <c r="D1034" s="19" t="s">
        <v>914</v>
      </c>
      <c r="E1034" s="19">
        <v>12</v>
      </c>
      <c r="F1034" s="19">
        <v>95</v>
      </c>
      <c r="G1034" s="19">
        <v>263</v>
      </c>
      <c r="H1034" s="19">
        <v>7</v>
      </c>
      <c r="I1034" s="80">
        <v>2.34</v>
      </c>
      <c r="J1034" s="80">
        <v>16.36</v>
      </c>
      <c r="K1034" s="19" t="s">
        <v>1603</v>
      </c>
      <c r="L1034" s="19" t="s">
        <v>1604</v>
      </c>
      <c r="Q1034" s="20">
        <v>22</v>
      </c>
      <c r="R1034" s="65" t="s">
        <v>1572</v>
      </c>
      <c r="T1034" s="19" t="s">
        <v>307</v>
      </c>
      <c r="V1034" s="19" t="s">
        <v>178</v>
      </c>
      <c r="W1034" s="19" t="s">
        <v>138</v>
      </c>
      <c r="Z1034" s="44" t="s">
        <v>1573</v>
      </c>
      <c r="AA1034" s="44" t="s">
        <v>1605</v>
      </c>
      <c r="AC1034" s="19" t="s">
        <v>1606</v>
      </c>
    </row>
    <row r="1035" spans="1:29" hidden="1" x14ac:dyDescent="0.25">
      <c r="A1035" s="26">
        <v>33</v>
      </c>
      <c r="B1035" s="19" t="s">
        <v>1616</v>
      </c>
      <c r="C1035" s="44" t="s">
        <v>273</v>
      </c>
      <c r="D1035" s="19" t="s">
        <v>877</v>
      </c>
      <c r="E1035" s="19">
        <v>12</v>
      </c>
      <c r="F1035" s="19">
        <v>130</v>
      </c>
      <c r="G1035" s="19">
        <v>1458</v>
      </c>
      <c r="H1035" s="19">
        <v>1</v>
      </c>
      <c r="I1035" s="80">
        <v>17.84</v>
      </c>
      <c r="J1035" s="80">
        <v>17.84</v>
      </c>
      <c r="K1035" s="19" t="s">
        <v>1603</v>
      </c>
      <c r="L1035" s="19" t="s">
        <v>1604</v>
      </c>
      <c r="Q1035" s="20">
        <v>22</v>
      </c>
      <c r="R1035" s="65" t="s">
        <v>1572</v>
      </c>
      <c r="T1035" s="19" t="s">
        <v>307</v>
      </c>
      <c r="V1035" s="19" t="s">
        <v>178</v>
      </c>
      <c r="W1035" s="19" t="s">
        <v>138</v>
      </c>
      <c r="Z1035" s="44" t="s">
        <v>1573</v>
      </c>
      <c r="AA1035" s="44" t="s">
        <v>1605</v>
      </c>
      <c r="AC1035" s="19" t="s">
        <v>1606</v>
      </c>
    </row>
    <row r="1036" spans="1:29" hidden="1" x14ac:dyDescent="0.25">
      <c r="A1036" s="26">
        <v>34</v>
      </c>
      <c r="B1036" s="19" t="s">
        <v>1617</v>
      </c>
      <c r="C1036" s="44" t="s">
        <v>273</v>
      </c>
      <c r="D1036" s="19" t="s">
        <v>812</v>
      </c>
      <c r="E1036" s="19">
        <v>12</v>
      </c>
      <c r="F1036" s="19">
        <v>490</v>
      </c>
      <c r="G1036" s="19">
        <v>6464</v>
      </c>
      <c r="H1036" s="19">
        <v>1</v>
      </c>
      <c r="I1036" s="80">
        <v>298.26</v>
      </c>
      <c r="J1036" s="80">
        <v>298.26</v>
      </c>
      <c r="K1036" s="19" t="s">
        <v>1603</v>
      </c>
      <c r="L1036" s="19" t="s">
        <v>1604</v>
      </c>
      <c r="Q1036" s="20">
        <v>22</v>
      </c>
      <c r="R1036" s="65" t="s">
        <v>1572</v>
      </c>
      <c r="T1036" s="19" t="s">
        <v>307</v>
      </c>
      <c r="V1036" s="19" t="s">
        <v>178</v>
      </c>
      <c r="Y1036" s="19" t="s">
        <v>138</v>
      </c>
      <c r="Z1036" s="44" t="s">
        <v>1573</v>
      </c>
      <c r="AA1036" s="44" t="s">
        <v>1605</v>
      </c>
      <c r="AC1036" s="19" t="s">
        <v>1606</v>
      </c>
    </row>
    <row r="1037" spans="1:29" hidden="1" x14ac:dyDescent="0.25">
      <c r="A1037" s="26">
        <v>35</v>
      </c>
      <c r="B1037" s="19" t="s">
        <v>1618</v>
      </c>
      <c r="C1037" s="44" t="s">
        <v>273</v>
      </c>
      <c r="D1037" s="19" t="s">
        <v>812</v>
      </c>
      <c r="E1037" s="19">
        <v>12</v>
      </c>
      <c r="F1037" s="19">
        <v>490</v>
      </c>
      <c r="G1037" s="19">
        <v>6464</v>
      </c>
      <c r="H1037" s="19">
        <v>1</v>
      </c>
      <c r="I1037" s="80">
        <v>298.26</v>
      </c>
      <c r="J1037" s="80">
        <v>298.26</v>
      </c>
      <c r="K1037" s="19" t="s">
        <v>1603</v>
      </c>
      <c r="L1037" s="19" t="s">
        <v>1604</v>
      </c>
      <c r="Q1037" s="20">
        <v>22</v>
      </c>
      <c r="R1037" s="65" t="s">
        <v>1572</v>
      </c>
      <c r="T1037" s="19" t="s">
        <v>307</v>
      </c>
      <c r="V1037" s="19" t="s">
        <v>178</v>
      </c>
      <c r="Y1037" s="19" t="s">
        <v>138</v>
      </c>
      <c r="Z1037" s="44" t="s">
        <v>1573</v>
      </c>
      <c r="AA1037" s="44" t="s">
        <v>1605</v>
      </c>
      <c r="AC1037" s="19" t="s">
        <v>1606</v>
      </c>
    </row>
    <row r="1038" spans="1:29" hidden="1" x14ac:dyDescent="0.25">
      <c r="A1038" s="26">
        <v>36</v>
      </c>
      <c r="B1038" s="19" t="s">
        <v>1619</v>
      </c>
      <c r="C1038" s="44" t="s">
        <v>273</v>
      </c>
      <c r="D1038" s="19" t="s">
        <v>877</v>
      </c>
      <c r="E1038" s="19">
        <v>12</v>
      </c>
      <c r="F1038" s="19">
        <v>130</v>
      </c>
      <c r="G1038" s="19">
        <v>1458</v>
      </c>
      <c r="H1038" s="19">
        <v>1</v>
      </c>
      <c r="I1038" s="80">
        <v>17.84</v>
      </c>
      <c r="J1038" s="80">
        <v>17.84</v>
      </c>
      <c r="K1038" s="19" t="s">
        <v>1603</v>
      </c>
      <c r="L1038" s="19" t="s">
        <v>1604</v>
      </c>
      <c r="Q1038" s="20">
        <v>22</v>
      </c>
      <c r="R1038" s="65" t="s">
        <v>1572</v>
      </c>
      <c r="T1038" s="19" t="s">
        <v>307</v>
      </c>
      <c r="V1038" s="19" t="s">
        <v>178</v>
      </c>
      <c r="W1038" s="19" t="s">
        <v>138</v>
      </c>
      <c r="Z1038" s="44" t="s">
        <v>1573</v>
      </c>
      <c r="AA1038" s="44" t="s">
        <v>1605</v>
      </c>
      <c r="AC1038" s="19" t="s">
        <v>1606</v>
      </c>
    </row>
    <row r="1039" spans="1:29" hidden="1" x14ac:dyDescent="0.25">
      <c r="A1039" s="26">
        <v>37</v>
      </c>
      <c r="B1039" s="19" t="s">
        <v>1620</v>
      </c>
      <c r="C1039" s="44" t="s">
        <v>273</v>
      </c>
      <c r="D1039" s="19" t="s">
        <v>877</v>
      </c>
      <c r="E1039" s="19">
        <v>12</v>
      </c>
      <c r="F1039" s="19">
        <v>130</v>
      </c>
      <c r="G1039" s="19">
        <v>1458</v>
      </c>
      <c r="H1039" s="19">
        <v>1</v>
      </c>
      <c r="I1039" s="80">
        <v>17.84</v>
      </c>
      <c r="J1039" s="80">
        <v>17.84</v>
      </c>
      <c r="K1039" s="19" t="s">
        <v>1603</v>
      </c>
      <c r="L1039" s="19" t="s">
        <v>1604</v>
      </c>
      <c r="Q1039" s="20">
        <v>22</v>
      </c>
      <c r="R1039" s="65" t="s">
        <v>1572</v>
      </c>
      <c r="T1039" s="19" t="s">
        <v>307</v>
      </c>
      <c r="V1039" s="19" t="s">
        <v>178</v>
      </c>
      <c r="W1039" s="19" t="s">
        <v>138</v>
      </c>
      <c r="Z1039" s="44" t="s">
        <v>1573</v>
      </c>
      <c r="AA1039" s="44" t="s">
        <v>1605</v>
      </c>
      <c r="AC1039" s="19" t="s">
        <v>1606</v>
      </c>
    </row>
    <row r="1040" spans="1:29" hidden="1" x14ac:dyDescent="0.25">
      <c r="A1040" s="26">
        <v>38</v>
      </c>
      <c r="B1040" s="19" t="s">
        <v>1621</v>
      </c>
      <c r="C1040" s="44" t="s">
        <v>273</v>
      </c>
      <c r="D1040" s="19" t="s">
        <v>879</v>
      </c>
      <c r="E1040" s="19">
        <v>12</v>
      </c>
      <c r="F1040" s="19">
        <v>130</v>
      </c>
      <c r="G1040" s="19">
        <v>263</v>
      </c>
      <c r="H1040" s="19">
        <v>1</v>
      </c>
      <c r="I1040" s="80">
        <v>3.21</v>
      </c>
      <c r="J1040" s="80">
        <v>3.21</v>
      </c>
      <c r="K1040" s="19" t="s">
        <v>1603</v>
      </c>
      <c r="L1040" s="19" t="s">
        <v>1604</v>
      </c>
      <c r="Q1040" s="20">
        <v>22</v>
      </c>
      <c r="R1040" s="65" t="s">
        <v>1572</v>
      </c>
      <c r="T1040" s="19" t="s">
        <v>307</v>
      </c>
      <c r="V1040" s="19" t="s">
        <v>178</v>
      </c>
      <c r="W1040" s="19" t="s">
        <v>138</v>
      </c>
      <c r="Z1040" s="44" t="s">
        <v>1573</v>
      </c>
      <c r="AA1040" s="44" t="s">
        <v>1605</v>
      </c>
      <c r="AC1040" s="19" t="s">
        <v>1606</v>
      </c>
    </row>
    <row r="1041" spans="1:29" hidden="1" x14ac:dyDescent="0.25">
      <c r="A1041" s="26">
        <v>39</v>
      </c>
      <c r="B1041" s="19" t="s">
        <v>1622</v>
      </c>
      <c r="C1041" s="44" t="s">
        <v>273</v>
      </c>
      <c r="D1041" s="19" t="s">
        <v>1493</v>
      </c>
      <c r="E1041" s="19">
        <v>12</v>
      </c>
      <c r="F1041" s="19">
        <v>238</v>
      </c>
      <c r="G1041" s="19">
        <v>1280</v>
      </c>
      <c r="H1041" s="19">
        <v>1</v>
      </c>
      <c r="I1041" s="80">
        <v>28.7</v>
      </c>
      <c r="J1041" s="80">
        <v>28.7</v>
      </c>
      <c r="K1041" s="19" t="s">
        <v>1603</v>
      </c>
      <c r="L1041" s="19" t="s">
        <v>1604</v>
      </c>
      <c r="O1041" s="19" t="s">
        <v>138</v>
      </c>
      <c r="Q1041" s="20">
        <v>22</v>
      </c>
      <c r="R1041" s="65" t="s">
        <v>1572</v>
      </c>
      <c r="T1041" s="19" t="s">
        <v>307</v>
      </c>
      <c r="V1041" s="19" t="s">
        <v>178</v>
      </c>
      <c r="Z1041" s="44" t="s">
        <v>1573</v>
      </c>
      <c r="AA1041" s="44" t="s">
        <v>1605</v>
      </c>
      <c r="AC1041" s="19" t="s">
        <v>1606</v>
      </c>
    </row>
    <row r="1042" spans="1:29" hidden="1" x14ac:dyDescent="0.25">
      <c r="A1042" s="26">
        <v>40</v>
      </c>
      <c r="B1042" s="19" t="s">
        <v>1623</v>
      </c>
      <c r="C1042" s="44" t="s">
        <v>273</v>
      </c>
      <c r="D1042" s="19" t="s">
        <v>1493</v>
      </c>
      <c r="E1042" s="19">
        <v>12</v>
      </c>
      <c r="F1042" s="19">
        <v>238</v>
      </c>
      <c r="G1042" s="19">
        <v>1280</v>
      </c>
      <c r="H1042" s="19">
        <v>1</v>
      </c>
      <c r="I1042" s="80">
        <v>28.7</v>
      </c>
      <c r="J1042" s="80">
        <v>28.7</v>
      </c>
      <c r="K1042" s="19" t="s">
        <v>1603</v>
      </c>
      <c r="L1042" s="19" t="s">
        <v>1604</v>
      </c>
      <c r="O1042" s="19" t="s">
        <v>138</v>
      </c>
      <c r="Q1042" s="20">
        <v>22</v>
      </c>
      <c r="R1042" s="65" t="s">
        <v>1572</v>
      </c>
      <c r="T1042" s="19" t="s">
        <v>307</v>
      </c>
      <c r="V1042" s="19" t="s">
        <v>178</v>
      </c>
      <c r="Z1042" s="44" t="s">
        <v>1573</v>
      </c>
      <c r="AA1042" s="44" t="s">
        <v>1605</v>
      </c>
      <c r="AC1042" s="19" t="s">
        <v>1606</v>
      </c>
    </row>
    <row r="1043" spans="1:29" hidden="1" x14ac:dyDescent="0.25">
      <c r="A1043" s="26">
        <v>41</v>
      </c>
      <c r="B1043" s="19" t="s">
        <v>1624</v>
      </c>
      <c r="C1043" s="44" t="s">
        <v>273</v>
      </c>
      <c r="D1043" s="19" t="s">
        <v>1493</v>
      </c>
      <c r="E1043" s="19">
        <v>12</v>
      </c>
      <c r="F1043" s="19">
        <v>238</v>
      </c>
      <c r="G1043" s="19">
        <v>1280</v>
      </c>
      <c r="H1043" s="19">
        <v>1</v>
      </c>
      <c r="I1043" s="80">
        <v>28.7</v>
      </c>
      <c r="J1043" s="80">
        <v>28.7</v>
      </c>
      <c r="K1043" s="19" t="s">
        <v>1603</v>
      </c>
      <c r="L1043" s="19" t="s">
        <v>1604</v>
      </c>
      <c r="O1043" s="19" t="s">
        <v>138</v>
      </c>
      <c r="Q1043" s="20">
        <v>22</v>
      </c>
      <c r="R1043" s="65" t="s">
        <v>1572</v>
      </c>
      <c r="T1043" s="19" t="s">
        <v>307</v>
      </c>
      <c r="V1043" s="19" t="s">
        <v>178</v>
      </c>
      <c r="Z1043" s="44" t="s">
        <v>1573</v>
      </c>
      <c r="AA1043" s="44" t="s">
        <v>1605</v>
      </c>
      <c r="AC1043" s="19" t="s">
        <v>1606</v>
      </c>
    </row>
    <row r="1044" spans="1:29" hidden="1" x14ac:dyDescent="0.25">
      <c r="A1044" s="26">
        <v>42</v>
      </c>
      <c r="B1044" s="19" t="s">
        <v>1625</v>
      </c>
      <c r="C1044" s="44" t="s">
        <v>273</v>
      </c>
      <c r="D1044" s="19" t="s">
        <v>1493</v>
      </c>
      <c r="E1044" s="19">
        <v>12</v>
      </c>
      <c r="F1044" s="19">
        <v>238</v>
      </c>
      <c r="G1044" s="19">
        <v>1280</v>
      </c>
      <c r="H1044" s="19">
        <v>1</v>
      </c>
      <c r="I1044" s="80">
        <v>28.7</v>
      </c>
      <c r="J1044" s="80">
        <v>28.7</v>
      </c>
      <c r="K1044" s="19" t="s">
        <v>1603</v>
      </c>
      <c r="L1044" s="19" t="s">
        <v>1604</v>
      </c>
      <c r="O1044" s="19" t="s">
        <v>138</v>
      </c>
      <c r="Q1044" s="20">
        <v>22</v>
      </c>
      <c r="R1044" s="65" t="s">
        <v>1572</v>
      </c>
      <c r="T1044" s="19" t="s">
        <v>307</v>
      </c>
      <c r="V1044" s="19" t="s">
        <v>178</v>
      </c>
      <c r="Z1044" s="44" t="s">
        <v>1573</v>
      </c>
      <c r="AA1044" s="44" t="s">
        <v>1605</v>
      </c>
      <c r="AC1044" s="19" t="s">
        <v>1606</v>
      </c>
    </row>
    <row r="1045" spans="1:29" hidden="1" x14ac:dyDescent="0.25">
      <c r="A1045" s="26">
        <v>43</v>
      </c>
      <c r="B1045" s="19" t="s">
        <v>1626</v>
      </c>
      <c r="C1045" s="44" t="s">
        <v>273</v>
      </c>
      <c r="D1045" s="19" t="s">
        <v>1493</v>
      </c>
      <c r="E1045" s="19">
        <v>12</v>
      </c>
      <c r="F1045" s="19">
        <v>238</v>
      </c>
      <c r="G1045" s="19">
        <v>1280</v>
      </c>
      <c r="H1045" s="19">
        <v>1</v>
      </c>
      <c r="I1045" s="80">
        <v>28.7</v>
      </c>
      <c r="J1045" s="80">
        <v>28.7</v>
      </c>
      <c r="K1045" s="19" t="s">
        <v>1603</v>
      </c>
      <c r="L1045" s="19" t="s">
        <v>1604</v>
      </c>
      <c r="O1045" s="19" t="s">
        <v>138</v>
      </c>
      <c r="Q1045" s="20">
        <v>22</v>
      </c>
      <c r="R1045" s="65" t="s">
        <v>1572</v>
      </c>
      <c r="T1045" s="19" t="s">
        <v>307</v>
      </c>
      <c r="V1045" s="19" t="s">
        <v>178</v>
      </c>
      <c r="Z1045" s="44" t="s">
        <v>1573</v>
      </c>
      <c r="AA1045" s="44" t="s">
        <v>1605</v>
      </c>
      <c r="AC1045" s="19" t="s">
        <v>1606</v>
      </c>
    </row>
    <row r="1046" spans="1:29" hidden="1" x14ac:dyDescent="0.25">
      <c r="A1046" s="26">
        <v>44</v>
      </c>
      <c r="B1046" s="19" t="s">
        <v>1627</v>
      </c>
      <c r="C1046" s="44" t="s">
        <v>273</v>
      </c>
      <c r="D1046" s="19" t="s">
        <v>914</v>
      </c>
      <c r="E1046" s="19">
        <v>12</v>
      </c>
      <c r="F1046" s="19">
        <v>95</v>
      </c>
      <c r="G1046" s="19">
        <v>263</v>
      </c>
      <c r="H1046" s="19">
        <v>2</v>
      </c>
      <c r="I1046" s="80">
        <v>2.34</v>
      </c>
      <c r="J1046" s="80">
        <v>4.68</v>
      </c>
      <c r="K1046" s="19" t="s">
        <v>1628</v>
      </c>
      <c r="L1046" s="19" t="s">
        <v>1629</v>
      </c>
      <c r="Q1046" s="20">
        <v>22</v>
      </c>
      <c r="R1046" s="65" t="s">
        <v>1572</v>
      </c>
      <c r="T1046" s="19" t="s">
        <v>307</v>
      </c>
      <c r="V1046" s="19" t="s">
        <v>178</v>
      </c>
      <c r="W1046" s="19" t="s">
        <v>138</v>
      </c>
      <c r="Z1046" s="44" t="s">
        <v>1573</v>
      </c>
      <c r="AA1046" s="44" t="s">
        <v>1630</v>
      </c>
      <c r="AC1046" s="19" t="s">
        <v>1631</v>
      </c>
    </row>
    <row r="1047" spans="1:29" hidden="1" x14ac:dyDescent="0.25">
      <c r="A1047" s="26">
        <v>45</v>
      </c>
      <c r="B1047" s="19" t="s">
        <v>1632</v>
      </c>
      <c r="C1047" s="44" t="s">
        <v>273</v>
      </c>
      <c r="D1047" s="19" t="s">
        <v>879</v>
      </c>
      <c r="E1047" s="19">
        <v>12</v>
      </c>
      <c r="F1047" s="19">
        <v>130</v>
      </c>
      <c r="G1047" s="19">
        <v>263</v>
      </c>
      <c r="H1047" s="19">
        <v>1</v>
      </c>
      <c r="I1047" s="80">
        <v>3.21</v>
      </c>
      <c r="J1047" s="80">
        <v>3.21</v>
      </c>
      <c r="K1047" s="19" t="s">
        <v>1628</v>
      </c>
      <c r="L1047" s="19" t="s">
        <v>1629</v>
      </c>
      <c r="Q1047" s="20">
        <v>22</v>
      </c>
      <c r="R1047" s="65" t="s">
        <v>1572</v>
      </c>
      <c r="T1047" s="19" t="s">
        <v>307</v>
      </c>
      <c r="V1047" s="19" t="s">
        <v>178</v>
      </c>
      <c r="W1047" s="19" t="s">
        <v>138</v>
      </c>
      <c r="Z1047" s="44" t="s">
        <v>1573</v>
      </c>
      <c r="AA1047" s="44" t="s">
        <v>1630</v>
      </c>
      <c r="AC1047" s="19" t="s">
        <v>1631</v>
      </c>
    </row>
    <row r="1048" spans="1:29" hidden="1" x14ac:dyDescent="0.25">
      <c r="A1048" s="26">
        <v>46</v>
      </c>
      <c r="B1048" s="19" t="s">
        <v>1615</v>
      </c>
      <c r="C1048" s="44" t="s">
        <v>273</v>
      </c>
      <c r="D1048" s="19" t="s">
        <v>914</v>
      </c>
      <c r="E1048" s="19">
        <v>12</v>
      </c>
      <c r="F1048" s="19">
        <v>95</v>
      </c>
      <c r="G1048" s="19">
        <v>263</v>
      </c>
      <c r="H1048" s="19">
        <v>1</v>
      </c>
      <c r="I1048" s="80">
        <v>2.34</v>
      </c>
      <c r="J1048" s="80">
        <v>2.34</v>
      </c>
      <c r="K1048" s="19" t="s">
        <v>1628</v>
      </c>
      <c r="L1048" s="19" t="s">
        <v>1629</v>
      </c>
      <c r="Q1048" s="20">
        <v>22</v>
      </c>
      <c r="R1048" s="65" t="s">
        <v>1572</v>
      </c>
      <c r="T1048" s="19" t="s">
        <v>307</v>
      </c>
      <c r="V1048" s="19" t="s">
        <v>178</v>
      </c>
      <c r="W1048" s="19" t="s">
        <v>138</v>
      </c>
      <c r="Z1048" s="44" t="s">
        <v>1573</v>
      </c>
      <c r="AA1048" s="44" t="s">
        <v>1630</v>
      </c>
      <c r="AC1048" s="19" t="s">
        <v>1631</v>
      </c>
    </row>
    <row r="1049" spans="1:29" hidden="1" x14ac:dyDescent="0.25">
      <c r="A1049" s="26">
        <v>47</v>
      </c>
      <c r="B1049" s="19" t="s">
        <v>1633</v>
      </c>
      <c r="C1049" s="44" t="s">
        <v>273</v>
      </c>
      <c r="D1049" s="19" t="s">
        <v>1211</v>
      </c>
      <c r="E1049" s="19">
        <v>12</v>
      </c>
      <c r="F1049" s="19">
        <v>490</v>
      </c>
      <c r="G1049" s="19">
        <v>1388</v>
      </c>
      <c r="H1049" s="19">
        <v>1</v>
      </c>
      <c r="I1049" s="80">
        <v>63.63</v>
      </c>
      <c r="J1049" s="80">
        <v>63.63</v>
      </c>
      <c r="K1049" s="19" t="s">
        <v>1628</v>
      </c>
      <c r="L1049" s="19" t="s">
        <v>1629</v>
      </c>
      <c r="Q1049" s="20">
        <v>22</v>
      </c>
      <c r="R1049" s="65" t="s">
        <v>1572</v>
      </c>
      <c r="T1049" s="19" t="s">
        <v>307</v>
      </c>
      <c r="V1049" s="19" t="s">
        <v>178</v>
      </c>
      <c r="Y1049" s="19" t="s">
        <v>138</v>
      </c>
      <c r="Z1049" s="44" t="s">
        <v>1573</v>
      </c>
      <c r="AA1049" s="44" t="s">
        <v>1630</v>
      </c>
      <c r="AC1049" s="19" t="s">
        <v>1631</v>
      </c>
    </row>
    <row r="1050" spans="1:29" hidden="1" x14ac:dyDescent="0.25">
      <c r="A1050" s="26">
        <v>48</v>
      </c>
      <c r="B1050" s="19" t="s">
        <v>1634</v>
      </c>
      <c r="C1050" s="44" t="s">
        <v>273</v>
      </c>
      <c r="D1050" s="19" t="s">
        <v>1211</v>
      </c>
      <c r="E1050" s="19">
        <v>12</v>
      </c>
      <c r="F1050" s="19">
        <v>490</v>
      </c>
      <c r="G1050" s="19">
        <v>1388</v>
      </c>
      <c r="H1050" s="19">
        <v>1</v>
      </c>
      <c r="I1050" s="80">
        <v>63.63</v>
      </c>
      <c r="J1050" s="80">
        <v>63.63</v>
      </c>
      <c r="K1050" s="19" t="s">
        <v>1628</v>
      </c>
      <c r="L1050" s="19" t="s">
        <v>1629</v>
      </c>
      <c r="Q1050" s="20">
        <v>22</v>
      </c>
      <c r="R1050" s="65" t="s">
        <v>1572</v>
      </c>
      <c r="T1050" s="19" t="s">
        <v>307</v>
      </c>
      <c r="V1050" s="19" t="s">
        <v>178</v>
      </c>
      <c r="Y1050" s="19" t="s">
        <v>138</v>
      </c>
      <c r="Z1050" s="44" t="s">
        <v>1573</v>
      </c>
      <c r="AA1050" s="44" t="s">
        <v>1630</v>
      </c>
      <c r="AC1050" s="19" t="s">
        <v>1631</v>
      </c>
    </row>
    <row r="1051" spans="1:29" hidden="1" x14ac:dyDescent="0.25">
      <c r="A1051" s="26">
        <v>49</v>
      </c>
      <c r="B1051" s="19" t="s">
        <v>1635</v>
      </c>
      <c r="C1051" s="44" t="s">
        <v>273</v>
      </c>
      <c r="D1051" s="19" t="s">
        <v>1211</v>
      </c>
      <c r="E1051" s="19">
        <v>12</v>
      </c>
      <c r="F1051" s="19">
        <v>490</v>
      </c>
      <c r="G1051" s="19">
        <v>1388</v>
      </c>
      <c r="H1051" s="19">
        <v>1</v>
      </c>
      <c r="I1051" s="80">
        <v>63.63</v>
      </c>
      <c r="J1051" s="80">
        <v>63.63</v>
      </c>
      <c r="K1051" s="19" t="s">
        <v>1628</v>
      </c>
      <c r="L1051" s="19" t="s">
        <v>1629</v>
      </c>
      <c r="Q1051" s="20">
        <v>22</v>
      </c>
      <c r="R1051" s="65" t="s">
        <v>1572</v>
      </c>
      <c r="T1051" s="19" t="s">
        <v>307</v>
      </c>
      <c r="V1051" s="19" t="s">
        <v>178</v>
      </c>
      <c r="Y1051" s="19" t="s">
        <v>138</v>
      </c>
      <c r="Z1051" s="44" t="s">
        <v>1573</v>
      </c>
      <c r="AA1051" s="44" t="s">
        <v>1630</v>
      </c>
      <c r="AC1051" s="19" t="s">
        <v>1631</v>
      </c>
    </row>
    <row r="1052" spans="1:29" hidden="1" x14ac:dyDescent="0.25">
      <c r="A1052" s="26">
        <v>50</v>
      </c>
      <c r="B1052" s="19" t="s">
        <v>1636</v>
      </c>
      <c r="C1052" s="44" t="s">
        <v>273</v>
      </c>
      <c r="D1052" s="19" t="s">
        <v>1211</v>
      </c>
      <c r="E1052" s="19">
        <v>12</v>
      </c>
      <c r="F1052" s="19">
        <v>490</v>
      </c>
      <c r="G1052" s="19">
        <v>1388</v>
      </c>
      <c r="H1052" s="19">
        <v>1</v>
      </c>
      <c r="I1052" s="80">
        <v>63.63</v>
      </c>
      <c r="J1052" s="80">
        <v>63.63</v>
      </c>
      <c r="K1052" s="19" t="s">
        <v>1628</v>
      </c>
      <c r="L1052" s="19" t="s">
        <v>1629</v>
      </c>
      <c r="Q1052" s="20">
        <v>22</v>
      </c>
      <c r="R1052" s="65" t="s">
        <v>1572</v>
      </c>
      <c r="T1052" s="19" t="s">
        <v>307</v>
      </c>
      <c r="V1052" s="19" t="s">
        <v>178</v>
      </c>
      <c r="Y1052" s="19" t="s">
        <v>138</v>
      </c>
      <c r="Z1052" s="44" t="s">
        <v>1573</v>
      </c>
      <c r="AA1052" s="44" t="s">
        <v>1630</v>
      </c>
      <c r="AC1052" s="19" t="s">
        <v>1631</v>
      </c>
    </row>
    <row r="1053" spans="1:29" hidden="1" x14ac:dyDescent="0.25">
      <c r="A1053" s="26">
        <v>51</v>
      </c>
      <c r="B1053" s="19" t="s">
        <v>1637</v>
      </c>
      <c r="C1053" s="44" t="s">
        <v>273</v>
      </c>
      <c r="D1053" s="19" t="s">
        <v>1493</v>
      </c>
      <c r="E1053" s="19">
        <v>12</v>
      </c>
      <c r="F1053" s="19">
        <v>238</v>
      </c>
      <c r="G1053" s="19">
        <v>1280</v>
      </c>
      <c r="H1053" s="19">
        <v>1</v>
      </c>
      <c r="I1053" s="80">
        <v>28.7</v>
      </c>
      <c r="J1053" s="80">
        <v>28.7</v>
      </c>
      <c r="K1053" s="19" t="s">
        <v>1628</v>
      </c>
      <c r="L1053" s="19" t="s">
        <v>1629</v>
      </c>
      <c r="O1053" s="19" t="s">
        <v>138</v>
      </c>
      <c r="Q1053" s="20">
        <v>22</v>
      </c>
      <c r="R1053" s="65" t="s">
        <v>1572</v>
      </c>
      <c r="T1053" s="19" t="s">
        <v>307</v>
      </c>
      <c r="V1053" s="19" t="s">
        <v>178</v>
      </c>
      <c r="Z1053" s="44" t="s">
        <v>1573</v>
      </c>
      <c r="AA1053" s="44" t="s">
        <v>1630</v>
      </c>
      <c r="AC1053" s="19" t="s">
        <v>1631</v>
      </c>
    </row>
    <row r="1054" spans="1:29" hidden="1" x14ac:dyDescent="0.25">
      <c r="A1054" s="26">
        <v>52</v>
      </c>
      <c r="B1054" s="19" t="s">
        <v>1638</v>
      </c>
      <c r="C1054" s="44" t="s">
        <v>273</v>
      </c>
      <c r="D1054" s="19" t="s">
        <v>1493</v>
      </c>
      <c r="E1054" s="19">
        <v>12</v>
      </c>
      <c r="F1054" s="19">
        <v>238</v>
      </c>
      <c r="G1054" s="19">
        <v>1280</v>
      </c>
      <c r="H1054" s="19">
        <v>1</v>
      </c>
      <c r="I1054" s="80">
        <v>28.7</v>
      </c>
      <c r="J1054" s="80">
        <v>28.7</v>
      </c>
      <c r="K1054" s="19" t="s">
        <v>1628</v>
      </c>
      <c r="L1054" s="19" t="s">
        <v>1629</v>
      </c>
      <c r="O1054" s="19" t="s">
        <v>138</v>
      </c>
      <c r="Q1054" s="20">
        <v>22</v>
      </c>
      <c r="R1054" s="65" t="s">
        <v>1572</v>
      </c>
      <c r="T1054" s="19" t="s">
        <v>307</v>
      </c>
      <c r="V1054" s="19" t="s">
        <v>178</v>
      </c>
      <c r="Z1054" s="44" t="s">
        <v>1573</v>
      </c>
      <c r="AA1054" s="44" t="s">
        <v>1630</v>
      </c>
      <c r="AC1054" s="19" t="s">
        <v>1631</v>
      </c>
    </row>
    <row r="1055" spans="1:29" hidden="1" x14ac:dyDescent="0.25">
      <c r="A1055" s="26">
        <v>53</v>
      </c>
      <c r="B1055" s="19" t="s">
        <v>1639</v>
      </c>
      <c r="C1055" s="44" t="s">
        <v>273</v>
      </c>
      <c r="D1055" s="19" t="s">
        <v>1493</v>
      </c>
      <c r="E1055" s="19">
        <v>12</v>
      </c>
      <c r="F1055" s="19">
        <v>238</v>
      </c>
      <c r="G1055" s="19">
        <v>1280</v>
      </c>
      <c r="H1055" s="19">
        <v>1</v>
      </c>
      <c r="I1055" s="80">
        <v>28.7</v>
      </c>
      <c r="J1055" s="80">
        <v>28.7</v>
      </c>
      <c r="K1055" s="19" t="s">
        <v>1628</v>
      </c>
      <c r="L1055" s="19" t="s">
        <v>1629</v>
      </c>
      <c r="O1055" s="19" t="s">
        <v>138</v>
      </c>
      <c r="Q1055" s="20">
        <v>22</v>
      </c>
      <c r="R1055" s="65" t="s">
        <v>1572</v>
      </c>
      <c r="T1055" s="19" t="s">
        <v>307</v>
      </c>
      <c r="V1055" s="19" t="s">
        <v>178</v>
      </c>
      <c r="Z1055" s="44" t="s">
        <v>1573</v>
      </c>
      <c r="AA1055" s="44" t="s">
        <v>1630</v>
      </c>
      <c r="AC1055" s="19" t="s">
        <v>1631</v>
      </c>
    </row>
    <row r="1056" spans="1:29" hidden="1" x14ac:dyDescent="0.25">
      <c r="A1056" s="26">
        <v>54</v>
      </c>
      <c r="B1056" s="19" t="s">
        <v>1640</v>
      </c>
      <c r="C1056" s="44" t="s">
        <v>273</v>
      </c>
      <c r="D1056" s="19" t="s">
        <v>1493</v>
      </c>
      <c r="E1056" s="19">
        <v>12</v>
      </c>
      <c r="F1056" s="19">
        <v>238</v>
      </c>
      <c r="G1056" s="19">
        <v>1280</v>
      </c>
      <c r="H1056" s="19">
        <v>1</v>
      </c>
      <c r="I1056" s="80">
        <v>28.7</v>
      </c>
      <c r="J1056" s="80">
        <v>28.7</v>
      </c>
      <c r="K1056" s="19" t="s">
        <v>1628</v>
      </c>
      <c r="L1056" s="19" t="s">
        <v>1629</v>
      </c>
      <c r="O1056" s="19" t="s">
        <v>138</v>
      </c>
      <c r="Q1056" s="20">
        <v>22</v>
      </c>
      <c r="R1056" s="65" t="s">
        <v>1572</v>
      </c>
      <c r="T1056" s="19" t="s">
        <v>307</v>
      </c>
      <c r="V1056" s="19" t="s">
        <v>178</v>
      </c>
      <c r="Z1056" s="44" t="s">
        <v>1573</v>
      </c>
      <c r="AA1056" s="44" t="s">
        <v>1630</v>
      </c>
      <c r="AC1056" s="19" t="s">
        <v>1631</v>
      </c>
    </row>
    <row r="1057" spans="1:29" hidden="1" x14ac:dyDescent="0.25">
      <c r="A1057" s="26">
        <v>55</v>
      </c>
      <c r="B1057" s="19" t="s">
        <v>1602</v>
      </c>
      <c r="C1057" s="44" t="s">
        <v>273</v>
      </c>
      <c r="D1057" s="19" t="s">
        <v>803</v>
      </c>
      <c r="E1057" s="19">
        <v>12</v>
      </c>
      <c r="F1057" s="19">
        <v>135</v>
      </c>
      <c r="G1057" s="19">
        <v>488</v>
      </c>
      <c r="H1057" s="19">
        <v>11</v>
      </c>
      <c r="I1057" s="80">
        <v>6.19</v>
      </c>
      <c r="J1057" s="80">
        <v>68.09</v>
      </c>
      <c r="K1057" s="19" t="s">
        <v>184</v>
      </c>
      <c r="L1057" s="19" t="s">
        <v>1641</v>
      </c>
      <c r="Q1057" s="20">
        <v>22</v>
      </c>
      <c r="R1057" s="65" t="s">
        <v>1572</v>
      </c>
      <c r="T1057" s="19" t="s">
        <v>307</v>
      </c>
      <c r="V1057" s="19" t="s">
        <v>178</v>
      </c>
      <c r="W1057" s="19" t="s">
        <v>138</v>
      </c>
      <c r="Z1057" s="44" t="s">
        <v>1573</v>
      </c>
      <c r="AA1057" s="44" t="s">
        <v>1642</v>
      </c>
      <c r="AC1057" s="19" t="s">
        <v>1643</v>
      </c>
    </row>
    <row r="1058" spans="1:29" hidden="1" x14ac:dyDescent="0.25">
      <c r="A1058" s="26">
        <v>56</v>
      </c>
      <c r="B1058" s="19" t="s">
        <v>1607</v>
      </c>
      <c r="C1058" s="44" t="s">
        <v>273</v>
      </c>
      <c r="D1058" s="19" t="s">
        <v>1608</v>
      </c>
      <c r="E1058" s="19">
        <v>12</v>
      </c>
      <c r="F1058" s="19">
        <v>116</v>
      </c>
      <c r="G1058" s="19">
        <v>144</v>
      </c>
      <c r="H1058" s="19">
        <v>2</v>
      </c>
      <c r="I1058" s="80">
        <v>1.32</v>
      </c>
      <c r="J1058" s="80">
        <v>2.65</v>
      </c>
      <c r="K1058" s="19" t="s">
        <v>184</v>
      </c>
      <c r="L1058" s="19" t="s">
        <v>1641</v>
      </c>
      <c r="Q1058" s="20">
        <v>22</v>
      </c>
      <c r="R1058" s="65" t="s">
        <v>1572</v>
      </c>
      <c r="T1058" s="19" t="s">
        <v>307</v>
      </c>
      <c r="V1058" s="19" t="s">
        <v>178</v>
      </c>
      <c r="W1058" s="19" t="s">
        <v>138</v>
      </c>
      <c r="Z1058" s="44" t="s">
        <v>1573</v>
      </c>
      <c r="AA1058" s="44" t="s">
        <v>1642</v>
      </c>
      <c r="AC1058" s="19" t="s">
        <v>1643</v>
      </c>
    </row>
    <row r="1059" spans="1:29" hidden="1" x14ac:dyDescent="0.25">
      <c r="A1059" s="26">
        <v>57</v>
      </c>
      <c r="B1059" s="19" t="s">
        <v>1644</v>
      </c>
      <c r="C1059" s="44" t="s">
        <v>273</v>
      </c>
      <c r="D1059" s="19" t="s">
        <v>803</v>
      </c>
      <c r="E1059" s="19">
        <v>12</v>
      </c>
      <c r="F1059" s="19">
        <v>135</v>
      </c>
      <c r="G1059" s="19">
        <v>488</v>
      </c>
      <c r="H1059" s="19">
        <v>12</v>
      </c>
      <c r="I1059" s="80">
        <v>6.19</v>
      </c>
      <c r="J1059" s="80">
        <v>74.28</v>
      </c>
      <c r="K1059" s="19" t="s">
        <v>184</v>
      </c>
      <c r="L1059" s="19" t="s">
        <v>1641</v>
      </c>
      <c r="Q1059" s="20">
        <v>22</v>
      </c>
      <c r="R1059" s="65" t="s">
        <v>1572</v>
      </c>
      <c r="T1059" s="19" t="s">
        <v>307</v>
      </c>
      <c r="V1059" s="19" t="s">
        <v>178</v>
      </c>
      <c r="W1059" s="19" t="s">
        <v>138</v>
      </c>
      <c r="Z1059" s="44" t="s">
        <v>1573</v>
      </c>
      <c r="AA1059" s="44" t="s">
        <v>1642</v>
      </c>
      <c r="AC1059" s="19" t="s">
        <v>1643</v>
      </c>
    </row>
    <row r="1060" spans="1:29" hidden="1" x14ac:dyDescent="0.25">
      <c r="A1060" s="26">
        <v>58</v>
      </c>
      <c r="B1060" s="19" t="s">
        <v>1645</v>
      </c>
      <c r="C1060" s="44" t="s">
        <v>273</v>
      </c>
      <c r="D1060" s="19" t="s">
        <v>803</v>
      </c>
      <c r="E1060" s="19">
        <v>12</v>
      </c>
      <c r="F1060" s="19">
        <v>135</v>
      </c>
      <c r="G1060" s="19">
        <v>488</v>
      </c>
      <c r="H1060" s="19">
        <v>12</v>
      </c>
      <c r="I1060" s="80">
        <v>6.19</v>
      </c>
      <c r="J1060" s="80">
        <v>74.28</v>
      </c>
      <c r="K1060" s="19" t="s">
        <v>184</v>
      </c>
      <c r="L1060" s="19" t="s">
        <v>1641</v>
      </c>
      <c r="Q1060" s="20">
        <v>22</v>
      </c>
      <c r="R1060" s="65" t="s">
        <v>1572</v>
      </c>
      <c r="T1060" s="19" t="s">
        <v>307</v>
      </c>
      <c r="V1060" s="19" t="s">
        <v>178</v>
      </c>
      <c r="W1060" s="19" t="s">
        <v>138</v>
      </c>
      <c r="Z1060" s="44" t="s">
        <v>1573</v>
      </c>
      <c r="AA1060" s="44" t="s">
        <v>1642</v>
      </c>
      <c r="AC1060" s="19" t="s">
        <v>1643</v>
      </c>
    </row>
    <row r="1061" spans="1:29" hidden="1" x14ac:dyDescent="0.25">
      <c r="A1061" s="26">
        <v>59</v>
      </c>
      <c r="B1061" s="19" t="s">
        <v>1646</v>
      </c>
      <c r="C1061" s="44" t="s">
        <v>273</v>
      </c>
      <c r="D1061" s="19" t="s">
        <v>803</v>
      </c>
      <c r="E1061" s="19">
        <v>12</v>
      </c>
      <c r="F1061" s="19">
        <v>135</v>
      </c>
      <c r="G1061" s="19">
        <v>488</v>
      </c>
      <c r="H1061" s="19">
        <v>3</v>
      </c>
      <c r="I1061" s="80">
        <v>6.19</v>
      </c>
      <c r="J1061" s="80">
        <v>18.57</v>
      </c>
      <c r="K1061" s="19" t="s">
        <v>184</v>
      </c>
      <c r="L1061" s="19" t="s">
        <v>1641</v>
      </c>
      <c r="Q1061" s="20">
        <v>22</v>
      </c>
      <c r="R1061" s="65" t="s">
        <v>1572</v>
      </c>
      <c r="T1061" s="19" t="s">
        <v>307</v>
      </c>
      <c r="V1061" s="19" t="s">
        <v>178</v>
      </c>
      <c r="W1061" s="19" t="s">
        <v>138</v>
      </c>
      <c r="Z1061" s="44" t="s">
        <v>1573</v>
      </c>
      <c r="AA1061" s="44" t="s">
        <v>1642</v>
      </c>
      <c r="AC1061" s="19" t="s">
        <v>1643</v>
      </c>
    </row>
    <row r="1062" spans="1:29" hidden="1" x14ac:dyDescent="0.25">
      <c r="A1062" s="26">
        <v>60</v>
      </c>
      <c r="B1062" s="19" t="s">
        <v>1647</v>
      </c>
      <c r="C1062" s="44" t="s">
        <v>273</v>
      </c>
      <c r="D1062" s="19" t="s">
        <v>869</v>
      </c>
      <c r="E1062" s="19">
        <v>12</v>
      </c>
      <c r="F1062" s="19">
        <v>490</v>
      </c>
      <c r="G1062" s="19">
        <v>1514</v>
      </c>
      <c r="H1062" s="19">
        <v>1</v>
      </c>
      <c r="I1062" s="80">
        <v>69.78</v>
      </c>
      <c r="J1062" s="80">
        <v>69.78</v>
      </c>
      <c r="K1062" s="19" t="s">
        <v>184</v>
      </c>
      <c r="L1062" s="19" t="s">
        <v>1641</v>
      </c>
      <c r="Q1062" s="20">
        <v>22</v>
      </c>
      <c r="R1062" s="65" t="s">
        <v>1572</v>
      </c>
      <c r="T1062" s="19" t="s">
        <v>307</v>
      </c>
      <c r="V1062" s="19" t="s">
        <v>178</v>
      </c>
      <c r="Y1062" s="19" t="s">
        <v>138</v>
      </c>
      <c r="Z1062" s="44" t="s">
        <v>1573</v>
      </c>
      <c r="AA1062" s="44" t="s">
        <v>1642</v>
      </c>
      <c r="AC1062" s="19" t="s">
        <v>1643</v>
      </c>
    </row>
    <row r="1063" spans="1:29" hidden="1" x14ac:dyDescent="0.25">
      <c r="A1063" s="26">
        <v>61</v>
      </c>
      <c r="B1063" s="19" t="s">
        <v>1648</v>
      </c>
      <c r="C1063" s="44" t="s">
        <v>273</v>
      </c>
      <c r="D1063" s="19" t="s">
        <v>869</v>
      </c>
      <c r="E1063" s="19">
        <v>12</v>
      </c>
      <c r="F1063" s="19">
        <v>490</v>
      </c>
      <c r="G1063" s="19">
        <v>1514</v>
      </c>
      <c r="H1063" s="19">
        <v>1</v>
      </c>
      <c r="I1063" s="80">
        <v>69.78</v>
      </c>
      <c r="J1063" s="80">
        <v>69.78</v>
      </c>
      <c r="K1063" s="19" t="s">
        <v>184</v>
      </c>
      <c r="L1063" s="19" t="s">
        <v>1641</v>
      </c>
      <c r="Q1063" s="20">
        <v>22</v>
      </c>
      <c r="R1063" s="65" t="s">
        <v>1572</v>
      </c>
      <c r="T1063" s="19" t="s">
        <v>307</v>
      </c>
      <c r="V1063" s="19" t="s">
        <v>178</v>
      </c>
      <c r="Y1063" s="19" t="s">
        <v>138</v>
      </c>
      <c r="Z1063" s="44" t="s">
        <v>1573</v>
      </c>
      <c r="AA1063" s="44" t="s">
        <v>1642</v>
      </c>
      <c r="AC1063" s="19" t="s">
        <v>1643</v>
      </c>
    </row>
    <row r="1064" spans="1:29" hidden="1" x14ac:dyDescent="0.25">
      <c r="A1064" s="26">
        <v>62</v>
      </c>
      <c r="B1064" s="19" t="s">
        <v>1627</v>
      </c>
      <c r="C1064" s="44" t="s">
        <v>273</v>
      </c>
      <c r="D1064" s="19" t="s">
        <v>914</v>
      </c>
      <c r="E1064" s="19">
        <v>12</v>
      </c>
      <c r="F1064" s="19">
        <v>95</v>
      </c>
      <c r="G1064" s="19">
        <v>263</v>
      </c>
      <c r="H1064" s="19">
        <v>6</v>
      </c>
      <c r="I1064" s="80">
        <v>2.34</v>
      </c>
      <c r="J1064" s="80">
        <v>14.03</v>
      </c>
      <c r="K1064" s="19" t="s">
        <v>184</v>
      </c>
      <c r="L1064" s="19" t="s">
        <v>1641</v>
      </c>
      <c r="Q1064" s="20">
        <v>22</v>
      </c>
      <c r="R1064" s="65" t="s">
        <v>1572</v>
      </c>
      <c r="T1064" s="19" t="s">
        <v>307</v>
      </c>
      <c r="V1064" s="19" t="s">
        <v>178</v>
      </c>
      <c r="W1064" s="19" t="s">
        <v>138</v>
      </c>
      <c r="Z1064" s="44" t="s">
        <v>1573</v>
      </c>
      <c r="AA1064" s="44" t="s">
        <v>1642</v>
      </c>
      <c r="AC1064" s="19" t="s">
        <v>1643</v>
      </c>
    </row>
    <row r="1065" spans="1:29" hidden="1" x14ac:dyDescent="0.25">
      <c r="A1065" s="26">
        <v>63</v>
      </c>
      <c r="B1065" s="19" t="s">
        <v>1614</v>
      </c>
      <c r="C1065" s="44" t="s">
        <v>273</v>
      </c>
      <c r="D1065" s="19" t="s">
        <v>1239</v>
      </c>
      <c r="E1065" s="19">
        <v>12</v>
      </c>
      <c r="F1065" s="19">
        <v>130</v>
      </c>
      <c r="G1065" s="19">
        <v>663</v>
      </c>
      <c r="H1065" s="19">
        <v>6</v>
      </c>
      <c r="I1065" s="80">
        <v>8.11</v>
      </c>
      <c r="J1065" s="80">
        <v>48.66</v>
      </c>
      <c r="K1065" s="19" t="s">
        <v>184</v>
      </c>
      <c r="L1065" s="19" t="s">
        <v>1641</v>
      </c>
      <c r="Q1065" s="20">
        <v>22</v>
      </c>
      <c r="R1065" s="65" t="s">
        <v>1572</v>
      </c>
      <c r="T1065" s="19" t="s">
        <v>307</v>
      </c>
      <c r="V1065" s="19" t="s">
        <v>178</v>
      </c>
      <c r="W1065" s="19" t="s">
        <v>138</v>
      </c>
      <c r="Z1065" s="44" t="s">
        <v>1573</v>
      </c>
      <c r="AA1065" s="44" t="s">
        <v>1642</v>
      </c>
      <c r="AC1065" s="19" t="s">
        <v>1643</v>
      </c>
    </row>
    <row r="1066" spans="1:29" hidden="1" x14ac:dyDescent="0.25">
      <c r="A1066" s="26">
        <v>64</v>
      </c>
      <c r="B1066" s="19" t="s">
        <v>1649</v>
      </c>
      <c r="C1066" s="44" t="s">
        <v>273</v>
      </c>
      <c r="D1066" s="19" t="s">
        <v>1239</v>
      </c>
      <c r="E1066" s="19">
        <v>12</v>
      </c>
      <c r="F1066" s="19">
        <v>130</v>
      </c>
      <c r="G1066" s="19">
        <v>663</v>
      </c>
      <c r="H1066" s="19">
        <v>5</v>
      </c>
      <c r="I1066" s="80">
        <v>8.11</v>
      </c>
      <c r="J1066" s="80">
        <v>40.549999999999997</v>
      </c>
      <c r="K1066" s="19" t="s">
        <v>184</v>
      </c>
      <c r="L1066" s="19" t="s">
        <v>1641</v>
      </c>
      <c r="Q1066" s="20">
        <v>22</v>
      </c>
      <c r="R1066" s="65" t="s">
        <v>1572</v>
      </c>
      <c r="T1066" s="19" t="s">
        <v>307</v>
      </c>
      <c r="V1066" s="19" t="s">
        <v>178</v>
      </c>
      <c r="W1066" s="19" t="s">
        <v>138</v>
      </c>
      <c r="Z1066" s="44" t="s">
        <v>1573</v>
      </c>
      <c r="AA1066" s="44" t="s">
        <v>1642</v>
      </c>
      <c r="AC1066" s="19" t="s">
        <v>1643</v>
      </c>
    </row>
    <row r="1067" spans="1:29" hidden="1" x14ac:dyDescent="0.25">
      <c r="A1067" s="26">
        <v>65</v>
      </c>
      <c r="B1067" s="19" t="s">
        <v>1650</v>
      </c>
      <c r="C1067" s="44" t="s">
        <v>273</v>
      </c>
      <c r="D1067" s="19" t="s">
        <v>879</v>
      </c>
      <c r="E1067" s="19">
        <v>12</v>
      </c>
      <c r="F1067" s="19">
        <v>130</v>
      </c>
      <c r="G1067" s="19">
        <v>263</v>
      </c>
      <c r="H1067" s="19">
        <v>1</v>
      </c>
      <c r="I1067" s="80">
        <v>3.21</v>
      </c>
      <c r="J1067" s="80">
        <v>3.21</v>
      </c>
      <c r="K1067" s="19" t="s">
        <v>184</v>
      </c>
      <c r="L1067" s="19" t="s">
        <v>1641</v>
      </c>
      <c r="Q1067" s="20">
        <v>22</v>
      </c>
      <c r="R1067" s="65" t="s">
        <v>1572</v>
      </c>
      <c r="T1067" s="19" t="s">
        <v>307</v>
      </c>
      <c r="V1067" s="19" t="s">
        <v>178</v>
      </c>
      <c r="W1067" s="19" t="s">
        <v>138</v>
      </c>
      <c r="Z1067" s="44" t="s">
        <v>1573</v>
      </c>
      <c r="AA1067" s="44" t="s">
        <v>1642</v>
      </c>
      <c r="AC1067" s="19" t="s">
        <v>1643</v>
      </c>
    </row>
    <row r="1068" spans="1:29" hidden="1" x14ac:dyDescent="0.25">
      <c r="A1068" s="26">
        <v>66</v>
      </c>
      <c r="B1068" s="19" t="s">
        <v>1651</v>
      </c>
      <c r="C1068" s="44" t="s">
        <v>273</v>
      </c>
      <c r="D1068" s="19" t="s">
        <v>869</v>
      </c>
      <c r="E1068" s="19">
        <v>12</v>
      </c>
      <c r="F1068" s="19">
        <v>490</v>
      </c>
      <c r="G1068" s="19">
        <v>1514</v>
      </c>
      <c r="H1068" s="19">
        <v>1</v>
      </c>
      <c r="I1068" s="80">
        <v>69.78</v>
      </c>
      <c r="J1068" s="80">
        <v>69.78</v>
      </c>
      <c r="K1068" s="19" t="s">
        <v>184</v>
      </c>
      <c r="L1068" s="19" t="s">
        <v>1641</v>
      </c>
      <c r="Q1068" s="20">
        <v>22</v>
      </c>
      <c r="R1068" s="65" t="s">
        <v>1572</v>
      </c>
      <c r="T1068" s="19" t="s">
        <v>307</v>
      </c>
      <c r="V1068" s="19" t="s">
        <v>178</v>
      </c>
      <c r="Y1068" s="19" t="s">
        <v>138</v>
      </c>
      <c r="Z1068" s="44" t="s">
        <v>1573</v>
      </c>
      <c r="AA1068" s="44" t="s">
        <v>1642</v>
      </c>
      <c r="AC1068" s="19" t="s">
        <v>1643</v>
      </c>
    </row>
    <row r="1069" spans="1:29" hidden="1" x14ac:dyDescent="0.25">
      <c r="A1069" s="26">
        <v>67</v>
      </c>
      <c r="B1069" s="19" t="s">
        <v>1652</v>
      </c>
      <c r="C1069" s="44" t="s">
        <v>273</v>
      </c>
      <c r="D1069" s="19" t="s">
        <v>869</v>
      </c>
      <c r="E1069" s="19">
        <v>12</v>
      </c>
      <c r="F1069" s="19">
        <v>490</v>
      </c>
      <c r="G1069" s="19">
        <v>1514</v>
      </c>
      <c r="H1069" s="19">
        <v>1</v>
      </c>
      <c r="I1069" s="80">
        <v>69.78</v>
      </c>
      <c r="J1069" s="80">
        <v>69.78</v>
      </c>
      <c r="K1069" s="19" t="s">
        <v>184</v>
      </c>
      <c r="L1069" s="19" t="s">
        <v>1641</v>
      </c>
      <c r="Q1069" s="20">
        <v>22</v>
      </c>
      <c r="R1069" s="65" t="s">
        <v>1572</v>
      </c>
      <c r="T1069" s="19" t="s">
        <v>307</v>
      </c>
      <c r="V1069" s="19" t="s">
        <v>178</v>
      </c>
      <c r="Y1069" s="19" t="s">
        <v>138</v>
      </c>
      <c r="Z1069" s="44" t="s">
        <v>1573</v>
      </c>
      <c r="AA1069" s="44" t="s">
        <v>1642</v>
      </c>
      <c r="AC1069" s="19" t="s">
        <v>1643</v>
      </c>
    </row>
    <row r="1070" spans="1:29" hidden="1" x14ac:dyDescent="0.25">
      <c r="A1070" s="26">
        <v>68</v>
      </c>
      <c r="B1070" s="19" t="s">
        <v>1653</v>
      </c>
      <c r="C1070" s="44" t="s">
        <v>273</v>
      </c>
      <c r="D1070" s="19" t="s">
        <v>869</v>
      </c>
      <c r="E1070" s="19">
        <v>12</v>
      </c>
      <c r="F1070" s="19">
        <v>490</v>
      </c>
      <c r="G1070" s="19">
        <v>1514</v>
      </c>
      <c r="H1070" s="19">
        <v>1</v>
      </c>
      <c r="I1070" s="80">
        <v>69.78</v>
      </c>
      <c r="J1070" s="80">
        <v>69.78</v>
      </c>
      <c r="K1070" s="19" t="s">
        <v>184</v>
      </c>
      <c r="L1070" s="19" t="s">
        <v>1641</v>
      </c>
      <c r="Q1070" s="20">
        <v>22</v>
      </c>
      <c r="R1070" s="65" t="s">
        <v>1572</v>
      </c>
      <c r="T1070" s="19" t="s">
        <v>307</v>
      </c>
      <c r="V1070" s="19" t="s">
        <v>178</v>
      </c>
      <c r="Y1070" s="19" t="s">
        <v>138</v>
      </c>
      <c r="Z1070" s="44" t="s">
        <v>1573</v>
      </c>
      <c r="AA1070" s="44" t="s">
        <v>1642</v>
      </c>
      <c r="AC1070" s="19" t="s">
        <v>1643</v>
      </c>
    </row>
    <row r="1071" spans="1:29" hidden="1" x14ac:dyDescent="0.25">
      <c r="A1071" s="26">
        <v>69</v>
      </c>
      <c r="B1071" s="19" t="s">
        <v>1654</v>
      </c>
      <c r="C1071" s="44" t="s">
        <v>273</v>
      </c>
      <c r="D1071" s="19" t="s">
        <v>869</v>
      </c>
      <c r="E1071" s="19">
        <v>12</v>
      </c>
      <c r="F1071" s="19">
        <v>490</v>
      </c>
      <c r="G1071" s="19">
        <v>1514</v>
      </c>
      <c r="H1071" s="19">
        <v>1</v>
      </c>
      <c r="I1071" s="80">
        <v>69.78</v>
      </c>
      <c r="J1071" s="80">
        <v>69.78</v>
      </c>
      <c r="K1071" s="19" t="s">
        <v>184</v>
      </c>
      <c r="L1071" s="19" t="s">
        <v>1641</v>
      </c>
      <c r="Q1071" s="20">
        <v>22</v>
      </c>
      <c r="R1071" s="65" t="s">
        <v>1572</v>
      </c>
      <c r="T1071" s="19" t="s">
        <v>307</v>
      </c>
      <c r="V1071" s="19" t="s">
        <v>178</v>
      </c>
      <c r="Y1071" s="19" t="s">
        <v>138</v>
      </c>
      <c r="Z1071" s="44" t="s">
        <v>1573</v>
      </c>
      <c r="AA1071" s="44" t="s">
        <v>1642</v>
      </c>
      <c r="AC1071" s="19" t="s">
        <v>1643</v>
      </c>
    </row>
    <row r="1072" spans="1:29" hidden="1" x14ac:dyDescent="0.25">
      <c r="A1072" s="26">
        <v>70</v>
      </c>
      <c r="B1072" s="19" t="s">
        <v>1655</v>
      </c>
      <c r="C1072" s="44" t="s">
        <v>273</v>
      </c>
      <c r="D1072" s="19" t="s">
        <v>869</v>
      </c>
      <c r="E1072" s="19">
        <v>12</v>
      </c>
      <c r="F1072" s="19">
        <v>490</v>
      </c>
      <c r="G1072" s="19">
        <v>1514</v>
      </c>
      <c r="H1072" s="19">
        <v>1</v>
      </c>
      <c r="I1072" s="80">
        <v>69.78</v>
      </c>
      <c r="J1072" s="80">
        <v>69.78</v>
      </c>
      <c r="K1072" s="19" t="s">
        <v>184</v>
      </c>
      <c r="L1072" s="19" t="s">
        <v>1641</v>
      </c>
      <c r="Q1072" s="20">
        <v>22</v>
      </c>
      <c r="R1072" s="65" t="s">
        <v>1572</v>
      </c>
      <c r="T1072" s="19" t="s">
        <v>307</v>
      </c>
      <c r="V1072" s="19" t="s">
        <v>178</v>
      </c>
      <c r="Y1072" s="19" t="s">
        <v>138</v>
      </c>
      <c r="Z1072" s="44" t="s">
        <v>1573</v>
      </c>
      <c r="AA1072" s="44" t="s">
        <v>1642</v>
      </c>
      <c r="AC1072" s="19" t="s">
        <v>1643</v>
      </c>
    </row>
    <row r="1073" spans="1:29" hidden="1" x14ac:dyDescent="0.25">
      <c r="A1073" s="26">
        <v>71</v>
      </c>
      <c r="B1073" s="19" t="s">
        <v>1656</v>
      </c>
      <c r="C1073" s="44" t="s">
        <v>273</v>
      </c>
      <c r="D1073" s="19" t="s">
        <v>869</v>
      </c>
      <c r="E1073" s="19">
        <v>12</v>
      </c>
      <c r="F1073" s="19">
        <v>490</v>
      </c>
      <c r="G1073" s="19">
        <v>1514</v>
      </c>
      <c r="H1073" s="19">
        <v>1</v>
      </c>
      <c r="I1073" s="80">
        <v>69.78</v>
      </c>
      <c r="J1073" s="80">
        <v>69.78</v>
      </c>
      <c r="K1073" s="19" t="s">
        <v>184</v>
      </c>
      <c r="L1073" s="19" t="s">
        <v>1641</v>
      </c>
      <c r="Q1073" s="20">
        <v>22</v>
      </c>
      <c r="R1073" s="65" t="s">
        <v>1572</v>
      </c>
      <c r="T1073" s="19" t="s">
        <v>307</v>
      </c>
      <c r="V1073" s="19" t="s">
        <v>178</v>
      </c>
      <c r="Y1073" s="19" t="s">
        <v>138</v>
      </c>
      <c r="Z1073" s="44" t="s">
        <v>1573</v>
      </c>
      <c r="AA1073" s="44" t="s">
        <v>1642</v>
      </c>
      <c r="AC1073" s="19" t="s">
        <v>1643</v>
      </c>
    </row>
    <row r="1074" spans="1:29" hidden="1" x14ac:dyDescent="0.25">
      <c r="A1074" s="26">
        <v>72</v>
      </c>
      <c r="B1074" s="19" t="s">
        <v>1657</v>
      </c>
      <c r="C1074" s="44" t="s">
        <v>273</v>
      </c>
      <c r="D1074" s="19" t="s">
        <v>914</v>
      </c>
      <c r="E1074" s="19">
        <v>12</v>
      </c>
      <c r="F1074" s="19">
        <v>95</v>
      </c>
      <c r="G1074" s="19">
        <v>263</v>
      </c>
      <c r="H1074" s="19">
        <v>8</v>
      </c>
      <c r="I1074" s="80">
        <v>2.34</v>
      </c>
      <c r="J1074" s="80">
        <v>18.7</v>
      </c>
      <c r="K1074" s="19" t="s">
        <v>184</v>
      </c>
      <c r="L1074" s="19" t="s">
        <v>1641</v>
      </c>
      <c r="Q1074" s="20">
        <v>22</v>
      </c>
      <c r="R1074" s="65" t="s">
        <v>1572</v>
      </c>
      <c r="T1074" s="19" t="s">
        <v>307</v>
      </c>
      <c r="V1074" s="19" t="s">
        <v>178</v>
      </c>
      <c r="W1074" s="19" t="s">
        <v>138</v>
      </c>
      <c r="Z1074" s="44" t="s">
        <v>1573</v>
      </c>
      <c r="AA1074" s="44" t="s">
        <v>1642</v>
      </c>
      <c r="AC1074" s="19" t="s">
        <v>1643</v>
      </c>
    </row>
    <row r="1075" spans="1:29" hidden="1" x14ac:dyDescent="0.25">
      <c r="A1075" s="26">
        <v>73</v>
      </c>
      <c r="B1075" s="19" t="s">
        <v>1658</v>
      </c>
      <c r="C1075" s="44" t="s">
        <v>273</v>
      </c>
      <c r="D1075" s="19" t="s">
        <v>1493</v>
      </c>
      <c r="E1075" s="19">
        <v>12</v>
      </c>
      <c r="F1075" s="19">
        <v>238</v>
      </c>
      <c r="G1075" s="19">
        <v>1280</v>
      </c>
      <c r="H1075" s="19">
        <v>1</v>
      </c>
      <c r="I1075" s="80">
        <v>28.7</v>
      </c>
      <c r="J1075" s="80">
        <v>28.7</v>
      </c>
      <c r="K1075" s="19" t="s">
        <v>184</v>
      </c>
      <c r="L1075" s="19" t="s">
        <v>1641</v>
      </c>
      <c r="O1075" s="19" t="s">
        <v>138</v>
      </c>
      <c r="Q1075" s="20">
        <v>22</v>
      </c>
      <c r="R1075" s="65" t="s">
        <v>1572</v>
      </c>
      <c r="T1075" s="19" t="s">
        <v>307</v>
      </c>
      <c r="V1075" s="19" t="s">
        <v>178</v>
      </c>
      <c r="Z1075" s="44" t="s">
        <v>1573</v>
      </c>
      <c r="AA1075" s="44" t="s">
        <v>1642</v>
      </c>
      <c r="AC1075" s="19" t="s">
        <v>1643</v>
      </c>
    </row>
    <row r="1076" spans="1:29" hidden="1" x14ac:dyDescent="0.25">
      <c r="A1076" s="26">
        <v>74</v>
      </c>
      <c r="B1076" s="19" t="s">
        <v>1659</v>
      </c>
      <c r="C1076" s="44" t="s">
        <v>273</v>
      </c>
      <c r="D1076" s="19" t="s">
        <v>1493</v>
      </c>
      <c r="E1076" s="19">
        <v>12</v>
      </c>
      <c r="F1076" s="19">
        <v>238</v>
      </c>
      <c r="G1076" s="19">
        <v>1280</v>
      </c>
      <c r="H1076" s="19">
        <v>1</v>
      </c>
      <c r="I1076" s="80">
        <v>28.7</v>
      </c>
      <c r="J1076" s="80">
        <v>28.7</v>
      </c>
      <c r="K1076" s="19" t="s">
        <v>184</v>
      </c>
      <c r="L1076" s="19" t="s">
        <v>1641</v>
      </c>
      <c r="O1076" s="19" t="s">
        <v>138</v>
      </c>
      <c r="Q1076" s="20">
        <v>22</v>
      </c>
      <c r="R1076" s="65" t="s">
        <v>1572</v>
      </c>
      <c r="T1076" s="19" t="s">
        <v>307</v>
      </c>
      <c r="V1076" s="19" t="s">
        <v>178</v>
      </c>
      <c r="Z1076" s="44" t="s">
        <v>1573</v>
      </c>
      <c r="AA1076" s="44" t="s">
        <v>1642</v>
      </c>
      <c r="AC1076" s="19" t="s">
        <v>1643</v>
      </c>
    </row>
    <row r="1077" spans="1:29" hidden="1" x14ac:dyDescent="0.25">
      <c r="A1077" s="26">
        <v>75</v>
      </c>
      <c r="B1077" s="19" t="s">
        <v>1660</v>
      </c>
      <c r="C1077" s="44" t="s">
        <v>273</v>
      </c>
      <c r="D1077" s="19" t="s">
        <v>1493</v>
      </c>
      <c r="E1077" s="19">
        <v>12</v>
      </c>
      <c r="F1077" s="19">
        <v>238</v>
      </c>
      <c r="G1077" s="19">
        <v>1280</v>
      </c>
      <c r="H1077" s="19">
        <v>1</v>
      </c>
      <c r="I1077" s="80">
        <v>28.7</v>
      </c>
      <c r="J1077" s="80">
        <v>28.7</v>
      </c>
      <c r="K1077" s="19" t="s">
        <v>184</v>
      </c>
      <c r="L1077" s="19" t="s">
        <v>1641</v>
      </c>
      <c r="O1077" s="19" t="s">
        <v>138</v>
      </c>
      <c r="Q1077" s="20">
        <v>22</v>
      </c>
      <c r="R1077" s="65" t="s">
        <v>1572</v>
      </c>
      <c r="T1077" s="19" t="s">
        <v>307</v>
      </c>
      <c r="V1077" s="19" t="s">
        <v>178</v>
      </c>
      <c r="Z1077" s="44" t="s">
        <v>1573</v>
      </c>
      <c r="AA1077" s="44" t="s">
        <v>1642</v>
      </c>
      <c r="AC1077" s="19" t="s">
        <v>1643</v>
      </c>
    </row>
    <row r="1078" spans="1:29" hidden="1" x14ac:dyDescent="0.25">
      <c r="A1078" s="26">
        <v>76</v>
      </c>
      <c r="B1078" s="19" t="s">
        <v>1607</v>
      </c>
      <c r="C1078" s="44" t="s">
        <v>273</v>
      </c>
      <c r="D1078" s="19" t="s">
        <v>1608</v>
      </c>
      <c r="E1078" s="19">
        <v>12</v>
      </c>
      <c r="F1078" s="19">
        <v>116</v>
      </c>
      <c r="G1078" s="19">
        <v>144</v>
      </c>
      <c r="H1078" s="19">
        <v>1</v>
      </c>
      <c r="I1078" s="80">
        <v>1.32</v>
      </c>
      <c r="J1078" s="80">
        <v>1.32</v>
      </c>
      <c r="K1078" s="19" t="s">
        <v>184</v>
      </c>
      <c r="L1078" s="19" t="s">
        <v>1661</v>
      </c>
      <c r="Q1078" s="20">
        <v>22</v>
      </c>
      <c r="R1078" s="65" t="s">
        <v>1572</v>
      </c>
      <c r="T1078" s="19" t="s">
        <v>307</v>
      </c>
      <c r="V1078" s="19" t="s">
        <v>178</v>
      </c>
      <c r="W1078" s="19" t="s">
        <v>138</v>
      </c>
      <c r="Z1078" s="44" t="s">
        <v>1573</v>
      </c>
      <c r="AA1078" s="44" t="s">
        <v>1662</v>
      </c>
      <c r="AC1078" s="19" t="s">
        <v>1663</v>
      </c>
    </row>
    <row r="1079" spans="1:29" hidden="1" x14ac:dyDescent="0.25">
      <c r="A1079" s="26">
        <v>77</v>
      </c>
      <c r="B1079" s="19" t="s">
        <v>1646</v>
      </c>
      <c r="C1079" s="44" t="s">
        <v>273</v>
      </c>
      <c r="D1079" s="19" t="s">
        <v>803</v>
      </c>
      <c r="E1079" s="19">
        <v>12</v>
      </c>
      <c r="F1079" s="19">
        <v>135</v>
      </c>
      <c r="G1079" s="19">
        <v>488</v>
      </c>
      <c r="H1079" s="19">
        <v>9</v>
      </c>
      <c r="I1079" s="80">
        <v>6.19</v>
      </c>
      <c r="J1079" s="80">
        <v>55.71</v>
      </c>
      <c r="K1079" s="19" t="s">
        <v>184</v>
      </c>
      <c r="L1079" s="19" t="s">
        <v>1661</v>
      </c>
      <c r="Q1079" s="20">
        <v>22</v>
      </c>
      <c r="R1079" s="65" t="s">
        <v>1572</v>
      </c>
      <c r="T1079" s="19" t="s">
        <v>307</v>
      </c>
      <c r="V1079" s="19" t="s">
        <v>178</v>
      </c>
      <c r="W1079" s="19" t="s">
        <v>138</v>
      </c>
      <c r="Z1079" s="44" t="s">
        <v>1573</v>
      </c>
      <c r="AA1079" s="44" t="s">
        <v>1662</v>
      </c>
      <c r="AC1079" s="19" t="s">
        <v>1663</v>
      </c>
    </row>
    <row r="1080" spans="1:29" hidden="1" x14ac:dyDescent="0.25">
      <c r="A1080" s="26">
        <v>78</v>
      </c>
      <c r="B1080" s="19" t="s">
        <v>1664</v>
      </c>
      <c r="C1080" s="44" t="s">
        <v>273</v>
      </c>
      <c r="D1080" s="19" t="s">
        <v>803</v>
      </c>
      <c r="E1080" s="19">
        <v>12</v>
      </c>
      <c r="F1080" s="19">
        <v>135</v>
      </c>
      <c r="G1080" s="19">
        <v>488</v>
      </c>
      <c r="H1080" s="19">
        <v>12</v>
      </c>
      <c r="I1080" s="80">
        <v>6.19</v>
      </c>
      <c r="J1080" s="80">
        <v>74.28</v>
      </c>
      <c r="K1080" s="19" t="s">
        <v>184</v>
      </c>
      <c r="L1080" s="19" t="s">
        <v>1661</v>
      </c>
      <c r="Q1080" s="20">
        <v>22</v>
      </c>
      <c r="R1080" s="65" t="s">
        <v>1572</v>
      </c>
      <c r="T1080" s="19" t="s">
        <v>307</v>
      </c>
      <c r="V1080" s="19" t="s">
        <v>178</v>
      </c>
      <c r="W1080" s="19" t="s">
        <v>138</v>
      </c>
      <c r="Z1080" s="44" t="s">
        <v>1573</v>
      </c>
      <c r="AA1080" s="44" t="s">
        <v>1662</v>
      </c>
      <c r="AC1080" s="19" t="s">
        <v>1663</v>
      </c>
    </row>
    <row r="1081" spans="1:29" hidden="1" x14ac:dyDescent="0.25">
      <c r="A1081" s="26">
        <v>79</v>
      </c>
      <c r="B1081" s="19" t="s">
        <v>1665</v>
      </c>
      <c r="C1081" s="44" t="s">
        <v>273</v>
      </c>
      <c r="D1081" s="19" t="s">
        <v>803</v>
      </c>
      <c r="E1081" s="19">
        <v>12</v>
      </c>
      <c r="F1081" s="19">
        <v>135</v>
      </c>
      <c r="G1081" s="19">
        <v>488</v>
      </c>
      <c r="H1081" s="19">
        <v>12</v>
      </c>
      <c r="I1081" s="80">
        <v>6.19</v>
      </c>
      <c r="J1081" s="80">
        <v>74.28</v>
      </c>
      <c r="K1081" s="19" t="s">
        <v>184</v>
      </c>
      <c r="L1081" s="19" t="s">
        <v>1661</v>
      </c>
      <c r="Q1081" s="20">
        <v>22</v>
      </c>
      <c r="R1081" s="65" t="s">
        <v>1572</v>
      </c>
      <c r="T1081" s="19" t="s">
        <v>307</v>
      </c>
      <c r="V1081" s="19" t="s">
        <v>178</v>
      </c>
      <c r="W1081" s="19" t="s">
        <v>138</v>
      </c>
      <c r="Z1081" s="44" t="s">
        <v>1573</v>
      </c>
      <c r="AA1081" s="44" t="s">
        <v>1662</v>
      </c>
      <c r="AC1081" s="19" t="s">
        <v>1663</v>
      </c>
    </row>
    <row r="1082" spans="1:29" hidden="1" x14ac:dyDescent="0.25">
      <c r="A1082" s="26">
        <v>80</v>
      </c>
      <c r="B1082" s="19" t="s">
        <v>1666</v>
      </c>
      <c r="C1082" s="44" t="s">
        <v>273</v>
      </c>
      <c r="D1082" s="19" t="s">
        <v>803</v>
      </c>
      <c r="E1082" s="19">
        <v>12</v>
      </c>
      <c r="F1082" s="19">
        <v>135</v>
      </c>
      <c r="G1082" s="19">
        <v>488</v>
      </c>
      <c r="H1082" s="19">
        <v>12</v>
      </c>
      <c r="I1082" s="80">
        <v>6.19</v>
      </c>
      <c r="J1082" s="80">
        <v>74.28</v>
      </c>
      <c r="K1082" s="19" t="s">
        <v>184</v>
      </c>
      <c r="L1082" s="19" t="s">
        <v>1661</v>
      </c>
      <c r="Q1082" s="20">
        <v>22</v>
      </c>
      <c r="R1082" s="65" t="s">
        <v>1572</v>
      </c>
      <c r="T1082" s="19" t="s">
        <v>307</v>
      </c>
      <c r="V1082" s="19" t="s">
        <v>178</v>
      </c>
      <c r="W1082" s="19" t="s">
        <v>138</v>
      </c>
      <c r="Z1082" s="44" t="s">
        <v>1573</v>
      </c>
      <c r="AA1082" s="44" t="s">
        <v>1662</v>
      </c>
      <c r="AC1082" s="19" t="s">
        <v>1663</v>
      </c>
    </row>
    <row r="1083" spans="1:29" hidden="1" x14ac:dyDescent="0.25">
      <c r="A1083" s="26">
        <v>81</v>
      </c>
      <c r="B1083" s="19" t="s">
        <v>1667</v>
      </c>
      <c r="C1083" s="44" t="s">
        <v>273</v>
      </c>
      <c r="D1083" s="19" t="s">
        <v>828</v>
      </c>
      <c r="E1083" s="19">
        <v>12</v>
      </c>
      <c r="F1083" s="19">
        <v>490</v>
      </c>
      <c r="G1083" s="19">
        <v>9980</v>
      </c>
      <c r="H1083" s="19">
        <v>1</v>
      </c>
      <c r="I1083" s="80">
        <v>460.46</v>
      </c>
      <c r="J1083" s="80">
        <v>460.46</v>
      </c>
      <c r="K1083" s="19" t="s">
        <v>184</v>
      </c>
      <c r="L1083" s="19" t="s">
        <v>1661</v>
      </c>
      <c r="Q1083" s="20">
        <v>22</v>
      </c>
      <c r="R1083" s="65" t="s">
        <v>1572</v>
      </c>
      <c r="T1083" s="19" t="s">
        <v>307</v>
      </c>
      <c r="V1083" s="19" t="s">
        <v>178</v>
      </c>
      <c r="Y1083" s="19" t="s">
        <v>138</v>
      </c>
      <c r="Z1083" s="44" t="s">
        <v>1573</v>
      </c>
      <c r="AA1083" s="44" t="s">
        <v>1662</v>
      </c>
      <c r="AC1083" s="19" t="s">
        <v>1663</v>
      </c>
    </row>
    <row r="1084" spans="1:29" hidden="1" x14ac:dyDescent="0.25">
      <c r="A1084" s="26">
        <v>82</v>
      </c>
      <c r="B1084" s="19" t="s">
        <v>1668</v>
      </c>
      <c r="C1084" s="44" t="s">
        <v>273</v>
      </c>
      <c r="D1084" s="19" t="s">
        <v>869</v>
      </c>
      <c r="E1084" s="19">
        <v>12</v>
      </c>
      <c r="F1084" s="19">
        <v>490</v>
      </c>
      <c r="G1084" s="19">
        <v>1514</v>
      </c>
      <c r="H1084" s="19">
        <v>1</v>
      </c>
      <c r="I1084" s="80">
        <v>69.78</v>
      </c>
      <c r="J1084" s="80">
        <v>69.78</v>
      </c>
      <c r="K1084" s="19" t="s">
        <v>184</v>
      </c>
      <c r="L1084" s="19" t="s">
        <v>1661</v>
      </c>
      <c r="Q1084" s="20">
        <v>22</v>
      </c>
      <c r="R1084" s="65" t="s">
        <v>1572</v>
      </c>
      <c r="T1084" s="19" t="s">
        <v>307</v>
      </c>
      <c r="V1084" s="19" t="s">
        <v>178</v>
      </c>
      <c r="Y1084" s="19" t="s">
        <v>138</v>
      </c>
      <c r="Z1084" s="44" t="s">
        <v>1573</v>
      </c>
      <c r="AA1084" s="44" t="s">
        <v>1662</v>
      </c>
      <c r="AC1084" s="19" t="s">
        <v>1663</v>
      </c>
    </row>
    <row r="1085" spans="1:29" hidden="1" x14ac:dyDescent="0.25">
      <c r="A1085" s="26">
        <v>83</v>
      </c>
      <c r="B1085" s="19" t="s">
        <v>1669</v>
      </c>
      <c r="C1085" s="44" t="s">
        <v>273</v>
      </c>
      <c r="D1085" s="19" t="s">
        <v>869</v>
      </c>
      <c r="E1085" s="19">
        <v>12</v>
      </c>
      <c r="F1085" s="19">
        <v>490</v>
      </c>
      <c r="G1085" s="19">
        <v>1514</v>
      </c>
      <c r="H1085" s="19">
        <v>1</v>
      </c>
      <c r="I1085" s="80">
        <v>69.78</v>
      </c>
      <c r="J1085" s="80">
        <v>69.78</v>
      </c>
      <c r="K1085" s="19" t="s">
        <v>184</v>
      </c>
      <c r="L1085" s="19" t="s">
        <v>1661</v>
      </c>
      <c r="Q1085" s="20">
        <v>22</v>
      </c>
      <c r="R1085" s="65" t="s">
        <v>1572</v>
      </c>
      <c r="T1085" s="19" t="s">
        <v>307</v>
      </c>
      <c r="V1085" s="19" t="s">
        <v>178</v>
      </c>
      <c r="Y1085" s="19" t="s">
        <v>138</v>
      </c>
      <c r="Z1085" s="44" t="s">
        <v>1573</v>
      </c>
      <c r="AA1085" s="44" t="s">
        <v>1662</v>
      </c>
      <c r="AC1085" s="19" t="s">
        <v>1663</v>
      </c>
    </row>
    <row r="1086" spans="1:29" hidden="1" x14ac:dyDescent="0.25">
      <c r="A1086" s="26">
        <v>84</v>
      </c>
      <c r="B1086" s="19" t="s">
        <v>1670</v>
      </c>
      <c r="C1086" s="44" t="s">
        <v>273</v>
      </c>
      <c r="D1086" s="19" t="s">
        <v>869</v>
      </c>
      <c r="E1086" s="19">
        <v>12</v>
      </c>
      <c r="F1086" s="19">
        <v>490</v>
      </c>
      <c r="G1086" s="19">
        <v>1514</v>
      </c>
      <c r="H1086" s="19">
        <v>1</v>
      </c>
      <c r="I1086" s="80">
        <v>69.78</v>
      </c>
      <c r="J1086" s="80">
        <v>69.78</v>
      </c>
      <c r="K1086" s="19" t="s">
        <v>184</v>
      </c>
      <c r="L1086" s="19" t="s">
        <v>1661</v>
      </c>
      <c r="Q1086" s="20">
        <v>22</v>
      </c>
      <c r="R1086" s="65" t="s">
        <v>1572</v>
      </c>
      <c r="T1086" s="19" t="s">
        <v>307</v>
      </c>
      <c r="V1086" s="19" t="s">
        <v>178</v>
      </c>
      <c r="Y1086" s="19" t="s">
        <v>138</v>
      </c>
      <c r="Z1086" s="44" t="s">
        <v>1573</v>
      </c>
      <c r="AA1086" s="44" t="s">
        <v>1662</v>
      </c>
      <c r="AC1086" s="19" t="s">
        <v>1663</v>
      </c>
    </row>
    <row r="1087" spans="1:29" hidden="1" x14ac:dyDescent="0.25">
      <c r="A1087" s="26">
        <v>85</v>
      </c>
      <c r="B1087" s="19" t="s">
        <v>1671</v>
      </c>
      <c r="C1087" s="44" t="s">
        <v>273</v>
      </c>
      <c r="D1087" s="19" t="s">
        <v>869</v>
      </c>
      <c r="E1087" s="19">
        <v>12</v>
      </c>
      <c r="F1087" s="19">
        <v>490</v>
      </c>
      <c r="G1087" s="19">
        <v>1514</v>
      </c>
      <c r="H1087" s="19">
        <v>1</v>
      </c>
      <c r="I1087" s="80">
        <v>69.78</v>
      </c>
      <c r="J1087" s="80">
        <v>69.78</v>
      </c>
      <c r="K1087" s="19" t="s">
        <v>184</v>
      </c>
      <c r="L1087" s="19" t="s">
        <v>1661</v>
      </c>
      <c r="Q1087" s="20">
        <v>22</v>
      </c>
      <c r="R1087" s="65" t="s">
        <v>1572</v>
      </c>
      <c r="T1087" s="19" t="s">
        <v>307</v>
      </c>
      <c r="V1087" s="19" t="s">
        <v>178</v>
      </c>
      <c r="Y1087" s="19" t="s">
        <v>138</v>
      </c>
      <c r="Z1087" s="44" t="s">
        <v>1573</v>
      </c>
      <c r="AA1087" s="44" t="s">
        <v>1662</v>
      </c>
      <c r="AC1087" s="19" t="s">
        <v>1663</v>
      </c>
    </row>
    <row r="1088" spans="1:29" hidden="1" x14ac:dyDescent="0.25">
      <c r="A1088" s="26">
        <v>86</v>
      </c>
      <c r="B1088" s="19" t="s">
        <v>1649</v>
      </c>
      <c r="C1088" s="44" t="s">
        <v>273</v>
      </c>
      <c r="D1088" s="19" t="s">
        <v>1239</v>
      </c>
      <c r="E1088" s="19">
        <v>12</v>
      </c>
      <c r="F1088" s="19">
        <v>130</v>
      </c>
      <c r="G1088" s="19">
        <v>663</v>
      </c>
      <c r="H1088" s="19">
        <v>4</v>
      </c>
      <c r="I1088" s="80">
        <v>8.11</v>
      </c>
      <c r="J1088" s="80">
        <v>32.44</v>
      </c>
      <c r="K1088" s="19" t="s">
        <v>184</v>
      </c>
      <c r="L1088" s="19" t="s">
        <v>1661</v>
      </c>
      <c r="Q1088" s="20">
        <v>22</v>
      </c>
      <c r="R1088" s="65" t="s">
        <v>1572</v>
      </c>
      <c r="T1088" s="19" t="s">
        <v>307</v>
      </c>
      <c r="V1088" s="19" t="s">
        <v>178</v>
      </c>
      <c r="W1088" s="19" t="s">
        <v>138</v>
      </c>
      <c r="Z1088" s="44" t="s">
        <v>1573</v>
      </c>
      <c r="AA1088" s="44" t="s">
        <v>1662</v>
      </c>
      <c r="AC1088" s="19" t="s">
        <v>1663</v>
      </c>
    </row>
    <row r="1089" spans="1:29" hidden="1" x14ac:dyDescent="0.25">
      <c r="A1089" s="26">
        <v>87</v>
      </c>
      <c r="B1089" s="19" t="s">
        <v>1672</v>
      </c>
      <c r="C1089" s="44" t="s">
        <v>273</v>
      </c>
      <c r="D1089" s="19" t="s">
        <v>828</v>
      </c>
      <c r="E1089" s="19">
        <v>12</v>
      </c>
      <c r="F1089" s="19">
        <v>490</v>
      </c>
      <c r="G1089" s="19">
        <v>9980</v>
      </c>
      <c r="H1089" s="19">
        <v>1</v>
      </c>
      <c r="I1089" s="80">
        <v>460.46</v>
      </c>
      <c r="J1089" s="80">
        <v>460.46</v>
      </c>
      <c r="K1089" s="19" t="s">
        <v>184</v>
      </c>
      <c r="L1089" s="19" t="s">
        <v>1661</v>
      </c>
      <c r="Q1089" s="20">
        <v>22</v>
      </c>
      <c r="R1089" s="65" t="s">
        <v>1572</v>
      </c>
      <c r="T1089" s="19" t="s">
        <v>307</v>
      </c>
      <c r="V1089" s="19" t="s">
        <v>178</v>
      </c>
      <c r="Y1089" s="19" t="s">
        <v>138</v>
      </c>
      <c r="Z1089" s="44" t="s">
        <v>1573</v>
      </c>
      <c r="AA1089" s="44" t="s">
        <v>1662</v>
      </c>
      <c r="AC1089" s="19" t="s">
        <v>1663</v>
      </c>
    </row>
    <row r="1090" spans="1:29" hidden="1" x14ac:dyDescent="0.25">
      <c r="A1090" s="26">
        <v>88</v>
      </c>
      <c r="B1090" s="19" t="s">
        <v>1673</v>
      </c>
      <c r="C1090" s="44" t="s">
        <v>273</v>
      </c>
      <c r="D1090" s="19" t="s">
        <v>1239</v>
      </c>
      <c r="E1090" s="19">
        <v>12</v>
      </c>
      <c r="F1090" s="19">
        <v>130</v>
      </c>
      <c r="G1090" s="19">
        <v>663</v>
      </c>
      <c r="H1090" s="19">
        <v>9</v>
      </c>
      <c r="I1090" s="80">
        <v>8.11</v>
      </c>
      <c r="J1090" s="80">
        <v>72.98</v>
      </c>
      <c r="K1090" s="19" t="s">
        <v>184</v>
      </c>
      <c r="L1090" s="19" t="s">
        <v>1661</v>
      </c>
      <c r="Q1090" s="20">
        <v>22</v>
      </c>
      <c r="R1090" s="65" t="s">
        <v>1572</v>
      </c>
      <c r="T1090" s="19" t="s">
        <v>307</v>
      </c>
      <c r="V1090" s="19" t="s">
        <v>178</v>
      </c>
      <c r="W1090" s="19" t="s">
        <v>138</v>
      </c>
      <c r="Z1090" s="44" t="s">
        <v>1573</v>
      </c>
      <c r="AA1090" s="44" t="s">
        <v>1662</v>
      </c>
      <c r="AC1090" s="19" t="s">
        <v>1663</v>
      </c>
    </row>
    <row r="1091" spans="1:29" hidden="1" x14ac:dyDescent="0.25">
      <c r="A1091" s="26">
        <v>89</v>
      </c>
      <c r="B1091" s="19" t="s">
        <v>1674</v>
      </c>
      <c r="C1091" s="44" t="s">
        <v>273</v>
      </c>
      <c r="D1091" s="19" t="s">
        <v>914</v>
      </c>
      <c r="E1091" s="19">
        <v>12</v>
      </c>
      <c r="F1091" s="19">
        <v>95</v>
      </c>
      <c r="G1091" s="19">
        <v>263</v>
      </c>
      <c r="H1091" s="19">
        <v>2</v>
      </c>
      <c r="I1091" s="80">
        <v>2.34</v>
      </c>
      <c r="J1091" s="80">
        <v>4.68</v>
      </c>
      <c r="K1091" s="19" t="s">
        <v>184</v>
      </c>
      <c r="L1091" s="19" t="s">
        <v>1661</v>
      </c>
      <c r="Q1091" s="20">
        <v>22</v>
      </c>
      <c r="R1091" s="65" t="s">
        <v>1572</v>
      </c>
      <c r="T1091" s="19" t="s">
        <v>307</v>
      </c>
      <c r="V1091" s="19" t="s">
        <v>178</v>
      </c>
      <c r="W1091" s="19" t="s">
        <v>138</v>
      </c>
      <c r="Z1091" s="44" t="s">
        <v>1573</v>
      </c>
      <c r="AA1091" s="44" t="s">
        <v>1662</v>
      </c>
      <c r="AC1091" s="19" t="s">
        <v>1663</v>
      </c>
    </row>
    <row r="1092" spans="1:29" hidden="1" x14ac:dyDescent="0.25">
      <c r="A1092" s="26">
        <v>90</v>
      </c>
      <c r="B1092" s="19" t="s">
        <v>1675</v>
      </c>
      <c r="C1092" s="44" t="s">
        <v>273</v>
      </c>
      <c r="D1092" s="19" t="s">
        <v>1239</v>
      </c>
      <c r="E1092" s="19">
        <v>12</v>
      </c>
      <c r="F1092" s="19">
        <v>130</v>
      </c>
      <c r="G1092" s="19">
        <v>663</v>
      </c>
      <c r="H1092" s="19">
        <v>2</v>
      </c>
      <c r="I1092" s="80">
        <v>8.11</v>
      </c>
      <c r="J1092" s="80">
        <v>16.22</v>
      </c>
      <c r="K1092" s="19" t="s">
        <v>184</v>
      </c>
      <c r="L1092" s="19" t="s">
        <v>1661</v>
      </c>
      <c r="Q1092" s="20">
        <v>22</v>
      </c>
      <c r="R1092" s="65" t="s">
        <v>1572</v>
      </c>
      <c r="T1092" s="19" t="s">
        <v>307</v>
      </c>
      <c r="V1092" s="19" t="s">
        <v>178</v>
      </c>
      <c r="W1092" s="19" t="s">
        <v>138</v>
      </c>
      <c r="Z1092" s="44" t="s">
        <v>1573</v>
      </c>
      <c r="AA1092" s="44" t="s">
        <v>1662</v>
      </c>
      <c r="AC1092" s="19" t="s">
        <v>1663</v>
      </c>
    </row>
    <row r="1093" spans="1:29" hidden="1" x14ac:dyDescent="0.25">
      <c r="A1093" s="26">
        <v>91</v>
      </c>
      <c r="B1093" s="19" t="s">
        <v>1607</v>
      </c>
      <c r="C1093" s="44" t="s">
        <v>273</v>
      </c>
      <c r="D1093" s="19" t="s">
        <v>1608</v>
      </c>
      <c r="E1093" s="19">
        <v>12</v>
      </c>
      <c r="F1093" s="19">
        <v>116</v>
      </c>
      <c r="G1093" s="19">
        <v>144</v>
      </c>
      <c r="H1093" s="19">
        <v>11</v>
      </c>
      <c r="I1093" s="80">
        <v>1.32</v>
      </c>
      <c r="J1093" s="80">
        <v>14.56</v>
      </c>
      <c r="K1093" s="19" t="s">
        <v>1676</v>
      </c>
      <c r="L1093" s="19" t="s">
        <v>1677</v>
      </c>
      <c r="Q1093" s="20">
        <v>22</v>
      </c>
      <c r="R1093" s="65" t="s">
        <v>1572</v>
      </c>
      <c r="T1093" s="19" t="s">
        <v>307</v>
      </c>
      <c r="V1093" s="19" t="s">
        <v>178</v>
      </c>
      <c r="W1093" s="19" t="s">
        <v>138</v>
      </c>
      <c r="Z1093" s="44" t="s">
        <v>1573</v>
      </c>
      <c r="AA1093" s="44" t="s">
        <v>1678</v>
      </c>
      <c r="AC1093" s="19" t="s">
        <v>1679</v>
      </c>
    </row>
    <row r="1094" spans="1:29" hidden="1" x14ac:dyDescent="0.25">
      <c r="A1094" s="26">
        <v>92</v>
      </c>
      <c r="B1094" s="19" t="s">
        <v>1680</v>
      </c>
      <c r="C1094" s="44" t="s">
        <v>273</v>
      </c>
      <c r="D1094" s="19" t="s">
        <v>812</v>
      </c>
      <c r="E1094" s="19">
        <v>12</v>
      </c>
      <c r="F1094" s="19">
        <v>490</v>
      </c>
      <c r="G1094" s="19">
        <v>6464</v>
      </c>
      <c r="H1094" s="19">
        <v>1</v>
      </c>
      <c r="I1094" s="80">
        <v>298.26</v>
      </c>
      <c r="J1094" s="80">
        <v>298.26</v>
      </c>
      <c r="K1094" s="19" t="s">
        <v>1676</v>
      </c>
      <c r="L1094" s="19" t="s">
        <v>1677</v>
      </c>
      <c r="Q1094" s="20">
        <v>22</v>
      </c>
      <c r="R1094" s="65" t="s">
        <v>1572</v>
      </c>
      <c r="T1094" s="19" t="s">
        <v>307</v>
      </c>
      <c r="V1094" s="19" t="s">
        <v>178</v>
      </c>
      <c r="Y1094" s="19" t="s">
        <v>138</v>
      </c>
      <c r="Z1094" s="44" t="s">
        <v>1573</v>
      </c>
      <c r="AA1094" s="44" t="s">
        <v>1678</v>
      </c>
      <c r="AC1094" s="19" t="s">
        <v>1679</v>
      </c>
    </row>
    <row r="1095" spans="1:29" hidden="1" x14ac:dyDescent="0.25">
      <c r="A1095" s="26">
        <v>93</v>
      </c>
      <c r="B1095" s="19" t="s">
        <v>1681</v>
      </c>
      <c r="C1095" s="44" t="s">
        <v>273</v>
      </c>
      <c r="D1095" s="19" t="s">
        <v>812</v>
      </c>
      <c r="E1095" s="19">
        <v>12</v>
      </c>
      <c r="F1095" s="19">
        <v>490</v>
      </c>
      <c r="G1095" s="19">
        <v>6464</v>
      </c>
      <c r="H1095" s="19">
        <v>1</v>
      </c>
      <c r="I1095" s="80">
        <v>298.16000000000003</v>
      </c>
      <c r="J1095" s="80">
        <v>298.16000000000003</v>
      </c>
      <c r="K1095" s="19" t="s">
        <v>1676</v>
      </c>
      <c r="L1095" s="19" t="s">
        <v>1677</v>
      </c>
      <c r="Q1095" s="20">
        <v>22</v>
      </c>
      <c r="R1095" s="65" t="s">
        <v>1572</v>
      </c>
      <c r="T1095" s="19" t="s">
        <v>307</v>
      </c>
      <c r="V1095" s="19" t="s">
        <v>178</v>
      </c>
      <c r="Y1095" s="19" t="s">
        <v>138</v>
      </c>
      <c r="Z1095" s="44" t="s">
        <v>1573</v>
      </c>
      <c r="AA1095" s="44" t="s">
        <v>1678</v>
      </c>
      <c r="AC1095" s="19" t="s">
        <v>1679</v>
      </c>
    </row>
    <row r="1096" spans="1:29" hidden="1" x14ac:dyDescent="0.25">
      <c r="A1096" s="26">
        <v>94</v>
      </c>
      <c r="B1096" s="19" t="s">
        <v>1682</v>
      </c>
      <c r="C1096" s="44" t="s">
        <v>273</v>
      </c>
      <c r="D1096" s="19" t="s">
        <v>803</v>
      </c>
      <c r="E1096" s="19">
        <v>12</v>
      </c>
      <c r="F1096" s="19">
        <v>135</v>
      </c>
      <c r="G1096" s="19">
        <v>488</v>
      </c>
      <c r="H1096" s="19">
        <v>12</v>
      </c>
      <c r="I1096" s="80">
        <v>6.19</v>
      </c>
      <c r="J1096" s="80">
        <v>74.28</v>
      </c>
      <c r="K1096" s="19" t="s">
        <v>1676</v>
      </c>
      <c r="L1096" s="19" t="s">
        <v>1677</v>
      </c>
      <c r="Q1096" s="20">
        <v>22</v>
      </c>
      <c r="R1096" s="65" t="s">
        <v>1572</v>
      </c>
      <c r="T1096" s="19" t="s">
        <v>307</v>
      </c>
      <c r="V1096" s="19" t="s">
        <v>178</v>
      </c>
      <c r="W1096" s="19" t="s">
        <v>138</v>
      </c>
      <c r="Z1096" s="44" t="s">
        <v>1573</v>
      </c>
      <c r="AA1096" s="44" t="s">
        <v>1678</v>
      </c>
      <c r="AC1096" s="19" t="s">
        <v>1679</v>
      </c>
    </row>
    <row r="1097" spans="1:29" hidden="1" x14ac:dyDescent="0.25">
      <c r="A1097" s="26">
        <v>95</v>
      </c>
      <c r="B1097" s="19" t="s">
        <v>1683</v>
      </c>
      <c r="C1097" s="44" t="s">
        <v>273</v>
      </c>
      <c r="D1097" s="19" t="s">
        <v>803</v>
      </c>
      <c r="E1097" s="19">
        <v>12</v>
      </c>
      <c r="F1097" s="19">
        <v>135</v>
      </c>
      <c r="G1097" s="19">
        <v>488</v>
      </c>
      <c r="H1097" s="19">
        <v>12</v>
      </c>
      <c r="I1097" s="80">
        <v>6.19</v>
      </c>
      <c r="J1097" s="80">
        <v>74.28</v>
      </c>
      <c r="K1097" s="19" t="s">
        <v>1676</v>
      </c>
      <c r="L1097" s="19" t="s">
        <v>1677</v>
      </c>
      <c r="Q1097" s="20">
        <v>22</v>
      </c>
      <c r="R1097" s="65" t="s">
        <v>1572</v>
      </c>
      <c r="T1097" s="19" t="s">
        <v>307</v>
      </c>
      <c r="V1097" s="19" t="s">
        <v>178</v>
      </c>
      <c r="W1097" s="19" t="s">
        <v>138</v>
      </c>
      <c r="Z1097" s="44" t="s">
        <v>1573</v>
      </c>
      <c r="AA1097" s="44" t="s">
        <v>1678</v>
      </c>
      <c r="AC1097" s="19" t="s">
        <v>1679</v>
      </c>
    </row>
    <row r="1098" spans="1:29" hidden="1" x14ac:dyDescent="0.25">
      <c r="A1098" s="26">
        <v>96</v>
      </c>
      <c r="B1098" s="19" t="s">
        <v>1684</v>
      </c>
      <c r="C1098" s="44" t="s">
        <v>273</v>
      </c>
      <c r="D1098" s="19" t="s">
        <v>803</v>
      </c>
      <c r="E1098" s="19">
        <v>12</v>
      </c>
      <c r="F1098" s="19">
        <v>135</v>
      </c>
      <c r="G1098" s="19">
        <v>488</v>
      </c>
      <c r="H1098" s="19">
        <v>10</v>
      </c>
      <c r="I1098" s="80">
        <v>6.19</v>
      </c>
      <c r="J1098" s="80">
        <v>61.9</v>
      </c>
      <c r="K1098" s="19" t="s">
        <v>1676</v>
      </c>
      <c r="L1098" s="19" t="s">
        <v>1677</v>
      </c>
      <c r="Q1098" s="20">
        <v>22</v>
      </c>
      <c r="R1098" s="65" t="s">
        <v>1572</v>
      </c>
      <c r="T1098" s="19" t="s">
        <v>307</v>
      </c>
      <c r="V1098" s="19" t="s">
        <v>178</v>
      </c>
      <c r="W1098" s="19" t="s">
        <v>138</v>
      </c>
      <c r="Z1098" s="44" t="s">
        <v>1573</v>
      </c>
      <c r="AA1098" s="44" t="s">
        <v>1678</v>
      </c>
      <c r="AC1098" s="19" t="s">
        <v>1679</v>
      </c>
    </row>
    <row r="1099" spans="1:29" hidden="1" x14ac:dyDescent="0.25">
      <c r="A1099" s="26">
        <v>97</v>
      </c>
      <c r="B1099" s="19" t="s">
        <v>1685</v>
      </c>
      <c r="C1099" s="44" t="s">
        <v>273</v>
      </c>
      <c r="D1099" s="19" t="s">
        <v>874</v>
      </c>
      <c r="E1099" s="19">
        <v>12</v>
      </c>
      <c r="F1099" s="19">
        <v>100</v>
      </c>
      <c r="G1099" s="19">
        <v>150</v>
      </c>
      <c r="H1099" s="19">
        <v>1</v>
      </c>
      <c r="I1099" s="80">
        <v>1.41</v>
      </c>
      <c r="J1099" s="80">
        <v>1.41</v>
      </c>
      <c r="K1099" s="19" t="s">
        <v>1676</v>
      </c>
      <c r="L1099" s="19" t="s">
        <v>1677</v>
      </c>
      <c r="Q1099" s="20">
        <v>22</v>
      </c>
      <c r="R1099" s="65" t="s">
        <v>1572</v>
      </c>
      <c r="T1099" s="19" t="s">
        <v>307</v>
      </c>
      <c r="V1099" s="19" t="s">
        <v>178</v>
      </c>
      <c r="W1099" s="19" t="s">
        <v>138</v>
      </c>
      <c r="Z1099" s="44" t="s">
        <v>1573</v>
      </c>
      <c r="AA1099" s="44" t="s">
        <v>1678</v>
      </c>
      <c r="AC1099" s="19" t="s">
        <v>1679</v>
      </c>
    </row>
    <row r="1100" spans="1:29" hidden="1" x14ac:dyDescent="0.25">
      <c r="A1100" s="26">
        <v>98</v>
      </c>
      <c r="B1100" s="19" t="s">
        <v>1686</v>
      </c>
      <c r="C1100" s="44" t="s">
        <v>273</v>
      </c>
      <c r="D1100" s="19" t="s">
        <v>874</v>
      </c>
      <c r="E1100" s="19">
        <v>12</v>
      </c>
      <c r="F1100" s="19">
        <v>100</v>
      </c>
      <c r="G1100" s="19">
        <v>150</v>
      </c>
      <c r="H1100" s="19">
        <v>1</v>
      </c>
      <c r="I1100" s="80">
        <v>1.41</v>
      </c>
      <c r="J1100" s="80">
        <v>1.41</v>
      </c>
      <c r="K1100" s="19" t="s">
        <v>1676</v>
      </c>
      <c r="L1100" s="19" t="s">
        <v>1677</v>
      </c>
      <c r="Q1100" s="20">
        <v>22</v>
      </c>
      <c r="R1100" s="65" t="s">
        <v>1572</v>
      </c>
      <c r="T1100" s="19" t="s">
        <v>307</v>
      </c>
      <c r="V1100" s="19" t="s">
        <v>178</v>
      </c>
      <c r="W1100" s="19" t="s">
        <v>138</v>
      </c>
      <c r="Z1100" s="44" t="s">
        <v>1573</v>
      </c>
      <c r="AA1100" s="44" t="s">
        <v>1678</v>
      </c>
      <c r="AC1100" s="19" t="s">
        <v>1679</v>
      </c>
    </row>
    <row r="1101" spans="1:29" hidden="1" x14ac:dyDescent="0.25">
      <c r="A1101" s="26">
        <v>99</v>
      </c>
      <c r="B1101" s="19" t="s">
        <v>1687</v>
      </c>
      <c r="C1101" s="44" t="s">
        <v>273</v>
      </c>
      <c r="D1101" s="19" t="s">
        <v>874</v>
      </c>
      <c r="E1101" s="19">
        <v>12</v>
      </c>
      <c r="F1101" s="19">
        <v>100</v>
      </c>
      <c r="G1101" s="19">
        <v>150</v>
      </c>
      <c r="H1101" s="19">
        <v>1</v>
      </c>
      <c r="I1101" s="80">
        <v>1.41</v>
      </c>
      <c r="J1101" s="80">
        <v>1.41</v>
      </c>
      <c r="K1101" s="19" t="s">
        <v>1676</v>
      </c>
      <c r="L1101" s="19" t="s">
        <v>1677</v>
      </c>
      <c r="Q1101" s="20">
        <v>22</v>
      </c>
      <c r="R1101" s="65" t="s">
        <v>1572</v>
      </c>
      <c r="T1101" s="19" t="s">
        <v>307</v>
      </c>
      <c r="V1101" s="19" t="s">
        <v>178</v>
      </c>
      <c r="W1101" s="19" t="s">
        <v>138</v>
      </c>
      <c r="Z1101" s="44" t="s">
        <v>1573</v>
      </c>
      <c r="AA1101" s="44" t="s">
        <v>1678</v>
      </c>
      <c r="AC1101" s="19" t="s">
        <v>1679</v>
      </c>
    </row>
    <row r="1102" spans="1:29" hidden="1" x14ac:dyDescent="0.25">
      <c r="A1102" s="26">
        <v>100</v>
      </c>
      <c r="B1102" s="19" t="s">
        <v>1674</v>
      </c>
      <c r="C1102" s="44" t="s">
        <v>273</v>
      </c>
      <c r="D1102" s="19" t="s">
        <v>914</v>
      </c>
      <c r="E1102" s="19">
        <v>12</v>
      </c>
      <c r="F1102" s="19">
        <v>95</v>
      </c>
      <c r="G1102" s="19">
        <v>263</v>
      </c>
      <c r="H1102" s="19">
        <v>6</v>
      </c>
      <c r="I1102" s="80">
        <v>2.34</v>
      </c>
      <c r="J1102" s="80">
        <v>14.03</v>
      </c>
      <c r="K1102" s="19" t="s">
        <v>1676</v>
      </c>
      <c r="L1102" s="19" t="s">
        <v>1677</v>
      </c>
      <c r="Q1102" s="20">
        <v>22</v>
      </c>
      <c r="R1102" s="65" t="s">
        <v>1572</v>
      </c>
      <c r="T1102" s="19" t="s">
        <v>307</v>
      </c>
      <c r="V1102" s="19" t="s">
        <v>178</v>
      </c>
      <c r="W1102" s="19" t="s">
        <v>138</v>
      </c>
      <c r="Z1102" s="44" t="s">
        <v>1573</v>
      </c>
      <c r="AA1102" s="44" t="s">
        <v>1678</v>
      </c>
      <c r="AC1102" s="19" t="s">
        <v>1679</v>
      </c>
    </row>
    <row r="1103" spans="1:29" hidden="1" x14ac:dyDescent="0.25">
      <c r="A1103" s="26">
        <v>101</v>
      </c>
      <c r="B1103" s="19" t="s">
        <v>1675</v>
      </c>
      <c r="C1103" s="44" t="s">
        <v>273</v>
      </c>
      <c r="D1103" s="19" t="s">
        <v>1239</v>
      </c>
      <c r="E1103" s="19">
        <v>12</v>
      </c>
      <c r="F1103" s="19">
        <v>130</v>
      </c>
      <c r="G1103" s="19">
        <v>663</v>
      </c>
      <c r="H1103" s="19">
        <v>7</v>
      </c>
      <c r="I1103" s="80">
        <v>8.11</v>
      </c>
      <c r="J1103" s="80">
        <v>56.77</v>
      </c>
      <c r="K1103" s="19" t="s">
        <v>1676</v>
      </c>
      <c r="L1103" s="19" t="s">
        <v>1677</v>
      </c>
      <c r="Q1103" s="20">
        <v>22</v>
      </c>
      <c r="R1103" s="65" t="s">
        <v>1572</v>
      </c>
      <c r="T1103" s="19" t="s">
        <v>307</v>
      </c>
      <c r="V1103" s="19" t="s">
        <v>178</v>
      </c>
      <c r="W1103" s="19" t="s">
        <v>138</v>
      </c>
      <c r="Z1103" s="44" t="s">
        <v>1573</v>
      </c>
      <c r="AA1103" s="44" t="s">
        <v>1678</v>
      </c>
      <c r="AC1103" s="19" t="s">
        <v>1679</v>
      </c>
    </row>
    <row r="1104" spans="1:29" hidden="1" x14ac:dyDescent="0.25">
      <c r="A1104" s="26">
        <v>102</v>
      </c>
      <c r="B1104" s="19" t="s">
        <v>1607</v>
      </c>
      <c r="C1104" s="44" t="s">
        <v>273</v>
      </c>
      <c r="D1104" s="19" t="s">
        <v>1608</v>
      </c>
      <c r="E1104" s="19">
        <v>12</v>
      </c>
      <c r="F1104" s="19">
        <v>116</v>
      </c>
      <c r="G1104" s="19">
        <v>144</v>
      </c>
      <c r="H1104" s="19">
        <v>8</v>
      </c>
      <c r="I1104" s="80">
        <v>1.32</v>
      </c>
      <c r="J1104" s="80">
        <v>10.59</v>
      </c>
      <c r="K1104" s="19" t="s">
        <v>184</v>
      </c>
      <c r="L1104" s="19" t="s">
        <v>1688</v>
      </c>
      <c r="Q1104" s="20">
        <v>22</v>
      </c>
      <c r="R1104" s="65" t="s">
        <v>1572</v>
      </c>
      <c r="T1104" s="19" t="s">
        <v>307</v>
      </c>
      <c r="V1104" s="19" t="s">
        <v>178</v>
      </c>
      <c r="W1104" s="19" t="s">
        <v>138</v>
      </c>
      <c r="Z1104" s="44" t="s">
        <v>1573</v>
      </c>
      <c r="AA1104" s="44" t="s">
        <v>1689</v>
      </c>
      <c r="AC1104" s="19" t="s">
        <v>1690</v>
      </c>
    </row>
    <row r="1105" spans="1:29" hidden="1" x14ac:dyDescent="0.25">
      <c r="A1105" s="26">
        <v>103</v>
      </c>
      <c r="B1105" s="19" t="s">
        <v>1691</v>
      </c>
      <c r="C1105" s="44" t="s">
        <v>273</v>
      </c>
      <c r="D1105" s="19" t="s">
        <v>1608</v>
      </c>
      <c r="E1105" s="19">
        <v>12</v>
      </c>
      <c r="F1105" s="19">
        <v>116</v>
      </c>
      <c r="G1105" s="19">
        <v>144</v>
      </c>
      <c r="H1105" s="19">
        <v>8</v>
      </c>
      <c r="I1105" s="80">
        <v>1.32</v>
      </c>
      <c r="J1105" s="80">
        <v>10.59</v>
      </c>
      <c r="K1105" s="19" t="s">
        <v>184</v>
      </c>
      <c r="L1105" s="19" t="s">
        <v>1688</v>
      </c>
      <c r="Q1105" s="20">
        <v>22</v>
      </c>
      <c r="R1105" s="65" t="s">
        <v>1572</v>
      </c>
      <c r="T1105" s="19" t="s">
        <v>307</v>
      </c>
      <c r="V1105" s="19" t="s">
        <v>178</v>
      </c>
      <c r="W1105" s="19" t="s">
        <v>138</v>
      </c>
      <c r="Z1105" s="44" t="s">
        <v>1573</v>
      </c>
      <c r="AA1105" s="44" t="s">
        <v>1689</v>
      </c>
      <c r="AC1105" s="19" t="s">
        <v>1690</v>
      </c>
    </row>
    <row r="1106" spans="1:29" hidden="1" x14ac:dyDescent="0.25">
      <c r="A1106" s="26">
        <v>104</v>
      </c>
      <c r="B1106" s="19" t="s">
        <v>1684</v>
      </c>
      <c r="C1106" s="44" t="s">
        <v>273</v>
      </c>
      <c r="D1106" s="19" t="s">
        <v>803</v>
      </c>
      <c r="E1106" s="19">
        <v>12</v>
      </c>
      <c r="F1106" s="19">
        <v>135</v>
      </c>
      <c r="G1106" s="19">
        <v>488</v>
      </c>
      <c r="H1106" s="19">
        <v>2</v>
      </c>
      <c r="I1106" s="80">
        <v>6.19</v>
      </c>
      <c r="J1106" s="80">
        <v>12.38</v>
      </c>
      <c r="K1106" s="19" t="s">
        <v>184</v>
      </c>
      <c r="L1106" s="19" t="s">
        <v>1688</v>
      </c>
      <c r="Q1106" s="20">
        <v>22</v>
      </c>
      <c r="R1106" s="65" t="s">
        <v>1572</v>
      </c>
      <c r="T1106" s="19" t="s">
        <v>307</v>
      </c>
      <c r="V1106" s="19" t="s">
        <v>178</v>
      </c>
      <c r="W1106" s="19" t="s">
        <v>138</v>
      </c>
      <c r="Z1106" s="44" t="s">
        <v>1573</v>
      </c>
      <c r="AA1106" s="44" t="s">
        <v>1689</v>
      </c>
      <c r="AC1106" s="19" t="s">
        <v>1690</v>
      </c>
    </row>
    <row r="1107" spans="1:29" hidden="1" x14ac:dyDescent="0.25">
      <c r="A1107" s="26">
        <v>105</v>
      </c>
      <c r="B1107" s="19" t="s">
        <v>1692</v>
      </c>
      <c r="C1107" s="44" t="s">
        <v>273</v>
      </c>
      <c r="D1107" s="19" t="s">
        <v>803</v>
      </c>
      <c r="E1107" s="19">
        <v>12</v>
      </c>
      <c r="F1107" s="19">
        <v>135</v>
      </c>
      <c r="G1107" s="19">
        <v>488</v>
      </c>
      <c r="H1107" s="19">
        <v>17</v>
      </c>
      <c r="I1107" s="80">
        <v>6.19</v>
      </c>
      <c r="J1107" s="80">
        <v>105.23</v>
      </c>
      <c r="K1107" s="19" t="s">
        <v>184</v>
      </c>
      <c r="L1107" s="19" t="s">
        <v>1688</v>
      </c>
      <c r="Q1107" s="20">
        <v>22</v>
      </c>
      <c r="R1107" s="65" t="s">
        <v>1572</v>
      </c>
      <c r="T1107" s="19" t="s">
        <v>307</v>
      </c>
      <c r="V1107" s="19" t="s">
        <v>178</v>
      </c>
      <c r="W1107" s="19" t="s">
        <v>138</v>
      </c>
      <c r="Z1107" s="44" t="s">
        <v>1573</v>
      </c>
      <c r="AA1107" s="44" t="s">
        <v>1689</v>
      </c>
      <c r="AC1107" s="19" t="s">
        <v>1690</v>
      </c>
    </row>
    <row r="1108" spans="1:29" hidden="1" x14ac:dyDescent="0.25">
      <c r="A1108" s="26">
        <v>106</v>
      </c>
      <c r="B1108" s="19" t="s">
        <v>1693</v>
      </c>
      <c r="C1108" s="44" t="s">
        <v>273</v>
      </c>
      <c r="D1108" s="19" t="s">
        <v>803</v>
      </c>
      <c r="E1108" s="19">
        <v>12</v>
      </c>
      <c r="F1108" s="19">
        <v>135</v>
      </c>
      <c r="G1108" s="19">
        <v>488</v>
      </c>
      <c r="H1108" s="19">
        <v>17</v>
      </c>
      <c r="I1108" s="80">
        <v>6.19</v>
      </c>
      <c r="J1108" s="80">
        <v>105.23</v>
      </c>
      <c r="K1108" s="19" t="s">
        <v>184</v>
      </c>
      <c r="L1108" s="19" t="s">
        <v>1688</v>
      </c>
      <c r="Q1108" s="20">
        <v>22</v>
      </c>
      <c r="R1108" s="65" t="s">
        <v>1572</v>
      </c>
      <c r="T1108" s="19" t="s">
        <v>307</v>
      </c>
      <c r="V1108" s="19" t="s">
        <v>178</v>
      </c>
      <c r="W1108" s="19" t="s">
        <v>138</v>
      </c>
      <c r="Z1108" s="44" t="s">
        <v>1573</v>
      </c>
      <c r="AA1108" s="44" t="s">
        <v>1689</v>
      </c>
      <c r="AC1108" s="19" t="s">
        <v>1690</v>
      </c>
    </row>
    <row r="1109" spans="1:29" hidden="1" x14ac:dyDescent="0.25">
      <c r="A1109" s="26">
        <v>107</v>
      </c>
      <c r="B1109" s="19" t="s">
        <v>1694</v>
      </c>
      <c r="C1109" s="44" t="s">
        <v>273</v>
      </c>
      <c r="D1109" s="19" t="s">
        <v>803</v>
      </c>
      <c r="E1109" s="19">
        <v>12</v>
      </c>
      <c r="F1109" s="19">
        <v>135</v>
      </c>
      <c r="G1109" s="19">
        <v>488</v>
      </c>
      <c r="H1109" s="19">
        <v>16</v>
      </c>
      <c r="I1109" s="80">
        <v>6.19</v>
      </c>
      <c r="J1109" s="80">
        <v>99.04</v>
      </c>
      <c r="K1109" s="19" t="s">
        <v>184</v>
      </c>
      <c r="L1109" s="19" t="s">
        <v>1688</v>
      </c>
      <c r="Q1109" s="20">
        <v>22</v>
      </c>
      <c r="R1109" s="65" t="s">
        <v>1572</v>
      </c>
      <c r="T1109" s="19" t="s">
        <v>307</v>
      </c>
      <c r="V1109" s="19" t="s">
        <v>178</v>
      </c>
      <c r="W1109" s="19" t="s">
        <v>138</v>
      </c>
      <c r="Z1109" s="44" t="s">
        <v>1573</v>
      </c>
      <c r="AA1109" s="44" t="s">
        <v>1689</v>
      </c>
      <c r="AC1109" s="19" t="s">
        <v>1690</v>
      </c>
    </row>
    <row r="1110" spans="1:29" hidden="1" x14ac:dyDescent="0.25">
      <c r="A1110" s="26">
        <v>108</v>
      </c>
      <c r="B1110" s="19" t="s">
        <v>1695</v>
      </c>
      <c r="C1110" s="44" t="s">
        <v>273</v>
      </c>
      <c r="D1110" s="19" t="s">
        <v>803</v>
      </c>
      <c r="E1110" s="19">
        <v>12</v>
      </c>
      <c r="F1110" s="19">
        <v>135</v>
      </c>
      <c r="G1110" s="19">
        <v>488</v>
      </c>
      <c r="H1110" s="19">
        <v>16</v>
      </c>
      <c r="I1110" s="80">
        <v>6.19</v>
      </c>
      <c r="J1110" s="80">
        <v>99.04</v>
      </c>
      <c r="K1110" s="19" t="s">
        <v>184</v>
      </c>
      <c r="L1110" s="19" t="s">
        <v>1688</v>
      </c>
      <c r="Q1110" s="20">
        <v>22</v>
      </c>
      <c r="R1110" s="65" t="s">
        <v>1572</v>
      </c>
      <c r="T1110" s="19" t="s">
        <v>307</v>
      </c>
      <c r="V1110" s="19" t="s">
        <v>178</v>
      </c>
      <c r="W1110" s="19" t="s">
        <v>138</v>
      </c>
      <c r="Z1110" s="44" t="s">
        <v>1573</v>
      </c>
      <c r="AA1110" s="44" t="s">
        <v>1689</v>
      </c>
      <c r="AC1110" s="19" t="s">
        <v>1690</v>
      </c>
    </row>
    <row r="1111" spans="1:29" hidden="1" x14ac:dyDescent="0.25">
      <c r="A1111" s="26">
        <v>109</v>
      </c>
      <c r="B1111" s="19" t="s">
        <v>1696</v>
      </c>
      <c r="C1111" s="44" t="s">
        <v>273</v>
      </c>
      <c r="D1111" s="19" t="s">
        <v>803</v>
      </c>
      <c r="E1111" s="19">
        <v>12</v>
      </c>
      <c r="F1111" s="19">
        <v>135</v>
      </c>
      <c r="G1111" s="19">
        <v>488</v>
      </c>
      <c r="H1111" s="19">
        <v>3</v>
      </c>
      <c r="I1111" s="80">
        <v>6.19</v>
      </c>
      <c r="J1111" s="80">
        <v>18.57</v>
      </c>
      <c r="K1111" s="19" t="s">
        <v>184</v>
      </c>
      <c r="L1111" s="19" t="s">
        <v>1688</v>
      </c>
      <c r="Q1111" s="20">
        <v>22</v>
      </c>
      <c r="R1111" s="65" t="s">
        <v>1572</v>
      </c>
      <c r="T1111" s="19" t="s">
        <v>307</v>
      </c>
      <c r="V1111" s="19" t="s">
        <v>178</v>
      </c>
      <c r="W1111" s="19" t="s">
        <v>138</v>
      </c>
      <c r="Z1111" s="44" t="s">
        <v>1573</v>
      </c>
      <c r="AA1111" s="44" t="s">
        <v>1689</v>
      </c>
      <c r="AC1111" s="19" t="s">
        <v>1690</v>
      </c>
    </row>
    <row r="1112" spans="1:29" hidden="1" x14ac:dyDescent="0.25">
      <c r="A1112" s="26">
        <v>110</v>
      </c>
      <c r="B1112" s="19" t="s">
        <v>1697</v>
      </c>
      <c r="C1112" s="44" t="s">
        <v>273</v>
      </c>
      <c r="D1112" s="19" t="s">
        <v>803</v>
      </c>
      <c r="E1112" s="19">
        <v>12</v>
      </c>
      <c r="F1112" s="19">
        <v>135</v>
      </c>
      <c r="G1112" s="19">
        <v>488</v>
      </c>
      <c r="H1112" s="19">
        <v>4</v>
      </c>
      <c r="I1112" s="80">
        <v>6.19</v>
      </c>
      <c r="J1112" s="80">
        <v>24.76</v>
      </c>
      <c r="K1112" s="19" t="s">
        <v>184</v>
      </c>
      <c r="L1112" s="19" t="s">
        <v>1688</v>
      </c>
      <c r="Q1112" s="20">
        <v>22</v>
      </c>
      <c r="R1112" s="65" t="s">
        <v>1572</v>
      </c>
      <c r="T1112" s="19" t="s">
        <v>307</v>
      </c>
      <c r="V1112" s="19" t="s">
        <v>178</v>
      </c>
      <c r="W1112" s="19" t="s">
        <v>138</v>
      </c>
      <c r="Z1112" s="44" t="s">
        <v>1573</v>
      </c>
      <c r="AA1112" s="44" t="s">
        <v>1689</v>
      </c>
      <c r="AC1112" s="19" t="s">
        <v>1690</v>
      </c>
    </row>
    <row r="1113" spans="1:29" hidden="1" x14ac:dyDescent="0.25">
      <c r="A1113" s="26">
        <v>111</v>
      </c>
      <c r="B1113" s="19" t="s">
        <v>1698</v>
      </c>
      <c r="C1113" s="44" t="s">
        <v>273</v>
      </c>
      <c r="D1113" s="19" t="s">
        <v>869</v>
      </c>
      <c r="E1113" s="19">
        <v>12</v>
      </c>
      <c r="F1113" s="19">
        <v>490</v>
      </c>
      <c r="G1113" s="19">
        <v>1514</v>
      </c>
      <c r="H1113" s="19">
        <v>1</v>
      </c>
      <c r="I1113" s="80">
        <v>69.78</v>
      </c>
      <c r="J1113" s="80">
        <v>69.78</v>
      </c>
      <c r="K1113" s="19" t="s">
        <v>184</v>
      </c>
      <c r="L1113" s="19" t="s">
        <v>1688</v>
      </c>
      <c r="Q1113" s="20">
        <v>22</v>
      </c>
      <c r="R1113" s="65" t="s">
        <v>1572</v>
      </c>
      <c r="T1113" s="19" t="s">
        <v>307</v>
      </c>
      <c r="V1113" s="19" t="s">
        <v>178</v>
      </c>
      <c r="Y1113" s="19" t="s">
        <v>138</v>
      </c>
      <c r="Z1113" s="44" t="s">
        <v>1573</v>
      </c>
      <c r="AA1113" s="44" t="s">
        <v>1689</v>
      </c>
      <c r="AC1113" s="19" t="s">
        <v>1690</v>
      </c>
    </row>
    <row r="1114" spans="1:29" hidden="1" x14ac:dyDescent="0.25">
      <c r="A1114" s="26">
        <v>112</v>
      </c>
      <c r="B1114" s="19" t="s">
        <v>1699</v>
      </c>
      <c r="C1114" s="44" t="s">
        <v>273</v>
      </c>
      <c r="D1114" s="19" t="s">
        <v>874</v>
      </c>
      <c r="E1114" s="19">
        <v>12</v>
      </c>
      <c r="F1114" s="19">
        <v>100</v>
      </c>
      <c r="G1114" s="19">
        <v>150</v>
      </c>
      <c r="H1114" s="19">
        <v>1</v>
      </c>
      <c r="I1114" s="80">
        <v>1.41</v>
      </c>
      <c r="J1114" s="80">
        <v>1.41</v>
      </c>
      <c r="K1114" s="19" t="s">
        <v>184</v>
      </c>
      <c r="L1114" s="19" t="s">
        <v>1688</v>
      </c>
      <c r="Q1114" s="20">
        <v>22</v>
      </c>
      <c r="R1114" s="65" t="s">
        <v>1572</v>
      </c>
      <c r="T1114" s="19" t="s">
        <v>307</v>
      </c>
      <c r="V1114" s="19" t="s">
        <v>178</v>
      </c>
      <c r="W1114" s="19" t="s">
        <v>138</v>
      </c>
      <c r="Z1114" s="44" t="s">
        <v>1573</v>
      </c>
      <c r="AA1114" s="44" t="s">
        <v>1689</v>
      </c>
      <c r="AC1114" s="19" t="s">
        <v>1690</v>
      </c>
    </row>
    <row r="1115" spans="1:29" hidden="1" x14ac:dyDescent="0.25">
      <c r="A1115" s="26">
        <v>113</v>
      </c>
      <c r="B1115" s="19" t="s">
        <v>1700</v>
      </c>
      <c r="C1115" s="44" t="s">
        <v>273</v>
      </c>
      <c r="D1115" s="19" t="s">
        <v>874</v>
      </c>
      <c r="E1115" s="19">
        <v>12</v>
      </c>
      <c r="F1115" s="19">
        <v>100</v>
      </c>
      <c r="G1115" s="19">
        <v>150</v>
      </c>
      <c r="H1115" s="19">
        <v>1</v>
      </c>
      <c r="I1115" s="80">
        <v>1.41</v>
      </c>
      <c r="J1115" s="80">
        <v>1.41</v>
      </c>
      <c r="K1115" s="19" t="s">
        <v>184</v>
      </c>
      <c r="L1115" s="19" t="s">
        <v>1688</v>
      </c>
      <c r="Q1115" s="20">
        <v>22</v>
      </c>
      <c r="R1115" s="65" t="s">
        <v>1572</v>
      </c>
      <c r="T1115" s="19" t="s">
        <v>307</v>
      </c>
      <c r="V1115" s="19" t="s">
        <v>178</v>
      </c>
      <c r="W1115" s="19" t="s">
        <v>138</v>
      </c>
      <c r="Z1115" s="44" t="s">
        <v>1573</v>
      </c>
      <c r="AA1115" s="44" t="s">
        <v>1689</v>
      </c>
      <c r="AC1115" s="19" t="s">
        <v>1690</v>
      </c>
    </row>
    <row r="1116" spans="1:29" hidden="1" x14ac:dyDescent="0.25">
      <c r="A1116" s="26">
        <v>114</v>
      </c>
      <c r="B1116" s="19" t="s">
        <v>1701</v>
      </c>
      <c r="C1116" s="44" t="s">
        <v>273</v>
      </c>
      <c r="D1116" s="19" t="s">
        <v>874</v>
      </c>
      <c r="E1116" s="19">
        <v>12</v>
      </c>
      <c r="F1116" s="19">
        <v>100</v>
      </c>
      <c r="G1116" s="19">
        <v>150</v>
      </c>
      <c r="H1116" s="19">
        <v>1</v>
      </c>
      <c r="I1116" s="80">
        <v>1.41</v>
      </c>
      <c r="J1116" s="80">
        <v>1.41</v>
      </c>
      <c r="K1116" s="19" t="s">
        <v>184</v>
      </c>
      <c r="L1116" s="19" t="s">
        <v>1688</v>
      </c>
      <c r="Q1116" s="20">
        <v>22</v>
      </c>
      <c r="R1116" s="65" t="s">
        <v>1572</v>
      </c>
      <c r="T1116" s="19" t="s">
        <v>307</v>
      </c>
      <c r="V1116" s="19" t="s">
        <v>178</v>
      </c>
      <c r="W1116" s="19" t="s">
        <v>138</v>
      </c>
      <c r="Z1116" s="44" t="s">
        <v>1573</v>
      </c>
      <c r="AA1116" s="44" t="s">
        <v>1689</v>
      </c>
      <c r="AC1116" s="19" t="s">
        <v>1690</v>
      </c>
    </row>
    <row r="1117" spans="1:29" hidden="1" x14ac:dyDescent="0.25">
      <c r="A1117" s="26">
        <v>115</v>
      </c>
      <c r="B1117" s="19" t="s">
        <v>1702</v>
      </c>
      <c r="C1117" s="44" t="s">
        <v>273</v>
      </c>
      <c r="D1117" s="19" t="s">
        <v>835</v>
      </c>
      <c r="E1117" s="19">
        <v>12</v>
      </c>
      <c r="F1117" s="19">
        <v>1460</v>
      </c>
      <c r="G1117" s="19">
        <v>9068</v>
      </c>
      <c r="H1117" s="19">
        <v>1</v>
      </c>
      <c r="I1117" s="80">
        <v>1240.54</v>
      </c>
      <c r="J1117" s="80">
        <v>1240.54</v>
      </c>
      <c r="K1117" s="19" t="s">
        <v>184</v>
      </c>
      <c r="L1117" s="19" t="s">
        <v>1688</v>
      </c>
      <c r="Q1117" s="20">
        <v>22</v>
      </c>
      <c r="R1117" s="65" t="s">
        <v>1572</v>
      </c>
      <c r="T1117" s="19" t="s">
        <v>307</v>
      </c>
      <c r="V1117" s="19" t="s">
        <v>178</v>
      </c>
      <c r="Y1117" s="19" t="s">
        <v>138</v>
      </c>
      <c r="Z1117" s="44" t="s">
        <v>1573</v>
      </c>
      <c r="AA1117" s="44" t="s">
        <v>1689</v>
      </c>
      <c r="AC1117" s="19" t="s">
        <v>1690</v>
      </c>
    </row>
    <row r="1118" spans="1:29" hidden="1" x14ac:dyDescent="0.25">
      <c r="A1118" s="26">
        <v>116</v>
      </c>
      <c r="B1118" s="19" t="s">
        <v>1703</v>
      </c>
      <c r="C1118" s="44" t="s">
        <v>273</v>
      </c>
      <c r="D1118" s="19" t="s">
        <v>874</v>
      </c>
      <c r="E1118" s="19">
        <v>12</v>
      </c>
      <c r="F1118" s="19">
        <v>100</v>
      </c>
      <c r="G1118" s="19">
        <v>150</v>
      </c>
      <c r="H1118" s="19">
        <v>1</v>
      </c>
      <c r="I1118" s="80">
        <v>1.41</v>
      </c>
      <c r="J1118" s="80">
        <v>1.41</v>
      </c>
      <c r="K1118" s="19" t="s">
        <v>184</v>
      </c>
      <c r="L1118" s="19" t="s">
        <v>1688</v>
      </c>
      <c r="Q1118" s="20">
        <v>22</v>
      </c>
      <c r="R1118" s="65" t="s">
        <v>1572</v>
      </c>
      <c r="T1118" s="19" t="s">
        <v>307</v>
      </c>
      <c r="V1118" s="19" t="s">
        <v>178</v>
      </c>
      <c r="W1118" s="19" t="s">
        <v>138</v>
      </c>
      <c r="Z1118" s="44" t="s">
        <v>1573</v>
      </c>
      <c r="AA1118" s="44" t="s">
        <v>1689</v>
      </c>
      <c r="AC1118" s="19" t="s">
        <v>1690</v>
      </c>
    </row>
    <row r="1119" spans="1:29" hidden="1" x14ac:dyDescent="0.25">
      <c r="A1119" s="26">
        <v>117</v>
      </c>
      <c r="B1119" s="19" t="s">
        <v>1704</v>
      </c>
      <c r="C1119" s="44" t="s">
        <v>273</v>
      </c>
      <c r="D1119" s="19" t="s">
        <v>869</v>
      </c>
      <c r="E1119" s="19">
        <v>12</v>
      </c>
      <c r="F1119" s="19">
        <v>490</v>
      </c>
      <c r="G1119" s="19">
        <v>1514</v>
      </c>
      <c r="H1119" s="19">
        <v>1</v>
      </c>
      <c r="I1119" s="80">
        <v>69.78</v>
      </c>
      <c r="J1119" s="80">
        <v>69.78</v>
      </c>
      <c r="K1119" s="19" t="s">
        <v>184</v>
      </c>
      <c r="L1119" s="19" t="s">
        <v>1688</v>
      </c>
      <c r="Q1119" s="20">
        <v>22</v>
      </c>
      <c r="R1119" s="65" t="s">
        <v>1572</v>
      </c>
      <c r="T1119" s="19" t="s">
        <v>307</v>
      </c>
      <c r="V1119" s="19" t="s">
        <v>178</v>
      </c>
      <c r="Y1119" s="19" t="s">
        <v>138</v>
      </c>
      <c r="Z1119" s="44" t="s">
        <v>1573</v>
      </c>
      <c r="AA1119" s="44" t="s">
        <v>1689</v>
      </c>
      <c r="AC1119" s="19" t="s">
        <v>1690</v>
      </c>
    </row>
    <row r="1120" spans="1:29" hidden="1" x14ac:dyDescent="0.25">
      <c r="A1120" s="26">
        <v>118</v>
      </c>
      <c r="B1120" s="19" t="s">
        <v>1705</v>
      </c>
      <c r="C1120" s="44" t="s">
        <v>273</v>
      </c>
      <c r="D1120" s="19" t="s">
        <v>869</v>
      </c>
      <c r="E1120" s="19">
        <v>12</v>
      </c>
      <c r="F1120" s="19">
        <v>490</v>
      </c>
      <c r="G1120" s="19">
        <v>1514</v>
      </c>
      <c r="H1120" s="19">
        <v>1</v>
      </c>
      <c r="I1120" s="80">
        <v>69.78</v>
      </c>
      <c r="J1120" s="80">
        <v>69.78</v>
      </c>
      <c r="K1120" s="19" t="s">
        <v>184</v>
      </c>
      <c r="L1120" s="19" t="s">
        <v>1688</v>
      </c>
      <c r="Q1120" s="20">
        <v>22</v>
      </c>
      <c r="R1120" s="65" t="s">
        <v>1572</v>
      </c>
      <c r="T1120" s="19" t="s">
        <v>307</v>
      </c>
      <c r="V1120" s="19" t="s">
        <v>178</v>
      </c>
      <c r="Y1120" s="19" t="s">
        <v>138</v>
      </c>
      <c r="Z1120" s="44" t="s">
        <v>1573</v>
      </c>
      <c r="AA1120" s="44" t="s">
        <v>1689</v>
      </c>
      <c r="AC1120" s="19" t="s">
        <v>1690</v>
      </c>
    </row>
    <row r="1121" spans="1:29" hidden="1" x14ac:dyDescent="0.25">
      <c r="A1121" s="26">
        <v>119</v>
      </c>
      <c r="B1121" s="19" t="s">
        <v>1691</v>
      </c>
      <c r="C1121" s="44" t="s">
        <v>273</v>
      </c>
      <c r="D1121" s="19" t="s">
        <v>1608</v>
      </c>
      <c r="E1121" s="19">
        <v>12</v>
      </c>
      <c r="F1121" s="19">
        <v>116</v>
      </c>
      <c r="G1121" s="19">
        <v>144</v>
      </c>
      <c r="H1121" s="19">
        <v>16</v>
      </c>
      <c r="I1121" s="80">
        <v>1.32</v>
      </c>
      <c r="J1121" s="80">
        <v>21.18</v>
      </c>
      <c r="K1121" s="19" t="s">
        <v>1706</v>
      </c>
      <c r="L1121" s="19" t="s">
        <v>1707</v>
      </c>
      <c r="Q1121" s="20">
        <v>22</v>
      </c>
      <c r="R1121" s="65" t="s">
        <v>1572</v>
      </c>
      <c r="T1121" s="19" t="s">
        <v>307</v>
      </c>
      <c r="V1121" s="19" t="s">
        <v>178</v>
      </c>
      <c r="W1121" s="19" t="s">
        <v>138</v>
      </c>
      <c r="Z1121" s="44" t="s">
        <v>1573</v>
      </c>
      <c r="AA1121" s="44" t="s">
        <v>1708</v>
      </c>
      <c r="AC1121" s="19" t="s">
        <v>1709</v>
      </c>
    </row>
    <row r="1122" spans="1:29" hidden="1" x14ac:dyDescent="0.25">
      <c r="A1122" s="26">
        <v>120</v>
      </c>
      <c r="B1122" s="19" t="s">
        <v>1710</v>
      </c>
      <c r="C1122" s="44" t="s">
        <v>273</v>
      </c>
      <c r="D1122" s="19" t="s">
        <v>812</v>
      </c>
      <c r="E1122" s="19">
        <v>12</v>
      </c>
      <c r="F1122" s="19">
        <v>490</v>
      </c>
      <c r="G1122" s="19">
        <v>6464</v>
      </c>
      <c r="H1122" s="19">
        <v>1</v>
      </c>
      <c r="I1122" s="80">
        <v>298.16000000000003</v>
      </c>
      <c r="J1122" s="80">
        <v>298.16000000000003</v>
      </c>
      <c r="K1122" s="19" t="s">
        <v>1706</v>
      </c>
      <c r="L1122" s="19" t="s">
        <v>1707</v>
      </c>
      <c r="Q1122" s="20">
        <v>22</v>
      </c>
      <c r="R1122" s="65" t="s">
        <v>1572</v>
      </c>
      <c r="T1122" s="19" t="s">
        <v>307</v>
      </c>
      <c r="V1122" s="19" t="s">
        <v>178</v>
      </c>
      <c r="Y1122" s="19" t="s">
        <v>138</v>
      </c>
      <c r="Z1122" s="44" t="s">
        <v>1573</v>
      </c>
      <c r="AA1122" s="44" t="s">
        <v>1708</v>
      </c>
      <c r="AC1122" s="19" t="s">
        <v>1709</v>
      </c>
    </row>
    <row r="1123" spans="1:29" hidden="1" x14ac:dyDescent="0.25">
      <c r="A1123" s="26">
        <v>121</v>
      </c>
      <c r="B1123" s="19" t="s">
        <v>1711</v>
      </c>
      <c r="C1123" s="44" t="s">
        <v>273</v>
      </c>
      <c r="D1123" s="19" t="s">
        <v>812</v>
      </c>
      <c r="E1123" s="19">
        <v>12</v>
      </c>
      <c r="F1123" s="19">
        <v>490</v>
      </c>
      <c r="G1123" s="19">
        <v>6464</v>
      </c>
      <c r="H1123" s="19">
        <v>1</v>
      </c>
      <c r="I1123" s="80">
        <v>298.16000000000003</v>
      </c>
      <c r="J1123" s="80">
        <v>298.16000000000003</v>
      </c>
      <c r="K1123" s="19" t="s">
        <v>1706</v>
      </c>
      <c r="L1123" s="19" t="s">
        <v>1707</v>
      </c>
      <c r="Q1123" s="20">
        <v>22</v>
      </c>
      <c r="R1123" s="65" t="s">
        <v>1572</v>
      </c>
      <c r="T1123" s="19" t="s">
        <v>307</v>
      </c>
      <c r="V1123" s="19" t="s">
        <v>178</v>
      </c>
      <c r="Y1123" s="19" t="s">
        <v>138</v>
      </c>
      <c r="Z1123" s="44" t="s">
        <v>1573</v>
      </c>
      <c r="AA1123" s="44" t="s">
        <v>1708</v>
      </c>
      <c r="AC1123" s="19" t="s">
        <v>1709</v>
      </c>
    </row>
    <row r="1124" spans="1:29" hidden="1" x14ac:dyDescent="0.25">
      <c r="A1124" s="26">
        <v>122</v>
      </c>
      <c r="B1124" s="19" t="s">
        <v>1712</v>
      </c>
      <c r="C1124" s="44" t="s">
        <v>273</v>
      </c>
      <c r="D1124" s="19" t="s">
        <v>1608</v>
      </c>
      <c r="E1124" s="19">
        <v>12</v>
      </c>
      <c r="F1124" s="19">
        <v>116</v>
      </c>
      <c r="G1124" s="19">
        <v>144</v>
      </c>
      <c r="H1124" s="19">
        <v>8</v>
      </c>
      <c r="I1124" s="80">
        <v>1.32</v>
      </c>
      <c r="J1124" s="80">
        <v>10.59</v>
      </c>
      <c r="K1124" s="19" t="s">
        <v>1706</v>
      </c>
      <c r="L1124" s="19" t="s">
        <v>1707</v>
      </c>
      <c r="Q1124" s="20">
        <v>22</v>
      </c>
      <c r="R1124" s="65" t="s">
        <v>1572</v>
      </c>
      <c r="T1124" s="19" t="s">
        <v>307</v>
      </c>
      <c r="V1124" s="19" t="s">
        <v>178</v>
      </c>
      <c r="W1124" s="19" t="s">
        <v>138</v>
      </c>
      <c r="Z1124" s="44" t="s">
        <v>1573</v>
      </c>
      <c r="AA1124" s="44" t="s">
        <v>1708</v>
      </c>
      <c r="AC1124" s="19" t="s">
        <v>1709</v>
      </c>
    </row>
    <row r="1125" spans="1:29" hidden="1" x14ac:dyDescent="0.25">
      <c r="A1125" s="26">
        <v>123</v>
      </c>
      <c r="B1125" s="19" t="s">
        <v>1713</v>
      </c>
      <c r="C1125" s="44" t="s">
        <v>273</v>
      </c>
      <c r="D1125" s="19" t="s">
        <v>812</v>
      </c>
      <c r="E1125" s="19">
        <v>12</v>
      </c>
      <c r="F1125" s="19">
        <v>490</v>
      </c>
      <c r="G1125" s="19">
        <v>6464</v>
      </c>
      <c r="H1125" s="19">
        <v>1</v>
      </c>
      <c r="I1125" s="80">
        <v>298.16000000000003</v>
      </c>
      <c r="J1125" s="80">
        <v>298.16000000000003</v>
      </c>
      <c r="K1125" s="19" t="s">
        <v>1706</v>
      </c>
      <c r="L1125" s="19" t="s">
        <v>1707</v>
      </c>
      <c r="Q1125" s="20">
        <v>22</v>
      </c>
      <c r="R1125" s="65" t="s">
        <v>1572</v>
      </c>
      <c r="T1125" s="19" t="s">
        <v>307</v>
      </c>
      <c r="V1125" s="19" t="s">
        <v>178</v>
      </c>
      <c r="Y1125" s="19" t="s">
        <v>138</v>
      </c>
      <c r="Z1125" s="44" t="s">
        <v>1573</v>
      </c>
      <c r="AA1125" s="44" t="s">
        <v>1708</v>
      </c>
      <c r="AC1125" s="19" t="s">
        <v>1709</v>
      </c>
    </row>
    <row r="1126" spans="1:29" hidden="1" x14ac:dyDescent="0.25">
      <c r="A1126" s="26">
        <v>124</v>
      </c>
      <c r="B1126" s="19" t="s">
        <v>1696</v>
      </c>
      <c r="C1126" s="44" t="s">
        <v>273</v>
      </c>
      <c r="D1126" s="19" t="s">
        <v>803</v>
      </c>
      <c r="E1126" s="19">
        <v>12</v>
      </c>
      <c r="F1126" s="19">
        <v>135</v>
      </c>
      <c r="G1126" s="19">
        <v>488</v>
      </c>
      <c r="H1126" s="19">
        <v>13</v>
      </c>
      <c r="I1126" s="80">
        <v>6.19</v>
      </c>
      <c r="J1126" s="80">
        <v>80.47</v>
      </c>
      <c r="K1126" s="19" t="s">
        <v>1706</v>
      </c>
      <c r="L1126" s="19" t="s">
        <v>1707</v>
      </c>
      <c r="Q1126" s="20">
        <v>22</v>
      </c>
      <c r="R1126" s="65" t="s">
        <v>1572</v>
      </c>
      <c r="T1126" s="19" t="s">
        <v>307</v>
      </c>
      <c r="V1126" s="19" t="s">
        <v>178</v>
      </c>
      <c r="W1126" s="19" t="s">
        <v>138</v>
      </c>
      <c r="Z1126" s="44" t="s">
        <v>1573</v>
      </c>
      <c r="AA1126" s="44" t="s">
        <v>1708</v>
      </c>
      <c r="AC1126" s="19" t="s">
        <v>1709</v>
      </c>
    </row>
    <row r="1127" spans="1:29" hidden="1" x14ac:dyDescent="0.25">
      <c r="A1127" s="26">
        <v>125</v>
      </c>
      <c r="B1127" s="19" t="s">
        <v>1714</v>
      </c>
      <c r="C1127" s="44" t="s">
        <v>273</v>
      </c>
      <c r="D1127" s="19" t="s">
        <v>803</v>
      </c>
      <c r="E1127" s="19">
        <v>12</v>
      </c>
      <c r="F1127" s="19">
        <v>135</v>
      </c>
      <c r="G1127" s="19">
        <v>488</v>
      </c>
      <c r="H1127" s="19">
        <v>4</v>
      </c>
      <c r="I1127" s="80">
        <v>6.19</v>
      </c>
      <c r="J1127" s="80">
        <v>24.76</v>
      </c>
      <c r="K1127" s="19" t="s">
        <v>1706</v>
      </c>
      <c r="L1127" s="19" t="s">
        <v>1707</v>
      </c>
      <c r="Q1127" s="20">
        <v>22</v>
      </c>
      <c r="R1127" s="65" t="s">
        <v>1572</v>
      </c>
      <c r="T1127" s="19" t="s">
        <v>307</v>
      </c>
      <c r="V1127" s="19" t="s">
        <v>178</v>
      </c>
      <c r="W1127" s="19" t="s">
        <v>138</v>
      </c>
      <c r="Z1127" s="44" t="s">
        <v>1573</v>
      </c>
      <c r="AA1127" s="44" t="s">
        <v>1708</v>
      </c>
      <c r="AC1127" s="19" t="s">
        <v>1709</v>
      </c>
    </row>
    <row r="1128" spans="1:29" hidden="1" x14ac:dyDescent="0.25">
      <c r="A1128" s="26">
        <v>126</v>
      </c>
      <c r="B1128" s="19" t="s">
        <v>1715</v>
      </c>
      <c r="C1128" s="44" t="s">
        <v>273</v>
      </c>
      <c r="D1128" s="19" t="s">
        <v>803</v>
      </c>
      <c r="E1128" s="19">
        <v>12</v>
      </c>
      <c r="F1128" s="19">
        <v>135</v>
      </c>
      <c r="G1128" s="19">
        <v>488</v>
      </c>
      <c r="H1128" s="19">
        <v>4</v>
      </c>
      <c r="I1128" s="80">
        <v>6.19</v>
      </c>
      <c r="J1128" s="80">
        <v>24.76</v>
      </c>
      <c r="K1128" s="19" t="s">
        <v>1706</v>
      </c>
      <c r="L1128" s="19" t="s">
        <v>1707</v>
      </c>
      <c r="Q1128" s="20">
        <v>22</v>
      </c>
      <c r="R1128" s="65" t="s">
        <v>1572</v>
      </c>
      <c r="T1128" s="19" t="s">
        <v>307</v>
      </c>
      <c r="V1128" s="19" t="s">
        <v>178</v>
      </c>
      <c r="W1128" s="19" t="s">
        <v>138</v>
      </c>
      <c r="Z1128" s="44" t="s">
        <v>1573</v>
      </c>
      <c r="AA1128" s="44" t="s">
        <v>1708</v>
      </c>
      <c r="AC1128" s="19" t="s">
        <v>1709</v>
      </c>
    </row>
    <row r="1129" spans="1:29" hidden="1" x14ac:dyDescent="0.25">
      <c r="A1129" s="26">
        <v>127</v>
      </c>
      <c r="B1129" s="19" t="s">
        <v>1716</v>
      </c>
      <c r="C1129" s="44" t="s">
        <v>273</v>
      </c>
      <c r="D1129" s="19" t="s">
        <v>803</v>
      </c>
      <c r="E1129" s="19">
        <v>12</v>
      </c>
      <c r="F1129" s="19">
        <v>135</v>
      </c>
      <c r="G1129" s="19">
        <v>488</v>
      </c>
      <c r="H1129" s="19">
        <v>4</v>
      </c>
      <c r="I1129" s="80">
        <v>6.19</v>
      </c>
      <c r="J1129" s="80">
        <v>24.76</v>
      </c>
      <c r="K1129" s="19" t="s">
        <v>1706</v>
      </c>
      <c r="L1129" s="19" t="s">
        <v>1707</v>
      </c>
      <c r="Q1129" s="20">
        <v>22</v>
      </c>
      <c r="R1129" s="65" t="s">
        <v>1572</v>
      </c>
      <c r="T1129" s="19" t="s">
        <v>307</v>
      </c>
      <c r="V1129" s="19" t="s">
        <v>178</v>
      </c>
      <c r="W1129" s="19" t="s">
        <v>138</v>
      </c>
      <c r="Z1129" s="44" t="s">
        <v>1573</v>
      </c>
      <c r="AA1129" s="44" t="s">
        <v>1708</v>
      </c>
      <c r="AC1129" s="19" t="s">
        <v>1709</v>
      </c>
    </row>
    <row r="1130" spans="1:29" hidden="1" x14ac:dyDescent="0.25">
      <c r="A1130" s="26">
        <v>128</v>
      </c>
      <c r="B1130" s="19" t="s">
        <v>1717</v>
      </c>
      <c r="C1130" s="44" t="s">
        <v>273</v>
      </c>
      <c r="D1130" s="19" t="s">
        <v>1608</v>
      </c>
      <c r="E1130" s="19">
        <v>12</v>
      </c>
      <c r="F1130" s="19">
        <v>116</v>
      </c>
      <c r="G1130" s="19">
        <v>144</v>
      </c>
      <c r="H1130" s="19">
        <v>4</v>
      </c>
      <c r="I1130" s="80">
        <v>1.32</v>
      </c>
      <c r="J1130" s="80">
        <v>5.3</v>
      </c>
      <c r="K1130" s="19" t="s">
        <v>1706</v>
      </c>
      <c r="L1130" s="19" t="s">
        <v>1707</v>
      </c>
      <c r="Q1130" s="20">
        <v>22</v>
      </c>
      <c r="R1130" s="65" t="s">
        <v>1572</v>
      </c>
      <c r="T1130" s="19" t="s">
        <v>307</v>
      </c>
      <c r="V1130" s="19" t="s">
        <v>178</v>
      </c>
      <c r="W1130" s="19" t="s">
        <v>138</v>
      </c>
      <c r="Z1130" s="44" t="s">
        <v>1573</v>
      </c>
      <c r="AA1130" s="44" t="s">
        <v>1708</v>
      </c>
      <c r="AC1130" s="19" t="s">
        <v>1709</v>
      </c>
    </row>
    <row r="1131" spans="1:29" hidden="1" x14ac:dyDescent="0.25">
      <c r="A1131" s="26">
        <v>129</v>
      </c>
      <c r="B1131" s="19" t="s">
        <v>1718</v>
      </c>
      <c r="C1131" s="44" t="s">
        <v>273</v>
      </c>
      <c r="D1131" s="19" t="s">
        <v>803</v>
      </c>
      <c r="E1131" s="19">
        <v>12</v>
      </c>
      <c r="F1131" s="19">
        <v>135</v>
      </c>
      <c r="G1131" s="19">
        <v>488</v>
      </c>
      <c r="H1131" s="19">
        <v>4</v>
      </c>
      <c r="I1131" s="80">
        <v>6.19</v>
      </c>
      <c r="J1131" s="80">
        <v>24.76</v>
      </c>
      <c r="K1131" s="19" t="s">
        <v>1706</v>
      </c>
      <c r="L1131" s="19" t="s">
        <v>1707</v>
      </c>
      <c r="Q1131" s="20">
        <v>22</v>
      </c>
      <c r="R1131" s="65" t="s">
        <v>1572</v>
      </c>
      <c r="T1131" s="19" t="s">
        <v>307</v>
      </c>
      <c r="V1131" s="19" t="s">
        <v>178</v>
      </c>
      <c r="W1131" s="19" t="s">
        <v>138</v>
      </c>
      <c r="Z1131" s="44" t="s">
        <v>1573</v>
      </c>
      <c r="AA1131" s="44" t="s">
        <v>1708</v>
      </c>
      <c r="AC1131" s="19" t="s">
        <v>1709</v>
      </c>
    </row>
    <row r="1132" spans="1:29" hidden="1" x14ac:dyDescent="0.25">
      <c r="A1132" s="26">
        <v>130</v>
      </c>
      <c r="B1132" s="19" t="s">
        <v>1719</v>
      </c>
      <c r="C1132" s="44" t="s">
        <v>273</v>
      </c>
      <c r="D1132" s="19" t="s">
        <v>803</v>
      </c>
      <c r="E1132" s="19">
        <v>12</v>
      </c>
      <c r="F1132" s="19">
        <v>135</v>
      </c>
      <c r="G1132" s="19">
        <v>488</v>
      </c>
      <c r="H1132" s="19">
        <v>4</v>
      </c>
      <c r="I1132" s="80">
        <v>6.19</v>
      </c>
      <c r="J1132" s="80">
        <v>24.76</v>
      </c>
      <c r="K1132" s="19" t="s">
        <v>1706</v>
      </c>
      <c r="L1132" s="19" t="s">
        <v>1707</v>
      </c>
      <c r="Q1132" s="20">
        <v>22</v>
      </c>
      <c r="R1132" s="65" t="s">
        <v>1572</v>
      </c>
      <c r="T1132" s="19" t="s">
        <v>307</v>
      </c>
      <c r="V1132" s="19" t="s">
        <v>178</v>
      </c>
      <c r="W1132" s="19" t="s">
        <v>138</v>
      </c>
      <c r="Z1132" s="44" t="s">
        <v>1573</v>
      </c>
      <c r="AA1132" s="44" t="s">
        <v>1708</v>
      </c>
      <c r="AC1132" s="19" t="s">
        <v>1709</v>
      </c>
    </row>
    <row r="1133" spans="1:29" hidden="1" x14ac:dyDescent="0.25">
      <c r="A1133" s="26">
        <v>131</v>
      </c>
      <c r="B1133" s="19" t="s">
        <v>1720</v>
      </c>
      <c r="C1133" s="44" t="s">
        <v>273</v>
      </c>
      <c r="D1133" s="19" t="s">
        <v>803</v>
      </c>
      <c r="E1133" s="19">
        <v>12</v>
      </c>
      <c r="F1133" s="19">
        <v>135</v>
      </c>
      <c r="G1133" s="19">
        <v>488</v>
      </c>
      <c r="H1133" s="19">
        <v>4</v>
      </c>
      <c r="I1133" s="80">
        <v>6.19</v>
      </c>
      <c r="J1133" s="80">
        <v>24.76</v>
      </c>
      <c r="K1133" s="19" t="s">
        <v>1706</v>
      </c>
      <c r="L1133" s="19" t="s">
        <v>1707</v>
      </c>
      <c r="Q1133" s="20">
        <v>22</v>
      </c>
      <c r="R1133" s="65" t="s">
        <v>1572</v>
      </c>
      <c r="T1133" s="19" t="s">
        <v>307</v>
      </c>
      <c r="V1133" s="19" t="s">
        <v>178</v>
      </c>
      <c r="W1133" s="19" t="s">
        <v>138</v>
      </c>
      <c r="Z1133" s="44" t="s">
        <v>1573</v>
      </c>
      <c r="AA1133" s="44" t="s">
        <v>1708</v>
      </c>
      <c r="AC1133" s="19" t="s">
        <v>1709</v>
      </c>
    </row>
    <row r="1134" spans="1:29" hidden="1" x14ac:dyDescent="0.25">
      <c r="A1134" s="26">
        <v>132</v>
      </c>
      <c r="B1134" s="19" t="s">
        <v>1721</v>
      </c>
      <c r="C1134" s="44" t="s">
        <v>273</v>
      </c>
      <c r="D1134" s="19" t="s">
        <v>803</v>
      </c>
      <c r="E1134" s="19">
        <v>12</v>
      </c>
      <c r="F1134" s="19">
        <v>135</v>
      </c>
      <c r="G1134" s="19">
        <v>488</v>
      </c>
      <c r="H1134" s="19">
        <v>2</v>
      </c>
      <c r="I1134" s="80">
        <v>6.19</v>
      </c>
      <c r="J1134" s="80">
        <v>12.38</v>
      </c>
      <c r="K1134" s="19" t="s">
        <v>1706</v>
      </c>
      <c r="L1134" s="19" t="s">
        <v>1707</v>
      </c>
      <c r="Q1134" s="20">
        <v>22</v>
      </c>
      <c r="R1134" s="65" t="s">
        <v>1572</v>
      </c>
      <c r="T1134" s="19" t="s">
        <v>307</v>
      </c>
      <c r="V1134" s="19" t="s">
        <v>178</v>
      </c>
      <c r="W1134" s="19" t="s">
        <v>138</v>
      </c>
      <c r="Z1134" s="44" t="s">
        <v>1573</v>
      </c>
      <c r="AA1134" s="44" t="s">
        <v>1708</v>
      </c>
      <c r="AC1134" s="19" t="s">
        <v>1709</v>
      </c>
    </row>
    <row r="1135" spans="1:29" hidden="1" x14ac:dyDescent="0.25">
      <c r="A1135" s="26">
        <v>133</v>
      </c>
      <c r="B1135" s="19" t="s">
        <v>1712</v>
      </c>
      <c r="C1135" s="44" t="s">
        <v>273</v>
      </c>
      <c r="D1135" s="19" t="s">
        <v>1608</v>
      </c>
      <c r="E1135" s="19">
        <v>12</v>
      </c>
      <c r="F1135" s="19">
        <v>116</v>
      </c>
      <c r="G1135" s="19">
        <v>144</v>
      </c>
      <c r="H1135" s="19">
        <v>8</v>
      </c>
      <c r="I1135" s="80">
        <v>1.32</v>
      </c>
      <c r="J1135" s="80">
        <v>10.59</v>
      </c>
      <c r="K1135" s="19" t="s">
        <v>1722</v>
      </c>
      <c r="L1135" s="19" t="s">
        <v>1723</v>
      </c>
      <c r="Q1135" s="20">
        <v>22</v>
      </c>
      <c r="R1135" s="65" t="s">
        <v>1572</v>
      </c>
      <c r="T1135" s="19" t="s">
        <v>307</v>
      </c>
      <c r="V1135" s="19" t="s">
        <v>178</v>
      </c>
      <c r="W1135" s="19" t="s">
        <v>138</v>
      </c>
      <c r="Z1135" s="44" t="s">
        <v>1573</v>
      </c>
      <c r="AA1135" s="44" t="s">
        <v>1724</v>
      </c>
      <c r="AC1135" s="19" t="s">
        <v>1725</v>
      </c>
    </row>
    <row r="1136" spans="1:29" hidden="1" x14ac:dyDescent="0.25">
      <c r="A1136" s="26">
        <v>134</v>
      </c>
      <c r="B1136" s="19" t="s">
        <v>1721</v>
      </c>
      <c r="C1136" s="44" t="s">
        <v>273</v>
      </c>
      <c r="D1136" s="19" t="s">
        <v>803</v>
      </c>
      <c r="E1136" s="19">
        <v>12</v>
      </c>
      <c r="F1136" s="19">
        <v>135</v>
      </c>
      <c r="G1136" s="19">
        <v>488</v>
      </c>
      <c r="H1136" s="19">
        <v>2</v>
      </c>
      <c r="I1136" s="80">
        <v>6.19</v>
      </c>
      <c r="J1136" s="80">
        <v>12.38</v>
      </c>
      <c r="K1136" s="19" t="s">
        <v>1722</v>
      </c>
      <c r="L1136" s="19" t="s">
        <v>1723</v>
      </c>
      <c r="Q1136" s="20">
        <v>22</v>
      </c>
      <c r="R1136" s="65" t="s">
        <v>1572</v>
      </c>
      <c r="T1136" s="19" t="s">
        <v>307</v>
      </c>
      <c r="V1136" s="19" t="s">
        <v>178</v>
      </c>
      <c r="W1136" s="19" t="s">
        <v>138</v>
      </c>
      <c r="Z1136" s="44" t="s">
        <v>1573</v>
      </c>
      <c r="AA1136" s="44" t="s">
        <v>1724</v>
      </c>
      <c r="AC1136" s="19" t="s">
        <v>1725</v>
      </c>
    </row>
    <row r="1137" spans="1:29" hidden="1" x14ac:dyDescent="0.25">
      <c r="A1137" s="26">
        <v>135</v>
      </c>
      <c r="B1137" s="19" t="s">
        <v>1726</v>
      </c>
      <c r="C1137" s="44" t="s">
        <v>273</v>
      </c>
      <c r="D1137" s="19" t="s">
        <v>803</v>
      </c>
      <c r="E1137" s="19">
        <v>12</v>
      </c>
      <c r="F1137" s="19">
        <v>135</v>
      </c>
      <c r="G1137" s="19">
        <v>488</v>
      </c>
      <c r="H1137" s="19">
        <v>12</v>
      </c>
      <c r="I1137" s="80">
        <v>6.19</v>
      </c>
      <c r="J1137" s="80">
        <v>74.28</v>
      </c>
      <c r="K1137" s="19" t="s">
        <v>1722</v>
      </c>
      <c r="L1137" s="19" t="s">
        <v>1723</v>
      </c>
      <c r="Q1137" s="20">
        <v>22</v>
      </c>
      <c r="R1137" s="65" t="s">
        <v>1572</v>
      </c>
      <c r="T1137" s="19" t="s">
        <v>307</v>
      </c>
      <c r="V1137" s="19" t="s">
        <v>178</v>
      </c>
      <c r="W1137" s="19" t="s">
        <v>138</v>
      </c>
      <c r="Z1137" s="44" t="s">
        <v>1573</v>
      </c>
      <c r="AA1137" s="44" t="s">
        <v>1724</v>
      </c>
      <c r="AC1137" s="19" t="s">
        <v>1725</v>
      </c>
    </row>
    <row r="1138" spans="1:29" hidden="1" x14ac:dyDescent="0.25">
      <c r="A1138" s="26">
        <v>136</v>
      </c>
      <c r="B1138" s="19" t="s">
        <v>1727</v>
      </c>
      <c r="C1138" s="44" t="s">
        <v>273</v>
      </c>
      <c r="D1138" s="19" t="s">
        <v>803</v>
      </c>
      <c r="E1138" s="19">
        <v>12</v>
      </c>
      <c r="F1138" s="19">
        <v>135</v>
      </c>
      <c r="G1138" s="19">
        <v>488</v>
      </c>
      <c r="H1138" s="19">
        <v>12</v>
      </c>
      <c r="I1138" s="80">
        <v>6.19</v>
      </c>
      <c r="J1138" s="80">
        <v>74.28</v>
      </c>
      <c r="K1138" s="19" t="s">
        <v>1722</v>
      </c>
      <c r="L1138" s="19" t="s">
        <v>1723</v>
      </c>
      <c r="Q1138" s="20">
        <v>22</v>
      </c>
      <c r="R1138" s="65" t="s">
        <v>1572</v>
      </c>
      <c r="T1138" s="19" t="s">
        <v>307</v>
      </c>
      <c r="V1138" s="19" t="s">
        <v>178</v>
      </c>
      <c r="W1138" s="19" t="s">
        <v>138</v>
      </c>
      <c r="Z1138" s="44" t="s">
        <v>1573</v>
      </c>
      <c r="AA1138" s="44" t="s">
        <v>1724</v>
      </c>
      <c r="AC1138" s="19" t="s">
        <v>1725</v>
      </c>
    </row>
    <row r="1139" spans="1:29" hidden="1" x14ac:dyDescent="0.25">
      <c r="A1139" s="26">
        <v>137</v>
      </c>
      <c r="B1139" s="19" t="s">
        <v>1728</v>
      </c>
      <c r="C1139" s="44" t="s">
        <v>273</v>
      </c>
      <c r="D1139" s="19" t="s">
        <v>803</v>
      </c>
      <c r="E1139" s="19">
        <v>12</v>
      </c>
      <c r="F1139" s="19">
        <v>135</v>
      </c>
      <c r="G1139" s="19">
        <v>488</v>
      </c>
      <c r="H1139" s="19">
        <v>12</v>
      </c>
      <c r="I1139" s="80">
        <v>6.19</v>
      </c>
      <c r="J1139" s="80">
        <v>74.28</v>
      </c>
      <c r="K1139" s="19" t="s">
        <v>1722</v>
      </c>
      <c r="L1139" s="19" t="s">
        <v>1723</v>
      </c>
      <c r="Q1139" s="20">
        <v>22</v>
      </c>
      <c r="R1139" s="65" t="s">
        <v>1572</v>
      </c>
      <c r="T1139" s="19" t="s">
        <v>307</v>
      </c>
      <c r="V1139" s="19" t="s">
        <v>178</v>
      </c>
      <c r="W1139" s="19" t="s">
        <v>138</v>
      </c>
      <c r="Z1139" s="44" t="s">
        <v>1573</v>
      </c>
      <c r="AA1139" s="44" t="s">
        <v>1724</v>
      </c>
      <c r="AC1139" s="19" t="s">
        <v>1725</v>
      </c>
    </row>
    <row r="1140" spans="1:29" hidden="1" x14ac:dyDescent="0.25">
      <c r="A1140" s="26">
        <v>138</v>
      </c>
      <c r="B1140" s="19" t="s">
        <v>1729</v>
      </c>
      <c r="C1140" s="44" t="s">
        <v>273</v>
      </c>
      <c r="D1140" s="19" t="s">
        <v>803</v>
      </c>
      <c r="E1140" s="19">
        <v>12</v>
      </c>
      <c r="F1140" s="19">
        <v>135</v>
      </c>
      <c r="G1140" s="19">
        <v>488</v>
      </c>
      <c r="H1140" s="19">
        <v>7</v>
      </c>
      <c r="I1140" s="80">
        <v>6.19</v>
      </c>
      <c r="J1140" s="80">
        <v>43.33</v>
      </c>
      <c r="K1140" s="19" t="s">
        <v>1722</v>
      </c>
      <c r="L1140" s="19" t="s">
        <v>1723</v>
      </c>
      <c r="Q1140" s="20">
        <v>22</v>
      </c>
      <c r="R1140" s="65" t="s">
        <v>1572</v>
      </c>
      <c r="T1140" s="19" t="s">
        <v>307</v>
      </c>
      <c r="V1140" s="19" t="s">
        <v>178</v>
      </c>
      <c r="W1140" s="19" t="s">
        <v>138</v>
      </c>
      <c r="Z1140" s="44" t="s">
        <v>1573</v>
      </c>
      <c r="AA1140" s="44" t="s">
        <v>1724</v>
      </c>
      <c r="AC1140" s="19" t="s">
        <v>1725</v>
      </c>
    </row>
    <row r="1141" spans="1:29" hidden="1" x14ac:dyDescent="0.25">
      <c r="A1141" s="26">
        <v>139</v>
      </c>
      <c r="B1141" s="19" t="s">
        <v>1730</v>
      </c>
      <c r="C1141" s="44" t="s">
        <v>273</v>
      </c>
      <c r="D1141" s="19" t="s">
        <v>812</v>
      </c>
      <c r="E1141" s="19">
        <v>12</v>
      </c>
      <c r="F1141" s="19">
        <v>490</v>
      </c>
      <c r="G1141" s="19">
        <v>6464</v>
      </c>
      <c r="H1141" s="19">
        <v>1</v>
      </c>
      <c r="I1141" s="80">
        <v>298.16000000000003</v>
      </c>
      <c r="J1141" s="80">
        <v>298.16000000000003</v>
      </c>
      <c r="K1141" s="19" t="s">
        <v>1722</v>
      </c>
      <c r="L1141" s="19" t="s">
        <v>1723</v>
      </c>
      <c r="Q1141" s="20">
        <v>22</v>
      </c>
      <c r="R1141" s="65" t="s">
        <v>1572</v>
      </c>
      <c r="T1141" s="19" t="s">
        <v>307</v>
      </c>
      <c r="V1141" s="19" t="s">
        <v>178</v>
      </c>
      <c r="Y1141" s="19" t="s">
        <v>138</v>
      </c>
      <c r="Z1141" s="44" t="s">
        <v>1573</v>
      </c>
      <c r="AA1141" s="44" t="s">
        <v>1724</v>
      </c>
      <c r="AC1141" s="19" t="s">
        <v>1725</v>
      </c>
    </row>
    <row r="1142" spans="1:29" hidden="1" x14ac:dyDescent="0.25">
      <c r="A1142" s="26">
        <v>140</v>
      </c>
      <c r="B1142" s="19" t="s">
        <v>1731</v>
      </c>
      <c r="C1142" s="44" t="s">
        <v>273</v>
      </c>
      <c r="D1142" s="19" t="s">
        <v>812</v>
      </c>
      <c r="E1142" s="19">
        <v>12</v>
      </c>
      <c r="F1142" s="19">
        <v>490</v>
      </c>
      <c r="G1142" s="19">
        <v>6464</v>
      </c>
      <c r="H1142" s="19">
        <v>1</v>
      </c>
      <c r="I1142" s="80">
        <v>298.16000000000003</v>
      </c>
      <c r="J1142" s="80">
        <v>298.16000000000003</v>
      </c>
      <c r="K1142" s="19" t="s">
        <v>1722</v>
      </c>
      <c r="L1142" s="19" t="s">
        <v>1723</v>
      </c>
      <c r="Q1142" s="20">
        <v>22</v>
      </c>
      <c r="R1142" s="65" t="s">
        <v>1572</v>
      </c>
      <c r="T1142" s="19" t="s">
        <v>307</v>
      </c>
      <c r="V1142" s="19" t="s">
        <v>178</v>
      </c>
      <c r="Y1142" s="19" t="s">
        <v>138</v>
      </c>
      <c r="Z1142" s="44" t="s">
        <v>1573</v>
      </c>
      <c r="AA1142" s="44" t="s">
        <v>1724</v>
      </c>
      <c r="AC1142" s="19" t="s">
        <v>1725</v>
      </c>
    </row>
    <row r="1143" spans="1:29" hidden="1" x14ac:dyDescent="0.25">
      <c r="A1143" s="26">
        <v>141</v>
      </c>
      <c r="B1143" s="19" t="s">
        <v>1732</v>
      </c>
      <c r="C1143" s="44" t="s">
        <v>273</v>
      </c>
      <c r="D1143" s="19" t="s">
        <v>812</v>
      </c>
      <c r="E1143" s="19">
        <v>12</v>
      </c>
      <c r="F1143" s="19">
        <v>490</v>
      </c>
      <c r="G1143" s="19">
        <v>6464</v>
      </c>
      <c r="H1143" s="19">
        <v>1</v>
      </c>
      <c r="I1143" s="80">
        <v>298.16000000000003</v>
      </c>
      <c r="J1143" s="80">
        <v>298.16000000000003</v>
      </c>
      <c r="K1143" s="19" t="s">
        <v>1722</v>
      </c>
      <c r="L1143" s="19" t="s">
        <v>1723</v>
      </c>
      <c r="Q1143" s="20">
        <v>22</v>
      </c>
      <c r="R1143" s="65" t="s">
        <v>1572</v>
      </c>
      <c r="T1143" s="19" t="s">
        <v>307</v>
      </c>
      <c r="V1143" s="19" t="s">
        <v>178</v>
      </c>
      <c r="Y1143" s="19" t="s">
        <v>138</v>
      </c>
      <c r="Z1143" s="44" t="s">
        <v>1573</v>
      </c>
      <c r="AA1143" s="44" t="s">
        <v>1724</v>
      </c>
      <c r="AC1143" s="19" t="s">
        <v>1725</v>
      </c>
    </row>
    <row r="1144" spans="1:29" hidden="1" x14ac:dyDescent="0.25">
      <c r="A1144" s="26">
        <v>142</v>
      </c>
      <c r="B1144" s="19" t="s">
        <v>1712</v>
      </c>
      <c r="C1144" s="44" t="s">
        <v>273</v>
      </c>
      <c r="D1144" s="19" t="s">
        <v>1608</v>
      </c>
      <c r="E1144" s="19">
        <v>12</v>
      </c>
      <c r="F1144" s="19">
        <v>116</v>
      </c>
      <c r="G1144" s="19">
        <v>144</v>
      </c>
      <c r="H1144" s="19">
        <v>8</v>
      </c>
      <c r="I1144" s="80">
        <v>1.32</v>
      </c>
      <c r="J1144" s="80">
        <v>10.59</v>
      </c>
      <c r="K1144" s="19" t="s">
        <v>1706</v>
      </c>
      <c r="L1144" s="19" t="s">
        <v>1733</v>
      </c>
      <c r="Q1144" s="20">
        <v>22</v>
      </c>
      <c r="R1144" s="65" t="s">
        <v>1572</v>
      </c>
      <c r="T1144" s="19" t="s">
        <v>307</v>
      </c>
      <c r="V1144" s="19" t="s">
        <v>178</v>
      </c>
      <c r="W1144" s="19" t="s">
        <v>138</v>
      </c>
      <c r="Z1144" s="44" t="s">
        <v>1573</v>
      </c>
      <c r="AA1144" s="44" t="s">
        <v>1734</v>
      </c>
      <c r="AC1144" s="19" t="s">
        <v>1735</v>
      </c>
    </row>
    <row r="1145" spans="1:29" hidden="1" x14ac:dyDescent="0.25">
      <c r="A1145" s="26">
        <v>143</v>
      </c>
      <c r="B1145" s="19" t="s">
        <v>1736</v>
      </c>
      <c r="C1145" s="44" t="s">
        <v>273</v>
      </c>
      <c r="D1145" s="19" t="s">
        <v>1608</v>
      </c>
      <c r="E1145" s="19">
        <v>12</v>
      </c>
      <c r="F1145" s="19">
        <v>116</v>
      </c>
      <c r="G1145" s="19">
        <v>144</v>
      </c>
      <c r="H1145" s="19">
        <v>16</v>
      </c>
      <c r="I1145" s="80">
        <v>1.32</v>
      </c>
      <c r="J1145" s="80">
        <v>21.18</v>
      </c>
      <c r="K1145" s="19" t="s">
        <v>1706</v>
      </c>
      <c r="L1145" s="19" t="s">
        <v>1733</v>
      </c>
      <c r="Q1145" s="20">
        <v>22</v>
      </c>
      <c r="R1145" s="65" t="s">
        <v>1572</v>
      </c>
      <c r="T1145" s="19" t="s">
        <v>307</v>
      </c>
      <c r="V1145" s="19" t="s">
        <v>178</v>
      </c>
      <c r="W1145" s="19" t="s">
        <v>138</v>
      </c>
      <c r="Z1145" s="44" t="s">
        <v>1573</v>
      </c>
      <c r="AA1145" s="44" t="s">
        <v>1734</v>
      </c>
      <c r="AC1145" s="19" t="s">
        <v>1735</v>
      </c>
    </row>
    <row r="1146" spans="1:29" hidden="1" x14ac:dyDescent="0.25">
      <c r="A1146" s="26">
        <v>144</v>
      </c>
      <c r="B1146" s="19" t="s">
        <v>1737</v>
      </c>
      <c r="C1146" s="44" t="s">
        <v>273</v>
      </c>
      <c r="D1146" s="19" t="s">
        <v>812</v>
      </c>
      <c r="E1146" s="19">
        <v>12</v>
      </c>
      <c r="F1146" s="19">
        <v>490</v>
      </c>
      <c r="G1146" s="19">
        <v>6464</v>
      </c>
      <c r="H1146" s="19">
        <v>1</v>
      </c>
      <c r="I1146" s="80">
        <v>298.16000000000003</v>
      </c>
      <c r="J1146" s="80">
        <v>298.16000000000003</v>
      </c>
      <c r="K1146" s="19" t="s">
        <v>1706</v>
      </c>
      <c r="L1146" s="19" t="s">
        <v>1733</v>
      </c>
      <c r="Q1146" s="20">
        <v>22</v>
      </c>
      <c r="R1146" s="65" t="s">
        <v>1572</v>
      </c>
      <c r="T1146" s="19" t="s">
        <v>307</v>
      </c>
      <c r="V1146" s="19" t="s">
        <v>178</v>
      </c>
      <c r="Y1146" s="19" t="s">
        <v>138</v>
      </c>
      <c r="Z1146" s="44" t="s">
        <v>1573</v>
      </c>
      <c r="AA1146" s="44" t="s">
        <v>1734</v>
      </c>
      <c r="AC1146" s="19" t="s">
        <v>1735</v>
      </c>
    </row>
    <row r="1147" spans="1:29" hidden="1" x14ac:dyDescent="0.25">
      <c r="A1147" s="26">
        <v>145</v>
      </c>
      <c r="B1147" s="19" t="s">
        <v>1738</v>
      </c>
      <c r="C1147" s="44" t="s">
        <v>273</v>
      </c>
      <c r="D1147" s="19" t="s">
        <v>812</v>
      </c>
      <c r="E1147" s="19">
        <v>12</v>
      </c>
      <c r="F1147" s="19">
        <v>490</v>
      </c>
      <c r="G1147" s="19">
        <v>6464</v>
      </c>
      <c r="H1147" s="19">
        <v>1</v>
      </c>
      <c r="I1147" s="80">
        <v>298.16000000000003</v>
      </c>
      <c r="J1147" s="80">
        <v>298.16000000000003</v>
      </c>
      <c r="K1147" s="19" t="s">
        <v>1706</v>
      </c>
      <c r="L1147" s="19" t="s">
        <v>1733</v>
      </c>
      <c r="Q1147" s="20">
        <v>22</v>
      </c>
      <c r="R1147" s="65" t="s">
        <v>1572</v>
      </c>
      <c r="T1147" s="19" t="s">
        <v>307</v>
      </c>
      <c r="V1147" s="19" t="s">
        <v>178</v>
      </c>
      <c r="Y1147" s="19" t="s">
        <v>138</v>
      </c>
      <c r="Z1147" s="44" t="s">
        <v>1573</v>
      </c>
      <c r="AA1147" s="44" t="s">
        <v>1734</v>
      </c>
      <c r="AC1147" s="19" t="s">
        <v>1735</v>
      </c>
    </row>
    <row r="1148" spans="1:29" hidden="1" x14ac:dyDescent="0.25">
      <c r="A1148" s="26">
        <v>146</v>
      </c>
      <c r="B1148" s="19" t="s">
        <v>1729</v>
      </c>
      <c r="C1148" s="44" t="s">
        <v>273</v>
      </c>
      <c r="D1148" s="19" t="s">
        <v>803</v>
      </c>
      <c r="E1148" s="19">
        <v>12</v>
      </c>
      <c r="F1148" s="19">
        <v>135</v>
      </c>
      <c r="G1148" s="19">
        <v>488</v>
      </c>
      <c r="H1148" s="19">
        <v>5</v>
      </c>
      <c r="I1148" s="80">
        <v>6.19</v>
      </c>
      <c r="J1148" s="80">
        <v>30.95</v>
      </c>
      <c r="K1148" s="19" t="s">
        <v>1706</v>
      </c>
      <c r="L1148" s="19" t="s">
        <v>1733</v>
      </c>
      <c r="Q1148" s="20">
        <v>22</v>
      </c>
      <c r="R1148" s="65" t="s">
        <v>1572</v>
      </c>
      <c r="T1148" s="19" t="s">
        <v>307</v>
      </c>
      <c r="V1148" s="19" t="s">
        <v>178</v>
      </c>
      <c r="W1148" s="19" t="s">
        <v>138</v>
      </c>
      <c r="Z1148" s="44" t="s">
        <v>1573</v>
      </c>
      <c r="AA1148" s="44" t="s">
        <v>1734</v>
      </c>
      <c r="AC1148" s="19" t="s">
        <v>1735</v>
      </c>
    </row>
    <row r="1149" spans="1:29" hidden="1" x14ac:dyDescent="0.25">
      <c r="A1149" s="26">
        <v>147</v>
      </c>
      <c r="B1149" s="19" t="s">
        <v>1739</v>
      </c>
      <c r="C1149" s="44" t="s">
        <v>273</v>
      </c>
      <c r="D1149" s="19" t="s">
        <v>803</v>
      </c>
      <c r="E1149" s="19">
        <v>12</v>
      </c>
      <c r="F1149" s="19">
        <v>135</v>
      </c>
      <c r="G1149" s="19">
        <v>488</v>
      </c>
      <c r="H1149" s="19">
        <v>12</v>
      </c>
      <c r="I1149" s="80">
        <v>6.19</v>
      </c>
      <c r="J1149" s="80">
        <v>74.28</v>
      </c>
      <c r="K1149" s="19" t="s">
        <v>1706</v>
      </c>
      <c r="L1149" s="19" t="s">
        <v>1733</v>
      </c>
      <c r="Q1149" s="20">
        <v>22</v>
      </c>
      <c r="R1149" s="65" t="s">
        <v>1572</v>
      </c>
      <c r="T1149" s="19" t="s">
        <v>307</v>
      </c>
      <c r="V1149" s="19" t="s">
        <v>178</v>
      </c>
      <c r="W1149" s="19" t="s">
        <v>138</v>
      </c>
      <c r="Z1149" s="44" t="s">
        <v>1573</v>
      </c>
      <c r="AA1149" s="44" t="s">
        <v>1734</v>
      </c>
      <c r="AC1149" s="19" t="s">
        <v>1735</v>
      </c>
    </row>
    <row r="1150" spans="1:29" hidden="1" x14ac:dyDescent="0.25">
      <c r="A1150" s="26">
        <v>148</v>
      </c>
      <c r="B1150" s="19" t="s">
        <v>1740</v>
      </c>
      <c r="C1150" s="44" t="s">
        <v>273</v>
      </c>
      <c r="D1150" s="19" t="s">
        <v>803</v>
      </c>
      <c r="E1150" s="19">
        <v>12</v>
      </c>
      <c r="F1150" s="19">
        <v>135</v>
      </c>
      <c r="G1150" s="19">
        <v>488</v>
      </c>
      <c r="H1150" s="19">
        <v>12</v>
      </c>
      <c r="I1150" s="80">
        <v>6.19</v>
      </c>
      <c r="J1150" s="80">
        <v>74.28</v>
      </c>
      <c r="K1150" s="19" t="s">
        <v>1706</v>
      </c>
      <c r="L1150" s="19" t="s">
        <v>1733</v>
      </c>
      <c r="Q1150" s="20">
        <v>22</v>
      </c>
      <c r="R1150" s="65" t="s">
        <v>1572</v>
      </c>
      <c r="T1150" s="19" t="s">
        <v>307</v>
      </c>
      <c r="V1150" s="19" t="s">
        <v>178</v>
      </c>
      <c r="W1150" s="19" t="s">
        <v>138</v>
      </c>
      <c r="Z1150" s="44" t="s">
        <v>1573</v>
      </c>
      <c r="AA1150" s="44" t="s">
        <v>1734</v>
      </c>
      <c r="AC1150" s="19" t="s">
        <v>1735</v>
      </c>
    </row>
    <row r="1151" spans="1:29" hidden="1" x14ac:dyDescent="0.25">
      <c r="A1151" s="26">
        <v>149</v>
      </c>
      <c r="B1151" s="19" t="s">
        <v>1741</v>
      </c>
      <c r="C1151" s="44" t="s">
        <v>273</v>
      </c>
      <c r="D1151" s="19" t="s">
        <v>803</v>
      </c>
      <c r="E1151" s="19">
        <v>12</v>
      </c>
      <c r="F1151" s="19">
        <v>135</v>
      </c>
      <c r="G1151" s="19">
        <v>488</v>
      </c>
      <c r="H1151" s="19">
        <v>11</v>
      </c>
      <c r="I1151" s="80">
        <v>6.19</v>
      </c>
      <c r="J1151" s="80">
        <v>68.09</v>
      </c>
      <c r="K1151" s="19" t="s">
        <v>1706</v>
      </c>
      <c r="L1151" s="19" t="s">
        <v>1733</v>
      </c>
      <c r="Q1151" s="20">
        <v>22</v>
      </c>
      <c r="R1151" s="65" t="s">
        <v>1572</v>
      </c>
      <c r="T1151" s="19" t="s">
        <v>307</v>
      </c>
      <c r="V1151" s="19" t="s">
        <v>178</v>
      </c>
      <c r="W1151" s="19" t="s">
        <v>138</v>
      </c>
      <c r="Z1151" s="44" t="s">
        <v>1573</v>
      </c>
      <c r="AA1151" s="44" t="s">
        <v>1734</v>
      </c>
      <c r="AC1151" s="19" t="s">
        <v>1735</v>
      </c>
    </row>
    <row r="1152" spans="1:29" hidden="1" x14ac:dyDescent="0.25">
      <c r="A1152" s="26">
        <v>150</v>
      </c>
      <c r="B1152" s="19" t="s">
        <v>1742</v>
      </c>
      <c r="C1152" s="44" t="s">
        <v>273</v>
      </c>
      <c r="D1152" s="19" t="s">
        <v>812</v>
      </c>
      <c r="E1152" s="19">
        <v>12</v>
      </c>
      <c r="F1152" s="19">
        <v>490</v>
      </c>
      <c r="G1152" s="19">
        <v>6464</v>
      </c>
      <c r="H1152" s="19">
        <v>1</v>
      </c>
      <c r="I1152" s="80">
        <v>298.16000000000003</v>
      </c>
      <c r="J1152" s="80">
        <v>298.16000000000003</v>
      </c>
      <c r="K1152" s="19" t="s">
        <v>1706</v>
      </c>
      <c r="L1152" s="19" t="s">
        <v>1733</v>
      </c>
      <c r="Q1152" s="20">
        <v>22</v>
      </c>
      <c r="R1152" s="65" t="s">
        <v>1572</v>
      </c>
      <c r="T1152" s="19" t="s">
        <v>307</v>
      </c>
      <c r="V1152" s="19" t="s">
        <v>178</v>
      </c>
      <c r="Y1152" s="19" t="s">
        <v>138</v>
      </c>
      <c r="Z1152" s="44" t="s">
        <v>1573</v>
      </c>
      <c r="AA1152" s="44" t="s">
        <v>1734</v>
      </c>
      <c r="AC1152" s="19" t="s">
        <v>1735</v>
      </c>
    </row>
    <row r="1153" spans="1:29" hidden="1" x14ac:dyDescent="0.25">
      <c r="A1153" s="26">
        <v>151</v>
      </c>
      <c r="B1153" s="19" t="s">
        <v>1743</v>
      </c>
      <c r="C1153" s="44" t="s">
        <v>273</v>
      </c>
      <c r="D1153" s="19" t="s">
        <v>874</v>
      </c>
      <c r="E1153" s="19">
        <v>12</v>
      </c>
      <c r="F1153" s="19">
        <v>100</v>
      </c>
      <c r="G1153" s="19">
        <v>150</v>
      </c>
      <c r="H1153" s="19">
        <v>1</v>
      </c>
      <c r="I1153" s="80">
        <v>1.41</v>
      </c>
      <c r="J1153" s="80">
        <v>1.41</v>
      </c>
      <c r="K1153" s="19" t="s">
        <v>1706</v>
      </c>
      <c r="L1153" s="19" t="s">
        <v>1733</v>
      </c>
      <c r="Q1153" s="20">
        <v>22</v>
      </c>
      <c r="R1153" s="65" t="s">
        <v>1572</v>
      </c>
      <c r="T1153" s="19" t="s">
        <v>307</v>
      </c>
      <c r="V1153" s="19" t="s">
        <v>178</v>
      </c>
      <c r="W1153" s="19" t="s">
        <v>138</v>
      </c>
      <c r="Z1153" s="44" t="s">
        <v>1573</v>
      </c>
      <c r="AA1153" s="44" t="s">
        <v>1734</v>
      </c>
      <c r="AC1153" s="19" t="s">
        <v>1735</v>
      </c>
    </row>
    <row r="1154" spans="1:29" hidden="1" x14ac:dyDescent="0.25">
      <c r="A1154" s="26">
        <v>152</v>
      </c>
      <c r="B1154" s="19" t="s">
        <v>1736</v>
      </c>
      <c r="C1154" s="44" t="s">
        <v>273</v>
      </c>
      <c r="D1154" s="19" t="s">
        <v>1608</v>
      </c>
      <c r="E1154" s="19">
        <v>12</v>
      </c>
      <c r="F1154" s="19">
        <v>116</v>
      </c>
      <c r="G1154" s="19">
        <v>144</v>
      </c>
      <c r="H1154" s="19">
        <v>1</v>
      </c>
      <c r="I1154" s="80">
        <v>1.32</v>
      </c>
      <c r="J1154" s="80">
        <v>1.32</v>
      </c>
      <c r="K1154" s="19" t="s">
        <v>184</v>
      </c>
      <c r="L1154" s="19" t="s">
        <v>1744</v>
      </c>
      <c r="Q1154" s="20">
        <v>22</v>
      </c>
      <c r="R1154" s="65" t="s">
        <v>1572</v>
      </c>
      <c r="T1154" s="19" t="s">
        <v>307</v>
      </c>
      <c r="V1154" s="19" t="s">
        <v>178</v>
      </c>
      <c r="W1154" s="19" t="s">
        <v>138</v>
      </c>
      <c r="Z1154" s="44" t="s">
        <v>1573</v>
      </c>
      <c r="AA1154" s="44" t="s">
        <v>180</v>
      </c>
      <c r="AC1154" s="19" t="s">
        <v>1745</v>
      </c>
    </row>
    <row r="1155" spans="1:29" hidden="1" x14ac:dyDescent="0.25">
      <c r="A1155" s="26">
        <v>153</v>
      </c>
      <c r="B1155" s="19" t="s">
        <v>1746</v>
      </c>
      <c r="C1155" s="44" t="s">
        <v>273</v>
      </c>
      <c r="D1155" s="19" t="s">
        <v>828</v>
      </c>
      <c r="E1155" s="19">
        <v>12</v>
      </c>
      <c r="F1155" s="19">
        <v>490</v>
      </c>
      <c r="G1155" s="19">
        <v>9980</v>
      </c>
      <c r="H1155" s="19">
        <v>1</v>
      </c>
      <c r="I1155" s="80">
        <v>460.46</v>
      </c>
      <c r="J1155" s="80">
        <v>460.46</v>
      </c>
      <c r="K1155" s="19" t="s">
        <v>184</v>
      </c>
      <c r="L1155" s="19" t="s">
        <v>1744</v>
      </c>
      <c r="Q1155" s="20">
        <v>22</v>
      </c>
      <c r="R1155" s="65" t="s">
        <v>1572</v>
      </c>
      <c r="T1155" s="19" t="s">
        <v>307</v>
      </c>
      <c r="V1155" s="19" t="s">
        <v>178</v>
      </c>
      <c r="Y1155" s="19" t="s">
        <v>138</v>
      </c>
      <c r="Z1155" s="44" t="s">
        <v>1573</v>
      </c>
      <c r="AA1155" s="44" t="s">
        <v>180</v>
      </c>
      <c r="AC1155" s="19" t="s">
        <v>1745</v>
      </c>
    </row>
    <row r="1156" spans="1:29" hidden="1" x14ac:dyDescent="0.25">
      <c r="A1156" s="26">
        <v>154</v>
      </c>
      <c r="B1156" s="19" t="s">
        <v>1747</v>
      </c>
      <c r="C1156" s="44" t="s">
        <v>273</v>
      </c>
      <c r="D1156" s="19" t="s">
        <v>828</v>
      </c>
      <c r="E1156" s="19">
        <v>12</v>
      </c>
      <c r="F1156" s="19">
        <v>490</v>
      </c>
      <c r="G1156" s="19">
        <v>9980</v>
      </c>
      <c r="H1156" s="19">
        <v>1</v>
      </c>
      <c r="I1156" s="80">
        <v>460.46</v>
      </c>
      <c r="J1156" s="80">
        <v>460.46</v>
      </c>
      <c r="K1156" s="19" t="s">
        <v>184</v>
      </c>
      <c r="L1156" s="19" t="s">
        <v>1744</v>
      </c>
      <c r="Q1156" s="20">
        <v>22</v>
      </c>
      <c r="R1156" s="65" t="s">
        <v>1572</v>
      </c>
      <c r="T1156" s="19" t="s">
        <v>307</v>
      </c>
      <c r="V1156" s="19" t="s">
        <v>178</v>
      </c>
      <c r="Y1156" s="19" t="s">
        <v>138</v>
      </c>
      <c r="Z1156" s="44" t="s">
        <v>1573</v>
      </c>
      <c r="AA1156" s="44" t="s">
        <v>180</v>
      </c>
      <c r="AC1156" s="19" t="s">
        <v>1745</v>
      </c>
    </row>
    <row r="1157" spans="1:29" hidden="1" x14ac:dyDescent="0.25">
      <c r="A1157" s="26">
        <v>155</v>
      </c>
      <c r="B1157" s="19" t="s">
        <v>1741</v>
      </c>
      <c r="C1157" s="44" t="s">
        <v>273</v>
      </c>
      <c r="D1157" s="19" t="s">
        <v>803</v>
      </c>
      <c r="E1157" s="19">
        <v>12</v>
      </c>
      <c r="F1157" s="19">
        <v>135</v>
      </c>
      <c r="G1157" s="19">
        <v>488</v>
      </c>
      <c r="H1157" s="19">
        <v>1</v>
      </c>
      <c r="I1157" s="80">
        <v>6.19</v>
      </c>
      <c r="J1157" s="80">
        <v>6.19</v>
      </c>
      <c r="K1157" s="19" t="s">
        <v>184</v>
      </c>
      <c r="L1157" s="19" t="s">
        <v>1744</v>
      </c>
      <c r="Q1157" s="20">
        <v>22</v>
      </c>
      <c r="R1157" s="65" t="s">
        <v>1572</v>
      </c>
      <c r="T1157" s="19" t="s">
        <v>307</v>
      </c>
      <c r="V1157" s="19" t="s">
        <v>178</v>
      </c>
      <c r="W1157" s="19" t="s">
        <v>138</v>
      </c>
      <c r="Z1157" s="44" t="s">
        <v>1573</v>
      </c>
      <c r="AA1157" s="44" t="s">
        <v>180</v>
      </c>
      <c r="AC1157" s="19" t="s">
        <v>1745</v>
      </c>
    </row>
    <row r="1158" spans="1:29" hidden="1" x14ac:dyDescent="0.25">
      <c r="A1158" s="26">
        <v>156</v>
      </c>
      <c r="B1158" s="19" t="s">
        <v>1748</v>
      </c>
      <c r="C1158" s="44" t="s">
        <v>273</v>
      </c>
      <c r="D1158" s="19" t="s">
        <v>803</v>
      </c>
      <c r="E1158" s="19">
        <v>12</v>
      </c>
      <c r="F1158" s="19">
        <v>135</v>
      </c>
      <c r="G1158" s="19">
        <v>488</v>
      </c>
      <c r="H1158" s="19">
        <v>12</v>
      </c>
      <c r="I1158" s="80">
        <v>6.19</v>
      </c>
      <c r="J1158" s="80">
        <v>74.28</v>
      </c>
      <c r="K1158" s="19" t="s">
        <v>184</v>
      </c>
      <c r="L1158" s="19" t="s">
        <v>1744</v>
      </c>
      <c r="Q1158" s="20">
        <v>22</v>
      </c>
      <c r="R1158" s="65" t="s">
        <v>1572</v>
      </c>
      <c r="T1158" s="19" t="s">
        <v>307</v>
      </c>
      <c r="V1158" s="19" t="s">
        <v>178</v>
      </c>
      <c r="W1158" s="19" t="s">
        <v>138</v>
      </c>
      <c r="Z1158" s="44" t="s">
        <v>1573</v>
      </c>
      <c r="AA1158" s="44" t="s">
        <v>180</v>
      </c>
      <c r="AC1158" s="19" t="s">
        <v>1745</v>
      </c>
    </row>
    <row r="1159" spans="1:29" hidden="1" x14ac:dyDescent="0.25">
      <c r="A1159" s="26">
        <v>157</v>
      </c>
      <c r="B1159" s="19" t="s">
        <v>1749</v>
      </c>
      <c r="C1159" s="44" t="s">
        <v>273</v>
      </c>
      <c r="D1159" s="19" t="s">
        <v>803</v>
      </c>
      <c r="E1159" s="19">
        <v>12</v>
      </c>
      <c r="F1159" s="19">
        <v>135</v>
      </c>
      <c r="G1159" s="19">
        <v>488</v>
      </c>
      <c r="H1159" s="19">
        <v>12</v>
      </c>
      <c r="I1159" s="80">
        <v>6.19</v>
      </c>
      <c r="J1159" s="80">
        <v>74.28</v>
      </c>
      <c r="K1159" s="19" t="s">
        <v>184</v>
      </c>
      <c r="L1159" s="19" t="s">
        <v>1744</v>
      </c>
      <c r="Q1159" s="20">
        <v>22</v>
      </c>
      <c r="R1159" s="65" t="s">
        <v>1572</v>
      </c>
      <c r="T1159" s="19" t="s">
        <v>307</v>
      </c>
      <c r="V1159" s="19" t="s">
        <v>178</v>
      </c>
      <c r="W1159" s="19" t="s">
        <v>138</v>
      </c>
      <c r="Z1159" s="44" t="s">
        <v>1573</v>
      </c>
      <c r="AA1159" s="44" t="s">
        <v>180</v>
      </c>
      <c r="AC1159" s="19" t="s">
        <v>1745</v>
      </c>
    </row>
    <row r="1160" spans="1:29" hidden="1" x14ac:dyDescent="0.25">
      <c r="A1160" s="26">
        <v>158</v>
      </c>
      <c r="B1160" s="19" t="s">
        <v>1750</v>
      </c>
      <c r="C1160" s="44" t="s">
        <v>273</v>
      </c>
      <c r="D1160" s="19" t="s">
        <v>803</v>
      </c>
      <c r="E1160" s="19">
        <v>12</v>
      </c>
      <c r="F1160" s="19">
        <v>135</v>
      </c>
      <c r="G1160" s="19">
        <v>488</v>
      </c>
      <c r="H1160" s="19">
        <v>12</v>
      </c>
      <c r="I1160" s="80">
        <v>6.19</v>
      </c>
      <c r="J1160" s="80">
        <v>74.28</v>
      </c>
      <c r="K1160" s="19" t="s">
        <v>184</v>
      </c>
      <c r="L1160" s="19" t="s">
        <v>1744</v>
      </c>
      <c r="Q1160" s="20">
        <v>22</v>
      </c>
      <c r="R1160" s="65" t="s">
        <v>1572</v>
      </c>
      <c r="T1160" s="19" t="s">
        <v>307</v>
      </c>
      <c r="V1160" s="19" t="s">
        <v>178</v>
      </c>
      <c r="W1160" s="19" t="s">
        <v>138</v>
      </c>
      <c r="Z1160" s="44" t="s">
        <v>1573</v>
      </c>
      <c r="AA1160" s="44" t="s">
        <v>180</v>
      </c>
      <c r="AC1160" s="19" t="s">
        <v>1745</v>
      </c>
    </row>
    <row r="1161" spans="1:29" hidden="1" x14ac:dyDescent="0.25">
      <c r="A1161" s="26">
        <v>159</v>
      </c>
      <c r="B1161" s="19" t="s">
        <v>1751</v>
      </c>
      <c r="C1161" s="44" t="s">
        <v>273</v>
      </c>
      <c r="D1161" s="19" t="s">
        <v>803</v>
      </c>
      <c r="E1161" s="19">
        <v>12</v>
      </c>
      <c r="F1161" s="19">
        <v>135</v>
      </c>
      <c r="G1161" s="19">
        <v>488</v>
      </c>
      <c r="H1161" s="19">
        <v>17</v>
      </c>
      <c r="I1161" s="80">
        <v>6.19</v>
      </c>
      <c r="J1161" s="80">
        <v>105.23</v>
      </c>
      <c r="K1161" s="19" t="s">
        <v>184</v>
      </c>
      <c r="L1161" s="19" t="s">
        <v>1744</v>
      </c>
      <c r="Q1161" s="20">
        <v>22</v>
      </c>
      <c r="R1161" s="65" t="s">
        <v>1572</v>
      </c>
      <c r="T1161" s="19" t="s">
        <v>307</v>
      </c>
      <c r="V1161" s="19" t="s">
        <v>178</v>
      </c>
      <c r="W1161" s="19" t="s">
        <v>138</v>
      </c>
      <c r="Z1161" s="44" t="s">
        <v>1573</v>
      </c>
      <c r="AA1161" s="44" t="s">
        <v>180</v>
      </c>
      <c r="AC1161" s="19" t="s">
        <v>1745</v>
      </c>
    </row>
    <row r="1162" spans="1:29" hidden="1" x14ac:dyDescent="0.25">
      <c r="A1162" s="26">
        <v>160</v>
      </c>
      <c r="B1162" s="19" t="s">
        <v>1752</v>
      </c>
      <c r="C1162" s="44" t="s">
        <v>273</v>
      </c>
      <c r="D1162" s="19" t="s">
        <v>828</v>
      </c>
      <c r="E1162" s="19">
        <v>12</v>
      </c>
      <c r="F1162" s="19">
        <v>490</v>
      </c>
      <c r="G1162" s="19">
        <v>9980</v>
      </c>
      <c r="H1162" s="19">
        <v>1</v>
      </c>
      <c r="I1162" s="80">
        <v>460.46</v>
      </c>
      <c r="J1162" s="80">
        <v>460.46</v>
      </c>
      <c r="K1162" s="19" t="s">
        <v>184</v>
      </c>
      <c r="L1162" s="19" t="s">
        <v>1744</v>
      </c>
      <c r="Q1162" s="20">
        <v>22</v>
      </c>
      <c r="R1162" s="65" t="s">
        <v>1572</v>
      </c>
      <c r="T1162" s="19" t="s">
        <v>307</v>
      </c>
      <c r="V1162" s="19" t="s">
        <v>178</v>
      </c>
      <c r="Y1162" s="19" t="s">
        <v>138</v>
      </c>
      <c r="Z1162" s="44" t="s">
        <v>1573</v>
      </c>
      <c r="AA1162" s="44" t="s">
        <v>180</v>
      </c>
      <c r="AC1162" s="19" t="s">
        <v>1745</v>
      </c>
    </row>
    <row r="1163" spans="1:29" hidden="1" x14ac:dyDescent="0.25">
      <c r="A1163" s="26">
        <v>161</v>
      </c>
      <c r="B1163" s="19" t="s">
        <v>1753</v>
      </c>
      <c r="C1163" s="44" t="s">
        <v>273</v>
      </c>
      <c r="D1163" s="19" t="s">
        <v>803</v>
      </c>
      <c r="E1163" s="19">
        <v>12</v>
      </c>
      <c r="F1163" s="19">
        <v>135</v>
      </c>
      <c r="G1163" s="19">
        <v>488</v>
      </c>
      <c r="H1163" s="19">
        <v>6</v>
      </c>
      <c r="I1163" s="80">
        <v>6.19</v>
      </c>
      <c r="J1163" s="80">
        <v>37.14</v>
      </c>
      <c r="K1163" s="19" t="s">
        <v>184</v>
      </c>
      <c r="L1163" s="19" t="s">
        <v>1744</v>
      </c>
      <c r="Q1163" s="20">
        <v>22</v>
      </c>
      <c r="R1163" s="65" t="s">
        <v>1572</v>
      </c>
      <c r="T1163" s="19" t="s">
        <v>307</v>
      </c>
      <c r="V1163" s="19" t="s">
        <v>178</v>
      </c>
      <c r="W1163" s="19" t="s">
        <v>138</v>
      </c>
      <c r="Z1163" s="44" t="s">
        <v>1573</v>
      </c>
      <c r="AA1163" s="44" t="s">
        <v>180</v>
      </c>
      <c r="AC1163" s="19" t="s">
        <v>1745</v>
      </c>
    </row>
    <row r="1164" spans="1:29" hidden="1" x14ac:dyDescent="0.25">
      <c r="A1164" s="26">
        <v>162</v>
      </c>
      <c r="B1164" s="19" t="s">
        <v>1754</v>
      </c>
      <c r="C1164" s="44" t="s">
        <v>273</v>
      </c>
      <c r="D1164" s="19" t="s">
        <v>828</v>
      </c>
      <c r="E1164" s="19">
        <v>12</v>
      </c>
      <c r="F1164" s="19">
        <v>490</v>
      </c>
      <c r="G1164" s="19">
        <v>9980</v>
      </c>
      <c r="H1164" s="19">
        <v>1</v>
      </c>
      <c r="I1164" s="80">
        <v>460.46</v>
      </c>
      <c r="J1164" s="80">
        <v>460.46</v>
      </c>
      <c r="K1164" s="19" t="s">
        <v>184</v>
      </c>
      <c r="L1164" s="19" t="s">
        <v>1744</v>
      </c>
      <c r="Q1164" s="20">
        <v>22</v>
      </c>
      <c r="R1164" s="65" t="s">
        <v>1572</v>
      </c>
      <c r="T1164" s="19" t="s">
        <v>307</v>
      </c>
      <c r="V1164" s="19" t="s">
        <v>178</v>
      </c>
      <c r="Y1164" s="19" t="s">
        <v>138</v>
      </c>
      <c r="Z1164" s="44" t="s">
        <v>1573</v>
      </c>
      <c r="AA1164" s="44" t="s">
        <v>180</v>
      </c>
      <c r="AC1164" s="19" t="s">
        <v>1745</v>
      </c>
    </row>
    <row r="1165" spans="1:29" hidden="1" x14ac:dyDescent="0.25">
      <c r="A1165" s="26">
        <v>163</v>
      </c>
      <c r="B1165" s="19" t="s">
        <v>1755</v>
      </c>
      <c r="C1165" s="44" t="s">
        <v>273</v>
      </c>
      <c r="D1165" s="19" t="s">
        <v>874</v>
      </c>
      <c r="E1165" s="19">
        <v>12</v>
      </c>
      <c r="F1165" s="19">
        <v>100</v>
      </c>
      <c r="G1165" s="19">
        <v>150</v>
      </c>
      <c r="H1165" s="19">
        <v>1</v>
      </c>
      <c r="I1165" s="80">
        <v>1.41</v>
      </c>
      <c r="J1165" s="80">
        <v>1.41</v>
      </c>
      <c r="K1165" s="19" t="s">
        <v>184</v>
      </c>
      <c r="L1165" s="19" t="s">
        <v>1744</v>
      </c>
      <c r="Q1165" s="20">
        <v>22</v>
      </c>
      <c r="R1165" s="65" t="s">
        <v>1572</v>
      </c>
      <c r="T1165" s="19" t="s">
        <v>307</v>
      </c>
      <c r="V1165" s="19" t="s">
        <v>178</v>
      </c>
      <c r="W1165" s="19" t="s">
        <v>138</v>
      </c>
      <c r="Z1165" s="44" t="s">
        <v>1573</v>
      </c>
      <c r="AA1165" s="44" t="s">
        <v>180</v>
      </c>
      <c r="AC1165" s="19" t="s">
        <v>1745</v>
      </c>
    </row>
    <row r="1166" spans="1:29" hidden="1" x14ac:dyDescent="0.25">
      <c r="A1166" s="26">
        <v>164</v>
      </c>
      <c r="B1166" s="19" t="s">
        <v>1756</v>
      </c>
      <c r="C1166" s="44" t="s">
        <v>273</v>
      </c>
      <c r="D1166" s="19" t="s">
        <v>874</v>
      </c>
      <c r="E1166" s="19">
        <v>12</v>
      </c>
      <c r="F1166" s="19">
        <v>100</v>
      </c>
      <c r="G1166" s="19">
        <v>150</v>
      </c>
      <c r="H1166" s="19">
        <v>1</v>
      </c>
      <c r="I1166" s="80">
        <v>1.41</v>
      </c>
      <c r="J1166" s="80">
        <v>1.41</v>
      </c>
      <c r="K1166" s="19" t="s">
        <v>184</v>
      </c>
      <c r="L1166" s="19" t="s">
        <v>1744</v>
      </c>
      <c r="Q1166" s="20">
        <v>22</v>
      </c>
      <c r="R1166" s="65" t="s">
        <v>1572</v>
      </c>
      <c r="T1166" s="19" t="s">
        <v>307</v>
      </c>
      <c r="V1166" s="19" t="s">
        <v>178</v>
      </c>
      <c r="W1166" s="19" t="s">
        <v>138</v>
      </c>
      <c r="Z1166" s="44" t="s">
        <v>1573</v>
      </c>
      <c r="AA1166" s="44" t="s">
        <v>180</v>
      </c>
      <c r="AC1166" s="19" t="s">
        <v>1745</v>
      </c>
    </row>
    <row r="1167" spans="1:29" hidden="1" x14ac:dyDescent="0.25">
      <c r="A1167" s="26">
        <v>165</v>
      </c>
      <c r="B1167" s="19" t="s">
        <v>1736</v>
      </c>
      <c r="C1167" s="44" t="s">
        <v>273</v>
      </c>
      <c r="D1167" s="19" t="s">
        <v>1608</v>
      </c>
      <c r="E1167" s="19">
        <v>12</v>
      </c>
      <c r="F1167" s="19">
        <v>116</v>
      </c>
      <c r="G1167" s="19">
        <v>144</v>
      </c>
      <c r="H1167" s="19">
        <v>1</v>
      </c>
      <c r="I1167" s="80">
        <v>1.32</v>
      </c>
      <c r="J1167" s="80">
        <v>1.32</v>
      </c>
      <c r="K1167" s="19" t="s">
        <v>184</v>
      </c>
      <c r="L1167" s="19" t="s">
        <v>1757</v>
      </c>
      <c r="Q1167" s="20">
        <v>22</v>
      </c>
      <c r="R1167" s="65" t="s">
        <v>1572</v>
      </c>
      <c r="T1167" s="19" t="s">
        <v>307</v>
      </c>
      <c r="V1167" s="19" t="s">
        <v>178</v>
      </c>
      <c r="W1167" s="19" t="s">
        <v>138</v>
      </c>
      <c r="Z1167" s="44" t="s">
        <v>1573</v>
      </c>
      <c r="AA1167" s="44" t="s">
        <v>180</v>
      </c>
      <c r="AC1167" s="19" t="s">
        <v>1758</v>
      </c>
    </row>
    <row r="1168" spans="1:29" hidden="1" x14ac:dyDescent="0.25">
      <c r="A1168" s="26">
        <v>166</v>
      </c>
      <c r="B1168" s="19" t="s">
        <v>1759</v>
      </c>
      <c r="C1168" s="44" t="s">
        <v>273</v>
      </c>
      <c r="D1168" s="19" t="s">
        <v>828</v>
      </c>
      <c r="E1168" s="19">
        <v>12</v>
      </c>
      <c r="F1168" s="19">
        <v>490</v>
      </c>
      <c r="G1168" s="19">
        <v>9980</v>
      </c>
      <c r="H1168" s="19">
        <v>1</v>
      </c>
      <c r="I1168" s="80">
        <v>460.46</v>
      </c>
      <c r="J1168" s="80">
        <v>460.46</v>
      </c>
      <c r="K1168" s="19" t="s">
        <v>184</v>
      </c>
      <c r="L1168" s="19" t="s">
        <v>1757</v>
      </c>
      <c r="Q1168" s="20">
        <v>22</v>
      </c>
      <c r="R1168" s="65" t="s">
        <v>1572</v>
      </c>
      <c r="T1168" s="19" t="s">
        <v>307</v>
      </c>
      <c r="V1168" s="19" t="s">
        <v>178</v>
      </c>
      <c r="Y1168" s="19" t="s">
        <v>138</v>
      </c>
      <c r="Z1168" s="44" t="s">
        <v>1573</v>
      </c>
      <c r="AA1168" s="44" t="s">
        <v>180</v>
      </c>
      <c r="AC1168" s="19" t="s">
        <v>1758</v>
      </c>
    </row>
    <row r="1169" spans="1:29" hidden="1" x14ac:dyDescent="0.25">
      <c r="A1169" s="26">
        <v>167</v>
      </c>
      <c r="B1169" s="19" t="s">
        <v>1760</v>
      </c>
      <c r="C1169" s="44" t="s">
        <v>273</v>
      </c>
      <c r="D1169" s="19" t="s">
        <v>828</v>
      </c>
      <c r="E1169" s="19">
        <v>12</v>
      </c>
      <c r="F1169" s="19">
        <v>490</v>
      </c>
      <c r="G1169" s="19">
        <v>9980</v>
      </c>
      <c r="H1169" s="19">
        <v>1</v>
      </c>
      <c r="I1169" s="80">
        <v>460.46</v>
      </c>
      <c r="J1169" s="80">
        <v>460.46</v>
      </c>
      <c r="K1169" s="19" t="s">
        <v>184</v>
      </c>
      <c r="L1169" s="19" t="s">
        <v>1757</v>
      </c>
      <c r="Q1169" s="20">
        <v>22</v>
      </c>
      <c r="R1169" s="65" t="s">
        <v>1572</v>
      </c>
      <c r="T1169" s="19" t="s">
        <v>307</v>
      </c>
      <c r="V1169" s="19" t="s">
        <v>178</v>
      </c>
      <c r="Y1169" s="19" t="s">
        <v>138</v>
      </c>
      <c r="Z1169" s="44" t="s">
        <v>1573</v>
      </c>
      <c r="AA1169" s="44" t="s">
        <v>180</v>
      </c>
      <c r="AC1169" s="19" t="s">
        <v>1758</v>
      </c>
    </row>
    <row r="1170" spans="1:29" hidden="1" x14ac:dyDescent="0.25">
      <c r="A1170" s="26">
        <v>168</v>
      </c>
      <c r="B1170" s="19" t="s">
        <v>1753</v>
      </c>
      <c r="C1170" s="44" t="s">
        <v>273</v>
      </c>
      <c r="D1170" s="19" t="s">
        <v>803</v>
      </c>
      <c r="E1170" s="19">
        <v>12</v>
      </c>
      <c r="F1170" s="19">
        <v>135</v>
      </c>
      <c r="G1170" s="19">
        <v>488</v>
      </c>
      <c r="H1170" s="19">
        <v>11</v>
      </c>
      <c r="I1170" s="80">
        <v>6.19</v>
      </c>
      <c r="J1170" s="80">
        <v>68.09</v>
      </c>
      <c r="K1170" s="19" t="s">
        <v>184</v>
      </c>
      <c r="L1170" s="19" t="s">
        <v>1757</v>
      </c>
      <c r="Q1170" s="20">
        <v>22</v>
      </c>
      <c r="R1170" s="65" t="s">
        <v>1572</v>
      </c>
      <c r="T1170" s="19" t="s">
        <v>307</v>
      </c>
      <c r="V1170" s="19" t="s">
        <v>178</v>
      </c>
      <c r="W1170" s="19" t="s">
        <v>138</v>
      </c>
      <c r="Z1170" s="44" t="s">
        <v>1573</v>
      </c>
      <c r="AA1170" s="44" t="s">
        <v>180</v>
      </c>
      <c r="AC1170" s="19" t="s">
        <v>1758</v>
      </c>
    </row>
    <row r="1171" spans="1:29" hidden="1" x14ac:dyDescent="0.25">
      <c r="A1171" s="26">
        <v>169</v>
      </c>
      <c r="B1171" s="19" t="s">
        <v>1761</v>
      </c>
      <c r="C1171" s="44" t="s">
        <v>273</v>
      </c>
      <c r="D1171" s="19" t="s">
        <v>803</v>
      </c>
      <c r="E1171" s="19">
        <v>12</v>
      </c>
      <c r="F1171" s="19">
        <v>135</v>
      </c>
      <c r="G1171" s="19">
        <v>488</v>
      </c>
      <c r="H1171" s="19">
        <v>16</v>
      </c>
      <c r="I1171" s="80">
        <v>6.19</v>
      </c>
      <c r="J1171" s="80">
        <v>99.04</v>
      </c>
      <c r="K1171" s="19" t="s">
        <v>184</v>
      </c>
      <c r="L1171" s="19" t="s">
        <v>1757</v>
      </c>
      <c r="Q1171" s="20">
        <v>22</v>
      </c>
      <c r="R1171" s="65" t="s">
        <v>1572</v>
      </c>
      <c r="T1171" s="19" t="s">
        <v>307</v>
      </c>
      <c r="V1171" s="19" t="s">
        <v>178</v>
      </c>
      <c r="W1171" s="19" t="s">
        <v>138</v>
      </c>
      <c r="Z1171" s="44" t="s">
        <v>1573</v>
      </c>
      <c r="AA1171" s="44" t="s">
        <v>180</v>
      </c>
      <c r="AC1171" s="19" t="s">
        <v>1758</v>
      </c>
    </row>
    <row r="1172" spans="1:29" hidden="1" x14ac:dyDescent="0.25">
      <c r="A1172" s="26">
        <v>170</v>
      </c>
      <c r="B1172" s="19" t="s">
        <v>1762</v>
      </c>
      <c r="C1172" s="44" t="s">
        <v>273</v>
      </c>
      <c r="D1172" s="19" t="s">
        <v>828</v>
      </c>
      <c r="E1172" s="19">
        <v>12</v>
      </c>
      <c r="F1172" s="19">
        <v>490</v>
      </c>
      <c r="G1172" s="19">
        <v>9980</v>
      </c>
      <c r="H1172" s="19">
        <v>1</v>
      </c>
      <c r="I1172" s="80">
        <v>460.46</v>
      </c>
      <c r="J1172" s="80">
        <v>460.46</v>
      </c>
      <c r="K1172" s="19" t="s">
        <v>184</v>
      </c>
      <c r="L1172" s="19" t="s">
        <v>1757</v>
      </c>
      <c r="Q1172" s="20">
        <v>22</v>
      </c>
      <c r="R1172" s="65" t="s">
        <v>1572</v>
      </c>
      <c r="T1172" s="19" t="s">
        <v>307</v>
      </c>
      <c r="V1172" s="19" t="s">
        <v>178</v>
      </c>
      <c r="Y1172" s="19" t="s">
        <v>138</v>
      </c>
      <c r="Z1172" s="44" t="s">
        <v>1573</v>
      </c>
      <c r="AA1172" s="44" t="s">
        <v>180</v>
      </c>
      <c r="AC1172" s="19" t="s">
        <v>1758</v>
      </c>
    </row>
    <row r="1173" spans="1:29" hidden="1" x14ac:dyDescent="0.25">
      <c r="A1173" s="26">
        <v>171</v>
      </c>
      <c r="B1173" s="19" t="s">
        <v>1763</v>
      </c>
      <c r="C1173" s="44" t="s">
        <v>273</v>
      </c>
      <c r="D1173" s="19" t="s">
        <v>803</v>
      </c>
      <c r="E1173" s="19">
        <v>12</v>
      </c>
      <c r="F1173" s="19">
        <v>135</v>
      </c>
      <c r="G1173" s="19">
        <v>488</v>
      </c>
      <c r="H1173" s="19">
        <v>16</v>
      </c>
      <c r="I1173" s="80">
        <v>6.19</v>
      </c>
      <c r="J1173" s="80">
        <v>99.04</v>
      </c>
      <c r="K1173" s="19" t="s">
        <v>184</v>
      </c>
      <c r="L1173" s="19" t="s">
        <v>1757</v>
      </c>
      <c r="Q1173" s="20">
        <v>22</v>
      </c>
      <c r="R1173" s="65" t="s">
        <v>1572</v>
      </c>
      <c r="T1173" s="19" t="s">
        <v>307</v>
      </c>
      <c r="V1173" s="19" t="s">
        <v>178</v>
      </c>
      <c r="W1173" s="19" t="s">
        <v>138</v>
      </c>
      <c r="Z1173" s="44" t="s">
        <v>1573</v>
      </c>
      <c r="AA1173" s="44" t="s">
        <v>180</v>
      </c>
      <c r="AC1173" s="19" t="s">
        <v>1758</v>
      </c>
    </row>
    <row r="1174" spans="1:29" hidden="1" x14ac:dyDescent="0.25">
      <c r="A1174" s="26">
        <v>172</v>
      </c>
      <c r="B1174" s="19" t="s">
        <v>1764</v>
      </c>
      <c r="C1174" s="44" t="s">
        <v>273</v>
      </c>
      <c r="D1174" s="19" t="s">
        <v>803</v>
      </c>
      <c r="E1174" s="19">
        <v>12</v>
      </c>
      <c r="F1174" s="19">
        <v>135</v>
      </c>
      <c r="G1174" s="19">
        <v>488</v>
      </c>
      <c r="H1174" s="19">
        <v>16</v>
      </c>
      <c r="I1174" s="80">
        <v>6.19</v>
      </c>
      <c r="J1174" s="80">
        <v>99.04</v>
      </c>
      <c r="K1174" s="19" t="s">
        <v>184</v>
      </c>
      <c r="L1174" s="19" t="s">
        <v>1757</v>
      </c>
      <c r="Q1174" s="20">
        <v>22</v>
      </c>
      <c r="R1174" s="65" t="s">
        <v>1572</v>
      </c>
      <c r="T1174" s="19" t="s">
        <v>307</v>
      </c>
      <c r="V1174" s="19" t="s">
        <v>178</v>
      </c>
      <c r="W1174" s="19" t="s">
        <v>138</v>
      </c>
      <c r="Z1174" s="44" t="s">
        <v>1573</v>
      </c>
      <c r="AA1174" s="44" t="s">
        <v>180</v>
      </c>
      <c r="AC1174" s="19" t="s">
        <v>1758</v>
      </c>
    </row>
    <row r="1175" spans="1:29" hidden="1" x14ac:dyDescent="0.25">
      <c r="A1175" s="26">
        <v>173</v>
      </c>
      <c r="B1175" s="19" t="s">
        <v>1765</v>
      </c>
      <c r="C1175" s="44" t="s">
        <v>273</v>
      </c>
      <c r="D1175" s="19" t="s">
        <v>828</v>
      </c>
      <c r="E1175" s="19">
        <v>12</v>
      </c>
      <c r="F1175" s="19">
        <v>490</v>
      </c>
      <c r="G1175" s="19">
        <v>9980</v>
      </c>
      <c r="H1175" s="19">
        <v>1</v>
      </c>
      <c r="I1175" s="80">
        <v>460.46</v>
      </c>
      <c r="J1175" s="80">
        <v>460.46</v>
      </c>
      <c r="K1175" s="19" t="s">
        <v>184</v>
      </c>
      <c r="L1175" s="19" t="s">
        <v>1757</v>
      </c>
      <c r="Q1175" s="20">
        <v>22</v>
      </c>
      <c r="R1175" s="65" t="s">
        <v>1572</v>
      </c>
      <c r="T1175" s="19" t="s">
        <v>307</v>
      </c>
      <c r="V1175" s="19" t="s">
        <v>178</v>
      </c>
      <c r="Y1175" s="19" t="s">
        <v>138</v>
      </c>
      <c r="Z1175" s="44" t="s">
        <v>1573</v>
      </c>
      <c r="AA1175" s="44" t="s">
        <v>180</v>
      </c>
      <c r="AC1175" s="19" t="s">
        <v>1758</v>
      </c>
    </row>
    <row r="1176" spans="1:29" hidden="1" x14ac:dyDescent="0.25">
      <c r="A1176" s="26">
        <v>174</v>
      </c>
      <c r="B1176" s="19" t="s">
        <v>1766</v>
      </c>
      <c r="C1176" s="44" t="s">
        <v>273</v>
      </c>
      <c r="D1176" s="19" t="s">
        <v>803</v>
      </c>
      <c r="E1176" s="19">
        <v>12</v>
      </c>
      <c r="F1176" s="19">
        <v>135</v>
      </c>
      <c r="G1176" s="19">
        <v>488</v>
      </c>
      <c r="H1176" s="19">
        <v>1</v>
      </c>
      <c r="I1176" s="80">
        <v>6.19</v>
      </c>
      <c r="J1176" s="80">
        <v>6.19</v>
      </c>
      <c r="K1176" s="19" t="s">
        <v>184</v>
      </c>
      <c r="L1176" s="19" t="s">
        <v>1757</v>
      </c>
      <c r="Q1176" s="20">
        <v>22</v>
      </c>
      <c r="R1176" s="65" t="s">
        <v>1572</v>
      </c>
      <c r="T1176" s="19" t="s">
        <v>307</v>
      </c>
      <c r="V1176" s="19" t="s">
        <v>178</v>
      </c>
      <c r="W1176" s="19" t="s">
        <v>138</v>
      </c>
      <c r="Z1176" s="44" t="s">
        <v>1573</v>
      </c>
      <c r="AA1176" s="44" t="s">
        <v>180</v>
      </c>
      <c r="AC1176" s="19" t="s">
        <v>1758</v>
      </c>
    </row>
    <row r="1177" spans="1:29" hidden="1" x14ac:dyDescent="0.25">
      <c r="A1177" s="26">
        <v>175</v>
      </c>
      <c r="B1177" s="19" t="s">
        <v>1767</v>
      </c>
      <c r="C1177" s="44" t="s">
        <v>273</v>
      </c>
      <c r="D1177" s="19" t="s">
        <v>874</v>
      </c>
      <c r="E1177" s="19">
        <v>12</v>
      </c>
      <c r="F1177" s="19">
        <v>100</v>
      </c>
      <c r="G1177" s="19">
        <v>150</v>
      </c>
      <c r="H1177" s="19">
        <v>1</v>
      </c>
      <c r="I1177" s="80">
        <v>1.41</v>
      </c>
      <c r="J1177" s="80">
        <v>1.41</v>
      </c>
      <c r="K1177" s="19" t="s">
        <v>184</v>
      </c>
      <c r="L1177" s="19" t="s">
        <v>1757</v>
      </c>
      <c r="Q1177" s="20">
        <v>22</v>
      </c>
      <c r="R1177" s="65" t="s">
        <v>1572</v>
      </c>
      <c r="T1177" s="19" t="s">
        <v>307</v>
      </c>
      <c r="V1177" s="19" t="s">
        <v>178</v>
      </c>
      <c r="W1177" s="19" t="s">
        <v>138</v>
      </c>
      <c r="Z1177" s="44" t="s">
        <v>1573</v>
      </c>
      <c r="AA1177" s="44" t="s">
        <v>180</v>
      </c>
      <c r="AC1177" s="19" t="s">
        <v>1758</v>
      </c>
    </row>
    <row r="1178" spans="1:29" hidden="1" x14ac:dyDescent="0.25">
      <c r="A1178" s="26">
        <v>176</v>
      </c>
      <c r="B1178" s="19" t="s">
        <v>1768</v>
      </c>
      <c r="C1178" s="44" t="s">
        <v>273</v>
      </c>
      <c r="D1178" s="19" t="s">
        <v>874</v>
      </c>
      <c r="E1178" s="19">
        <v>12</v>
      </c>
      <c r="F1178" s="19">
        <v>100</v>
      </c>
      <c r="G1178" s="19">
        <v>150</v>
      </c>
      <c r="H1178" s="19">
        <v>1</v>
      </c>
      <c r="I1178" s="80">
        <v>1.41</v>
      </c>
      <c r="J1178" s="80">
        <v>1.41</v>
      </c>
      <c r="K1178" s="19" t="s">
        <v>184</v>
      </c>
      <c r="L1178" s="19" t="s">
        <v>1757</v>
      </c>
      <c r="Q1178" s="20">
        <v>22</v>
      </c>
      <c r="R1178" s="65" t="s">
        <v>1572</v>
      </c>
      <c r="T1178" s="19" t="s">
        <v>307</v>
      </c>
      <c r="V1178" s="19" t="s">
        <v>178</v>
      </c>
      <c r="W1178" s="19" t="s">
        <v>138</v>
      </c>
      <c r="Z1178" s="44" t="s">
        <v>1573</v>
      </c>
      <c r="AA1178" s="44" t="s">
        <v>180</v>
      </c>
      <c r="AC1178" s="19" t="s">
        <v>1758</v>
      </c>
    </row>
    <row r="1179" spans="1:29" hidden="1" x14ac:dyDescent="0.25">
      <c r="A1179" s="26">
        <v>177</v>
      </c>
      <c r="B1179" s="19" t="s">
        <v>1769</v>
      </c>
      <c r="C1179" s="44" t="s">
        <v>273</v>
      </c>
      <c r="D1179" s="19" t="s">
        <v>1608</v>
      </c>
      <c r="E1179" s="19">
        <v>12</v>
      </c>
      <c r="F1179" s="19">
        <v>116</v>
      </c>
      <c r="G1179" s="19">
        <v>144</v>
      </c>
      <c r="H1179" s="19">
        <v>1</v>
      </c>
      <c r="I1179" s="80">
        <v>1.32</v>
      </c>
      <c r="J1179" s="80">
        <v>1.32</v>
      </c>
      <c r="K1179" s="19" t="s">
        <v>184</v>
      </c>
      <c r="L1179" s="19" t="s">
        <v>1770</v>
      </c>
      <c r="Q1179" s="20">
        <v>22</v>
      </c>
      <c r="R1179" s="65" t="s">
        <v>1572</v>
      </c>
      <c r="T1179" s="19" t="s">
        <v>307</v>
      </c>
      <c r="V1179" s="19" t="s">
        <v>178</v>
      </c>
      <c r="W1179" s="19" t="s">
        <v>138</v>
      </c>
      <c r="Z1179" s="44" t="s">
        <v>1573</v>
      </c>
      <c r="AA1179" s="44" t="s">
        <v>180</v>
      </c>
      <c r="AC1179" s="19" t="s">
        <v>1771</v>
      </c>
    </row>
    <row r="1180" spans="1:29" hidden="1" x14ac:dyDescent="0.25">
      <c r="A1180" s="26">
        <v>178</v>
      </c>
      <c r="B1180" s="19" t="s">
        <v>1772</v>
      </c>
      <c r="C1180" s="44" t="s">
        <v>273</v>
      </c>
      <c r="D1180" s="19" t="s">
        <v>1608</v>
      </c>
      <c r="E1180" s="19">
        <v>12</v>
      </c>
      <c r="F1180" s="19">
        <v>116</v>
      </c>
      <c r="G1180" s="19">
        <v>144</v>
      </c>
      <c r="H1180" s="19">
        <v>24</v>
      </c>
      <c r="I1180" s="80">
        <v>1.32</v>
      </c>
      <c r="J1180" s="80">
        <v>31.78</v>
      </c>
      <c r="K1180" s="19" t="s">
        <v>184</v>
      </c>
      <c r="L1180" s="19" t="s">
        <v>1770</v>
      </c>
      <c r="Q1180" s="20">
        <v>22</v>
      </c>
      <c r="R1180" s="65" t="s">
        <v>1572</v>
      </c>
      <c r="T1180" s="19" t="s">
        <v>307</v>
      </c>
      <c r="V1180" s="19" t="s">
        <v>178</v>
      </c>
      <c r="W1180" s="19" t="s">
        <v>138</v>
      </c>
      <c r="Z1180" s="44" t="s">
        <v>1573</v>
      </c>
      <c r="AA1180" s="44" t="s">
        <v>180</v>
      </c>
      <c r="AC1180" s="19" t="s">
        <v>1771</v>
      </c>
    </row>
    <row r="1181" spans="1:29" hidden="1" x14ac:dyDescent="0.25">
      <c r="A1181" s="26">
        <v>179</v>
      </c>
      <c r="B1181" s="19" t="s">
        <v>1736</v>
      </c>
      <c r="C1181" s="44" t="s">
        <v>273</v>
      </c>
      <c r="D1181" s="19" t="s">
        <v>1608</v>
      </c>
      <c r="E1181" s="19">
        <v>12</v>
      </c>
      <c r="F1181" s="19">
        <v>116</v>
      </c>
      <c r="G1181" s="19">
        <v>144</v>
      </c>
      <c r="H1181" s="19">
        <v>6</v>
      </c>
      <c r="I1181" s="80">
        <v>1.32</v>
      </c>
      <c r="J1181" s="80">
        <v>7.94</v>
      </c>
      <c r="K1181" s="19" t="s">
        <v>184</v>
      </c>
      <c r="L1181" s="19" t="s">
        <v>1770</v>
      </c>
      <c r="Q1181" s="20">
        <v>22</v>
      </c>
      <c r="R1181" s="65" t="s">
        <v>1572</v>
      </c>
      <c r="T1181" s="19" t="s">
        <v>307</v>
      </c>
      <c r="V1181" s="19" t="s">
        <v>178</v>
      </c>
      <c r="W1181" s="19" t="s">
        <v>138</v>
      </c>
      <c r="Z1181" s="44" t="s">
        <v>1573</v>
      </c>
      <c r="AA1181" s="44" t="s">
        <v>180</v>
      </c>
      <c r="AC1181" s="19" t="s">
        <v>1771</v>
      </c>
    </row>
    <row r="1182" spans="1:29" hidden="1" x14ac:dyDescent="0.25">
      <c r="A1182" s="26">
        <v>180</v>
      </c>
      <c r="B1182" s="19" t="s">
        <v>1773</v>
      </c>
      <c r="C1182" s="44" t="s">
        <v>273</v>
      </c>
      <c r="D1182" s="19" t="s">
        <v>1608</v>
      </c>
      <c r="E1182" s="19">
        <v>12</v>
      </c>
      <c r="F1182" s="19">
        <v>116</v>
      </c>
      <c r="G1182" s="19">
        <v>144</v>
      </c>
      <c r="H1182" s="19">
        <v>24</v>
      </c>
      <c r="I1182" s="80">
        <v>1.32</v>
      </c>
      <c r="J1182" s="80">
        <v>31.78</v>
      </c>
      <c r="K1182" s="19" t="s">
        <v>184</v>
      </c>
      <c r="L1182" s="19" t="s">
        <v>1770</v>
      </c>
      <c r="Q1182" s="20">
        <v>22</v>
      </c>
      <c r="R1182" s="65" t="s">
        <v>1572</v>
      </c>
      <c r="T1182" s="19" t="s">
        <v>307</v>
      </c>
      <c r="V1182" s="19" t="s">
        <v>178</v>
      </c>
      <c r="W1182" s="19" t="s">
        <v>138</v>
      </c>
      <c r="Z1182" s="44" t="s">
        <v>1573</v>
      </c>
      <c r="AA1182" s="44" t="s">
        <v>180</v>
      </c>
      <c r="AC1182" s="19" t="s">
        <v>1771</v>
      </c>
    </row>
    <row r="1183" spans="1:29" hidden="1" x14ac:dyDescent="0.25">
      <c r="A1183" s="26">
        <v>181</v>
      </c>
      <c r="B1183" s="19" t="s">
        <v>1774</v>
      </c>
      <c r="C1183" s="44" t="s">
        <v>273</v>
      </c>
      <c r="D1183" s="19" t="s">
        <v>1608</v>
      </c>
      <c r="E1183" s="19">
        <v>12</v>
      </c>
      <c r="F1183" s="19">
        <v>116</v>
      </c>
      <c r="G1183" s="19">
        <v>144</v>
      </c>
      <c r="H1183" s="19">
        <v>24</v>
      </c>
      <c r="I1183" s="80">
        <v>1.32</v>
      </c>
      <c r="J1183" s="80">
        <v>31.78</v>
      </c>
      <c r="K1183" s="19" t="s">
        <v>184</v>
      </c>
      <c r="L1183" s="19" t="s">
        <v>1770</v>
      </c>
      <c r="Q1183" s="20">
        <v>22</v>
      </c>
      <c r="R1183" s="65" t="s">
        <v>1572</v>
      </c>
      <c r="T1183" s="19" t="s">
        <v>307</v>
      </c>
      <c r="V1183" s="19" t="s">
        <v>178</v>
      </c>
      <c r="W1183" s="19" t="s">
        <v>138</v>
      </c>
      <c r="Z1183" s="44" t="s">
        <v>1573</v>
      </c>
      <c r="AA1183" s="44" t="s">
        <v>180</v>
      </c>
      <c r="AC1183" s="19" t="s">
        <v>1771</v>
      </c>
    </row>
    <row r="1184" spans="1:29" hidden="1" x14ac:dyDescent="0.25">
      <c r="A1184" s="26">
        <v>182</v>
      </c>
      <c r="B1184" s="19" t="s">
        <v>1775</v>
      </c>
      <c r="C1184" s="44" t="s">
        <v>273</v>
      </c>
      <c r="D1184" s="19" t="s">
        <v>1608</v>
      </c>
      <c r="E1184" s="19">
        <v>12</v>
      </c>
      <c r="F1184" s="19">
        <v>116</v>
      </c>
      <c r="G1184" s="19">
        <v>144</v>
      </c>
      <c r="H1184" s="19">
        <v>24</v>
      </c>
      <c r="I1184" s="80">
        <v>1.32</v>
      </c>
      <c r="J1184" s="80">
        <v>31.78</v>
      </c>
      <c r="K1184" s="19" t="s">
        <v>184</v>
      </c>
      <c r="L1184" s="19" t="s">
        <v>1770</v>
      </c>
      <c r="Q1184" s="20">
        <v>22</v>
      </c>
      <c r="R1184" s="65" t="s">
        <v>1572</v>
      </c>
      <c r="T1184" s="19" t="s">
        <v>307</v>
      </c>
      <c r="V1184" s="19" t="s">
        <v>178</v>
      </c>
      <c r="W1184" s="19" t="s">
        <v>138</v>
      </c>
      <c r="Z1184" s="44" t="s">
        <v>1573</v>
      </c>
      <c r="AA1184" s="44" t="s">
        <v>180</v>
      </c>
      <c r="AC1184" s="19" t="s">
        <v>1771</v>
      </c>
    </row>
    <row r="1185" spans="1:29" hidden="1" x14ac:dyDescent="0.25">
      <c r="A1185" s="26">
        <v>183</v>
      </c>
      <c r="B1185" s="19" t="s">
        <v>1776</v>
      </c>
      <c r="C1185" s="44" t="s">
        <v>273</v>
      </c>
      <c r="D1185" s="19" t="s">
        <v>1608</v>
      </c>
      <c r="E1185" s="19">
        <v>12</v>
      </c>
      <c r="F1185" s="19">
        <v>116</v>
      </c>
      <c r="G1185" s="19">
        <v>144</v>
      </c>
      <c r="H1185" s="19">
        <v>18</v>
      </c>
      <c r="I1185" s="80">
        <v>1.32</v>
      </c>
      <c r="J1185" s="80">
        <v>23.83</v>
      </c>
      <c r="K1185" s="19" t="s">
        <v>184</v>
      </c>
      <c r="L1185" s="19" t="s">
        <v>1770</v>
      </c>
      <c r="Q1185" s="20">
        <v>22</v>
      </c>
      <c r="R1185" s="65" t="s">
        <v>1572</v>
      </c>
      <c r="T1185" s="19" t="s">
        <v>307</v>
      </c>
      <c r="V1185" s="19" t="s">
        <v>178</v>
      </c>
      <c r="W1185" s="19" t="s">
        <v>138</v>
      </c>
      <c r="Z1185" s="44" t="s">
        <v>1573</v>
      </c>
      <c r="AA1185" s="44" t="s">
        <v>180</v>
      </c>
      <c r="AC1185" s="19" t="s">
        <v>1771</v>
      </c>
    </row>
    <row r="1186" spans="1:29" hidden="1" x14ac:dyDescent="0.25">
      <c r="A1186" s="26">
        <v>184</v>
      </c>
      <c r="B1186" s="19" t="s">
        <v>1777</v>
      </c>
      <c r="C1186" s="44" t="s">
        <v>273</v>
      </c>
      <c r="D1186" s="19" t="s">
        <v>1608</v>
      </c>
      <c r="E1186" s="19">
        <v>12</v>
      </c>
      <c r="F1186" s="19">
        <v>116</v>
      </c>
      <c r="G1186" s="19">
        <v>144</v>
      </c>
      <c r="H1186" s="19">
        <v>18</v>
      </c>
      <c r="I1186" s="80">
        <v>1.32</v>
      </c>
      <c r="J1186" s="80">
        <v>23.83</v>
      </c>
      <c r="K1186" s="19" t="s">
        <v>184</v>
      </c>
      <c r="L1186" s="19" t="s">
        <v>1770</v>
      </c>
      <c r="Q1186" s="20">
        <v>22</v>
      </c>
      <c r="R1186" s="65" t="s">
        <v>1572</v>
      </c>
      <c r="T1186" s="19" t="s">
        <v>307</v>
      </c>
      <c r="V1186" s="19" t="s">
        <v>178</v>
      </c>
      <c r="W1186" s="19" t="s">
        <v>138</v>
      </c>
      <c r="Z1186" s="44" t="s">
        <v>1573</v>
      </c>
      <c r="AA1186" s="44" t="s">
        <v>180</v>
      </c>
      <c r="AC1186" s="19" t="s">
        <v>1771</v>
      </c>
    </row>
    <row r="1187" spans="1:29" hidden="1" x14ac:dyDescent="0.25">
      <c r="A1187" s="26">
        <v>185</v>
      </c>
      <c r="B1187" s="19" t="s">
        <v>1778</v>
      </c>
      <c r="C1187" s="44" t="s">
        <v>273</v>
      </c>
      <c r="D1187" s="19" t="s">
        <v>1608</v>
      </c>
      <c r="E1187" s="19">
        <v>12</v>
      </c>
      <c r="F1187" s="19">
        <v>116</v>
      </c>
      <c r="G1187" s="19">
        <v>144</v>
      </c>
      <c r="H1187" s="19">
        <v>18</v>
      </c>
      <c r="I1187" s="80">
        <v>1.32</v>
      </c>
      <c r="J1187" s="80">
        <v>23.83</v>
      </c>
      <c r="K1187" s="19" t="s">
        <v>184</v>
      </c>
      <c r="L1187" s="19" t="s">
        <v>1770</v>
      </c>
      <c r="Q1187" s="20">
        <v>22</v>
      </c>
      <c r="R1187" s="65" t="s">
        <v>1572</v>
      </c>
      <c r="T1187" s="19" t="s">
        <v>307</v>
      </c>
      <c r="V1187" s="19" t="s">
        <v>178</v>
      </c>
      <c r="W1187" s="19" t="s">
        <v>138</v>
      </c>
      <c r="Z1187" s="44" t="s">
        <v>1573</v>
      </c>
      <c r="AA1187" s="44" t="s">
        <v>180</v>
      </c>
      <c r="AC1187" s="19" t="s">
        <v>1771</v>
      </c>
    </row>
    <row r="1188" spans="1:29" hidden="1" x14ac:dyDescent="0.25">
      <c r="A1188" s="26">
        <v>186</v>
      </c>
      <c r="B1188" s="19" t="s">
        <v>1779</v>
      </c>
      <c r="C1188" s="44" t="s">
        <v>273</v>
      </c>
      <c r="D1188" s="19" t="s">
        <v>1608</v>
      </c>
      <c r="E1188" s="19">
        <v>12</v>
      </c>
      <c r="F1188" s="19">
        <v>116</v>
      </c>
      <c r="G1188" s="19">
        <v>144</v>
      </c>
      <c r="H1188" s="19">
        <v>18</v>
      </c>
      <c r="I1188" s="80">
        <v>1.32</v>
      </c>
      <c r="J1188" s="80">
        <v>23.83</v>
      </c>
      <c r="K1188" s="19" t="s">
        <v>184</v>
      </c>
      <c r="L1188" s="19" t="s">
        <v>1770</v>
      </c>
      <c r="Q1188" s="20">
        <v>22</v>
      </c>
      <c r="R1188" s="65" t="s">
        <v>1572</v>
      </c>
      <c r="T1188" s="19" t="s">
        <v>307</v>
      </c>
      <c r="V1188" s="19" t="s">
        <v>178</v>
      </c>
      <c r="W1188" s="19" t="s">
        <v>138</v>
      </c>
      <c r="Z1188" s="44" t="s">
        <v>1573</v>
      </c>
      <c r="AA1188" s="44" t="s">
        <v>180</v>
      </c>
      <c r="AC1188" s="19" t="s">
        <v>1771</v>
      </c>
    </row>
    <row r="1189" spans="1:29" hidden="1" x14ac:dyDescent="0.25">
      <c r="A1189" s="26">
        <v>187</v>
      </c>
      <c r="B1189" s="19" t="s">
        <v>1780</v>
      </c>
      <c r="C1189" s="44" t="s">
        <v>273</v>
      </c>
      <c r="D1189" s="19" t="s">
        <v>1608</v>
      </c>
      <c r="E1189" s="19">
        <v>12</v>
      </c>
      <c r="F1189" s="19">
        <v>116</v>
      </c>
      <c r="G1189" s="19">
        <v>144</v>
      </c>
      <c r="H1189" s="19">
        <v>18</v>
      </c>
      <c r="I1189" s="80">
        <v>1.32</v>
      </c>
      <c r="J1189" s="80">
        <v>23.83</v>
      </c>
      <c r="K1189" s="19" t="s">
        <v>184</v>
      </c>
      <c r="L1189" s="19" t="s">
        <v>1770</v>
      </c>
      <c r="Q1189" s="20">
        <v>22</v>
      </c>
      <c r="R1189" s="65" t="s">
        <v>1572</v>
      </c>
      <c r="T1189" s="19" t="s">
        <v>307</v>
      </c>
      <c r="V1189" s="19" t="s">
        <v>178</v>
      </c>
      <c r="W1189" s="19" t="s">
        <v>138</v>
      </c>
      <c r="Z1189" s="44" t="s">
        <v>1573</v>
      </c>
      <c r="AA1189" s="44" t="s">
        <v>180</v>
      </c>
      <c r="AC1189" s="19" t="s">
        <v>1771</v>
      </c>
    </row>
    <row r="1190" spans="1:29" hidden="1" x14ac:dyDescent="0.25">
      <c r="A1190" s="26">
        <v>188</v>
      </c>
      <c r="B1190" s="19" t="s">
        <v>1781</v>
      </c>
      <c r="C1190" s="44" t="s">
        <v>273</v>
      </c>
      <c r="D1190" s="19" t="s">
        <v>1608</v>
      </c>
      <c r="E1190" s="19">
        <v>12</v>
      </c>
      <c r="F1190" s="19">
        <v>116</v>
      </c>
      <c r="G1190" s="19">
        <v>144</v>
      </c>
      <c r="H1190" s="19">
        <v>4</v>
      </c>
      <c r="I1190" s="80">
        <v>1.32</v>
      </c>
      <c r="J1190" s="80">
        <v>5.3</v>
      </c>
      <c r="K1190" s="19" t="s">
        <v>184</v>
      </c>
      <c r="L1190" s="19" t="s">
        <v>1770</v>
      </c>
      <c r="Q1190" s="20">
        <v>22</v>
      </c>
      <c r="R1190" s="65" t="s">
        <v>1572</v>
      </c>
      <c r="T1190" s="19" t="s">
        <v>307</v>
      </c>
      <c r="V1190" s="19" t="s">
        <v>178</v>
      </c>
      <c r="W1190" s="19" t="s">
        <v>138</v>
      </c>
      <c r="Z1190" s="44" t="s">
        <v>1573</v>
      </c>
      <c r="AA1190" s="44" t="s">
        <v>180</v>
      </c>
      <c r="AC1190" s="19" t="s">
        <v>1771</v>
      </c>
    </row>
    <row r="1191" spans="1:29" hidden="1" x14ac:dyDescent="0.25">
      <c r="A1191" s="26">
        <v>189</v>
      </c>
      <c r="B1191" s="19" t="s">
        <v>1782</v>
      </c>
      <c r="C1191" s="44" t="s">
        <v>273</v>
      </c>
      <c r="D1191" s="19" t="s">
        <v>1608</v>
      </c>
      <c r="E1191" s="19">
        <v>12</v>
      </c>
      <c r="F1191" s="19">
        <v>116</v>
      </c>
      <c r="G1191" s="19">
        <v>144</v>
      </c>
      <c r="H1191" s="19">
        <v>4</v>
      </c>
      <c r="I1191" s="80">
        <v>1.32</v>
      </c>
      <c r="J1191" s="80">
        <v>5.3</v>
      </c>
      <c r="K1191" s="19" t="s">
        <v>184</v>
      </c>
      <c r="L1191" s="19" t="s">
        <v>1770</v>
      </c>
      <c r="Q1191" s="20">
        <v>22</v>
      </c>
      <c r="R1191" s="65" t="s">
        <v>1572</v>
      </c>
      <c r="T1191" s="19" t="s">
        <v>307</v>
      </c>
      <c r="V1191" s="19" t="s">
        <v>178</v>
      </c>
      <c r="W1191" s="19" t="s">
        <v>138</v>
      </c>
      <c r="Z1191" s="44" t="s">
        <v>1573</v>
      </c>
      <c r="AA1191" s="44" t="s">
        <v>180</v>
      </c>
      <c r="AC1191" s="19" t="s">
        <v>1771</v>
      </c>
    </row>
    <row r="1192" spans="1:29" hidden="1" x14ac:dyDescent="0.25">
      <c r="A1192" s="26">
        <v>190</v>
      </c>
      <c r="B1192" s="19" t="s">
        <v>1783</v>
      </c>
      <c r="C1192" s="44" t="s">
        <v>273</v>
      </c>
      <c r="D1192" s="19" t="s">
        <v>1608</v>
      </c>
      <c r="E1192" s="19">
        <v>12</v>
      </c>
      <c r="F1192" s="19">
        <v>116</v>
      </c>
      <c r="G1192" s="19">
        <v>144</v>
      </c>
      <c r="H1192" s="19">
        <v>4</v>
      </c>
      <c r="I1192" s="80">
        <v>1.32</v>
      </c>
      <c r="J1192" s="80">
        <v>5.3</v>
      </c>
      <c r="K1192" s="19" t="s">
        <v>184</v>
      </c>
      <c r="L1192" s="19" t="s">
        <v>1770</v>
      </c>
      <c r="Q1192" s="20">
        <v>22</v>
      </c>
      <c r="R1192" s="65" t="s">
        <v>1572</v>
      </c>
      <c r="T1192" s="19" t="s">
        <v>307</v>
      </c>
      <c r="V1192" s="19" t="s">
        <v>178</v>
      </c>
      <c r="W1192" s="19" t="s">
        <v>138</v>
      </c>
      <c r="Z1192" s="44" t="s">
        <v>1573</v>
      </c>
      <c r="AA1192" s="44" t="s">
        <v>180</v>
      </c>
      <c r="AC1192" s="19" t="s">
        <v>1771</v>
      </c>
    </row>
    <row r="1193" spans="1:29" hidden="1" x14ac:dyDescent="0.25">
      <c r="A1193" s="26">
        <v>191</v>
      </c>
      <c r="B1193" s="19" t="s">
        <v>1784</v>
      </c>
      <c r="C1193" s="44" t="s">
        <v>273</v>
      </c>
      <c r="D1193" s="19" t="s">
        <v>1608</v>
      </c>
      <c r="E1193" s="19">
        <v>12</v>
      </c>
      <c r="F1193" s="19">
        <v>116</v>
      </c>
      <c r="G1193" s="19">
        <v>144</v>
      </c>
      <c r="H1193" s="19">
        <v>4</v>
      </c>
      <c r="I1193" s="80">
        <v>1.32</v>
      </c>
      <c r="J1193" s="80">
        <v>5.3</v>
      </c>
      <c r="K1193" s="19" t="s">
        <v>184</v>
      </c>
      <c r="L1193" s="19" t="s">
        <v>1770</v>
      </c>
      <c r="Q1193" s="20">
        <v>22</v>
      </c>
      <c r="R1193" s="65" t="s">
        <v>1572</v>
      </c>
      <c r="T1193" s="19" t="s">
        <v>307</v>
      </c>
      <c r="V1193" s="19" t="s">
        <v>178</v>
      </c>
      <c r="W1193" s="19" t="s">
        <v>138</v>
      </c>
      <c r="Z1193" s="44" t="s">
        <v>1573</v>
      </c>
      <c r="AA1193" s="44" t="s">
        <v>180</v>
      </c>
      <c r="AC1193" s="19" t="s">
        <v>1771</v>
      </c>
    </row>
    <row r="1194" spans="1:29" hidden="1" x14ac:dyDescent="0.25">
      <c r="A1194" s="26">
        <v>192</v>
      </c>
      <c r="B1194" s="19" t="s">
        <v>1785</v>
      </c>
      <c r="C1194" s="44" t="s">
        <v>273</v>
      </c>
      <c r="D1194" s="19" t="s">
        <v>1608</v>
      </c>
      <c r="E1194" s="19">
        <v>12</v>
      </c>
      <c r="F1194" s="19">
        <v>116</v>
      </c>
      <c r="G1194" s="19">
        <v>144</v>
      </c>
      <c r="H1194" s="19">
        <v>4</v>
      </c>
      <c r="I1194" s="80">
        <v>1.32</v>
      </c>
      <c r="J1194" s="80">
        <v>5.3</v>
      </c>
      <c r="K1194" s="19" t="s">
        <v>184</v>
      </c>
      <c r="L1194" s="19" t="s">
        <v>1770</v>
      </c>
      <c r="Q1194" s="20">
        <v>22</v>
      </c>
      <c r="R1194" s="65" t="s">
        <v>1572</v>
      </c>
      <c r="T1194" s="19" t="s">
        <v>307</v>
      </c>
      <c r="V1194" s="19" t="s">
        <v>178</v>
      </c>
      <c r="W1194" s="19" t="s">
        <v>138</v>
      </c>
      <c r="Z1194" s="44" t="s">
        <v>1573</v>
      </c>
      <c r="AA1194" s="44" t="s">
        <v>180</v>
      </c>
      <c r="AC1194" s="19" t="s">
        <v>1771</v>
      </c>
    </row>
    <row r="1195" spans="1:29" hidden="1" x14ac:dyDescent="0.25">
      <c r="A1195" s="26">
        <v>193</v>
      </c>
      <c r="B1195" s="19" t="s">
        <v>1786</v>
      </c>
      <c r="C1195" s="44" t="s">
        <v>273</v>
      </c>
      <c r="D1195" s="19" t="s">
        <v>835</v>
      </c>
      <c r="E1195" s="19">
        <v>12</v>
      </c>
      <c r="F1195" s="19">
        <v>1460</v>
      </c>
      <c r="G1195" s="19">
        <v>9068</v>
      </c>
      <c r="H1195" s="19">
        <v>1</v>
      </c>
      <c r="I1195" s="80">
        <v>1240.54</v>
      </c>
      <c r="J1195" s="80">
        <v>1240.54</v>
      </c>
      <c r="K1195" s="19" t="s">
        <v>184</v>
      </c>
      <c r="L1195" s="19" t="s">
        <v>1770</v>
      </c>
      <c r="Q1195" s="20">
        <v>22</v>
      </c>
      <c r="R1195" s="65" t="s">
        <v>1572</v>
      </c>
      <c r="T1195" s="19" t="s">
        <v>307</v>
      </c>
      <c r="V1195" s="19" t="s">
        <v>178</v>
      </c>
      <c r="Y1195" s="19" t="s">
        <v>138</v>
      </c>
      <c r="Z1195" s="44" t="s">
        <v>1573</v>
      </c>
      <c r="AA1195" s="44" t="s">
        <v>180</v>
      </c>
      <c r="AC1195" s="19" t="s">
        <v>1771</v>
      </c>
    </row>
    <row r="1196" spans="1:29" hidden="1" x14ac:dyDescent="0.25">
      <c r="A1196" s="26">
        <v>194</v>
      </c>
      <c r="B1196" s="19" t="s">
        <v>1787</v>
      </c>
      <c r="C1196" s="44" t="s">
        <v>273</v>
      </c>
      <c r="D1196" s="19" t="s">
        <v>1608</v>
      </c>
      <c r="E1196" s="19">
        <v>12</v>
      </c>
      <c r="F1196" s="19">
        <v>116</v>
      </c>
      <c r="G1196" s="19">
        <v>144</v>
      </c>
      <c r="H1196" s="19">
        <v>24</v>
      </c>
      <c r="I1196" s="80">
        <v>1.32</v>
      </c>
      <c r="J1196" s="80">
        <v>31.78</v>
      </c>
      <c r="K1196" s="19" t="s">
        <v>184</v>
      </c>
      <c r="L1196" s="19" t="s">
        <v>1770</v>
      </c>
      <c r="Q1196" s="20">
        <v>22</v>
      </c>
      <c r="R1196" s="65" t="s">
        <v>1572</v>
      </c>
      <c r="T1196" s="19" t="s">
        <v>307</v>
      </c>
      <c r="V1196" s="19" t="s">
        <v>178</v>
      </c>
      <c r="W1196" s="19" t="s">
        <v>138</v>
      </c>
      <c r="Z1196" s="44" t="s">
        <v>1573</v>
      </c>
      <c r="AA1196" s="44" t="s">
        <v>180</v>
      </c>
      <c r="AC1196" s="19" t="s">
        <v>1771</v>
      </c>
    </row>
    <row r="1197" spans="1:29" hidden="1" x14ac:dyDescent="0.25">
      <c r="A1197" s="26">
        <v>195</v>
      </c>
      <c r="B1197" s="19" t="s">
        <v>1788</v>
      </c>
      <c r="C1197" s="44" t="s">
        <v>273</v>
      </c>
      <c r="D1197" s="19" t="s">
        <v>1608</v>
      </c>
      <c r="E1197" s="19">
        <v>12</v>
      </c>
      <c r="F1197" s="19">
        <v>116</v>
      </c>
      <c r="G1197" s="19">
        <v>144</v>
      </c>
      <c r="H1197" s="19">
        <v>24</v>
      </c>
      <c r="I1197" s="80">
        <v>1.32</v>
      </c>
      <c r="J1197" s="80">
        <v>31.78</v>
      </c>
      <c r="K1197" s="19" t="s">
        <v>184</v>
      </c>
      <c r="L1197" s="19" t="s">
        <v>1770</v>
      </c>
      <c r="Q1197" s="20">
        <v>22</v>
      </c>
      <c r="R1197" s="65" t="s">
        <v>1572</v>
      </c>
      <c r="T1197" s="19" t="s">
        <v>307</v>
      </c>
      <c r="V1197" s="19" t="s">
        <v>178</v>
      </c>
      <c r="W1197" s="19" t="s">
        <v>138</v>
      </c>
      <c r="Z1197" s="44" t="s">
        <v>1573</v>
      </c>
      <c r="AA1197" s="44" t="s">
        <v>180</v>
      </c>
      <c r="AC1197" s="19" t="s">
        <v>1771</v>
      </c>
    </row>
    <row r="1198" spans="1:29" hidden="1" x14ac:dyDescent="0.25">
      <c r="A1198" s="26">
        <v>196</v>
      </c>
      <c r="B1198" s="19" t="s">
        <v>1789</v>
      </c>
      <c r="C1198" s="44" t="s">
        <v>273</v>
      </c>
      <c r="D1198" s="19" t="s">
        <v>1608</v>
      </c>
      <c r="E1198" s="19">
        <v>12</v>
      </c>
      <c r="F1198" s="19">
        <v>116</v>
      </c>
      <c r="G1198" s="19">
        <v>144</v>
      </c>
      <c r="H1198" s="19">
        <v>24</v>
      </c>
      <c r="I1198" s="80">
        <v>1.32</v>
      </c>
      <c r="J1198" s="80">
        <v>31.78</v>
      </c>
      <c r="K1198" s="19" t="s">
        <v>184</v>
      </c>
      <c r="L1198" s="19" t="s">
        <v>1770</v>
      </c>
      <c r="Q1198" s="20">
        <v>22</v>
      </c>
      <c r="R1198" s="65" t="s">
        <v>1572</v>
      </c>
      <c r="T1198" s="19" t="s">
        <v>307</v>
      </c>
      <c r="V1198" s="19" t="s">
        <v>178</v>
      </c>
      <c r="W1198" s="19" t="s">
        <v>138</v>
      </c>
      <c r="Z1198" s="44" t="s">
        <v>1573</v>
      </c>
      <c r="AA1198" s="44" t="s">
        <v>180</v>
      </c>
      <c r="AC1198" s="19" t="s">
        <v>1771</v>
      </c>
    </row>
    <row r="1199" spans="1:29" hidden="1" x14ac:dyDescent="0.25">
      <c r="A1199" s="26">
        <v>197</v>
      </c>
      <c r="B1199" s="19" t="s">
        <v>1790</v>
      </c>
      <c r="C1199" s="44" t="s">
        <v>273</v>
      </c>
      <c r="D1199" s="19" t="s">
        <v>1608</v>
      </c>
      <c r="E1199" s="19">
        <v>12</v>
      </c>
      <c r="F1199" s="19">
        <v>116</v>
      </c>
      <c r="G1199" s="19">
        <v>144</v>
      </c>
      <c r="H1199" s="19">
        <v>24</v>
      </c>
      <c r="I1199" s="80">
        <v>1.32</v>
      </c>
      <c r="J1199" s="80">
        <v>31.78</v>
      </c>
      <c r="K1199" s="19" t="s">
        <v>184</v>
      </c>
      <c r="L1199" s="19" t="s">
        <v>1770</v>
      </c>
      <c r="Q1199" s="20">
        <v>22</v>
      </c>
      <c r="R1199" s="65" t="s">
        <v>1572</v>
      </c>
      <c r="T1199" s="19" t="s">
        <v>307</v>
      </c>
      <c r="V1199" s="19" t="s">
        <v>178</v>
      </c>
      <c r="W1199" s="19" t="s">
        <v>138</v>
      </c>
      <c r="Z1199" s="44" t="s">
        <v>1573</v>
      </c>
      <c r="AA1199" s="44" t="s">
        <v>180</v>
      </c>
      <c r="AC1199" s="19" t="s">
        <v>1771</v>
      </c>
    </row>
    <row r="1200" spans="1:29" hidden="1" x14ac:dyDescent="0.25">
      <c r="A1200" s="26">
        <v>198</v>
      </c>
      <c r="B1200" s="19" t="s">
        <v>1791</v>
      </c>
      <c r="C1200" s="44" t="s">
        <v>273</v>
      </c>
      <c r="D1200" s="19" t="s">
        <v>1608</v>
      </c>
      <c r="E1200" s="19">
        <v>12</v>
      </c>
      <c r="F1200" s="19">
        <v>116</v>
      </c>
      <c r="G1200" s="19">
        <v>144</v>
      </c>
      <c r="H1200" s="19">
        <v>24</v>
      </c>
      <c r="I1200" s="80">
        <v>1.32</v>
      </c>
      <c r="J1200" s="80">
        <v>31.78</v>
      </c>
      <c r="K1200" s="19" t="s">
        <v>184</v>
      </c>
      <c r="L1200" s="19" t="s">
        <v>1770</v>
      </c>
      <c r="Q1200" s="20">
        <v>22</v>
      </c>
      <c r="R1200" s="65" t="s">
        <v>1572</v>
      </c>
      <c r="T1200" s="19" t="s">
        <v>307</v>
      </c>
      <c r="V1200" s="19" t="s">
        <v>178</v>
      </c>
      <c r="W1200" s="19" t="s">
        <v>138</v>
      </c>
      <c r="Z1200" s="44" t="s">
        <v>1573</v>
      </c>
      <c r="AA1200" s="44" t="s">
        <v>180</v>
      </c>
      <c r="AC1200" s="19" t="s">
        <v>1771</v>
      </c>
    </row>
    <row r="1201" spans="1:29" hidden="1" x14ac:dyDescent="0.25">
      <c r="A1201" s="26">
        <v>199</v>
      </c>
      <c r="B1201" s="19" t="s">
        <v>1792</v>
      </c>
      <c r="C1201" s="44" t="s">
        <v>273</v>
      </c>
      <c r="D1201" s="19" t="s">
        <v>1608</v>
      </c>
      <c r="E1201" s="19">
        <v>12</v>
      </c>
      <c r="F1201" s="19">
        <v>116</v>
      </c>
      <c r="G1201" s="19">
        <v>144</v>
      </c>
      <c r="H1201" s="19">
        <v>24</v>
      </c>
      <c r="I1201" s="80">
        <v>1.32</v>
      </c>
      <c r="J1201" s="80">
        <v>31.78</v>
      </c>
      <c r="K1201" s="19" t="s">
        <v>184</v>
      </c>
      <c r="L1201" s="19" t="s">
        <v>1770</v>
      </c>
      <c r="Q1201" s="20">
        <v>22</v>
      </c>
      <c r="R1201" s="65" t="s">
        <v>1572</v>
      </c>
      <c r="T1201" s="19" t="s">
        <v>307</v>
      </c>
      <c r="V1201" s="19" t="s">
        <v>178</v>
      </c>
      <c r="W1201" s="19" t="s">
        <v>138</v>
      </c>
      <c r="Z1201" s="44" t="s">
        <v>1573</v>
      </c>
      <c r="AA1201" s="44" t="s">
        <v>180</v>
      </c>
      <c r="AC1201" s="19" t="s">
        <v>1771</v>
      </c>
    </row>
    <row r="1202" spans="1:29" hidden="1" x14ac:dyDescent="0.25">
      <c r="A1202" s="26">
        <v>200</v>
      </c>
      <c r="B1202" s="19" t="s">
        <v>1793</v>
      </c>
      <c r="C1202" s="44" t="s">
        <v>273</v>
      </c>
      <c r="D1202" s="19" t="s">
        <v>1608</v>
      </c>
      <c r="E1202" s="19">
        <v>12</v>
      </c>
      <c r="F1202" s="19">
        <v>116</v>
      </c>
      <c r="G1202" s="19">
        <v>144</v>
      </c>
      <c r="H1202" s="19">
        <v>24</v>
      </c>
      <c r="I1202" s="80">
        <v>1.32</v>
      </c>
      <c r="J1202" s="80">
        <v>31.78</v>
      </c>
      <c r="K1202" s="19" t="s">
        <v>184</v>
      </c>
      <c r="L1202" s="19" t="s">
        <v>1770</v>
      </c>
      <c r="Q1202" s="20">
        <v>22</v>
      </c>
      <c r="R1202" s="65" t="s">
        <v>1572</v>
      </c>
      <c r="T1202" s="19" t="s">
        <v>307</v>
      </c>
      <c r="V1202" s="19" t="s">
        <v>178</v>
      </c>
      <c r="W1202" s="19" t="s">
        <v>138</v>
      </c>
      <c r="Z1202" s="44" t="s">
        <v>1573</v>
      </c>
      <c r="AA1202" s="44" t="s">
        <v>180</v>
      </c>
      <c r="AC1202" s="19" t="s">
        <v>1771</v>
      </c>
    </row>
    <row r="1203" spans="1:29" hidden="1" x14ac:dyDescent="0.25">
      <c r="A1203" s="26">
        <v>201</v>
      </c>
      <c r="B1203" s="19" t="s">
        <v>1794</v>
      </c>
      <c r="C1203" s="44" t="s">
        <v>273</v>
      </c>
      <c r="D1203" s="19" t="s">
        <v>1608</v>
      </c>
      <c r="E1203" s="19">
        <v>12</v>
      </c>
      <c r="F1203" s="19">
        <v>116</v>
      </c>
      <c r="G1203" s="19">
        <v>144</v>
      </c>
      <c r="H1203" s="19">
        <v>24</v>
      </c>
      <c r="I1203" s="80">
        <v>1.32</v>
      </c>
      <c r="J1203" s="80">
        <v>31.78</v>
      </c>
      <c r="K1203" s="19" t="s">
        <v>184</v>
      </c>
      <c r="L1203" s="19" t="s">
        <v>1770</v>
      </c>
      <c r="Q1203" s="20">
        <v>22</v>
      </c>
      <c r="R1203" s="65" t="s">
        <v>1572</v>
      </c>
      <c r="T1203" s="19" t="s">
        <v>307</v>
      </c>
      <c r="V1203" s="19" t="s">
        <v>178</v>
      </c>
      <c r="W1203" s="19" t="s">
        <v>138</v>
      </c>
      <c r="Z1203" s="44" t="s">
        <v>1573</v>
      </c>
      <c r="AA1203" s="44" t="s">
        <v>180</v>
      </c>
      <c r="AC1203" s="19" t="s">
        <v>1771</v>
      </c>
    </row>
    <row r="1204" spans="1:29" hidden="1" x14ac:dyDescent="0.25">
      <c r="A1204" s="26">
        <v>202</v>
      </c>
      <c r="B1204" s="19" t="s">
        <v>1795</v>
      </c>
      <c r="C1204" s="44" t="s">
        <v>273</v>
      </c>
      <c r="D1204" s="19" t="s">
        <v>1608</v>
      </c>
      <c r="E1204" s="19">
        <v>12</v>
      </c>
      <c r="F1204" s="19">
        <v>116</v>
      </c>
      <c r="G1204" s="19">
        <v>144</v>
      </c>
      <c r="H1204" s="19">
        <v>24</v>
      </c>
      <c r="I1204" s="80">
        <v>1.32</v>
      </c>
      <c r="J1204" s="80">
        <v>31.78</v>
      </c>
      <c r="K1204" s="19" t="s">
        <v>184</v>
      </c>
      <c r="L1204" s="19" t="s">
        <v>1770</v>
      </c>
      <c r="Q1204" s="20">
        <v>22</v>
      </c>
      <c r="R1204" s="65" t="s">
        <v>1572</v>
      </c>
      <c r="T1204" s="19" t="s">
        <v>307</v>
      </c>
      <c r="V1204" s="19" t="s">
        <v>178</v>
      </c>
      <c r="W1204" s="19" t="s">
        <v>138</v>
      </c>
      <c r="Z1204" s="44" t="s">
        <v>1573</v>
      </c>
      <c r="AA1204" s="44" t="s">
        <v>180</v>
      </c>
      <c r="AC1204" s="19" t="s">
        <v>1771</v>
      </c>
    </row>
    <row r="1205" spans="1:29" hidden="1" x14ac:dyDescent="0.25">
      <c r="A1205" s="26">
        <v>203</v>
      </c>
      <c r="B1205" s="19" t="s">
        <v>1796</v>
      </c>
      <c r="C1205" s="44" t="s">
        <v>273</v>
      </c>
      <c r="D1205" s="19" t="s">
        <v>1608</v>
      </c>
      <c r="E1205" s="19">
        <v>12</v>
      </c>
      <c r="F1205" s="19">
        <v>116</v>
      </c>
      <c r="G1205" s="19">
        <v>144</v>
      </c>
      <c r="H1205" s="19">
        <v>24</v>
      </c>
      <c r="I1205" s="80">
        <v>1.32</v>
      </c>
      <c r="J1205" s="80">
        <v>31.78</v>
      </c>
      <c r="K1205" s="19" t="s">
        <v>184</v>
      </c>
      <c r="L1205" s="19" t="s">
        <v>1770</v>
      </c>
      <c r="Q1205" s="20">
        <v>22</v>
      </c>
      <c r="R1205" s="65" t="s">
        <v>1572</v>
      </c>
      <c r="T1205" s="19" t="s">
        <v>307</v>
      </c>
      <c r="V1205" s="19" t="s">
        <v>178</v>
      </c>
      <c r="W1205" s="19" t="s">
        <v>138</v>
      </c>
      <c r="Z1205" s="44" t="s">
        <v>1573</v>
      </c>
      <c r="AA1205" s="44" t="s">
        <v>180</v>
      </c>
      <c r="AC1205" s="19" t="s">
        <v>1771</v>
      </c>
    </row>
    <row r="1206" spans="1:29" hidden="1" x14ac:dyDescent="0.25">
      <c r="A1206" s="26">
        <v>204</v>
      </c>
      <c r="B1206" s="19" t="s">
        <v>1797</v>
      </c>
      <c r="C1206" s="44" t="s">
        <v>273</v>
      </c>
      <c r="D1206" s="19" t="s">
        <v>1608</v>
      </c>
      <c r="E1206" s="19">
        <v>12</v>
      </c>
      <c r="F1206" s="19">
        <v>116</v>
      </c>
      <c r="G1206" s="19">
        <v>144</v>
      </c>
      <c r="H1206" s="19">
        <v>18</v>
      </c>
      <c r="I1206" s="80">
        <v>1.32</v>
      </c>
      <c r="J1206" s="80">
        <v>23.83</v>
      </c>
      <c r="K1206" s="19" t="s">
        <v>184</v>
      </c>
      <c r="L1206" s="19" t="s">
        <v>1770</v>
      </c>
      <c r="Q1206" s="20">
        <v>22</v>
      </c>
      <c r="R1206" s="65" t="s">
        <v>1572</v>
      </c>
      <c r="T1206" s="19" t="s">
        <v>307</v>
      </c>
      <c r="V1206" s="19" t="s">
        <v>178</v>
      </c>
      <c r="W1206" s="19" t="s">
        <v>138</v>
      </c>
      <c r="Z1206" s="44" t="s">
        <v>1573</v>
      </c>
      <c r="AA1206" s="44" t="s">
        <v>180</v>
      </c>
      <c r="AC1206" s="19" t="s">
        <v>1771</v>
      </c>
    </row>
    <row r="1207" spans="1:29" hidden="1" x14ac:dyDescent="0.25">
      <c r="A1207" s="26">
        <v>205</v>
      </c>
      <c r="B1207" s="19" t="s">
        <v>1798</v>
      </c>
      <c r="C1207" s="44" t="s">
        <v>273</v>
      </c>
      <c r="D1207" s="19" t="s">
        <v>1608</v>
      </c>
      <c r="E1207" s="19">
        <v>12</v>
      </c>
      <c r="F1207" s="19">
        <v>116</v>
      </c>
      <c r="G1207" s="19">
        <v>144</v>
      </c>
      <c r="H1207" s="19">
        <v>18</v>
      </c>
      <c r="I1207" s="80">
        <v>1.32</v>
      </c>
      <c r="J1207" s="80">
        <v>23.83</v>
      </c>
      <c r="K1207" s="19" t="s">
        <v>184</v>
      </c>
      <c r="L1207" s="19" t="s">
        <v>1770</v>
      </c>
      <c r="Q1207" s="20">
        <v>22</v>
      </c>
      <c r="R1207" s="65" t="s">
        <v>1572</v>
      </c>
      <c r="T1207" s="19" t="s">
        <v>307</v>
      </c>
      <c r="V1207" s="19" t="s">
        <v>178</v>
      </c>
      <c r="W1207" s="19" t="s">
        <v>138</v>
      </c>
      <c r="Z1207" s="44" t="s">
        <v>1573</v>
      </c>
      <c r="AA1207" s="44" t="s">
        <v>180</v>
      </c>
      <c r="AC1207" s="19" t="s">
        <v>1771</v>
      </c>
    </row>
    <row r="1208" spans="1:29" hidden="1" x14ac:dyDescent="0.25">
      <c r="A1208" s="26">
        <v>206</v>
      </c>
      <c r="B1208" s="19" t="s">
        <v>1799</v>
      </c>
      <c r="C1208" s="44" t="s">
        <v>273</v>
      </c>
      <c r="D1208" s="19" t="s">
        <v>1608</v>
      </c>
      <c r="E1208" s="19">
        <v>12</v>
      </c>
      <c r="F1208" s="19">
        <v>116</v>
      </c>
      <c r="G1208" s="19">
        <v>144</v>
      </c>
      <c r="H1208" s="19">
        <v>18</v>
      </c>
      <c r="I1208" s="80">
        <v>1.32</v>
      </c>
      <c r="J1208" s="80">
        <v>23.83</v>
      </c>
      <c r="K1208" s="19" t="s">
        <v>184</v>
      </c>
      <c r="L1208" s="19" t="s">
        <v>1770</v>
      </c>
      <c r="Q1208" s="20">
        <v>22</v>
      </c>
      <c r="R1208" s="65" t="s">
        <v>1572</v>
      </c>
      <c r="T1208" s="19" t="s">
        <v>307</v>
      </c>
      <c r="V1208" s="19" t="s">
        <v>178</v>
      </c>
      <c r="W1208" s="19" t="s">
        <v>138</v>
      </c>
      <c r="Z1208" s="44" t="s">
        <v>1573</v>
      </c>
      <c r="AA1208" s="44" t="s">
        <v>180</v>
      </c>
      <c r="AC1208" s="19" t="s">
        <v>1771</v>
      </c>
    </row>
    <row r="1209" spans="1:29" hidden="1" x14ac:dyDescent="0.25">
      <c r="A1209" s="26">
        <v>207</v>
      </c>
      <c r="B1209" s="19" t="s">
        <v>1800</v>
      </c>
      <c r="C1209" s="44" t="s">
        <v>273</v>
      </c>
      <c r="D1209" s="19" t="s">
        <v>1608</v>
      </c>
      <c r="E1209" s="19">
        <v>12</v>
      </c>
      <c r="F1209" s="19">
        <v>116</v>
      </c>
      <c r="G1209" s="19">
        <v>144</v>
      </c>
      <c r="H1209" s="19">
        <v>18</v>
      </c>
      <c r="I1209" s="80">
        <v>1.32</v>
      </c>
      <c r="J1209" s="80">
        <v>23.83</v>
      </c>
      <c r="K1209" s="19" t="s">
        <v>184</v>
      </c>
      <c r="L1209" s="19" t="s">
        <v>1770</v>
      </c>
      <c r="Q1209" s="20">
        <v>22</v>
      </c>
      <c r="R1209" s="65" t="s">
        <v>1572</v>
      </c>
      <c r="T1209" s="19" t="s">
        <v>307</v>
      </c>
      <c r="V1209" s="19" t="s">
        <v>178</v>
      </c>
      <c r="W1209" s="19" t="s">
        <v>138</v>
      </c>
      <c r="Z1209" s="44" t="s">
        <v>1573</v>
      </c>
      <c r="AA1209" s="44" t="s">
        <v>180</v>
      </c>
      <c r="AC1209" s="19" t="s">
        <v>1771</v>
      </c>
    </row>
    <row r="1210" spans="1:29" hidden="1" x14ac:dyDescent="0.25">
      <c r="A1210" s="26">
        <v>208</v>
      </c>
      <c r="B1210" s="19" t="s">
        <v>1801</v>
      </c>
      <c r="C1210" s="44" t="s">
        <v>273</v>
      </c>
      <c r="D1210" s="19" t="s">
        <v>1608</v>
      </c>
      <c r="E1210" s="19">
        <v>12</v>
      </c>
      <c r="F1210" s="19">
        <v>116</v>
      </c>
      <c r="G1210" s="19">
        <v>144</v>
      </c>
      <c r="H1210" s="19">
        <v>18</v>
      </c>
      <c r="I1210" s="80">
        <v>1.32</v>
      </c>
      <c r="J1210" s="80">
        <v>23.83</v>
      </c>
      <c r="K1210" s="19" t="s">
        <v>184</v>
      </c>
      <c r="L1210" s="19" t="s">
        <v>1770</v>
      </c>
      <c r="Q1210" s="20">
        <v>22</v>
      </c>
      <c r="R1210" s="65" t="s">
        <v>1572</v>
      </c>
      <c r="T1210" s="19" t="s">
        <v>307</v>
      </c>
      <c r="V1210" s="19" t="s">
        <v>178</v>
      </c>
      <c r="W1210" s="19" t="s">
        <v>138</v>
      </c>
      <c r="Z1210" s="44" t="s">
        <v>1573</v>
      </c>
      <c r="AA1210" s="44" t="s">
        <v>180</v>
      </c>
      <c r="AC1210" s="19" t="s">
        <v>1771</v>
      </c>
    </row>
    <row r="1211" spans="1:29" hidden="1" x14ac:dyDescent="0.25">
      <c r="A1211" s="26">
        <v>209</v>
      </c>
      <c r="B1211" s="19" t="s">
        <v>1802</v>
      </c>
      <c r="C1211" s="44" t="s">
        <v>273</v>
      </c>
      <c r="D1211" s="19" t="s">
        <v>803</v>
      </c>
      <c r="E1211" s="19">
        <v>12</v>
      </c>
      <c r="F1211" s="19">
        <v>135</v>
      </c>
      <c r="G1211" s="19">
        <v>488</v>
      </c>
      <c r="H1211" s="19">
        <v>4</v>
      </c>
      <c r="I1211" s="80">
        <v>6.19</v>
      </c>
      <c r="J1211" s="80">
        <v>24.76</v>
      </c>
      <c r="K1211" s="19" t="s">
        <v>184</v>
      </c>
      <c r="L1211" s="19" t="s">
        <v>1770</v>
      </c>
      <c r="Q1211" s="20">
        <v>22</v>
      </c>
      <c r="R1211" s="65" t="s">
        <v>1572</v>
      </c>
      <c r="T1211" s="19" t="s">
        <v>307</v>
      </c>
      <c r="V1211" s="19" t="s">
        <v>178</v>
      </c>
      <c r="W1211" s="19" t="s">
        <v>138</v>
      </c>
      <c r="Z1211" s="44" t="s">
        <v>1573</v>
      </c>
      <c r="AA1211" s="44" t="s">
        <v>180</v>
      </c>
      <c r="AC1211" s="19" t="s">
        <v>1771</v>
      </c>
    </row>
    <row r="1212" spans="1:29" hidden="1" x14ac:dyDescent="0.25">
      <c r="A1212" s="26">
        <v>210</v>
      </c>
      <c r="B1212" s="19" t="s">
        <v>1803</v>
      </c>
      <c r="C1212" s="44" t="s">
        <v>273</v>
      </c>
      <c r="D1212" s="19" t="s">
        <v>1608</v>
      </c>
      <c r="E1212" s="19">
        <v>12</v>
      </c>
      <c r="F1212" s="19">
        <v>116</v>
      </c>
      <c r="G1212" s="19">
        <v>144</v>
      </c>
      <c r="H1212" s="19">
        <v>4</v>
      </c>
      <c r="I1212" s="80">
        <v>1.32</v>
      </c>
      <c r="J1212" s="80">
        <v>5.3</v>
      </c>
      <c r="K1212" s="19" t="s">
        <v>184</v>
      </c>
      <c r="L1212" s="19" t="s">
        <v>1770</v>
      </c>
      <c r="Q1212" s="20">
        <v>22</v>
      </c>
      <c r="R1212" s="65" t="s">
        <v>1572</v>
      </c>
      <c r="T1212" s="19" t="s">
        <v>307</v>
      </c>
      <c r="V1212" s="19" t="s">
        <v>178</v>
      </c>
      <c r="W1212" s="19" t="s">
        <v>138</v>
      </c>
      <c r="Z1212" s="44" t="s">
        <v>1573</v>
      </c>
      <c r="AA1212" s="44" t="s">
        <v>180</v>
      </c>
      <c r="AC1212" s="19" t="s">
        <v>1771</v>
      </c>
    </row>
    <row r="1213" spans="1:29" hidden="1" x14ac:dyDescent="0.25">
      <c r="A1213" s="26">
        <v>211</v>
      </c>
      <c r="B1213" s="19" t="s">
        <v>1766</v>
      </c>
      <c r="C1213" s="44" t="s">
        <v>273</v>
      </c>
      <c r="D1213" s="19" t="s">
        <v>803</v>
      </c>
      <c r="E1213" s="19">
        <v>12</v>
      </c>
      <c r="F1213" s="19">
        <v>135</v>
      </c>
      <c r="G1213" s="19">
        <v>488</v>
      </c>
      <c r="H1213" s="19">
        <v>3</v>
      </c>
      <c r="I1213" s="80">
        <v>6.19</v>
      </c>
      <c r="J1213" s="80">
        <v>18.57</v>
      </c>
      <c r="K1213" s="19" t="s">
        <v>184</v>
      </c>
      <c r="L1213" s="19" t="s">
        <v>1770</v>
      </c>
      <c r="Q1213" s="20">
        <v>22</v>
      </c>
      <c r="R1213" s="65" t="s">
        <v>1572</v>
      </c>
      <c r="T1213" s="19" t="s">
        <v>307</v>
      </c>
      <c r="V1213" s="19" t="s">
        <v>178</v>
      </c>
      <c r="W1213" s="19" t="s">
        <v>138</v>
      </c>
      <c r="Z1213" s="44" t="s">
        <v>1573</v>
      </c>
      <c r="AA1213" s="44" t="s">
        <v>180</v>
      </c>
      <c r="AC1213" s="19" t="s">
        <v>1771</v>
      </c>
    </row>
    <row r="1214" spans="1:29" hidden="1" x14ac:dyDescent="0.25">
      <c r="A1214" s="26">
        <v>212</v>
      </c>
      <c r="B1214" s="19" t="s">
        <v>1804</v>
      </c>
      <c r="C1214" s="44" t="s">
        <v>273</v>
      </c>
      <c r="D1214" s="19" t="s">
        <v>803</v>
      </c>
      <c r="E1214" s="19">
        <v>12</v>
      </c>
      <c r="F1214" s="19">
        <v>135</v>
      </c>
      <c r="G1214" s="19">
        <v>488</v>
      </c>
      <c r="H1214" s="19">
        <v>4</v>
      </c>
      <c r="I1214" s="80">
        <v>6.19</v>
      </c>
      <c r="J1214" s="80">
        <v>24.76</v>
      </c>
      <c r="K1214" s="19" t="s">
        <v>184</v>
      </c>
      <c r="L1214" s="19" t="s">
        <v>1770</v>
      </c>
      <c r="Q1214" s="20">
        <v>22</v>
      </c>
      <c r="R1214" s="65" t="s">
        <v>1572</v>
      </c>
      <c r="T1214" s="19" t="s">
        <v>307</v>
      </c>
      <c r="V1214" s="19" t="s">
        <v>178</v>
      </c>
      <c r="W1214" s="19" t="s">
        <v>138</v>
      </c>
      <c r="Z1214" s="44" t="s">
        <v>1573</v>
      </c>
      <c r="AA1214" s="44" t="s">
        <v>180</v>
      </c>
      <c r="AC1214" s="19" t="s">
        <v>1771</v>
      </c>
    </row>
    <row r="1215" spans="1:29" hidden="1" x14ac:dyDescent="0.25">
      <c r="A1215" s="26">
        <v>213</v>
      </c>
      <c r="B1215" s="19" t="s">
        <v>1805</v>
      </c>
      <c r="C1215" s="44" t="s">
        <v>273</v>
      </c>
      <c r="D1215" s="19" t="s">
        <v>803</v>
      </c>
      <c r="E1215" s="19">
        <v>12</v>
      </c>
      <c r="F1215" s="19">
        <v>135</v>
      </c>
      <c r="G1215" s="19">
        <v>488</v>
      </c>
      <c r="H1215" s="19">
        <v>4</v>
      </c>
      <c r="I1215" s="80">
        <v>6.19</v>
      </c>
      <c r="J1215" s="80">
        <v>24.76</v>
      </c>
      <c r="K1215" s="19" t="s">
        <v>184</v>
      </c>
      <c r="L1215" s="19" t="s">
        <v>1770</v>
      </c>
      <c r="Q1215" s="20">
        <v>22</v>
      </c>
      <c r="R1215" s="65" t="s">
        <v>1572</v>
      </c>
      <c r="T1215" s="19" t="s">
        <v>307</v>
      </c>
      <c r="V1215" s="19" t="s">
        <v>178</v>
      </c>
      <c r="W1215" s="19" t="s">
        <v>138</v>
      </c>
      <c r="Z1215" s="44" t="s">
        <v>1573</v>
      </c>
      <c r="AA1215" s="44" t="s">
        <v>180</v>
      </c>
      <c r="AC1215" s="19" t="s">
        <v>1771</v>
      </c>
    </row>
    <row r="1216" spans="1:29" hidden="1" x14ac:dyDescent="0.25">
      <c r="A1216" s="26">
        <v>214</v>
      </c>
      <c r="B1216" s="19" t="s">
        <v>1806</v>
      </c>
      <c r="C1216" s="44" t="s">
        <v>273</v>
      </c>
      <c r="D1216" s="19" t="s">
        <v>803</v>
      </c>
      <c r="E1216" s="19">
        <v>12</v>
      </c>
      <c r="F1216" s="19">
        <v>135</v>
      </c>
      <c r="G1216" s="19">
        <v>488</v>
      </c>
      <c r="H1216" s="19">
        <v>4</v>
      </c>
      <c r="I1216" s="80">
        <v>6.19</v>
      </c>
      <c r="J1216" s="80">
        <v>24.76</v>
      </c>
      <c r="K1216" s="19" t="s">
        <v>184</v>
      </c>
      <c r="L1216" s="19" t="s">
        <v>1770</v>
      </c>
      <c r="Q1216" s="20">
        <v>22</v>
      </c>
      <c r="R1216" s="65" t="s">
        <v>1572</v>
      </c>
      <c r="T1216" s="19" t="s">
        <v>307</v>
      </c>
      <c r="V1216" s="19" t="s">
        <v>178</v>
      </c>
      <c r="W1216" s="19" t="s">
        <v>138</v>
      </c>
      <c r="Z1216" s="44" t="s">
        <v>1573</v>
      </c>
      <c r="AA1216" s="44" t="s">
        <v>180</v>
      </c>
      <c r="AC1216" s="19" t="s">
        <v>1771</v>
      </c>
    </row>
    <row r="1217" spans="1:29" hidden="1" x14ac:dyDescent="0.25">
      <c r="A1217" s="26">
        <v>215</v>
      </c>
      <c r="B1217" s="19" t="s">
        <v>1807</v>
      </c>
      <c r="C1217" s="44" t="s">
        <v>273</v>
      </c>
      <c r="D1217" s="19" t="s">
        <v>803</v>
      </c>
      <c r="E1217" s="19">
        <v>12</v>
      </c>
      <c r="F1217" s="19">
        <v>135</v>
      </c>
      <c r="G1217" s="19">
        <v>488</v>
      </c>
      <c r="H1217" s="19">
        <v>4</v>
      </c>
      <c r="I1217" s="80">
        <v>6.19</v>
      </c>
      <c r="J1217" s="80">
        <v>24.76</v>
      </c>
      <c r="K1217" s="19" t="s">
        <v>184</v>
      </c>
      <c r="L1217" s="19" t="s">
        <v>1770</v>
      </c>
      <c r="Q1217" s="20">
        <v>22</v>
      </c>
      <c r="R1217" s="65" t="s">
        <v>1572</v>
      </c>
      <c r="T1217" s="19" t="s">
        <v>307</v>
      </c>
      <c r="V1217" s="19" t="s">
        <v>178</v>
      </c>
      <c r="W1217" s="19" t="s">
        <v>138</v>
      </c>
      <c r="Z1217" s="44" t="s">
        <v>1573</v>
      </c>
      <c r="AA1217" s="44" t="s">
        <v>180</v>
      </c>
      <c r="AC1217" s="19" t="s">
        <v>1771</v>
      </c>
    </row>
    <row r="1218" spans="1:29" hidden="1" x14ac:dyDescent="0.25">
      <c r="A1218" s="26">
        <v>216</v>
      </c>
      <c r="B1218" s="19" t="s">
        <v>1808</v>
      </c>
      <c r="C1218" s="44" t="s">
        <v>273</v>
      </c>
      <c r="D1218" s="19" t="s">
        <v>803</v>
      </c>
      <c r="E1218" s="19">
        <v>12</v>
      </c>
      <c r="F1218" s="19">
        <v>135</v>
      </c>
      <c r="G1218" s="19">
        <v>488</v>
      </c>
      <c r="H1218" s="19">
        <v>4</v>
      </c>
      <c r="I1218" s="80">
        <v>6.19</v>
      </c>
      <c r="J1218" s="80">
        <v>24.76</v>
      </c>
      <c r="K1218" s="19" t="s">
        <v>184</v>
      </c>
      <c r="L1218" s="19" t="s">
        <v>1770</v>
      </c>
      <c r="Q1218" s="20">
        <v>22</v>
      </c>
      <c r="R1218" s="65" t="s">
        <v>1572</v>
      </c>
      <c r="T1218" s="19" t="s">
        <v>307</v>
      </c>
      <c r="V1218" s="19" t="s">
        <v>178</v>
      </c>
      <c r="W1218" s="19" t="s">
        <v>138</v>
      </c>
      <c r="Z1218" s="44" t="s">
        <v>1573</v>
      </c>
      <c r="AA1218" s="44" t="s">
        <v>180</v>
      </c>
      <c r="AC1218" s="19" t="s">
        <v>1771</v>
      </c>
    </row>
    <row r="1219" spans="1:29" hidden="1" x14ac:dyDescent="0.25">
      <c r="A1219" s="26">
        <v>217</v>
      </c>
      <c r="B1219" s="19" t="s">
        <v>1809</v>
      </c>
      <c r="C1219" s="44" t="s">
        <v>273</v>
      </c>
      <c r="D1219" s="19" t="s">
        <v>1608</v>
      </c>
      <c r="E1219" s="19">
        <v>12</v>
      </c>
      <c r="F1219" s="19">
        <v>116</v>
      </c>
      <c r="G1219" s="19">
        <v>144</v>
      </c>
      <c r="H1219" s="19">
        <v>4</v>
      </c>
      <c r="I1219" s="80">
        <v>1.32</v>
      </c>
      <c r="J1219" s="80">
        <v>5.3</v>
      </c>
      <c r="K1219" s="19" t="s">
        <v>184</v>
      </c>
      <c r="L1219" s="19" t="s">
        <v>1770</v>
      </c>
      <c r="Q1219" s="20">
        <v>22</v>
      </c>
      <c r="R1219" s="65" t="s">
        <v>1572</v>
      </c>
      <c r="T1219" s="19" t="s">
        <v>307</v>
      </c>
      <c r="V1219" s="19" t="s">
        <v>178</v>
      </c>
      <c r="W1219" s="19" t="s">
        <v>138</v>
      </c>
      <c r="Z1219" s="44" t="s">
        <v>1573</v>
      </c>
      <c r="AA1219" s="44" t="s">
        <v>180</v>
      </c>
      <c r="AC1219" s="19" t="s">
        <v>1771</v>
      </c>
    </row>
    <row r="1220" spans="1:29" hidden="1" x14ac:dyDescent="0.25">
      <c r="A1220" s="26">
        <v>218</v>
      </c>
      <c r="B1220" s="19" t="s">
        <v>1810</v>
      </c>
      <c r="C1220" s="44" t="s">
        <v>273</v>
      </c>
      <c r="D1220" s="19" t="s">
        <v>874</v>
      </c>
      <c r="E1220" s="19">
        <v>12</v>
      </c>
      <c r="F1220" s="19">
        <v>100</v>
      </c>
      <c r="G1220" s="19">
        <v>150</v>
      </c>
      <c r="H1220" s="19">
        <v>1</v>
      </c>
      <c r="I1220" s="80">
        <v>1.41</v>
      </c>
      <c r="J1220" s="80">
        <v>1.41</v>
      </c>
      <c r="K1220" s="19" t="s">
        <v>184</v>
      </c>
      <c r="L1220" s="19" t="s">
        <v>1770</v>
      </c>
      <c r="Q1220" s="20">
        <v>22</v>
      </c>
      <c r="R1220" s="65" t="s">
        <v>1572</v>
      </c>
      <c r="T1220" s="19" t="s">
        <v>307</v>
      </c>
      <c r="V1220" s="19" t="s">
        <v>178</v>
      </c>
      <c r="W1220" s="19" t="s">
        <v>138</v>
      </c>
      <c r="Z1220" s="44" t="s">
        <v>1573</v>
      </c>
      <c r="AA1220" s="44" t="s">
        <v>180</v>
      </c>
      <c r="AC1220" s="19" t="s">
        <v>1771</v>
      </c>
    </row>
    <row r="1221" spans="1:29" hidden="1" x14ac:dyDescent="0.25">
      <c r="A1221" s="26">
        <v>219</v>
      </c>
      <c r="B1221" s="19" t="s">
        <v>1811</v>
      </c>
      <c r="C1221" s="44" t="s">
        <v>273</v>
      </c>
      <c r="D1221" s="19" t="s">
        <v>803</v>
      </c>
      <c r="E1221" s="19">
        <v>12</v>
      </c>
      <c r="F1221" s="19">
        <v>135</v>
      </c>
      <c r="G1221" s="19">
        <v>488</v>
      </c>
      <c r="H1221" s="19">
        <v>4</v>
      </c>
      <c r="I1221" s="80">
        <v>6.19</v>
      </c>
      <c r="J1221" s="80">
        <v>24.76</v>
      </c>
      <c r="K1221" s="19" t="s">
        <v>184</v>
      </c>
      <c r="L1221" s="19" t="s">
        <v>1770</v>
      </c>
      <c r="Q1221" s="20">
        <v>22</v>
      </c>
      <c r="R1221" s="65" t="s">
        <v>1572</v>
      </c>
      <c r="T1221" s="19" t="s">
        <v>307</v>
      </c>
      <c r="V1221" s="19" t="s">
        <v>178</v>
      </c>
      <c r="W1221" s="19" t="s">
        <v>138</v>
      </c>
      <c r="Z1221" s="44" t="s">
        <v>1573</v>
      </c>
      <c r="AA1221" s="44" t="s">
        <v>180</v>
      </c>
      <c r="AC1221" s="19" t="s">
        <v>1771</v>
      </c>
    </row>
    <row r="1222" spans="1:29" hidden="1" x14ac:dyDescent="0.25">
      <c r="A1222" s="26">
        <v>220</v>
      </c>
      <c r="B1222" s="19" t="s">
        <v>1812</v>
      </c>
      <c r="C1222" s="44" t="s">
        <v>273</v>
      </c>
      <c r="D1222" s="19" t="s">
        <v>1608</v>
      </c>
      <c r="E1222" s="19">
        <v>12</v>
      </c>
      <c r="F1222" s="19">
        <v>116</v>
      </c>
      <c r="G1222" s="19">
        <v>144</v>
      </c>
      <c r="H1222" s="19">
        <v>4</v>
      </c>
      <c r="I1222" s="80">
        <v>1.32</v>
      </c>
      <c r="J1222" s="80">
        <v>5.3</v>
      </c>
      <c r="K1222" s="19" t="s">
        <v>184</v>
      </c>
      <c r="L1222" s="19" t="s">
        <v>1770</v>
      </c>
      <c r="Q1222" s="20">
        <v>22</v>
      </c>
      <c r="R1222" s="65" t="s">
        <v>1572</v>
      </c>
      <c r="T1222" s="19" t="s">
        <v>307</v>
      </c>
      <c r="V1222" s="19" t="s">
        <v>178</v>
      </c>
      <c r="W1222" s="19" t="s">
        <v>138</v>
      </c>
      <c r="Z1222" s="44" t="s">
        <v>1573</v>
      </c>
      <c r="AA1222" s="44" t="s">
        <v>180</v>
      </c>
      <c r="AC1222" s="19" t="s">
        <v>1771</v>
      </c>
    </row>
    <row r="1223" spans="1:29" hidden="1" x14ac:dyDescent="0.25">
      <c r="A1223" s="26">
        <v>221</v>
      </c>
      <c r="B1223" s="19" t="s">
        <v>1813</v>
      </c>
      <c r="C1223" s="44" t="s">
        <v>273</v>
      </c>
      <c r="D1223" s="19" t="s">
        <v>874</v>
      </c>
      <c r="E1223" s="19">
        <v>12</v>
      </c>
      <c r="F1223" s="19">
        <v>100</v>
      </c>
      <c r="G1223" s="19">
        <v>150</v>
      </c>
      <c r="H1223" s="19">
        <v>1</v>
      </c>
      <c r="I1223" s="80">
        <v>1.41</v>
      </c>
      <c r="J1223" s="80">
        <v>1.41</v>
      </c>
      <c r="K1223" s="19" t="s">
        <v>184</v>
      </c>
      <c r="L1223" s="19" t="s">
        <v>1770</v>
      </c>
      <c r="Q1223" s="20">
        <v>22</v>
      </c>
      <c r="R1223" s="65" t="s">
        <v>1572</v>
      </c>
      <c r="T1223" s="19" t="s">
        <v>307</v>
      </c>
      <c r="V1223" s="19" t="s">
        <v>178</v>
      </c>
      <c r="W1223" s="19" t="s">
        <v>138</v>
      </c>
      <c r="Z1223" s="44" t="s">
        <v>1573</v>
      </c>
      <c r="AA1223" s="44" t="s">
        <v>180</v>
      </c>
      <c r="AC1223" s="19" t="s">
        <v>1771</v>
      </c>
    </row>
    <row r="1224" spans="1:29" hidden="1" x14ac:dyDescent="0.25">
      <c r="A1224" s="26">
        <v>222</v>
      </c>
      <c r="B1224" s="19" t="s">
        <v>1769</v>
      </c>
      <c r="C1224" s="44" t="s">
        <v>273</v>
      </c>
      <c r="D1224" s="19" t="s">
        <v>1608</v>
      </c>
      <c r="E1224" s="19">
        <v>12</v>
      </c>
      <c r="F1224" s="19">
        <v>116</v>
      </c>
      <c r="G1224" s="19">
        <v>144</v>
      </c>
      <c r="H1224" s="19">
        <v>23</v>
      </c>
      <c r="I1224" s="80">
        <v>1.32</v>
      </c>
      <c r="J1224" s="80">
        <v>30.45</v>
      </c>
      <c r="K1224" s="19" t="s">
        <v>184</v>
      </c>
      <c r="L1224" s="19" t="s">
        <v>1814</v>
      </c>
      <c r="Q1224" s="20">
        <v>22</v>
      </c>
      <c r="R1224" s="65" t="s">
        <v>1572</v>
      </c>
      <c r="T1224" s="19" t="s">
        <v>307</v>
      </c>
      <c r="V1224" s="19" t="s">
        <v>178</v>
      </c>
      <c r="W1224" s="19" t="s">
        <v>138</v>
      </c>
      <c r="Z1224" s="44" t="s">
        <v>1573</v>
      </c>
      <c r="AA1224" s="44" t="s">
        <v>180</v>
      </c>
      <c r="AC1224" s="19" t="s">
        <v>1815</v>
      </c>
    </row>
    <row r="1225" spans="1:29" hidden="1" x14ac:dyDescent="0.25">
      <c r="A1225" s="26">
        <v>223</v>
      </c>
      <c r="B1225" s="19" t="s">
        <v>1816</v>
      </c>
      <c r="C1225" s="44" t="s">
        <v>273</v>
      </c>
      <c r="D1225" s="19" t="s">
        <v>1608</v>
      </c>
      <c r="E1225" s="19">
        <v>12</v>
      </c>
      <c r="F1225" s="19">
        <v>116</v>
      </c>
      <c r="G1225" s="19">
        <v>144</v>
      </c>
      <c r="H1225" s="19">
        <v>24</v>
      </c>
      <c r="I1225" s="80">
        <v>1.32</v>
      </c>
      <c r="J1225" s="80">
        <v>31.78</v>
      </c>
      <c r="K1225" s="19" t="s">
        <v>184</v>
      </c>
      <c r="L1225" s="19" t="s">
        <v>1814</v>
      </c>
      <c r="Q1225" s="20">
        <v>22</v>
      </c>
      <c r="R1225" s="65" t="s">
        <v>1572</v>
      </c>
      <c r="T1225" s="19" t="s">
        <v>307</v>
      </c>
      <c r="V1225" s="19" t="s">
        <v>178</v>
      </c>
      <c r="W1225" s="19" t="s">
        <v>138</v>
      </c>
      <c r="Z1225" s="44" t="s">
        <v>1573</v>
      </c>
      <c r="AA1225" s="44" t="s">
        <v>180</v>
      </c>
      <c r="AC1225" s="19" t="s">
        <v>1815</v>
      </c>
    </row>
    <row r="1226" spans="1:29" hidden="1" x14ac:dyDescent="0.25">
      <c r="A1226" s="26">
        <v>224</v>
      </c>
      <c r="B1226" s="19" t="s">
        <v>1817</v>
      </c>
      <c r="C1226" s="44" t="s">
        <v>273</v>
      </c>
      <c r="D1226" s="19" t="s">
        <v>812</v>
      </c>
      <c r="E1226" s="19">
        <v>12</v>
      </c>
      <c r="F1226" s="19">
        <v>490</v>
      </c>
      <c r="G1226" s="19">
        <v>6464</v>
      </c>
      <c r="H1226" s="19">
        <v>1</v>
      </c>
      <c r="I1226" s="80">
        <v>298.16000000000003</v>
      </c>
      <c r="J1226" s="80">
        <v>298.16000000000003</v>
      </c>
      <c r="K1226" s="19" t="s">
        <v>184</v>
      </c>
      <c r="L1226" s="19" t="s">
        <v>1814</v>
      </c>
      <c r="Q1226" s="20">
        <v>22</v>
      </c>
      <c r="R1226" s="65" t="s">
        <v>1572</v>
      </c>
      <c r="T1226" s="19" t="s">
        <v>307</v>
      </c>
      <c r="V1226" s="19" t="s">
        <v>178</v>
      </c>
      <c r="Y1226" s="19" t="s">
        <v>138</v>
      </c>
      <c r="Z1226" s="44" t="s">
        <v>1573</v>
      </c>
      <c r="AA1226" s="44" t="s">
        <v>180</v>
      </c>
      <c r="AC1226" s="19" t="s">
        <v>1815</v>
      </c>
    </row>
    <row r="1227" spans="1:29" hidden="1" x14ac:dyDescent="0.25">
      <c r="A1227" s="26">
        <v>225</v>
      </c>
      <c r="B1227" s="19" t="s">
        <v>1818</v>
      </c>
      <c r="C1227" s="44" t="s">
        <v>273</v>
      </c>
      <c r="D1227" s="19" t="s">
        <v>812</v>
      </c>
      <c r="E1227" s="19">
        <v>12</v>
      </c>
      <c r="F1227" s="19">
        <v>490</v>
      </c>
      <c r="G1227" s="19">
        <v>6464</v>
      </c>
      <c r="H1227" s="19">
        <v>1</v>
      </c>
      <c r="I1227" s="80">
        <v>298.16000000000003</v>
      </c>
      <c r="J1227" s="80">
        <v>298.16000000000003</v>
      </c>
      <c r="K1227" s="19" t="s">
        <v>184</v>
      </c>
      <c r="L1227" s="19" t="s">
        <v>1814</v>
      </c>
      <c r="Q1227" s="20">
        <v>22</v>
      </c>
      <c r="R1227" s="65" t="s">
        <v>1572</v>
      </c>
      <c r="T1227" s="19" t="s">
        <v>307</v>
      </c>
      <c r="V1227" s="19" t="s">
        <v>178</v>
      </c>
      <c r="Y1227" s="19" t="s">
        <v>138</v>
      </c>
      <c r="Z1227" s="44" t="s">
        <v>1573</v>
      </c>
      <c r="AA1227" s="44" t="s">
        <v>180</v>
      </c>
      <c r="AC1227" s="19" t="s">
        <v>1815</v>
      </c>
    </row>
    <row r="1228" spans="1:29" hidden="1" x14ac:dyDescent="0.25">
      <c r="A1228" s="26">
        <v>226</v>
      </c>
      <c r="B1228" s="19" t="s">
        <v>1819</v>
      </c>
      <c r="C1228" s="44" t="s">
        <v>273</v>
      </c>
      <c r="D1228" s="19" t="s">
        <v>1608</v>
      </c>
      <c r="E1228" s="19">
        <v>12</v>
      </c>
      <c r="F1228" s="19">
        <v>116</v>
      </c>
      <c r="G1228" s="19">
        <v>144</v>
      </c>
      <c r="H1228" s="19">
        <v>4</v>
      </c>
      <c r="I1228" s="80">
        <v>1.32</v>
      </c>
      <c r="J1228" s="80">
        <v>5.3</v>
      </c>
      <c r="K1228" s="19" t="s">
        <v>184</v>
      </c>
      <c r="L1228" s="19" t="s">
        <v>1814</v>
      </c>
      <c r="Q1228" s="20">
        <v>22</v>
      </c>
      <c r="R1228" s="65" t="s">
        <v>1572</v>
      </c>
      <c r="T1228" s="19" t="s">
        <v>307</v>
      </c>
      <c r="V1228" s="19" t="s">
        <v>178</v>
      </c>
      <c r="W1228" s="19" t="s">
        <v>138</v>
      </c>
      <c r="Z1228" s="44" t="s">
        <v>1573</v>
      </c>
      <c r="AA1228" s="44" t="s">
        <v>180</v>
      </c>
      <c r="AC1228" s="19" t="s">
        <v>1815</v>
      </c>
    </row>
    <row r="1229" spans="1:29" hidden="1" x14ac:dyDescent="0.25">
      <c r="A1229" s="26">
        <v>227</v>
      </c>
      <c r="B1229" s="19" t="s">
        <v>1820</v>
      </c>
      <c r="C1229" s="44" t="s">
        <v>273</v>
      </c>
      <c r="D1229" s="19" t="s">
        <v>1608</v>
      </c>
      <c r="E1229" s="19">
        <v>12</v>
      </c>
      <c r="F1229" s="19">
        <v>116</v>
      </c>
      <c r="G1229" s="19">
        <v>144</v>
      </c>
      <c r="H1229" s="19">
        <v>4</v>
      </c>
      <c r="I1229" s="80">
        <v>1.32</v>
      </c>
      <c r="J1229" s="80">
        <v>5.3</v>
      </c>
      <c r="K1229" s="19" t="s">
        <v>184</v>
      </c>
      <c r="L1229" s="19" t="s">
        <v>1814</v>
      </c>
      <c r="Q1229" s="20">
        <v>22</v>
      </c>
      <c r="R1229" s="65" t="s">
        <v>1572</v>
      </c>
      <c r="T1229" s="19" t="s">
        <v>307</v>
      </c>
      <c r="V1229" s="19" t="s">
        <v>178</v>
      </c>
      <c r="W1229" s="19" t="s">
        <v>138</v>
      </c>
      <c r="Z1229" s="44" t="s">
        <v>1573</v>
      </c>
      <c r="AA1229" s="44" t="s">
        <v>180</v>
      </c>
      <c r="AC1229" s="19" t="s">
        <v>1815</v>
      </c>
    </row>
    <row r="1230" spans="1:29" hidden="1" x14ac:dyDescent="0.25">
      <c r="A1230" s="26">
        <v>228</v>
      </c>
      <c r="B1230" s="19" t="s">
        <v>1821</v>
      </c>
      <c r="C1230" s="44" t="s">
        <v>273</v>
      </c>
      <c r="D1230" s="19" t="s">
        <v>1211</v>
      </c>
      <c r="E1230" s="19">
        <v>12</v>
      </c>
      <c r="F1230" s="19">
        <v>490</v>
      </c>
      <c r="G1230" s="19">
        <v>1388</v>
      </c>
      <c r="H1230" s="19">
        <v>1</v>
      </c>
      <c r="I1230" s="80">
        <v>63.63</v>
      </c>
      <c r="J1230" s="80">
        <v>63.63</v>
      </c>
      <c r="K1230" s="19" t="s">
        <v>184</v>
      </c>
      <c r="L1230" s="19" t="s">
        <v>1814</v>
      </c>
      <c r="Q1230" s="20">
        <v>22</v>
      </c>
      <c r="R1230" s="65" t="s">
        <v>1572</v>
      </c>
      <c r="T1230" s="19" t="s">
        <v>307</v>
      </c>
      <c r="V1230" s="19" t="s">
        <v>178</v>
      </c>
      <c r="Y1230" s="19" t="s">
        <v>138</v>
      </c>
      <c r="Z1230" s="44" t="s">
        <v>1573</v>
      </c>
      <c r="AA1230" s="44" t="s">
        <v>180</v>
      </c>
      <c r="AC1230" s="19" t="s">
        <v>1815</v>
      </c>
    </row>
    <row r="1231" spans="1:29" hidden="1" x14ac:dyDescent="0.25">
      <c r="A1231" s="26">
        <v>229</v>
      </c>
      <c r="B1231" s="19" t="s">
        <v>1822</v>
      </c>
      <c r="C1231" s="44" t="s">
        <v>273</v>
      </c>
      <c r="D1231" s="19" t="s">
        <v>1211</v>
      </c>
      <c r="E1231" s="19">
        <v>12</v>
      </c>
      <c r="F1231" s="19">
        <v>490</v>
      </c>
      <c r="G1231" s="19">
        <v>1388</v>
      </c>
      <c r="H1231" s="19">
        <v>1</v>
      </c>
      <c r="I1231" s="80">
        <v>63.63</v>
      </c>
      <c r="J1231" s="80">
        <v>63.63</v>
      </c>
      <c r="K1231" s="19" t="s">
        <v>184</v>
      </c>
      <c r="L1231" s="19" t="s">
        <v>1814</v>
      </c>
      <c r="Q1231" s="20">
        <v>22</v>
      </c>
      <c r="R1231" s="65" t="s">
        <v>1572</v>
      </c>
      <c r="T1231" s="19" t="s">
        <v>307</v>
      </c>
      <c r="V1231" s="19" t="s">
        <v>178</v>
      </c>
      <c r="Y1231" s="19" t="s">
        <v>138</v>
      </c>
      <c r="Z1231" s="44" t="s">
        <v>1573</v>
      </c>
      <c r="AA1231" s="44" t="s">
        <v>180</v>
      </c>
      <c r="AC1231" s="19" t="s">
        <v>1815</v>
      </c>
    </row>
    <row r="1232" spans="1:29" hidden="1" x14ac:dyDescent="0.25">
      <c r="A1232" s="26">
        <v>230</v>
      </c>
      <c r="B1232" s="19" t="s">
        <v>1823</v>
      </c>
      <c r="C1232" s="44" t="s">
        <v>273</v>
      </c>
      <c r="D1232" s="19" t="s">
        <v>812</v>
      </c>
      <c r="E1232" s="19">
        <v>12</v>
      </c>
      <c r="F1232" s="19">
        <v>490</v>
      </c>
      <c r="G1232" s="19">
        <v>6464</v>
      </c>
      <c r="H1232" s="19">
        <v>1</v>
      </c>
      <c r="I1232" s="80">
        <v>298.16000000000003</v>
      </c>
      <c r="J1232" s="80">
        <v>298.16000000000003</v>
      </c>
      <c r="K1232" s="19" t="s">
        <v>184</v>
      </c>
      <c r="L1232" s="19" t="s">
        <v>1814</v>
      </c>
      <c r="Q1232" s="20">
        <v>22</v>
      </c>
      <c r="R1232" s="65" t="s">
        <v>1572</v>
      </c>
      <c r="T1232" s="19" t="s">
        <v>307</v>
      </c>
      <c r="V1232" s="19" t="s">
        <v>178</v>
      </c>
      <c r="Y1232" s="19" t="s">
        <v>138</v>
      </c>
      <c r="Z1232" s="44" t="s">
        <v>1573</v>
      </c>
      <c r="AA1232" s="44" t="s">
        <v>180</v>
      </c>
      <c r="AC1232" s="19" t="s">
        <v>1815</v>
      </c>
    </row>
    <row r="1233" spans="1:29" hidden="1" x14ac:dyDescent="0.25">
      <c r="A1233" s="26">
        <v>231</v>
      </c>
      <c r="B1233" s="19" t="s">
        <v>1824</v>
      </c>
      <c r="C1233" s="44" t="s">
        <v>273</v>
      </c>
      <c r="D1233" s="19" t="s">
        <v>812</v>
      </c>
      <c r="E1233" s="19">
        <v>12</v>
      </c>
      <c r="F1233" s="19">
        <v>490</v>
      </c>
      <c r="G1233" s="19">
        <v>6464</v>
      </c>
      <c r="H1233" s="19">
        <v>1</v>
      </c>
      <c r="I1233" s="80">
        <v>298.16000000000003</v>
      </c>
      <c r="J1233" s="80">
        <v>298.16000000000003</v>
      </c>
      <c r="K1233" s="19" t="s">
        <v>184</v>
      </c>
      <c r="L1233" s="19" t="s">
        <v>1814</v>
      </c>
      <c r="Q1233" s="20">
        <v>22</v>
      </c>
      <c r="R1233" s="65" t="s">
        <v>1572</v>
      </c>
      <c r="T1233" s="19" t="s">
        <v>307</v>
      </c>
      <c r="V1233" s="19" t="s">
        <v>178</v>
      </c>
      <c r="Y1233" s="19" t="s">
        <v>138</v>
      </c>
      <c r="Z1233" s="44" t="s">
        <v>1573</v>
      </c>
      <c r="AA1233" s="44" t="s">
        <v>180</v>
      </c>
      <c r="AC1233" s="19" t="s">
        <v>1815</v>
      </c>
    </row>
    <row r="1234" spans="1:29" hidden="1" x14ac:dyDescent="0.25">
      <c r="A1234" s="26">
        <v>232</v>
      </c>
      <c r="B1234" s="19" t="s">
        <v>1825</v>
      </c>
      <c r="C1234" s="44" t="s">
        <v>273</v>
      </c>
      <c r="D1234" s="19" t="s">
        <v>1608</v>
      </c>
      <c r="E1234" s="19">
        <v>12</v>
      </c>
      <c r="F1234" s="19">
        <v>116</v>
      </c>
      <c r="G1234" s="19">
        <v>144</v>
      </c>
      <c r="H1234" s="19">
        <v>4</v>
      </c>
      <c r="I1234" s="80">
        <v>1.32</v>
      </c>
      <c r="J1234" s="80">
        <v>5.3</v>
      </c>
      <c r="K1234" s="19" t="s">
        <v>184</v>
      </c>
      <c r="L1234" s="19" t="s">
        <v>1814</v>
      </c>
      <c r="Q1234" s="20">
        <v>22</v>
      </c>
      <c r="R1234" s="65" t="s">
        <v>1572</v>
      </c>
      <c r="T1234" s="19" t="s">
        <v>307</v>
      </c>
      <c r="V1234" s="19" t="s">
        <v>178</v>
      </c>
      <c r="W1234" s="19" t="s">
        <v>138</v>
      </c>
      <c r="Z1234" s="44" t="s">
        <v>1573</v>
      </c>
      <c r="AA1234" s="44" t="s">
        <v>180</v>
      </c>
      <c r="AC1234" s="19" t="s">
        <v>1815</v>
      </c>
    </row>
    <row r="1235" spans="1:29" hidden="1" x14ac:dyDescent="0.25">
      <c r="A1235" s="26">
        <v>233</v>
      </c>
      <c r="B1235" s="19" t="s">
        <v>1826</v>
      </c>
      <c r="C1235" s="44" t="s">
        <v>273</v>
      </c>
      <c r="D1235" s="19" t="s">
        <v>1608</v>
      </c>
      <c r="E1235" s="19">
        <v>12</v>
      </c>
      <c r="F1235" s="19">
        <v>116</v>
      </c>
      <c r="G1235" s="19">
        <v>144</v>
      </c>
      <c r="H1235" s="19">
        <v>4</v>
      </c>
      <c r="I1235" s="80">
        <v>1.32</v>
      </c>
      <c r="J1235" s="80">
        <v>5.3</v>
      </c>
      <c r="K1235" s="19" t="s">
        <v>184</v>
      </c>
      <c r="L1235" s="19" t="s">
        <v>1814</v>
      </c>
      <c r="Q1235" s="20">
        <v>22</v>
      </c>
      <c r="R1235" s="65" t="s">
        <v>1572</v>
      </c>
      <c r="T1235" s="19" t="s">
        <v>307</v>
      </c>
      <c r="V1235" s="19" t="s">
        <v>178</v>
      </c>
      <c r="W1235" s="19" t="s">
        <v>138</v>
      </c>
      <c r="Z1235" s="44" t="s">
        <v>1573</v>
      </c>
      <c r="AA1235" s="44" t="s">
        <v>180</v>
      </c>
      <c r="AC1235" s="19" t="s">
        <v>1815</v>
      </c>
    </row>
    <row r="1236" spans="1:29" hidden="1" x14ac:dyDescent="0.25">
      <c r="A1236" s="26">
        <v>234</v>
      </c>
      <c r="B1236" s="19" t="s">
        <v>1827</v>
      </c>
      <c r="C1236" s="44" t="s">
        <v>273</v>
      </c>
      <c r="D1236" s="19" t="s">
        <v>1608</v>
      </c>
      <c r="E1236" s="19">
        <v>12</v>
      </c>
      <c r="F1236" s="19">
        <v>116</v>
      </c>
      <c r="G1236" s="19">
        <v>144</v>
      </c>
      <c r="H1236" s="19">
        <v>4</v>
      </c>
      <c r="I1236" s="80">
        <v>1.32</v>
      </c>
      <c r="J1236" s="80">
        <v>5.3</v>
      </c>
      <c r="K1236" s="19" t="s">
        <v>184</v>
      </c>
      <c r="L1236" s="19" t="s">
        <v>1814</v>
      </c>
      <c r="Q1236" s="20">
        <v>22</v>
      </c>
      <c r="R1236" s="65" t="s">
        <v>1572</v>
      </c>
      <c r="T1236" s="19" t="s">
        <v>307</v>
      </c>
      <c r="V1236" s="19" t="s">
        <v>178</v>
      </c>
      <c r="W1236" s="19" t="s">
        <v>138</v>
      </c>
      <c r="Z1236" s="44" t="s">
        <v>1573</v>
      </c>
      <c r="AA1236" s="44" t="s">
        <v>180</v>
      </c>
      <c r="AC1236" s="19" t="s">
        <v>1815</v>
      </c>
    </row>
    <row r="1237" spans="1:29" hidden="1" x14ac:dyDescent="0.25">
      <c r="A1237" s="26">
        <v>235</v>
      </c>
      <c r="B1237" s="19" t="s">
        <v>1828</v>
      </c>
      <c r="C1237" s="44" t="s">
        <v>273</v>
      </c>
      <c r="D1237" s="19" t="s">
        <v>1608</v>
      </c>
      <c r="E1237" s="19">
        <v>12</v>
      </c>
      <c r="F1237" s="19">
        <v>116</v>
      </c>
      <c r="G1237" s="19">
        <v>144</v>
      </c>
      <c r="H1237" s="19">
        <v>4</v>
      </c>
      <c r="I1237" s="80">
        <v>1.32</v>
      </c>
      <c r="J1237" s="80">
        <v>5.3</v>
      </c>
      <c r="K1237" s="19" t="s">
        <v>184</v>
      </c>
      <c r="L1237" s="19" t="s">
        <v>1814</v>
      </c>
      <c r="Q1237" s="20">
        <v>22</v>
      </c>
      <c r="R1237" s="65" t="s">
        <v>1572</v>
      </c>
      <c r="T1237" s="19" t="s">
        <v>307</v>
      </c>
      <c r="V1237" s="19" t="s">
        <v>178</v>
      </c>
      <c r="W1237" s="19" t="s">
        <v>138</v>
      </c>
      <c r="Z1237" s="44" t="s">
        <v>1573</v>
      </c>
      <c r="AA1237" s="44" t="s">
        <v>180</v>
      </c>
      <c r="AC1237" s="19" t="s">
        <v>1815</v>
      </c>
    </row>
    <row r="1238" spans="1:29" hidden="1" x14ac:dyDescent="0.25">
      <c r="A1238" s="26">
        <v>236</v>
      </c>
      <c r="B1238" s="19" t="s">
        <v>1829</v>
      </c>
      <c r="C1238" s="44" t="s">
        <v>273</v>
      </c>
      <c r="D1238" s="19" t="s">
        <v>1608</v>
      </c>
      <c r="E1238" s="19">
        <v>12</v>
      </c>
      <c r="F1238" s="19">
        <v>116</v>
      </c>
      <c r="G1238" s="19">
        <v>144</v>
      </c>
      <c r="H1238" s="19">
        <v>4</v>
      </c>
      <c r="I1238" s="80">
        <v>1.32</v>
      </c>
      <c r="J1238" s="80">
        <v>5.3</v>
      </c>
      <c r="K1238" s="19" t="s">
        <v>184</v>
      </c>
      <c r="L1238" s="19" t="s">
        <v>1814</v>
      </c>
      <c r="Q1238" s="20">
        <v>22</v>
      </c>
      <c r="R1238" s="65" t="s">
        <v>1572</v>
      </c>
      <c r="T1238" s="19" t="s">
        <v>307</v>
      </c>
      <c r="V1238" s="19" t="s">
        <v>178</v>
      </c>
      <c r="W1238" s="19" t="s">
        <v>138</v>
      </c>
      <c r="Z1238" s="44" t="s">
        <v>1573</v>
      </c>
      <c r="AA1238" s="44" t="s">
        <v>180</v>
      </c>
      <c r="AC1238" s="19" t="s">
        <v>1815</v>
      </c>
    </row>
    <row r="1239" spans="1:29" hidden="1" x14ac:dyDescent="0.25">
      <c r="A1239" s="26">
        <v>237</v>
      </c>
      <c r="B1239" s="19" t="s">
        <v>1830</v>
      </c>
      <c r="C1239" s="44" t="s">
        <v>273</v>
      </c>
      <c r="D1239" s="19" t="s">
        <v>1211</v>
      </c>
      <c r="E1239" s="19">
        <v>12</v>
      </c>
      <c r="F1239" s="19">
        <v>490</v>
      </c>
      <c r="G1239" s="19">
        <v>1388</v>
      </c>
      <c r="H1239" s="19">
        <v>1</v>
      </c>
      <c r="I1239" s="80">
        <v>63.63</v>
      </c>
      <c r="J1239" s="80">
        <v>63.63</v>
      </c>
      <c r="K1239" s="19" t="s">
        <v>184</v>
      </c>
      <c r="L1239" s="19" t="s">
        <v>1814</v>
      </c>
      <c r="Q1239" s="20">
        <v>22</v>
      </c>
      <c r="R1239" s="65" t="s">
        <v>1572</v>
      </c>
      <c r="T1239" s="19" t="s">
        <v>307</v>
      </c>
      <c r="V1239" s="19" t="s">
        <v>178</v>
      </c>
      <c r="Y1239" s="19" t="s">
        <v>138</v>
      </c>
      <c r="Z1239" s="44" t="s">
        <v>1573</v>
      </c>
      <c r="AA1239" s="44" t="s">
        <v>180</v>
      </c>
      <c r="AC1239" s="19" t="s">
        <v>1815</v>
      </c>
    </row>
    <row r="1240" spans="1:29" hidden="1" x14ac:dyDescent="0.25">
      <c r="A1240" s="26">
        <v>238</v>
      </c>
      <c r="B1240" s="19" t="s">
        <v>1831</v>
      </c>
      <c r="C1240" s="44" t="s">
        <v>273</v>
      </c>
      <c r="D1240" s="19" t="s">
        <v>1211</v>
      </c>
      <c r="E1240" s="19">
        <v>12</v>
      </c>
      <c r="F1240" s="19">
        <v>490</v>
      </c>
      <c r="G1240" s="19">
        <v>1388</v>
      </c>
      <c r="H1240" s="19">
        <v>1</v>
      </c>
      <c r="I1240" s="80">
        <v>63.63</v>
      </c>
      <c r="J1240" s="80">
        <v>63.63</v>
      </c>
      <c r="K1240" s="19" t="s">
        <v>184</v>
      </c>
      <c r="L1240" s="19" t="s">
        <v>1814</v>
      </c>
      <c r="Q1240" s="20">
        <v>22</v>
      </c>
      <c r="R1240" s="65" t="s">
        <v>1572</v>
      </c>
      <c r="T1240" s="19" t="s">
        <v>307</v>
      </c>
      <c r="V1240" s="19" t="s">
        <v>178</v>
      </c>
      <c r="Y1240" s="19" t="s">
        <v>138</v>
      </c>
      <c r="Z1240" s="44" t="s">
        <v>1573</v>
      </c>
      <c r="AA1240" s="44" t="s">
        <v>180</v>
      </c>
      <c r="AC1240" s="19" t="s">
        <v>1815</v>
      </c>
    </row>
    <row r="1241" spans="1:29" hidden="1" x14ac:dyDescent="0.25">
      <c r="A1241" s="26">
        <v>239</v>
      </c>
      <c r="B1241" s="19" t="s">
        <v>1832</v>
      </c>
      <c r="C1241" s="44" t="s">
        <v>273</v>
      </c>
      <c r="D1241" s="19" t="s">
        <v>812</v>
      </c>
      <c r="E1241" s="19">
        <v>12</v>
      </c>
      <c r="F1241" s="19">
        <v>490</v>
      </c>
      <c r="G1241" s="19">
        <v>6464</v>
      </c>
      <c r="H1241" s="19">
        <v>1</v>
      </c>
      <c r="I1241" s="80">
        <v>298.16000000000003</v>
      </c>
      <c r="J1241" s="80">
        <v>298.16000000000003</v>
      </c>
      <c r="K1241" s="19" t="s">
        <v>184</v>
      </c>
      <c r="L1241" s="19" t="s">
        <v>1833</v>
      </c>
      <c r="Q1241" s="20">
        <v>22</v>
      </c>
      <c r="R1241" s="65" t="s">
        <v>1572</v>
      </c>
      <c r="T1241" s="19" t="s">
        <v>307</v>
      </c>
      <c r="V1241" s="19" t="s">
        <v>178</v>
      </c>
      <c r="Y1241" s="19" t="s">
        <v>138</v>
      </c>
      <c r="Z1241" s="44" t="s">
        <v>1573</v>
      </c>
      <c r="AA1241" s="44" t="s">
        <v>180</v>
      </c>
      <c r="AC1241" s="19" t="s">
        <v>1834</v>
      </c>
    </row>
    <row r="1242" spans="1:29" hidden="1" x14ac:dyDescent="0.25">
      <c r="A1242" s="26">
        <v>240</v>
      </c>
      <c r="B1242" s="19" t="s">
        <v>1835</v>
      </c>
      <c r="C1242" s="44" t="s">
        <v>273</v>
      </c>
      <c r="D1242" s="19" t="s">
        <v>812</v>
      </c>
      <c r="E1242" s="19">
        <v>12</v>
      </c>
      <c r="F1242" s="19">
        <v>490</v>
      </c>
      <c r="G1242" s="19">
        <v>6464</v>
      </c>
      <c r="H1242" s="19">
        <v>1</v>
      </c>
      <c r="I1242" s="80">
        <v>298.16000000000003</v>
      </c>
      <c r="J1242" s="80">
        <v>298.16000000000003</v>
      </c>
      <c r="K1242" s="19" t="s">
        <v>184</v>
      </c>
      <c r="L1242" s="19" t="s">
        <v>1833</v>
      </c>
      <c r="Q1242" s="20">
        <v>22</v>
      </c>
      <c r="R1242" s="65" t="s">
        <v>1572</v>
      </c>
      <c r="T1242" s="19" t="s">
        <v>307</v>
      </c>
      <c r="V1242" s="19" t="s">
        <v>178</v>
      </c>
      <c r="Y1242" s="19" t="s">
        <v>138</v>
      </c>
      <c r="Z1242" s="44" t="s">
        <v>1573</v>
      </c>
      <c r="AA1242" s="44" t="s">
        <v>180</v>
      </c>
      <c r="AC1242" s="19" t="s">
        <v>1834</v>
      </c>
    </row>
    <row r="1243" spans="1:29" hidden="1" x14ac:dyDescent="0.25">
      <c r="A1243" s="26">
        <v>241</v>
      </c>
      <c r="B1243" s="19" t="s">
        <v>1836</v>
      </c>
      <c r="C1243" s="44" t="s">
        <v>172</v>
      </c>
      <c r="D1243" s="19" t="s">
        <v>1334</v>
      </c>
      <c r="E1243" s="19">
        <v>16</v>
      </c>
      <c r="F1243" s="19">
        <v>210</v>
      </c>
      <c r="G1243" s="19">
        <v>750</v>
      </c>
      <c r="H1243" s="19">
        <v>12</v>
      </c>
      <c r="I1243" s="80">
        <v>19.61</v>
      </c>
      <c r="J1243" s="80">
        <v>235.33</v>
      </c>
      <c r="K1243" s="19" t="s">
        <v>1837</v>
      </c>
      <c r="L1243" s="19" t="s">
        <v>1838</v>
      </c>
      <c r="Q1243" s="20">
        <v>22</v>
      </c>
      <c r="R1243" s="65" t="s">
        <v>1572</v>
      </c>
      <c r="T1243" s="19" t="s">
        <v>307</v>
      </c>
      <c r="V1243" s="19" t="s">
        <v>178</v>
      </c>
      <c r="W1243" s="19" t="s">
        <v>138</v>
      </c>
      <c r="Z1243" s="44" t="s">
        <v>1573</v>
      </c>
      <c r="AA1243" s="44" t="s">
        <v>1839</v>
      </c>
      <c r="AC1243" s="19" t="s">
        <v>1840</v>
      </c>
    </row>
    <row r="1244" spans="1:29" hidden="1" x14ac:dyDescent="0.25">
      <c r="A1244" s="26">
        <v>242</v>
      </c>
      <c r="B1244" s="19" t="s">
        <v>1841</v>
      </c>
      <c r="C1244" s="44" t="s">
        <v>172</v>
      </c>
      <c r="D1244" s="19" t="s">
        <v>1338</v>
      </c>
      <c r="E1244" s="19">
        <v>16</v>
      </c>
      <c r="F1244" s="19">
        <v>210</v>
      </c>
      <c r="G1244" s="19">
        <v>651</v>
      </c>
      <c r="H1244" s="19">
        <v>10</v>
      </c>
      <c r="I1244" s="80">
        <v>17.149999999999999</v>
      </c>
      <c r="J1244" s="80">
        <v>171.53</v>
      </c>
      <c r="K1244" s="19" t="s">
        <v>1837</v>
      </c>
      <c r="L1244" s="19" t="s">
        <v>1838</v>
      </c>
      <c r="Q1244" s="20">
        <v>22</v>
      </c>
      <c r="R1244" s="65" t="s">
        <v>1572</v>
      </c>
      <c r="T1244" s="19" t="s">
        <v>307</v>
      </c>
      <c r="V1244" s="19" t="s">
        <v>178</v>
      </c>
      <c r="W1244" s="19" t="s">
        <v>138</v>
      </c>
      <c r="Z1244" s="44" t="s">
        <v>1573</v>
      </c>
      <c r="AA1244" s="44" t="s">
        <v>1839</v>
      </c>
      <c r="AC1244" s="19" t="s">
        <v>1840</v>
      </c>
    </row>
    <row r="1245" spans="1:29" hidden="1" x14ac:dyDescent="0.25">
      <c r="A1245" s="26">
        <v>243</v>
      </c>
      <c r="B1245" s="19" t="s">
        <v>1842</v>
      </c>
      <c r="C1245" s="44" t="s">
        <v>172</v>
      </c>
      <c r="D1245" s="19" t="s">
        <v>1334</v>
      </c>
      <c r="E1245" s="19">
        <v>16</v>
      </c>
      <c r="F1245" s="19">
        <v>210</v>
      </c>
      <c r="G1245" s="19">
        <v>750</v>
      </c>
      <c r="H1245" s="19">
        <v>12</v>
      </c>
      <c r="I1245" s="80">
        <v>19.61</v>
      </c>
      <c r="J1245" s="80">
        <v>235.33</v>
      </c>
      <c r="K1245" s="19" t="s">
        <v>1837</v>
      </c>
      <c r="L1245" s="19" t="s">
        <v>1838</v>
      </c>
      <c r="Q1245" s="20">
        <v>22</v>
      </c>
      <c r="R1245" s="65" t="s">
        <v>1572</v>
      </c>
      <c r="T1245" s="19" t="s">
        <v>307</v>
      </c>
      <c r="V1245" s="19" t="s">
        <v>178</v>
      </c>
      <c r="W1245" s="19" t="s">
        <v>138</v>
      </c>
      <c r="Z1245" s="44" t="s">
        <v>1573</v>
      </c>
      <c r="AA1245" s="44" t="s">
        <v>1839</v>
      </c>
      <c r="AC1245" s="19" t="s">
        <v>1840</v>
      </c>
    </row>
    <row r="1246" spans="1:29" hidden="1" x14ac:dyDescent="0.25">
      <c r="A1246" s="26">
        <v>244</v>
      </c>
      <c r="B1246" s="19" t="s">
        <v>1843</v>
      </c>
      <c r="C1246" s="44" t="s">
        <v>172</v>
      </c>
      <c r="D1246" s="19" t="s">
        <v>1338</v>
      </c>
      <c r="E1246" s="19">
        <v>16</v>
      </c>
      <c r="F1246" s="19">
        <v>210</v>
      </c>
      <c r="G1246" s="19">
        <v>651</v>
      </c>
      <c r="H1246" s="19">
        <v>10</v>
      </c>
      <c r="I1246" s="80">
        <v>17.149999999999999</v>
      </c>
      <c r="J1246" s="80">
        <v>171.53</v>
      </c>
      <c r="K1246" s="19" t="s">
        <v>1837</v>
      </c>
      <c r="L1246" s="19" t="s">
        <v>1838</v>
      </c>
      <c r="Q1246" s="20">
        <v>22</v>
      </c>
      <c r="R1246" s="65" t="s">
        <v>1572</v>
      </c>
      <c r="T1246" s="19" t="s">
        <v>307</v>
      </c>
      <c r="V1246" s="19" t="s">
        <v>178</v>
      </c>
      <c r="W1246" s="19" t="s">
        <v>138</v>
      </c>
      <c r="Z1246" s="44" t="s">
        <v>1573</v>
      </c>
      <c r="AA1246" s="44" t="s">
        <v>1839</v>
      </c>
      <c r="AC1246" s="19" t="s">
        <v>1840</v>
      </c>
    </row>
    <row r="1247" spans="1:29" hidden="1" x14ac:dyDescent="0.25">
      <c r="A1247" s="26">
        <v>245</v>
      </c>
      <c r="B1247" s="19" t="s">
        <v>1844</v>
      </c>
      <c r="C1247" s="44" t="s">
        <v>172</v>
      </c>
      <c r="D1247" s="19" t="s">
        <v>1334</v>
      </c>
      <c r="E1247" s="19">
        <v>16</v>
      </c>
      <c r="F1247" s="19">
        <v>210</v>
      </c>
      <c r="G1247" s="19">
        <v>750</v>
      </c>
      <c r="H1247" s="19">
        <v>12</v>
      </c>
      <c r="I1247" s="80">
        <v>19.61</v>
      </c>
      <c r="J1247" s="80">
        <v>235.33</v>
      </c>
      <c r="K1247" s="19" t="s">
        <v>1837</v>
      </c>
      <c r="L1247" s="19" t="s">
        <v>1838</v>
      </c>
      <c r="Q1247" s="20">
        <v>22</v>
      </c>
      <c r="R1247" s="65" t="s">
        <v>1572</v>
      </c>
      <c r="T1247" s="19" t="s">
        <v>307</v>
      </c>
      <c r="V1247" s="19" t="s">
        <v>178</v>
      </c>
      <c r="W1247" s="19" t="s">
        <v>138</v>
      </c>
      <c r="Z1247" s="44" t="s">
        <v>1573</v>
      </c>
      <c r="AA1247" s="44" t="s">
        <v>1839</v>
      </c>
      <c r="AC1247" s="19" t="s">
        <v>1840</v>
      </c>
    </row>
    <row r="1248" spans="1:29" hidden="1" x14ac:dyDescent="0.25">
      <c r="A1248" s="26">
        <v>246</v>
      </c>
      <c r="B1248" s="19" t="s">
        <v>1845</v>
      </c>
      <c r="C1248" s="44" t="s">
        <v>172</v>
      </c>
      <c r="D1248" s="19" t="s">
        <v>1338</v>
      </c>
      <c r="E1248" s="19">
        <v>16</v>
      </c>
      <c r="F1248" s="19">
        <v>210</v>
      </c>
      <c r="G1248" s="19">
        <v>651</v>
      </c>
      <c r="H1248" s="19">
        <v>10</v>
      </c>
      <c r="I1248" s="80">
        <v>17.149999999999999</v>
      </c>
      <c r="J1248" s="80">
        <v>171.53</v>
      </c>
      <c r="K1248" s="19" t="s">
        <v>1837</v>
      </c>
      <c r="L1248" s="19" t="s">
        <v>1838</v>
      </c>
      <c r="Q1248" s="20">
        <v>22</v>
      </c>
      <c r="R1248" s="65" t="s">
        <v>1572</v>
      </c>
      <c r="T1248" s="19" t="s">
        <v>307</v>
      </c>
      <c r="V1248" s="19" t="s">
        <v>178</v>
      </c>
      <c r="W1248" s="19" t="s">
        <v>138</v>
      </c>
      <c r="Z1248" s="44" t="s">
        <v>1573</v>
      </c>
      <c r="AA1248" s="44" t="s">
        <v>1839</v>
      </c>
      <c r="AC1248" s="19" t="s">
        <v>1840</v>
      </c>
    </row>
    <row r="1249" spans="1:29" hidden="1" x14ac:dyDescent="0.25">
      <c r="A1249" s="26">
        <v>247</v>
      </c>
      <c r="B1249" s="19" t="s">
        <v>1846</v>
      </c>
      <c r="C1249" s="44" t="s">
        <v>172</v>
      </c>
      <c r="D1249" s="19" t="s">
        <v>1334</v>
      </c>
      <c r="E1249" s="19">
        <v>16</v>
      </c>
      <c r="F1249" s="19">
        <v>210</v>
      </c>
      <c r="G1249" s="19">
        <v>750</v>
      </c>
      <c r="H1249" s="19">
        <v>12</v>
      </c>
      <c r="I1249" s="80">
        <v>19.61</v>
      </c>
      <c r="J1249" s="80">
        <v>235.33</v>
      </c>
      <c r="K1249" s="19" t="s">
        <v>1837</v>
      </c>
      <c r="L1249" s="19" t="s">
        <v>1838</v>
      </c>
      <c r="Q1249" s="20">
        <v>22</v>
      </c>
      <c r="R1249" s="65" t="s">
        <v>1572</v>
      </c>
      <c r="T1249" s="19" t="s">
        <v>307</v>
      </c>
      <c r="V1249" s="19" t="s">
        <v>178</v>
      </c>
      <c r="W1249" s="19" t="s">
        <v>138</v>
      </c>
      <c r="Z1249" s="44" t="s">
        <v>1573</v>
      </c>
      <c r="AA1249" s="44" t="s">
        <v>1839</v>
      </c>
      <c r="AC1249" s="19" t="s">
        <v>1840</v>
      </c>
    </row>
    <row r="1250" spans="1:29" hidden="1" x14ac:dyDescent="0.25">
      <c r="A1250" s="26">
        <v>248</v>
      </c>
      <c r="B1250" s="19" t="s">
        <v>1847</v>
      </c>
      <c r="C1250" s="44" t="s">
        <v>172</v>
      </c>
      <c r="D1250" s="19" t="s">
        <v>1338</v>
      </c>
      <c r="E1250" s="19">
        <v>16</v>
      </c>
      <c r="F1250" s="19">
        <v>210</v>
      </c>
      <c r="G1250" s="19">
        <v>651</v>
      </c>
      <c r="H1250" s="19">
        <v>10</v>
      </c>
      <c r="I1250" s="80">
        <v>17.149999999999999</v>
      </c>
      <c r="J1250" s="80">
        <v>171.53</v>
      </c>
      <c r="K1250" s="19" t="s">
        <v>1837</v>
      </c>
      <c r="L1250" s="19" t="s">
        <v>1838</v>
      </c>
      <c r="Q1250" s="20">
        <v>22</v>
      </c>
      <c r="R1250" s="65" t="s">
        <v>1572</v>
      </c>
      <c r="T1250" s="19" t="s">
        <v>307</v>
      </c>
      <c r="V1250" s="19" t="s">
        <v>178</v>
      </c>
      <c r="W1250" s="19" t="s">
        <v>138</v>
      </c>
      <c r="Z1250" s="44" t="s">
        <v>1573</v>
      </c>
      <c r="AA1250" s="44" t="s">
        <v>1839</v>
      </c>
      <c r="AC1250" s="19" t="s">
        <v>1840</v>
      </c>
    </row>
    <row r="1251" spans="1:29" hidden="1" x14ac:dyDescent="0.25">
      <c r="A1251" s="26">
        <v>249</v>
      </c>
      <c r="B1251" s="19" t="s">
        <v>1848</v>
      </c>
      <c r="C1251" s="44" t="s">
        <v>273</v>
      </c>
      <c r="D1251" s="19" t="s">
        <v>1011</v>
      </c>
      <c r="E1251" s="19">
        <v>20</v>
      </c>
      <c r="F1251" s="19">
        <v>300</v>
      </c>
      <c r="G1251" s="19">
        <v>9980</v>
      </c>
      <c r="H1251" s="19">
        <v>1</v>
      </c>
      <c r="I1251" s="80">
        <v>470.06</v>
      </c>
      <c r="J1251" s="80">
        <v>470.06</v>
      </c>
      <c r="K1251" s="19" t="s">
        <v>195</v>
      </c>
      <c r="L1251" s="19" t="s">
        <v>1849</v>
      </c>
      <c r="Q1251" s="20">
        <v>22</v>
      </c>
      <c r="R1251" s="65" t="s">
        <v>1572</v>
      </c>
      <c r="T1251" s="19" t="s">
        <v>307</v>
      </c>
      <c r="V1251" s="19" t="s">
        <v>178</v>
      </c>
      <c r="Y1251" s="19" t="s">
        <v>138</v>
      </c>
      <c r="Z1251" s="44" t="s">
        <v>1573</v>
      </c>
      <c r="AA1251" s="44" t="s">
        <v>1850</v>
      </c>
      <c r="AC1251" s="19" t="s">
        <v>1851</v>
      </c>
    </row>
    <row r="1252" spans="1:29" hidden="1" x14ac:dyDescent="0.25">
      <c r="A1252" s="26">
        <v>250</v>
      </c>
      <c r="B1252" s="19" t="s">
        <v>1852</v>
      </c>
      <c r="C1252" s="44" t="s">
        <v>273</v>
      </c>
      <c r="D1252" s="19" t="s">
        <v>1011</v>
      </c>
      <c r="E1252" s="19">
        <v>20</v>
      </c>
      <c r="F1252" s="19">
        <v>300</v>
      </c>
      <c r="G1252" s="19">
        <v>9980</v>
      </c>
      <c r="H1252" s="19">
        <v>1</v>
      </c>
      <c r="I1252" s="80">
        <v>470.06</v>
      </c>
      <c r="J1252" s="80">
        <v>470.06</v>
      </c>
      <c r="K1252" s="19" t="s">
        <v>195</v>
      </c>
      <c r="L1252" s="19" t="s">
        <v>1849</v>
      </c>
      <c r="Q1252" s="20">
        <v>22</v>
      </c>
      <c r="R1252" s="65" t="s">
        <v>1572</v>
      </c>
      <c r="T1252" s="19" t="s">
        <v>307</v>
      </c>
      <c r="V1252" s="19" t="s">
        <v>178</v>
      </c>
      <c r="Y1252" s="19" t="s">
        <v>138</v>
      </c>
      <c r="Z1252" s="44" t="s">
        <v>1573</v>
      </c>
      <c r="AA1252" s="44" t="s">
        <v>1850</v>
      </c>
      <c r="AC1252" s="19" t="s">
        <v>1851</v>
      </c>
    </row>
    <row r="1253" spans="1:29" hidden="1" x14ac:dyDescent="0.25">
      <c r="A1253" s="26">
        <v>251</v>
      </c>
      <c r="B1253" s="19" t="s">
        <v>1853</v>
      </c>
      <c r="C1253" s="44" t="s">
        <v>273</v>
      </c>
      <c r="D1253" s="19" t="s">
        <v>1011</v>
      </c>
      <c r="E1253" s="19">
        <v>20</v>
      </c>
      <c r="F1253" s="19">
        <v>300</v>
      </c>
      <c r="G1253" s="19">
        <v>9980</v>
      </c>
      <c r="H1253" s="19">
        <v>1</v>
      </c>
      <c r="I1253" s="80">
        <v>470.06</v>
      </c>
      <c r="J1253" s="80">
        <v>470.06</v>
      </c>
      <c r="K1253" s="19" t="s">
        <v>195</v>
      </c>
      <c r="L1253" s="19" t="s">
        <v>1849</v>
      </c>
      <c r="Q1253" s="20">
        <v>22</v>
      </c>
      <c r="R1253" s="65" t="s">
        <v>1572</v>
      </c>
      <c r="T1253" s="19" t="s">
        <v>307</v>
      </c>
      <c r="V1253" s="19" t="s">
        <v>178</v>
      </c>
      <c r="Y1253" s="19" t="s">
        <v>138</v>
      </c>
      <c r="Z1253" s="44" t="s">
        <v>1573</v>
      </c>
      <c r="AA1253" s="44" t="s">
        <v>1850</v>
      </c>
      <c r="AC1253" s="19" t="s">
        <v>1851</v>
      </c>
    </row>
    <row r="1254" spans="1:29" hidden="1" x14ac:dyDescent="0.25">
      <c r="A1254" s="26">
        <v>252</v>
      </c>
      <c r="B1254" s="19" t="s">
        <v>1854</v>
      </c>
      <c r="C1254" s="44" t="s">
        <v>273</v>
      </c>
      <c r="D1254" s="19" t="s">
        <v>1011</v>
      </c>
      <c r="E1254" s="19">
        <v>20</v>
      </c>
      <c r="F1254" s="19">
        <v>300</v>
      </c>
      <c r="G1254" s="19">
        <v>9980</v>
      </c>
      <c r="H1254" s="19">
        <v>1</v>
      </c>
      <c r="I1254" s="80">
        <v>470.06</v>
      </c>
      <c r="J1254" s="80">
        <v>470.06</v>
      </c>
      <c r="K1254" s="19" t="s">
        <v>195</v>
      </c>
      <c r="L1254" s="19" t="s">
        <v>1849</v>
      </c>
      <c r="Q1254" s="20">
        <v>22</v>
      </c>
      <c r="R1254" s="65" t="s">
        <v>1572</v>
      </c>
      <c r="T1254" s="19" t="s">
        <v>307</v>
      </c>
      <c r="V1254" s="19" t="s">
        <v>178</v>
      </c>
      <c r="Y1254" s="19" t="s">
        <v>138</v>
      </c>
      <c r="Z1254" s="44" t="s">
        <v>1573</v>
      </c>
      <c r="AA1254" s="44" t="s">
        <v>1850</v>
      </c>
      <c r="AC1254" s="19" t="s">
        <v>1851</v>
      </c>
    </row>
    <row r="1255" spans="1:29" hidden="1" x14ac:dyDescent="0.25">
      <c r="A1255" s="26">
        <v>253</v>
      </c>
      <c r="B1255" s="19" t="s">
        <v>1855</v>
      </c>
      <c r="C1255" s="44" t="s">
        <v>273</v>
      </c>
      <c r="D1255" s="19" t="s">
        <v>1011</v>
      </c>
      <c r="E1255" s="19">
        <v>20</v>
      </c>
      <c r="F1255" s="19">
        <v>300</v>
      </c>
      <c r="G1255" s="19">
        <v>9980</v>
      </c>
      <c r="H1255" s="19">
        <v>1</v>
      </c>
      <c r="I1255" s="80">
        <v>470.06</v>
      </c>
      <c r="J1255" s="80">
        <v>470.06</v>
      </c>
      <c r="K1255" s="19" t="s">
        <v>195</v>
      </c>
      <c r="L1255" s="19" t="s">
        <v>1849</v>
      </c>
      <c r="Q1255" s="20">
        <v>22</v>
      </c>
      <c r="R1255" s="65" t="s">
        <v>1572</v>
      </c>
      <c r="T1255" s="19" t="s">
        <v>307</v>
      </c>
      <c r="V1255" s="19" t="s">
        <v>178</v>
      </c>
      <c r="Y1255" s="19" t="s">
        <v>138</v>
      </c>
      <c r="Z1255" s="44" t="s">
        <v>1573</v>
      </c>
      <c r="AA1255" s="44" t="s">
        <v>1850</v>
      </c>
      <c r="AC1255" s="19" t="s">
        <v>1851</v>
      </c>
    </row>
    <row r="1256" spans="1:29" hidden="1" x14ac:dyDescent="0.25">
      <c r="A1256" s="26">
        <v>254</v>
      </c>
      <c r="B1256" s="19" t="s">
        <v>1856</v>
      </c>
      <c r="C1256" s="44" t="s">
        <v>273</v>
      </c>
      <c r="D1256" s="19" t="s">
        <v>1050</v>
      </c>
      <c r="E1256" s="19">
        <v>20</v>
      </c>
      <c r="F1256" s="19">
        <v>300</v>
      </c>
      <c r="G1256" s="19">
        <v>1383</v>
      </c>
      <c r="H1256" s="19">
        <v>1</v>
      </c>
      <c r="I1256" s="80">
        <v>65.14</v>
      </c>
      <c r="J1256" s="80">
        <v>65.14</v>
      </c>
      <c r="K1256" s="19" t="s">
        <v>195</v>
      </c>
      <c r="L1256" s="19" t="s">
        <v>1849</v>
      </c>
      <c r="P1256" s="19" t="s">
        <v>138</v>
      </c>
      <c r="Q1256" s="20">
        <v>22</v>
      </c>
      <c r="R1256" s="65" t="s">
        <v>1572</v>
      </c>
      <c r="T1256" s="19" t="s">
        <v>307</v>
      </c>
      <c r="V1256" s="19" t="s">
        <v>178</v>
      </c>
      <c r="Y1256" s="19" t="s">
        <v>138</v>
      </c>
      <c r="Z1256" s="44" t="s">
        <v>1573</v>
      </c>
      <c r="AA1256" s="44" t="s">
        <v>1850</v>
      </c>
      <c r="AC1256" s="19" t="s">
        <v>1851</v>
      </c>
    </row>
    <row r="1257" spans="1:29" hidden="1" x14ac:dyDescent="0.25">
      <c r="A1257" s="26">
        <v>255</v>
      </c>
      <c r="B1257" s="19" t="s">
        <v>1857</v>
      </c>
      <c r="C1257" s="44" t="s">
        <v>273</v>
      </c>
      <c r="D1257" s="19" t="s">
        <v>1050</v>
      </c>
      <c r="E1257" s="19">
        <v>20</v>
      </c>
      <c r="F1257" s="19">
        <v>300</v>
      </c>
      <c r="G1257" s="19">
        <v>1383</v>
      </c>
      <c r="H1257" s="19">
        <v>1</v>
      </c>
      <c r="I1257" s="80">
        <v>65.14</v>
      </c>
      <c r="J1257" s="80">
        <v>65.14</v>
      </c>
      <c r="K1257" s="19" t="s">
        <v>195</v>
      </c>
      <c r="L1257" s="19" t="s">
        <v>1849</v>
      </c>
      <c r="P1257" s="19" t="s">
        <v>138</v>
      </c>
      <c r="Q1257" s="20">
        <v>22</v>
      </c>
      <c r="R1257" s="65" t="s">
        <v>1572</v>
      </c>
      <c r="T1257" s="19" t="s">
        <v>307</v>
      </c>
      <c r="V1257" s="19" t="s">
        <v>178</v>
      </c>
      <c r="Y1257" s="19" t="s">
        <v>138</v>
      </c>
      <c r="Z1257" s="44" t="s">
        <v>1573</v>
      </c>
      <c r="AA1257" s="44" t="s">
        <v>1850</v>
      </c>
      <c r="AC1257" s="19" t="s">
        <v>1851</v>
      </c>
    </row>
    <row r="1258" spans="1:29" hidden="1" x14ac:dyDescent="0.25">
      <c r="A1258" s="26">
        <v>256</v>
      </c>
      <c r="B1258" s="19" t="s">
        <v>1858</v>
      </c>
      <c r="C1258" s="44" t="s">
        <v>273</v>
      </c>
      <c r="D1258" s="19" t="s">
        <v>1050</v>
      </c>
      <c r="E1258" s="19">
        <v>20</v>
      </c>
      <c r="F1258" s="19">
        <v>300</v>
      </c>
      <c r="G1258" s="19">
        <v>1383</v>
      </c>
      <c r="H1258" s="19">
        <v>1</v>
      </c>
      <c r="I1258" s="80">
        <v>65.14</v>
      </c>
      <c r="J1258" s="80">
        <v>65.14</v>
      </c>
      <c r="K1258" s="19" t="s">
        <v>195</v>
      </c>
      <c r="L1258" s="19" t="s">
        <v>1849</v>
      </c>
      <c r="P1258" s="19" t="s">
        <v>138</v>
      </c>
      <c r="Q1258" s="20">
        <v>22</v>
      </c>
      <c r="R1258" s="65" t="s">
        <v>1572</v>
      </c>
      <c r="T1258" s="19" t="s">
        <v>307</v>
      </c>
      <c r="V1258" s="19" t="s">
        <v>178</v>
      </c>
      <c r="Y1258" s="19" t="s">
        <v>138</v>
      </c>
      <c r="Z1258" s="44" t="s">
        <v>1573</v>
      </c>
      <c r="AA1258" s="44" t="s">
        <v>1850</v>
      </c>
      <c r="AC1258" s="19" t="s">
        <v>1851</v>
      </c>
    </row>
    <row r="1259" spans="1:29" hidden="1" x14ac:dyDescent="0.25">
      <c r="A1259" s="26">
        <v>257</v>
      </c>
      <c r="B1259" s="19" t="s">
        <v>1859</v>
      </c>
      <c r="C1259" s="44" t="s">
        <v>273</v>
      </c>
      <c r="D1259" s="19" t="s">
        <v>1050</v>
      </c>
      <c r="E1259" s="19">
        <v>20</v>
      </c>
      <c r="F1259" s="19">
        <v>300</v>
      </c>
      <c r="G1259" s="19">
        <v>1383</v>
      </c>
      <c r="H1259" s="19">
        <v>1</v>
      </c>
      <c r="I1259" s="80">
        <v>65.14</v>
      </c>
      <c r="J1259" s="80">
        <v>65.14</v>
      </c>
      <c r="K1259" s="19" t="s">
        <v>195</v>
      </c>
      <c r="L1259" s="19" t="s">
        <v>1849</v>
      </c>
      <c r="P1259" s="19" t="s">
        <v>138</v>
      </c>
      <c r="Q1259" s="20">
        <v>22</v>
      </c>
      <c r="R1259" s="65" t="s">
        <v>1572</v>
      </c>
      <c r="T1259" s="19" t="s">
        <v>307</v>
      </c>
      <c r="V1259" s="19" t="s">
        <v>178</v>
      </c>
      <c r="Y1259" s="19" t="s">
        <v>138</v>
      </c>
      <c r="Z1259" s="44" t="s">
        <v>1573</v>
      </c>
      <c r="AA1259" s="44" t="s">
        <v>1850</v>
      </c>
      <c r="AC1259" s="19" t="s">
        <v>1851</v>
      </c>
    </row>
    <row r="1260" spans="1:29" hidden="1" x14ac:dyDescent="0.25">
      <c r="A1260" s="26">
        <v>258</v>
      </c>
      <c r="B1260" s="19" t="s">
        <v>1860</v>
      </c>
      <c r="C1260" s="44" t="s">
        <v>273</v>
      </c>
      <c r="D1260" s="19" t="s">
        <v>1050</v>
      </c>
      <c r="E1260" s="19">
        <v>20</v>
      </c>
      <c r="F1260" s="19">
        <v>300</v>
      </c>
      <c r="G1260" s="19">
        <v>1383</v>
      </c>
      <c r="H1260" s="19">
        <v>1</v>
      </c>
      <c r="I1260" s="80">
        <v>65.14</v>
      </c>
      <c r="J1260" s="80">
        <v>65.14</v>
      </c>
      <c r="K1260" s="19" t="s">
        <v>195</v>
      </c>
      <c r="L1260" s="19" t="s">
        <v>1849</v>
      </c>
      <c r="P1260" s="19" t="s">
        <v>138</v>
      </c>
      <c r="Q1260" s="20">
        <v>22</v>
      </c>
      <c r="R1260" s="65" t="s">
        <v>1572</v>
      </c>
      <c r="T1260" s="19" t="s">
        <v>307</v>
      </c>
      <c r="V1260" s="19" t="s">
        <v>178</v>
      </c>
      <c r="Y1260" s="19" t="s">
        <v>138</v>
      </c>
      <c r="Z1260" s="44" t="s">
        <v>1573</v>
      </c>
      <c r="AA1260" s="44" t="s">
        <v>1850</v>
      </c>
      <c r="AC1260" s="19" t="s">
        <v>1851</v>
      </c>
    </row>
    <row r="1261" spans="1:29" hidden="1" x14ac:dyDescent="0.25">
      <c r="A1261" s="26">
        <v>259</v>
      </c>
      <c r="B1261" s="19" t="s">
        <v>1861</v>
      </c>
      <c r="C1261" s="44" t="s">
        <v>273</v>
      </c>
      <c r="D1261" s="19" t="s">
        <v>1050</v>
      </c>
      <c r="E1261" s="19">
        <v>20</v>
      </c>
      <c r="F1261" s="19">
        <v>300</v>
      </c>
      <c r="G1261" s="19">
        <v>1383</v>
      </c>
      <c r="H1261" s="19">
        <v>1</v>
      </c>
      <c r="I1261" s="80">
        <v>65.14</v>
      </c>
      <c r="J1261" s="80">
        <v>65.14</v>
      </c>
      <c r="K1261" s="19" t="s">
        <v>195</v>
      </c>
      <c r="L1261" s="19" t="s">
        <v>1849</v>
      </c>
      <c r="P1261" s="19" t="s">
        <v>138</v>
      </c>
      <c r="Q1261" s="20">
        <v>22</v>
      </c>
      <c r="R1261" s="65" t="s">
        <v>1572</v>
      </c>
      <c r="T1261" s="19" t="s">
        <v>307</v>
      </c>
      <c r="V1261" s="19" t="s">
        <v>178</v>
      </c>
      <c r="Y1261" s="19" t="s">
        <v>138</v>
      </c>
      <c r="Z1261" s="44" t="s">
        <v>1573</v>
      </c>
      <c r="AA1261" s="44" t="s">
        <v>1850</v>
      </c>
      <c r="AC1261" s="19" t="s">
        <v>1851</v>
      </c>
    </row>
    <row r="1262" spans="1:29" hidden="1" x14ac:dyDescent="0.25">
      <c r="A1262" s="26">
        <v>260</v>
      </c>
      <c r="B1262" s="19" t="s">
        <v>1862</v>
      </c>
      <c r="C1262" s="44" t="s">
        <v>273</v>
      </c>
      <c r="D1262" s="19" t="s">
        <v>1363</v>
      </c>
      <c r="E1262" s="19">
        <v>20</v>
      </c>
      <c r="F1262" s="19">
        <v>270</v>
      </c>
      <c r="G1262" s="19">
        <v>300</v>
      </c>
      <c r="H1262" s="19">
        <v>1</v>
      </c>
      <c r="I1262" s="80">
        <v>12.72</v>
      </c>
      <c r="J1262" s="80">
        <v>12.72</v>
      </c>
      <c r="K1262" s="19" t="s">
        <v>195</v>
      </c>
      <c r="L1262" s="19" t="s">
        <v>1849</v>
      </c>
      <c r="Q1262" s="20">
        <v>22</v>
      </c>
      <c r="R1262" s="65" t="s">
        <v>1572</v>
      </c>
      <c r="T1262" s="19" t="s">
        <v>307</v>
      </c>
      <c r="V1262" s="19" t="s">
        <v>178</v>
      </c>
      <c r="W1262" s="19" t="s">
        <v>138</v>
      </c>
      <c r="Z1262" s="44" t="s">
        <v>1573</v>
      </c>
      <c r="AA1262" s="44" t="s">
        <v>1850</v>
      </c>
      <c r="AC1262" s="19" t="s">
        <v>1851</v>
      </c>
    </row>
    <row r="1263" spans="1:29" hidden="1" x14ac:dyDescent="0.25">
      <c r="A1263" s="26">
        <v>261</v>
      </c>
      <c r="B1263" s="19" t="s">
        <v>1863</v>
      </c>
      <c r="C1263" s="44" t="s">
        <v>273</v>
      </c>
      <c r="D1263" s="19" t="s">
        <v>1370</v>
      </c>
      <c r="E1263" s="19">
        <v>20</v>
      </c>
      <c r="F1263" s="19">
        <v>300</v>
      </c>
      <c r="G1263" s="19">
        <v>480</v>
      </c>
      <c r="H1263" s="19">
        <v>5</v>
      </c>
      <c r="I1263" s="80">
        <v>22.61</v>
      </c>
      <c r="J1263" s="80">
        <v>113.04</v>
      </c>
      <c r="K1263" s="19" t="s">
        <v>195</v>
      </c>
      <c r="L1263" s="19" t="s">
        <v>1849</v>
      </c>
      <c r="Q1263" s="20">
        <v>22</v>
      </c>
      <c r="R1263" s="65" t="s">
        <v>1572</v>
      </c>
      <c r="T1263" s="19" t="s">
        <v>307</v>
      </c>
      <c r="V1263" s="19" t="s">
        <v>178</v>
      </c>
      <c r="W1263" s="19" t="s">
        <v>138</v>
      </c>
      <c r="Z1263" s="44" t="s">
        <v>1573</v>
      </c>
      <c r="AA1263" s="44" t="s">
        <v>1850</v>
      </c>
      <c r="AC1263" s="19" t="s">
        <v>1851</v>
      </c>
    </row>
    <row r="1264" spans="1:29" hidden="1" x14ac:dyDescent="0.25">
      <c r="A1264" s="26">
        <v>262</v>
      </c>
      <c r="B1264" s="19" t="s">
        <v>1864</v>
      </c>
      <c r="C1264" s="44" t="s">
        <v>273</v>
      </c>
      <c r="D1264" s="19" t="s">
        <v>1370</v>
      </c>
      <c r="E1264" s="19">
        <v>20</v>
      </c>
      <c r="F1264" s="19">
        <v>300</v>
      </c>
      <c r="G1264" s="19">
        <v>480</v>
      </c>
      <c r="H1264" s="19">
        <v>1</v>
      </c>
      <c r="I1264" s="80">
        <v>22.61</v>
      </c>
      <c r="J1264" s="80">
        <v>22.61</v>
      </c>
      <c r="K1264" s="19" t="s">
        <v>195</v>
      </c>
      <c r="L1264" s="19" t="s">
        <v>1849</v>
      </c>
      <c r="Q1264" s="20">
        <v>22</v>
      </c>
      <c r="R1264" s="65" t="s">
        <v>1572</v>
      </c>
      <c r="T1264" s="19" t="s">
        <v>307</v>
      </c>
      <c r="V1264" s="19" t="s">
        <v>178</v>
      </c>
      <c r="W1264" s="19" t="s">
        <v>138</v>
      </c>
      <c r="Z1264" s="44" t="s">
        <v>1573</v>
      </c>
      <c r="AA1264" s="44" t="s">
        <v>1850</v>
      </c>
      <c r="AC1264" s="19" t="s">
        <v>1851</v>
      </c>
    </row>
    <row r="1265" spans="1:29" hidden="1" x14ac:dyDescent="0.25">
      <c r="A1265" s="26">
        <v>263</v>
      </c>
      <c r="B1265" s="19" t="s">
        <v>1865</v>
      </c>
      <c r="C1265" s="44" t="s">
        <v>273</v>
      </c>
      <c r="D1265" s="19" t="s">
        <v>1011</v>
      </c>
      <c r="E1265" s="19">
        <v>20</v>
      </c>
      <c r="F1265" s="19">
        <v>300</v>
      </c>
      <c r="G1265" s="19">
        <v>9980</v>
      </c>
      <c r="H1265" s="19">
        <v>1</v>
      </c>
      <c r="I1265" s="80">
        <v>470.06</v>
      </c>
      <c r="J1265" s="80">
        <v>470.06</v>
      </c>
      <c r="K1265" s="19" t="s">
        <v>195</v>
      </c>
      <c r="L1265" s="19" t="s">
        <v>1849</v>
      </c>
      <c r="Q1265" s="20">
        <v>22</v>
      </c>
      <c r="R1265" s="65" t="s">
        <v>1572</v>
      </c>
      <c r="T1265" s="19" t="s">
        <v>307</v>
      </c>
      <c r="V1265" s="19" t="s">
        <v>178</v>
      </c>
      <c r="Y1265" s="19" t="s">
        <v>138</v>
      </c>
      <c r="Z1265" s="44" t="s">
        <v>1573</v>
      </c>
      <c r="AA1265" s="44" t="s">
        <v>1850</v>
      </c>
      <c r="AC1265" s="19" t="s">
        <v>1851</v>
      </c>
    </row>
    <row r="1266" spans="1:29" hidden="1" x14ac:dyDescent="0.25">
      <c r="A1266" s="26">
        <v>264</v>
      </c>
      <c r="B1266" s="19" t="s">
        <v>1866</v>
      </c>
      <c r="C1266" s="44" t="s">
        <v>273</v>
      </c>
      <c r="D1266" s="19" t="s">
        <v>1011</v>
      </c>
      <c r="E1266" s="19">
        <v>20</v>
      </c>
      <c r="F1266" s="19">
        <v>300</v>
      </c>
      <c r="G1266" s="19">
        <v>9980</v>
      </c>
      <c r="H1266" s="19">
        <v>1</v>
      </c>
      <c r="I1266" s="80">
        <v>470.06</v>
      </c>
      <c r="J1266" s="80">
        <v>470.06</v>
      </c>
      <c r="K1266" s="19" t="s">
        <v>195</v>
      </c>
      <c r="L1266" s="19" t="s">
        <v>1849</v>
      </c>
      <c r="Q1266" s="20">
        <v>22</v>
      </c>
      <c r="R1266" s="65" t="s">
        <v>1572</v>
      </c>
      <c r="T1266" s="19" t="s">
        <v>307</v>
      </c>
      <c r="V1266" s="19" t="s">
        <v>178</v>
      </c>
      <c r="Y1266" s="19" t="s">
        <v>138</v>
      </c>
      <c r="Z1266" s="44" t="s">
        <v>1573</v>
      </c>
      <c r="AA1266" s="44" t="s">
        <v>1850</v>
      </c>
      <c r="AC1266" s="19" t="s">
        <v>1851</v>
      </c>
    </row>
    <row r="1267" spans="1:29" hidden="1" x14ac:dyDescent="0.25">
      <c r="A1267" s="26">
        <v>265</v>
      </c>
      <c r="B1267" s="19" t="s">
        <v>1867</v>
      </c>
      <c r="C1267" s="44" t="s">
        <v>273</v>
      </c>
      <c r="D1267" s="19" t="s">
        <v>1025</v>
      </c>
      <c r="E1267" s="19">
        <v>20</v>
      </c>
      <c r="F1267" s="19">
        <v>300</v>
      </c>
      <c r="G1267" s="19">
        <v>1514</v>
      </c>
      <c r="H1267" s="19">
        <v>1</v>
      </c>
      <c r="I1267" s="80">
        <v>71.31</v>
      </c>
      <c r="J1267" s="80">
        <v>71.31</v>
      </c>
      <c r="K1267" s="19" t="s">
        <v>1868</v>
      </c>
      <c r="L1267" s="19" t="s">
        <v>1869</v>
      </c>
      <c r="Q1267" s="20">
        <v>22</v>
      </c>
      <c r="R1267" s="65" t="s">
        <v>1572</v>
      </c>
      <c r="T1267" s="19" t="s">
        <v>307</v>
      </c>
      <c r="V1267" s="19" t="s">
        <v>178</v>
      </c>
      <c r="Y1267" s="19" t="s">
        <v>138</v>
      </c>
      <c r="Z1267" s="44" t="s">
        <v>1573</v>
      </c>
      <c r="AA1267" s="44" t="s">
        <v>1870</v>
      </c>
      <c r="AC1267" s="19" t="s">
        <v>1871</v>
      </c>
    </row>
    <row r="1268" spans="1:29" hidden="1" x14ac:dyDescent="0.25">
      <c r="A1268" s="26">
        <v>266</v>
      </c>
      <c r="B1268" s="19" t="s">
        <v>1872</v>
      </c>
      <c r="C1268" s="44" t="s">
        <v>273</v>
      </c>
      <c r="D1268" s="19" t="s">
        <v>1025</v>
      </c>
      <c r="E1268" s="19">
        <v>20</v>
      </c>
      <c r="F1268" s="19">
        <v>300</v>
      </c>
      <c r="G1268" s="19">
        <v>1514</v>
      </c>
      <c r="H1268" s="19">
        <v>1</v>
      </c>
      <c r="I1268" s="80">
        <v>71.31</v>
      </c>
      <c r="J1268" s="80">
        <v>71.31</v>
      </c>
      <c r="K1268" s="19" t="s">
        <v>1868</v>
      </c>
      <c r="L1268" s="19" t="s">
        <v>1869</v>
      </c>
      <c r="Q1268" s="20">
        <v>22</v>
      </c>
      <c r="R1268" s="65" t="s">
        <v>1572</v>
      </c>
      <c r="T1268" s="19" t="s">
        <v>307</v>
      </c>
      <c r="V1268" s="19" t="s">
        <v>178</v>
      </c>
      <c r="Y1268" s="19" t="s">
        <v>138</v>
      </c>
      <c r="Z1268" s="44" t="s">
        <v>1573</v>
      </c>
      <c r="AA1268" s="44" t="s">
        <v>1870</v>
      </c>
      <c r="AC1268" s="19" t="s">
        <v>1871</v>
      </c>
    </row>
    <row r="1269" spans="1:29" hidden="1" x14ac:dyDescent="0.25">
      <c r="A1269" s="26">
        <v>267</v>
      </c>
      <c r="B1269" s="19" t="s">
        <v>1873</v>
      </c>
      <c r="C1269" s="44" t="s">
        <v>273</v>
      </c>
      <c r="D1269" s="19" t="s">
        <v>1025</v>
      </c>
      <c r="E1269" s="19">
        <v>20</v>
      </c>
      <c r="F1269" s="19">
        <v>300</v>
      </c>
      <c r="G1269" s="19">
        <v>1514</v>
      </c>
      <c r="H1269" s="19">
        <v>1</v>
      </c>
      <c r="I1269" s="80">
        <v>71.31</v>
      </c>
      <c r="J1269" s="80">
        <v>71.31</v>
      </c>
      <c r="K1269" s="19" t="s">
        <v>1868</v>
      </c>
      <c r="L1269" s="19" t="s">
        <v>1869</v>
      </c>
      <c r="Q1269" s="20">
        <v>22</v>
      </c>
      <c r="R1269" s="65" t="s">
        <v>1572</v>
      </c>
      <c r="T1269" s="19" t="s">
        <v>307</v>
      </c>
      <c r="V1269" s="19" t="s">
        <v>178</v>
      </c>
      <c r="Y1269" s="19" t="s">
        <v>138</v>
      </c>
      <c r="Z1269" s="44" t="s">
        <v>1573</v>
      </c>
      <c r="AA1269" s="44" t="s">
        <v>1870</v>
      </c>
      <c r="AC1269" s="19" t="s">
        <v>1871</v>
      </c>
    </row>
    <row r="1270" spans="1:29" hidden="1" x14ac:dyDescent="0.25">
      <c r="A1270" s="26">
        <v>268</v>
      </c>
      <c r="B1270" s="19" t="s">
        <v>1874</v>
      </c>
      <c r="C1270" s="44" t="s">
        <v>273</v>
      </c>
      <c r="D1270" s="19" t="s">
        <v>1025</v>
      </c>
      <c r="E1270" s="19">
        <v>20</v>
      </c>
      <c r="F1270" s="19">
        <v>300</v>
      </c>
      <c r="G1270" s="19">
        <v>1514</v>
      </c>
      <c r="H1270" s="19">
        <v>1</v>
      </c>
      <c r="I1270" s="80">
        <v>71.31</v>
      </c>
      <c r="J1270" s="80">
        <v>71.31</v>
      </c>
      <c r="K1270" s="19" t="s">
        <v>1868</v>
      </c>
      <c r="L1270" s="19" t="s">
        <v>1869</v>
      </c>
      <c r="Q1270" s="20">
        <v>22</v>
      </c>
      <c r="R1270" s="65" t="s">
        <v>1572</v>
      </c>
      <c r="T1270" s="19" t="s">
        <v>307</v>
      </c>
      <c r="V1270" s="19" t="s">
        <v>178</v>
      </c>
      <c r="Y1270" s="19" t="s">
        <v>138</v>
      </c>
      <c r="Z1270" s="44" t="s">
        <v>1573</v>
      </c>
      <c r="AA1270" s="44" t="s">
        <v>1870</v>
      </c>
      <c r="AC1270" s="19" t="s">
        <v>1871</v>
      </c>
    </row>
    <row r="1271" spans="1:29" hidden="1" x14ac:dyDescent="0.25">
      <c r="A1271" s="26">
        <v>269</v>
      </c>
      <c r="B1271" s="19" t="s">
        <v>1875</v>
      </c>
      <c r="C1271" s="44" t="s">
        <v>273</v>
      </c>
      <c r="D1271" s="19" t="s">
        <v>1025</v>
      </c>
      <c r="E1271" s="19">
        <v>20</v>
      </c>
      <c r="F1271" s="19">
        <v>300</v>
      </c>
      <c r="G1271" s="19">
        <v>1514</v>
      </c>
      <c r="H1271" s="19">
        <v>1</v>
      </c>
      <c r="I1271" s="80">
        <v>71.31</v>
      </c>
      <c r="J1271" s="80">
        <v>71.31</v>
      </c>
      <c r="K1271" s="19" t="s">
        <v>1868</v>
      </c>
      <c r="L1271" s="19" t="s">
        <v>1869</v>
      </c>
      <c r="Q1271" s="20">
        <v>22</v>
      </c>
      <c r="R1271" s="65" t="s">
        <v>1572</v>
      </c>
      <c r="T1271" s="19" t="s">
        <v>307</v>
      </c>
      <c r="V1271" s="19" t="s">
        <v>178</v>
      </c>
      <c r="Y1271" s="19" t="s">
        <v>138</v>
      </c>
      <c r="Z1271" s="44" t="s">
        <v>1573</v>
      </c>
      <c r="AA1271" s="44" t="s">
        <v>1870</v>
      </c>
      <c r="AC1271" s="19" t="s">
        <v>1871</v>
      </c>
    </row>
    <row r="1272" spans="1:29" hidden="1" x14ac:dyDescent="0.25">
      <c r="A1272" s="26">
        <v>270</v>
      </c>
      <c r="B1272" s="19" t="s">
        <v>1876</v>
      </c>
      <c r="C1272" s="44" t="s">
        <v>273</v>
      </c>
      <c r="D1272" s="19" t="s">
        <v>1025</v>
      </c>
      <c r="E1272" s="19">
        <v>20</v>
      </c>
      <c r="F1272" s="19">
        <v>300</v>
      </c>
      <c r="G1272" s="19">
        <v>1514</v>
      </c>
      <c r="H1272" s="19">
        <v>1</v>
      </c>
      <c r="I1272" s="80">
        <v>71.31</v>
      </c>
      <c r="J1272" s="80">
        <v>71.31</v>
      </c>
      <c r="K1272" s="19" t="s">
        <v>1868</v>
      </c>
      <c r="L1272" s="19" t="s">
        <v>1869</v>
      </c>
      <c r="Q1272" s="20">
        <v>22</v>
      </c>
      <c r="R1272" s="65" t="s">
        <v>1572</v>
      </c>
      <c r="T1272" s="19" t="s">
        <v>307</v>
      </c>
      <c r="V1272" s="19" t="s">
        <v>178</v>
      </c>
      <c r="Y1272" s="19" t="s">
        <v>138</v>
      </c>
      <c r="Z1272" s="44" t="s">
        <v>1573</v>
      </c>
      <c r="AA1272" s="44" t="s">
        <v>1870</v>
      </c>
      <c r="AC1272" s="19" t="s">
        <v>1871</v>
      </c>
    </row>
    <row r="1273" spans="1:29" hidden="1" x14ac:dyDescent="0.25">
      <c r="A1273" s="26">
        <v>271</v>
      </c>
      <c r="B1273" s="19" t="s">
        <v>1877</v>
      </c>
      <c r="C1273" s="44" t="s">
        <v>273</v>
      </c>
      <c r="D1273" s="19" t="s">
        <v>1025</v>
      </c>
      <c r="E1273" s="19">
        <v>20</v>
      </c>
      <c r="F1273" s="19">
        <v>300</v>
      </c>
      <c r="G1273" s="19">
        <v>1514</v>
      </c>
      <c r="H1273" s="19">
        <v>1</v>
      </c>
      <c r="I1273" s="80">
        <v>71.31</v>
      </c>
      <c r="J1273" s="80">
        <v>71.31</v>
      </c>
      <c r="K1273" s="19" t="s">
        <v>1868</v>
      </c>
      <c r="L1273" s="19" t="s">
        <v>1869</v>
      </c>
      <c r="Q1273" s="20">
        <v>22</v>
      </c>
      <c r="R1273" s="65" t="s">
        <v>1572</v>
      </c>
      <c r="T1273" s="19" t="s">
        <v>307</v>
      </c>
      <c r="V1273" s="19" t="s">
        <v>178</v>
      </c>
      <c r="Y1273" s="19" t="s">
        <v>138</v>
      </c>
      <c r="Z1273" s="44" t="s">
        <v>1573</v>
      </c>
      <c r="AA1273" s="44" t="s">
        <v>1870</v>
      </c>
      <c r="AC1273" s="19" t="s">
        <v>1871</v>
      </c>
    </row>
    <row r="1274" spans="1:29" hidden="1" x14ac:dyDescent="0.25">
      <c r="A1274" s="26">
        <v>272</v>
      </c>
      <c r="B1274" s="19" t="s">
        <v>1878</v>
      </c>
      <c r="C1274" s="44" t="s">
        <v>273</v>
      </c>
      <c r="D1274" s="19" t="s">
        <v>1025</v>
      </c>
      <c r="E1274" s="19">
        <v>20</v>
      </c>
      <c r="F1274" s="19">
        <v>300</v>
      </c>
      <c r="G1274" s="19">
        <v>1514</v>
      </c>
      <c r="H1274" s="19">
        <v>1</v>
      </c>
      <c r="I1274" s="80">
        <v>71.31</v>
      </c>
      <c r="J1274" s="80">
        <v>71.31</v>
      </c>
      <c r="K1274" s="19" t="s">
        <v>1868</v>
      </c>
      <c r="L1274" s="19" t="s">
        <v>1869</v>
      </c>
      <c r="Q1274" s="20">
        <v>22</v>
      </c>
      <c r="R1274" s="65" t="s">
        <v>1572</v>
      </c>
      <c r="T1274" s="19" t="s">
        <v>307</v>
      </c>
      <c r="V1274" s="19" t="s">
        <v>178</v>
      </c>
      <c r="Y1274" s="19" t="s">
        <v>138</v>
      </c>
      <c r="Z1274" s="44" t="s">
        <v>1573</v>
      </c>
      <c r="AA1274" s="44" t="s">
        <v>1870</v>
      </c>
      <c r="AC1274" s="19" t="s">
        <v>1871</v>
      </c>
    </row>
    <row r="1275" spans="1:29" hidden="1" x14ac:dyDescent="0.25">
      <c r="A1275" s="26">
        <v>273</v>
      </c>
      <c r="B1275" s="19" t="s">
        <v>1864</v>
      </c>
      <c r="C1275" s="44" t="s">
        <v>273</v>
      </c>
      <c r="D1275" s="19" t="s">
        <v>1370</v>
      </c>
      <c r="E1275" s="19">
        <v>20</v>
      </c>
      <c r="F1275" s="19">
        <v>300</v>
      </c>
      <c r="G1275" s="19">
        <v>480</v>
      </c>
      <c r="H1275" s="19">
        <v>4</v>
      </c>
      <c r="I1275" s="80">
        <v>22.61</v>
      </c>
      <c r="J1275" s="80">
        <v>90.43</v>
      </c>
      <c r="K1275" s="19" t="s">
        <v>1868</v>
      </c>
      <c r="L1275" s="19" t="s">
        <v>1869</v>
      </c>
      <c r="Q1275" s="20">
        <v>22</v>
      </c>
      <c r="R1275" s="65" t="s">
        <v>1572</v>
      </c>
      <c r="T1275" s="19" t="s">
        <v>307</v>
      </c>
      <c r="V1275" s="19" t="s">
        <v>178</v>
      </c>
      <c r="W1275" s="19" t="s">
        <v>138</v>
      </c>
      <c r="Z1275" s="44" t="s">
        <v>1573</v>
      </c>
      <c r="AA1275" s="44" t="s">
        <v>1870</v>
      </c>
      <c r="AC1275" s="19" t="s">
        <v>1871</v>
      </c>
    </row>
    <row r="1276" spans="1:29" hidden="1" x14ac:dyDescent="0.25">
      <c r="A1276" s="26">
        <v>274</v>
      </c>
      <c r="B1276" s="19" t="s">
        <v>1879</v>
      </c>
      <c r="C1276" s="44" t="s">
        <v>273</v>
      </c>
      <c r="D1276" s="19" t="s">
        <v>1022</v>
      </c>
      <c r="E1276" s="19">
        <v>20</v>
      </c>
      <c r="F1276" s="19">
        <v>300</v>
      </c>
      <c r="G1276" s="19">
        <v>1096</v>
      </c>
      <c r="H1276" s="19">
        <v>2</v>
      </c>
      <c r="I1276" s="80">
        <v>51.62</v>
      </c>
      <c r="J1276" s="80">
        <v>103.24</v>
      </c>
      <c r="K1276" s="19" t="s">
        <v>1868</v>
      </c>
      <c r="L1276" s="19" t="s">
        <v>1869</v>
      </c>
      <c r="P1276" s="19" t="s">
        <v>138</v>
      </c>
      <c r="Q1276" s="20">
        <v>22</v>
      </c>
      <c r="R1276" s="65" t="s">
        <v>1572</v>
      </c>
      <c r="T1276" s="19" t="s">
        <v>307</v>
      </c>
      <c r="V1276" s="19" t="s">
        <v>178</v>
      </c>
      <c r="Y1276" s="19" t="s">
        <v>138</v>
      </c>
      <c r="Z1276" s="44" t="s">
        <v>1573</v>
      </c>
      <c r="AA1276" s="44" t="s">
        <v>1870</v>
      </c>
      <c r="AC1276" s="19" t="s">
        <v>1871</v>
      </c>
    </row>
    <row r="1277" spans="1:29" hidden="1" x14ac:dyDescent="0.25">
      <c r="A1277" s="26">
        <v>275</v>
      </c>
      <c r="B1277" s="19" t="s">
        <v>1880</v>
      </c>
      <c r="C1277" s="44" t="s">
        <v>273</v>
      </c>
      <c r="D1277" s="19" t="s">
        <v>1022</v>
      </c>
      <c r="E1277" s="19">
        <v>20</v>
      </c>
      <c r="F1277" s="19">
        <v>300</v>
      </c>
      <c r="G1277" s="19">
        <v>1096</v>
      </c>
      <c r="H1277" s="19">
        <v>2</v>
      </c>
      <c r="I1277" s="80">
        <v>51.62</v>
      </c>
      <c r="J1277" s="80">
        <v>103.24</v>
      </c>
      <c r="K1277" s="19" t="s">
        <v>1868</v>
      </c>
      <c r="L1277" s="19" t="s">
        <v>1869</v>
      </c>
      <c r="P1277" s="19" t="s">
        <v>138</v>
      </c>
      <c r="Q1277" s="20">
        <v>22</v>
      </c>
      <c r="R1277" s="65" t="s">
        <v>1572</v>
      </c>
      <c r="T1277" s="19" t="s">
        <v>307</v>
      </c>
      <c r="V1277" s="19" t="s">
        <v>178</v>
      </c>
      <c r="Y1277" s="19" t="s">
        <v>138</v>
      </c>
      <c r="Z1277" s="44" t="s">
        <v>1573</v>
      </c>
      <c r="AA1277" s="44" t="s">
        <v>1870</v>
      </c>
      <c r="AC1277" s="19" t="s">
        <v>1871</v>
      </c>
    </row>
    <row r="1278" spans="1:29" hidden="1" x14ac:dyDescent="0.25">
      <c r="A1278" s="26">
        <v>276</v>
      </c>
      <c r="B1278" s="19" t="s">
        <v>1881</v>
      </c>
      <c r="C1278" s="44" t="s">
        <v>273</v>
      </c>
      <c r="D1278" s="19" t="s">
        <v>1022</v>
      </c>
      <c r="E1278" s="19">
        <v>20</v>
      </c>
      <c r="F1278" s="19">
        <v>300</v>
      </c>
      <c r="G1278" s="19">
        <v>1096</v>
      </c>
      <c r="H1278" s="19">
        <v>2</v>
      </c>
      <c r="I1278" s="80">
        <v>51.62</v>
      </c>
      <c r="J1278" s="80">
        <v>103.24</v>
      </c>
      <c r="K1278" s="19" t="s">
        <v>1868</v>
      </c>
      <c r="L1278" s="19" t="s">
        <v>1869</v>
      </c>
      <c r="P1278" s="19" t="s">
        <v>138</v>
      </c>
      <c r="Q1278" s="20">
        <v>22</v>
      </c>
      <c r="R1278" s="65" t="s">
        <v>1572</v>
      </c>
      <c r="T1278" s="19" t="s">
        <v>307</v>
      </c>
      <c r="V1278" s="19" t="s">
        <v>178</v>
      </c>
      <c r="Y1278" s="19" t="s">
        <v>138</v>
      </c>
      <c r="Z1278" s="44" t="s">
        <v>1573</v>
      </c>
      <c r="AA1278" s="44" t="s">
        <v>1870</v>
      </c>
      <c r="AC1278" s="19" t="s">
        <v>1871</v>
      </c>
    </row>
    <row r="1279" spans="1:29" hidden="1" x14ac:dyDescent="0.25">
      <c r="A1279" s="26">
        <v>277</v>
      </c>
      <c r="B1279" s="19" t="s">
        <v>1882</v>
      </c>
      <c r="C1279" s="44" t="s">
        <v>273</v>
      </c>
      <c r="D1279" s="19" t="s">
        <v>1022</v>
      </c>
      <c r="E1279" s="19">
        <v>20</v>
      </c>
      <c r="F1279" s="19">
        <v>300</v>
      </c>
      <c r="G1279" s="19">
        <v>1096</v>
      </c>
      <c r="H1279" s="19">
        <v>2</v>
      </c>
      <c r="I1279" s="80">
        <v>51.62</v>
      </c>
      <c r="J1279" s="80">
        <v>103.24</v>
      </c>
      <c r="K1279" s="19" t="s">
        <v>1868</v>
      </c>
      <c r="L1279" s="19" t="s">
        <v>1869</v>
      </c>
      <c r="P1279" s="19" t="s">
        <v>138</v>
      </c>
      <c r="Q1279" s="20">
        <v>22</v>
      </c>
      <c r="R1279" s="65" t="s">
        <v>1572</v>
      </c>
      <c r="T1279" s="19" t="s">
        <v>307</v>
      </c>
      <c r="V1279" s="19" t="s">
        <v>178</v>
      </c>
      <c r="Y1279" s="19" t="s">
        <v>138</v>
      </c>
      <c r="Z1279" s="44" t="s">
        <v>1573</v>
      </c>
      <c r="AA1279" s="44" t="s">
        <v>1870</v>
      </c>
      <c r="AC1279" s="19" t="s">
        <v>1871</v>
      </c>
    </row>
    <row r="1280" spans="1:29" hidden="1" x14ac:dyDescent="0.25">
      <c r="A1280" s="26">
        <v>278</v>
      </c>
      <c r="B1280" s="19" t="s">
        <v>1883</v>
      </c>
      <c r="C1280" s="44" t="s">
        <v>273</v>
      </c>
      <c r="D1280" s="19" t="s">
        <v>1025</v>
      </c>
      <c r="E1280" s="19">
        <v>20</v>
      </c>
      <c r="F1280" s="19">
        <v>300</v>
      </c>
      <c r="G1280" s="19">
        <v>1514</v>
      </c>
      <c r="H1280" s="19">
        <v>1</v>
      </c>
      <c r="I1280" s="80">
        <v>71.31</v>
      </c>
      <c r="J1280" s="80">
        <v>71.31</v>
      </c>
      <c r="K1280" s="19" t="s">
        <v>1868</v>
      </c>
      <c r="L1280" s="19" t="s">
        <v>1869</v>
      </c>
      <c r="Q1280" s="20">
        <v>22</v>
      </c>
      <c r="R1280" s="65" t="s">
        <v>1572</v>
      </c>
      <c r="T1280" s="19" t="s">
        <v>307</v>
      </c>
      <c r="V1280" s="19" t="s">
        <v>178</v>
      </c>
      <c r="Y1280" s="19" t="s">
        <v>138</v>
      </c>
      <c r="Z1280" s="44" t="s">
        <v>1573</v>
      </c>
      <c r="AA1280" s="44" t="s">
        <v>1870</v>
      </c>
      <c r="AC1280" s="19" t="s">
        <v>1871</v>
      </c>
    </row>
    <row r="1281" spans="1:29" hidden="1" x14ac:dyDescent="0.25">
      <c r="A1281" s="26">
        <v>279</v>
      </c>
      <c r="B1281" s="19" t="s">
        <v>1884</v>
      </c>
      <c r="C1281" s="44" t="s">
        <v>273</v>
      </c>
      <c r="D1281" s="19" t="s">
        <v>1025</v>
      </c>
      <c r="E1281" s="19">
        <v>20</v>
      </c>
      <c r="F1281" s="19">
        <v>300</v>
      </c>
      <c r="G1281" s="19">
        <v>1514</v>
      </c>
      <c r="H1281" s="19">
        <v>1</v>
      </c>
      <c r="I1281" s="80">
        <v>71.31</v>
      </c>
      <c r="J1281" s="80">
        <v>71.31</v>
      </c>
      <c r="K1281" s="19" t="s">
        <v>1868</v>
      </c>
      <c r="L1281" s="19" t="s">
        <v>1869</v>
      </c>
      <c r="Q1281" s="20">
        <v>22</v>
      </c>
      <c r="R1281" s="65" t="s">
        <v>1572</v>
      </c>
      <c r="T1281" s="19" t="s">
        <v>307</v>
      </c>
      <c r="V1281" s="19" t="s">
        <v>178</v>
      </c>
      <c r="Y1281" s="19" t="s">
        <v>138</v>
      </c>
      <c r="Z1281" s="44" t="s">
        <v>1573</v>
      </c>
      <c r="AA1281" s="44" t="s">
        <v>1870</v>
      </c>
      <c r="AC1281" s="19" t="s">
        <v>1871</v>
      </c>
    </row>
    <row r="1282" spans="1:29" hidden="1" x14ac:dyDescent="0.25">
      <c r="A1282" s="26">
        <v>280</v>
      </c>
      <c r="B1282" s="19" t="s">
        <v>1885</v>
      </c>
      <c r="C1282" s="44" t="s">
        <v>273</v>
      </c>
      <c r="D1282" s="19" t="s">
        <v>1025</v>
      </c>
      <c r="E1282" s="19">
        <v>20</v>
      </c>
      <c r="F1282" s="19">
        <v>300</v>
      </c>
      <c r="G1282" s="19">
        <v>1514</v>
      </c>
      <c r="H1282" s="19">
        <v>1</v>
      </c>
      <c r="I1282" s="80">
        <v>71.31</v>
      </c>
      <c r="J1282" s="80">
        <v>71.31</v>
      </c>
      <c r="K1282" s="19" t="s">
        <v>1868</v>
      </c>
      <c r="L1282" s="19" t="s">
        <v>1869</v>
      </c>
      <c r="Q1282" s="20">
        <v>22</v>
      </c>
      <c r="R1282" s="65" t="s">
        <v>1572</v>
      </c>
      <c r="T1282" s="19" t="s">
        <v>307</v>
      </c>
      <c r="V1282" s="19" t="s">
        <v>178</v>
      </c>
      <c r="Y1282" s="19" t="s">
        <v>138</v>
      </c>
      <c r="Z1282" s="44" t="s">
        <v>1573</v>
      </c>
      <c r="AA1282" s="44" t="s">
        <v>1870</v>
      </c>
      <c r="AC1282" s="19" t="s">
        <v>1871</v>
      </c>
    </row>
    <row r="1283" spans="1:29" hidden="1" x14ac:dyDescent="0.25">
      <c r="A1283" s="26">
        <v>281</v>
      </c>
      <c r="B1283" s="19" t="s">
        <v>1886</v>
      </c>
      <c r="C1283" s="44" t="s">
        <v>273</v>
      </c>
      <c r="D1283" s="19" t="s">
        <v>1025</v>
      </c>
      <c r="E1283" s="19">
        <v>20</v>
      </c>
      <c r="F1283" s="19">
        <v>300</v>
      </c>
      <c r="G1283" s="19">
        <v>1514</v>
      </c>
      <c r="H1283" s="19">
        <v>1</v>
      </c>
      <c r="I1283" s="80">
        <v>71.31</v>
      </c>
      <c r="J1283" s="80">
        <v>71.31</v>
      </c>
      <c r="K1283" s="19" t="s">
        <v>1868</v>
      </c>
      <c r="L1283" s="19" t="s">
        <v>1869</v>
      </c>
      <c r="Q1283" s="20">
        <v>22</v>
      </c>
      <c r="R1283" s="65" t="s">
        <v>1572</v>
      </c>
      <c r="T1283" s="19" t="s">
        <v>307</v>
      </c>
      <c r="V1283" s="19" t="s">
        <v>178</v>
      </c>
      <c r="Y1283" s="19" t="s">
        <v>138</v>
      </c>
      <c r="Z1283" s="44" t="s">
        <v>1573</v>
      </c>
      <c r="AA1283" s="44" t="s">
        <v>1870</v>
      </c>
      <c r="AC1283" s="19" t="s">
        <v>1871</v>
      </c>
    </row>
    <row r="1284" spans="1:29" hidden="1" x14ac:dyDescent="0.25">
      <c r="A1284" s="26">
        <v>282</v>
      </c>
      <c r="B1284" s="19" t="s">
        <v>1887</v>
      </c>
      <c r="C1284" s="44" t="s">
        <v>273</v>
      </c>
      <c r="D1284" s="19" t="s">
        <v>1025</v>
      </c>
      <c r="E1284" s="19">
        <v>20</v>
      </c>
      <c r="F1284" s="19">
        <v>300</v>
      </c>
      <c r="G1284" s="19">
        <v>1514</v>
      </c>
      <c r="H1284" s="19">
        <v>1</v>
      </c>
      <c r="I1284" s="80">
        <v>71.31</v>
      </c>
      <c r="J1284" s="80">
        <v>71.31</v>
      </c>
      <c r="K1284" s="19" t="s">
        <v>1868</v>
      </c>
      <c r="L1284" s="19" t="s">
        <v>1869</v>
      </c>
      <c r="Q1284" s="20">
        <v>22</v>
      </c>
      <c r="R1284" s="65" t="s">
        <v>1572</v>
      </c>
      <c r="T1284" s="19" t="s">
        <v>307</v>
      </c>
      <c r="V1284" s="19" t="s">
        <v>178</v>
      </c>
      <c r="Y1284" s="19" t="s">
        <v>138</v>
      </c>
      <c r="Z1284" s="44" t="s">
        <v>1573</v>
      </c>
      <c r="AA1284" s="44" t="s">
        <v>1870</v>
      </c>
      <c r="AC1284" s="19" t="s">
        <v>1871</v>
      </c>
    </row>
    <row r="1285" spans="1:29" hidden="1" x14ac:dyDescent="0.25">
      <c r="A1285" s="26">
        <v>283</v>
      </c>
      <c r="B1285" s="19" t="s">
        <v>1888</v>
      </c>
      <c r="C1285" s="44" t="s">
        <v>273</v>
      </c>
      <c r="D1285" s="19" t="s">
        <v>1025</v>
      </c>
      <c r="E1285" s="19">
        <v>20</v>
      </c>
      <c r="F1285" s="19">
        <v>300</v>
      </c>
      <c r="G1285" s="19">
        <v>1514</v>
      </c>
      <c r="H1285" s="19">
        <v>1</v>
      </c>
      <c r="I1285" s="80">
        <v>71.31</v>
      </c>
      <c r="J1285" s="80">
        <v>71.31</v>
      </c>
      <c r="K1285" s="19" t="s">
        <v>1868</v>
      </c>
      <c r="L1285" s="19" t="s">
        <v>1869</v>
      </c>
      <c r="Q1285" s="20">
        <v>22</v>
      </c>
      <c r="R1285" s="65" t="s">
        <v>1572</v>
      </c>
      <c r="T1285" s="19" t="s">
        <v>307</v>
      </c>
      <c r="V1285" s="19" t="s">
        <v>178</v>
      </c>
      <c r="Y1285" s="19" t="s">
        <v>138</v>
      </c>
      <c r="Z1285" s="44" t="s">
        <v>1573</v>
      </c>
      <c r="AA1285" s="44" t="s">
        <v>1870</v>
      </c>
      <c r="AC1285" s="19" t="s">
        <v>1871</v>
      </c>
    </row>
    <row r="1286" spans="1:29" hidden="1" x14ac:dyDescent="0.25">
      <c r="A1286" s="26">
        <v>284</v>
      </c>
      <c r="B1286" s="19" t="s">
        <v>1889</v>
      </c>
      <c r="C1286" s="44" t="s">
        <v>273</v>
      </c>
      <c r="D1286" s="19" t="s">
        <v>1025</v>
      </c>
      <c r="E1286" s="19">
        <v>20</v>
      </c>
      <c r="F1286" s="19">
        <v>300</v>
      </c>
      <c r="G1286" s="19">
        <v>1514</v>
      </c>
      <c r="H1286" s="19">
        <v>1</v>
      </c>
      <c r="I1286" s="80">
        <v>71.31</v>
      </c>
      <c r="J1286" s="80">
        <v>71.31</v>
      </c>
      <c r="K1286" s="19" t="s">
        <v>1868</v>
      </c>
      <c r="L1286" s="19" t="s">
        <v>1869</v>
      </c>
      <c r="Q1286" s="20">
        <v>22</v>
      </c>
      <c r="R1286" s="65" t="s">
        <v>1572</v>
      </c>
      <c r="T1286" s="19" t="s">
        <v>307</v>
      </c>
      <c r="V1286" s="19" t="s">
        <v>178</v>
      </c>
      <c r="Y1286" s="19" t="s">
        <v>138</v>
      </c>
      <c r="Z1286" s="44" t="s">
        <v>1573</v>
      </c>
      <c r="AA1286" s="44" t="s">
        <v>1870</v>
      </c>
      <c r="AC1286" s="19" t="s">
        <v>1871</v>
      </c>
    </row>
    <row r="1287" spans="1:29" hidden="1" x14ac:dyDescent="0.25">
      <c r="A1287" s="26">
        <v>285</v>
      </c>
      <c r="B1287" s="19" t="s">
        <v>1890</v>
      </c>
      <c r="C1287" s="44" t="s">
        <v>273</v>
      </c>
      <c r="D1287" s="19" t="s">
        <v>1025</v>
      </c>
      <c r="E1287" s="19">
        <v>20</v>
      </c>
      <c r="F1287" s="19">
        <v>300</v>
      </c>
      <c r="G1287" s="19">
        <v>1514</v>
      </c>
      <c r="H1287" s="19">
        <v>1</v>
      </c>
      <c r="I1287" s="80">
        <v>71.31</v>
      </c>
      <c r="J1287" s="80">
        <v>71.31</v>
      </c>
      <c r="K1287" s="19" t="s">
        <v>1868</v>
      </c>
      <c r="L1287" s="19" t="s">
        <v>1869</v>
      </c>
      <c r="Q1287" s="20">
        <v>22</v>
      </c>
      <c r="R1287" s="65" t="s">
        <v>1572</v>
      </c>
      <c r="T1287" s="19" t="s">
        <v>307</v>
      </c>
      <c r="V1287" s="19" t="s">
        <v>178</v>
      </c>
      <c r="Y1287" s="19" t="s">
        <v>138</v>
      </c>
      <c r="Z1287" s="44" t="s">
        <v>1573</v>
      </c>
      <c r="AA1287" s="44" t="s">
        <v>1870</v>
      </c>
      <c r="AC1287" s="19" t="s">
        <v>1871</v>
      </c>
    </row>
    <row r="1288" spans="1:29" hidden="1" x14ac:dyDescent="0.25">
      <c r="A1288" s="26">
        <v>286</v>
      </c>
      <c r="B1288" s="19" t="s">
        <v>1891</v>
      </c>
      <c r="C1288" s="44" t="s">
        <v>273</v>
      </c>
      <c r="D1288" s="19" t="s">
        <v>1370</v>
      </c>
      <c r="E1288" s="19">
        <v>20</v>
      </c>
      <c r="F1288" s="19">
        <v>300</v>
      </c>
      <c r="G1288" s="19">
        <v>480</v>
      </c>
      <c r="H1288" s="19">
        <v>4</v>
      </c>
      <c r="I1288" s="80">
        <v>22.61</v>
      </c>
      <c r="J1288" s="80">
        <v>90.43</v>
      </c>
      <c r="K1288" s="19" t="s">
        <v>1868</v>
      </c>
      <c r="L1288" s="19" t="s">
        <v>1869</v>
      </c>
      <c r="Q1288" s="20">
        <v>22</v>
      </c>
      <c r="R1288" s="65" t="s">
        <v>1572</v>
      </c>
      <c r="T1288" s="19" t="s">
        <v>307</v>
      </c>
      <c r="V1288" s="19" t="s">
        <v>178</v>
      </c>
      <c r="W1288" s="19" t="s">
        <v>138</v>
      </c>
      <c r="Z1288" s="44" t="s">
        <v>1573</v>
      </c>
      <c r="AA1288" s="44" t="s">
        <v>1870</v>
      </c>
      <c r="AC1288" s="19" t="s">
        <v>1871</v>
      </c>
    </row>
    <row r="1289" spans="1:29" hidden="1" x14ac:dyDescent="0.25">
      <c r="A1289" s="26">
        <v>287</v>
      </c>
      <c r="B1289" s="19" t="s">
        <v>1892</v>
      </c>
      <c r="C1289" s="44" t="s">
        <v>273</v>
      </c>
      <c r="D1289" s="19" t="s">
        <v>1022</v>
      </c>
      <c r="E1289" s="19">
        <v>20</v>
      </c>
      <c r="F1289" s="19">
        <v>300</v>
      </c>
      <c r="G1289" s="19">
        <v>1096</v>
      </c>
      <c r="H1289" s="19">
        <v>2</v>
      </c>
      <c r="I1289" s="80">
        <v>51.62</v>
      </c>
      <c r="J1289" s="80">
        <v>103.24</v>
      </c>
      <c r="K1289" s="19" t="s">
        <v>1868</v>
      </c>
      <c r="L1289" s="19" t="s">
        <v>1869</v>
      </c>
      <c r="P1289" s="19" t="s">
        <v>138</v>
      </c>
      <c r="Q1289" s="20">
        <v>22</v>
      </c>
      <c r="R1289" s="65" t="s">
        <v>1572</v>
      </c>
      <c r="T1289" s="19" t="s">
        <v>307</v>
      </c>
      <c r="V1289" s="19" t="s">
        <v>178</v>
      </c>
      <c r="Y1289" s="19" t="s">
        <v>138</v>
      </c>
      <c r="Z1289" s="44" t="s">
        <v>1573</v>
      </c>
      <c r="AA1289" s="44" t="s">
        <v>1870</v>
      </c>
      <c r="AC1289" s="19" t="s">
        <v>1871</v>
      </c>
    </row>
    <row r="1290" spans="1:29" hidden="1" x14ac:dyDescent="0.25">
      <c r="A1290" s="26">
        <v>288</v>
      </c>
      <c r="B1290" s="19" t="s">
        <v>1893</v>
      </c>
      <c r="C1290" s="44" t="s">
        <v>273</v>
      </c>
      <c r="D1290" s="19" t="s">
        <v>1022</v>
      </c>
      <c r="E1290" s="19">
        <v>20</v>
      </c>
      <c r="F1290" s="19">
        <v>300</v>
      </c>
      <c r="G1290" s="19">
        <v>1096</v>
      </c>
      <c r="H1290" s="19">
        <v>2</v>
      </c>
      <c r="I1290" s="80">
        <v>51.62</v>
      </c>
      <c r="J1290" s="80">
        <v>103.24</v>
      </c>
      <c r="K1290" s="19" t="s">
        <v>1868</v>
      </c>
      <c r="L1290" s="19" t="s">
        <v>1869</v>
      </c>
      <c r="P1290" s="19" t="s">
        <v>138</v>
      </c>
      <c r="Q1290" s="20">
        <v>22</v>
      </c>
      <c r="R1290" s="65" t="s">
        <v>1572</v>
      </c>
      <c r="T1290" s="19" t="s">
        <v>307</v>
      </c>
      <c r="V1290" s="19" t="s">
        <v>178</v>
      </c>
      <c r="Y1290" s="19" t="s">
        <v>138</v>
      </c>
      <c r="Z1290" s="44" t="s">
        <v>1573</v>
      </c>
      <c r="AA1290" s="44" t="s">
        <v>1870</v>
      </c>
      <c r="AC1290" s="19" t="s">
        <v>1871</v>
      </c>
    </row>
    <row r="1291" spans="1:29" hidden="1" x14ac:dyDescent="0.25">
      <c r="A1291" s="26">
        <v>289</v>
      </c>
      <c r="B1291" s="19" t="s">
        <v>1894</v>
      </c>
      <c r="C1291" s="44" t="s">
        <v>273</v>
      </c>
      <c r="D1291" s="19" t="s">
        <v>1022</v>
      </c>
      <c r="E1291" s="19">
        <v>20</v>
      </c>
      <c r="F1291" s="19">
        <v>300</v>
      </c>
      <c r="G1291" s="19">
        <v>1096</v>
      </c>
      <c r="H1291" s="19">
        <v>2</v>
      </c>
      <c r="I1291" s="80">
        <v>51.62</v>
      </c>
      <c r="J1291" s="80">
        <v>103.24</v>
      </c>
      <c r="K1291" s="19" t="s">
        <v>1868</v>
      </c>
      <c r="L1291" s="19" t="s">
        <v>1869</v>
      </c>
      <c r="P1291" s="19" t="s">
        <v>138</v>
      </c>
      <c r="Q1291" s="20">
        <v>22</v>
      </c>
      <c r="R1291" s="65" t="s">
        <v>1572</v>
      </c>
      <c r="T1291" s="19" t="s">
        <v>307</v>
      </c>
      <c r="V1291" s="19" t="s">
        <v>178</v>
      </c>
      <c r="Y1291" s="19" t="s">
        <v>138</v>
      </c>
      <c r="Z1291" s="44" t="s">
        <v>1573</v>
      </c>
      <c r="AA1291" s="44" t="s">
        <v>1870</v>
      </c>
      <c r="AC1291" s="19" t="s">
        <v>1871</v>
      </c>
    </row>
    <row r="1292" spans="1:29" hidden="1" x14ac:dyDescent="0.25">
      <c r="A1292" s="26">
        <v>290</v>
      </c>
      <c r="B1292" s="19" t="s">
        <v>1895</v>
      </c>
      <c r="C1292" s="44" t="s">
        <v>273</v>
      </c>
      <c r="D1292" s="19" t="s">
        <v>1022</v>
      </c>
      <c r="E1292" s="19">
        <v>20</v>
      </c>
      <c r="F1292" s="19">
        <v>300</v>
      </c>
      <c r="G1292" s="19">
        <v>1096</v>
      </c>
      <c r="H1292" s="19">
        <v>2</v>
      </c>
      <c r="I1292" s="80">
        <v>51.62</v>
      </c>
      <c r="J1292" s="80">
        <v>103.24</v>
      </c>
      <c r="K1292" s="19" t="s">
        <v>1868</v>
      </c>
      <c r="L1292" s="19" t="s">
        <v>1869</v>
      </c>
      <c r="P1292" s="19" t="s">
        <v>138</v>
      </c>
      <c r="Q1292" s="20">
        <v>22</v>
      </c>
      <c r="R1292" s="65" t="s">
        <v>1572</v>
      </c>
      <c r="T1292" s="19" t="s">
        <v>307</v>
      </c>
      <c r="V1292" s="19" t="s">
        <v>178</v>
      </c>
      <c r="Y1292" s="19" t="s">
        <v>138</v>
      </c>
      <c r="Z1292" s="44" t="s">
        <v>1573</v>
      </c>
      <c r="AA1292" s="44" t="s">
        <v>1870</v>
      </c>
      <c r="AC1292" s="19" t="s">
        <v>1871</v>
      </c>
    </row>
    <row r="1293" spans="1:29" hidden="1" x14ac:dyDescent="0.25">
      <c r="A1293" s="26">
        <v>291</v>
      </c>
      <c r="B1293" s="19" t="s">
        <v>1896</v>
      </c>
      <c r="C1293" s="44" t="s">
        <v>273</v>
      </c>
      <c r="D1293" s="19" t="s">
        <v>1041</v>
      </c>
      <c r="E1293" s="19">
        <v>20</v>
      </c>
      <c r="F1293" s="19">
        <v>300</v>
      </c>
      <c r="G1293" s="19">
        <v>6101</v>
      </c>
      <c r="H1293" s="19">
        <v>1</v>
      </c>
      <c r="I1293" s="80">
        <v>287.36</v>
      </c>
      <c r="J1293" s="80">
        <v>287.36</v>
      </c>
      <c r="K1293" s="19" t="s">
        <v>1067</v>
      </c>
      <c r="L1293" s="19" t="s">
        <v>1897</v>
      </c>
      <c r="P1293" s="19" t="s">
        <v>138</v>
      </c>
      <c r="Q1293" s="20">
        <v>22</v>
      </c>
      <c r="R1293" s="65" t="s">
        <v>1572</v>
      </c>
      <c r="T1293" s="19" t="s">
        <v>307</v>
      </c>
      <c r="V1293" s="19" t="s">
        <v>178</v>
      </c>
      <c r="Y1293" s="19" t="s">
        <v>138</v>
      </c>
      <c r="Z1293" s="44" t="s">
        <v>1573</v>
      </c>
      <c r="AA1293" s="44" t="s">
        <v>180</v>
      </c>
      <c r="AC1293" s="19" t="s">
        <v>1898</v>
      </c>
    </row>
    <row r="1294" spans="1:29" hidden="1" x14ac:dyDescent="0.25">
      <c r="A1294" s="26">
        <v>292</v>
      </c>
      <c r="B1294" s="19" t="s">
        <v>1899</v>
      </c>
      <c r="C1294" s="44" t="s">
        <v>273</v>
      </c>
      <c r="D1294" s="19" t="s">
        <v>1041</v>
      </c>
      <c r="E1294" s="19">
        <v>20</v>
      </c>
      <c r="F1294" s="19">
        <v>300</v>
      </c>
      <c r="G1294" s="19">
        <v>6101</v>
      </c>
      <c r="H1294" s="19">
        <v>1</v>
      </c>
      <c r="I1294" s="80">
        <v>287.36</v>
      </c>
      <c r="J1294" s="80">
        <v>287.36</v>
      </c>
      <c r="K1294" s="19" t="s">
        <v>1067</v>
      </c>
      <c r="L1294" s="19" t="s">
        <v>1897</v>
      </c>
      <c r="P1294" s="19" t="s">
        <v>138</v>
      </c>
      <c r="Q1294" s="20">
        <v>22</v>
      </c>
      <c r="R1294" s="65" t="s">
        <v>1572</v>
      </c>
      <c r="T1294" s="19" t="s">
        <v>307</v>
      </c>
      <c r="V1294" s="19" t="s">
        <v>178</v>
      </c>
      <c r="Y1294" s="19" t="s">
        <v>138</v>
      </c>
      <c r="Z1294" s="44" t="s">
        <v>1573</v>
      </c>
      <c r="AA1294" s="44" t="s">
        <v>180</v>
      </c>
      <c r="AC1294" s="19" t="s">
        <v>1898</v>
      </c>
    </row>
    <row r="1295" spans="1:29" hidden="1" x14ac:dyDescent="0.25">
      <c r="A1295" s="26">
        <v>293</v>
      </c>
      <c r="B1295" s="19" t="s">
        <v>1900</v>
      </c>
      <c r="C1295" s="44" t="s">
        <v>273</v>
      </c>
      <c r="D1295" s="19" t="s">
        <v>1041</v>
      </c>
      <c r="E1295" s="19">
        <v>20</v>
      </c>
      <c r="F1295" s="19">
        <v>300</v>
      </c>
      <c r="G1295" s="19">
        <v>6101</v>
      </c>
      <c r="H1295" s="19">
        <v>1</v>
      </c>
      <c r="I1295" s="80">
        <v>287.36</v>
      </c>
      <c r="J1295" s="80">
        <v>287.36</v>
      </c>
      <c r="K1295" s="19" t="s">
        <v>1067</v>
      </c>
      <c r="L1295" s="19" t="s">
        <v>1897</v>
      </c>
      <c r="P1295" s="19" t="s">
        <v>138</v>
      </c>
      <c r="Q1295" s="20">
        <v>22</v>
      </c>
      <c r="R1295" s="65" t="s">
        <v>1572</v>
      </c>
      <c r="T1295" s="19" t="s">
        <v>307</v>
      </c>
      <c r="V1295" s="19" t="s">
        <v>178</v>
      </c>
      <c r="Y1295" s="19" t="s">
        <v>138</v>
      </c>
      <c r="Z1295" s="44" t="s">
        <v>1573</v>
      </c>
      <c r="AA1295" s="44" t="s">
        <v>180</v>
      </c>
      <c r="AC1295" s="19" t="s">
        <v>1898</v>
      </c>
    </row>
    <row r="1296" spans="1:29" hidden="1" x14ac:dyDescent="0.25">
      <c r="A1296" s="26">
        <v>294</v>
      </c>
      <c r="B1296" s="19" t="s">
        <v>1901</v>
      </c>
      <c r="C1296" s="44" t="s">
        <v>273</v>
      </c>
      <c r="D1296" s="19" t="s">
        <v>1041</v>
      </c>
      <c r="E1296" s="19">
        <v>20</v>
      </c>
      <c r="F1296" s="19">
        <v>300</v>
      </c>
      <c r="G1296" s="19">
        <v>6101</v>
      </c>
      <c r="H1296" s="19">
        <v>1</v>
      </c>
      <c r="I1296" s="80">
        <v>287.36</v>
      </c>
      <c r="J1296" s="80">
        <v>287.36</v>
      </c>
      <c r="K1296" s="19" t="s">
        <v>1067</v>
      </c>
      <c r="L1296" s="19" t="s">
        <v>1897</v>
      </c>
      <c r="P1296" s="19" t="s">
        <v>138</v>
      </c>
      <c r="Q1296" s="20">
        <v>22</v>
      </c>
      <c r="R1296" s="65" t="s">
        <v>1572</v>
      </c>
      <c r="T1296" s="19" t="s">
        <v>307</v>
      </c>
      <c r="V1296" s="19" t="s">
        <v>178</v>
      </c>
      <c r="Y1296" s="19" t="s">
        <v>138</v>
      </c>
      <c r="Z1296" s="44" t="s">
        <v>1573</v>
      </c>
      <c r="AA1296" s="44" t="s">
        <v>180</v>
      </c>
      <c r="AC1296" s="19" t="s">
        <v>1898</v>
      </c>
    </row>
    <row r="1297" spans="1:29" hidden="1" x14ac:dyDescent="0.25">
      <c r="A1297" s="26">
        <v>295</v>
      </c>
      <c r="B1297" s="19" t="s">
        <v>1902</v>
      </c>
      <c r="C1297" s="44" t="s">
        <v>273</v>
      </c>
      <c r="D1297" s="19" t="s">
        <v>1041</v>
      </c>
      <c r="E1297" s="19">
        <v>20</v>
      </c>
      <c r="F1297" s="19">
        <v>300</v>
      </c>
      <c r="G1297" s="19">
        <v>6101</v>
      </c>
      <c r="H1297" s="19">
        <v>1</v>
      </c>
      <c r="I1297" s="80">
        <v>287.36</v>
      </c>
      <c r="J1297" s="80">
        <v>287.36</v>
      </c>
      <c r="K1297" s="19" t="s">
        <v>1067</v>
      </c>
      <c r="L1297" s="19" t="s">
        <v>1897</v>
      </c>
      <c r="P1297" s="19" t="s">
        <v>138</v>
      </c>
      <c r="Q1297" s="20">
        <v>22</v>
      </c>
      <c r="R1297" s="65" t="s">
        <v>1572</v>
      </c>
      <c r="T1297" s="19" t="s">
        <v>307</v>
      </c>
      <c r="V1297" s="19" t="s">
        <v>178</v>
      </c>
      <c r="Y1297" s="19" t="s">
        <v>138</v>
      </c>
      <c r="Z1297" s="44" t="s">
        <v>1573</v>
      </c>
      <c r="AA1297" s="44" t="s">
        <v>180</v>
      </c>
      <c r="AC1297" s="19" t="s">
        <v>1898</v>
      </c>
    </row>
    <row r="1298" spans="1:29" hidden="1" x14ac:dyDescent="0.25">
      <c r="A1298" s="26">
        <v>296</v>
      </c>
      <c r="B1298" s="19" t="s">
        <v>1903</v>
      </c>
      <c r="C1298" s="44" t="s">
        <v>273</v>
      </c>
      <c r="D1298" s="19" t="s">
        <v>1041</v>
      </c>
      <c r="E1298" s="19">
        <v>20</v>
      </c>
      <c r="F1298" s="19">
        <v>300</v>
      </c>
      <c r="G1298" s="19">
        <v>6101</v>
      </c>
      <c r="H1298" s="19">
        <v>1</v>
      </c>
      <c r="I1298" s="80">
        <v>287.36</v>
      </c>
      <c r="J1298" s="80">
        <v>287.36</v>
      </c>
      <c r="K1298" s="19" t="s">
        <v>1067</v>
      </c>
      <c r="L1298" s="19" t="s">
        <v>1897</v>
      </c>
      <c r="P1298" s="19" t="s">
        <v>138</v>
      </c>
      <c r="Q1298" s="20">
        <v>22</v>
      </c>
      <c r="R1298" s="65" t="s">
        <v>1572</v>
      </c>
      <c r="T1298" s="19" t="s">
        <v>307</v>
      </c>
      <c r="V1298" s="19" t="s">
        <v>178</v>
      </c>
      <c r="Y1298" s="19" t="s">
        <v>138</v>
      </c>
      <c r="Z1298" s="44" t="s">
        <v>1573</v>
      </c>
      <c r="AA1298" s="44" t="s">
        <v>180</v>
      </c>
      <c r="AC1298" s="19" t="s">
        <v>1898</v>
      </c>
    </row>
    <row r="1299" spans="1:29" hidden="1" x14ac:dyDescent="0.25">
      <c r="A1299" s="26">
        <v>297</v>
      </c>
      <c r="B1299" s="19" t="s">
        <v>1904</v>
      </c>
      <c r="C1299" s="44" t="s">
        <v>273</v>
      </c>
      <c r="D1299" s="19" t="s">
        <v>1041</v>
      </c>
      <c r="E1299" s="19">
        <v>20</v>
      </c>
      <c r="F1299" s="19">
        <v>300</v>
      </c>
      <c r="G1299" s="19">
        <v>6101</v>
      </c>
      <c r="H1299" s="19">
        <v>1</v>
      </c>
      <c r="I1299" s="80">
        <v>287.36</v>
      </c>
      <c r="J1299" s="80">
        <v>287.36</v>
      </c>
      <c r="K1299" s="19" t="s">
        <v>1067</v>
      </c>
      <c r="L1299" s="19" t="s">
        <v>1897</v>
      </c>
      <c r="P1299" s="19" t="s">
        <v>138</v>
      </c>
      <c r="Q1299" s="20">
        <v>22</v>
      </c>
      <c r="R1299" s="65" t="s">
        <v>1572</v>
      </c>
      <c r="T1299" s="19" t="s">
        <v>307</v>
      </c>
      <c r="V1299" s="19" t="s">
        <v>178</v>
      </c>
      <c r="Y1299" s="19" t="s">
        <v>138</v>
      </c>
      <c r="Z1299" s="44" t="s">
        <v>1573</v>
      </c>
      <c r="AA1299" s="44" t="s">
        <v>180</v>
      </c>
      <c r="AC1299" s="19" t="s">
        <v>1898</v>
      </c>
    </row>
    <row r="1300" spans="1:29" hidden="1" x14ac:dyDescent="0.25">
      <c r="A1300" s="26">
        <v>298</v>
      </c>
      <c r="B1300" s="19" t="s">
        <v>1905</v>
      </c>
      <c r="C1300" s="44" t="s">
        <v>273</v>
      </c>
      <c r="D1300" s="19" t="s">
        <v>1041</v>
      </c>
      <c r="E1300" s="19">
        <v>20</v>
      </c>
      <c r="F1300" s="19">
        <v>300</v>
      </c>
      <c r="G1300" s="19">
        <v>6101</v>
      </c>
      <c r="H1300" s="19">
        <v>1</v>
      </c>
      <c r="I1300" s="80">
        <v>287.36</v>
      </c>
      <c r="J1300" s="80">
        <v>287.36</v>
      </c>
      <c r="K1300" s="19" t="s">
        <v>1067</v>
      </c>
      <c r="L1300" s="19" t="s">
        <v>1897</v>
      </c>
      <c r="P1300" s="19" t="s">
        <v>138</v>
      </c>
      <c r="Q1300" s="20">
        <v>22</v>
      </c>
      <c r="R1300" s="65" t="s">
        <v>1572</v>
      </c>
      <c r="T1300" s="19" t="s">
        <v>307</v>
      </c>
      <c r="V1300" s="19" t="s">
        <v>178</v>
      </c>
      <c r="Y1300" s="19" t="s">
        <v>138</v>
      </c>
      <c r="Z1300" s="44" t="s">
        <v>1573</v>
      </c>
      <c r="AA1300" s="44" t="s">
        <v>180</v>
      </c>
      <c r="AC1300" s="19" t="s">
        <v>1898</v>
      </c>
    </row>
    <row r="1301" spans="1:29" hidden="1" x14ac:dyDescent="0.25">
      <c r="A1301" s="26">
        <v>299</v>
      </c>
      <c r="B1301" s="19" t="s">
        <v>1906</v>
      </c>
      <c r="C1301" s="44" t="s">
        <v>273</v>
      </c>
      <c r="D1301" s="19" t="s">
        <v>1363</v>
      </c>
      <c r="E1301" s="19">
        <v>20</v>
      </c>
      <c r="F1301" s="19">
        <v>270</v>
      </c>
      <c r="G1301" s="19">
        <v>300</v>
      </c>
      <c r="H1301" s="19">
        <v>1</v>
      </c>
      <c r="I1301" s="80">
        <v>12.72</v>
      </c>
      <c r="J1301" s="80">
        <v>12.72</v>
      </c>
      <c r="K1301" s="19" t="s">
        <v>1067</v>
      </c>
      <c r="L1301" s="19" t="s">
        <v>1897</v>
      </c>
      <c r="Q1301" s="20">
        <v>22</v>
      </c>
      <c r="R1301" s="65" t="s">
        <v>1572</v>
      </c>
      <c r="T1301" s="19" t="s">
        <v>307</v>
      </c>
      <c r="V1301" s="19" t="s">
        <v>178</v>
      </c>
      <c r="W1301" s="19" t="s">
        <v>138</v>
      </c>
      <c r="Z1301" s="44" t="s">
        <v>1573</v>
      </c>
      <c r="AA1301" s="44" t="s">
        <v>180</v>
      </c>
      <c r="AC1301" s="19" t="s">
        <v>1898</v>
      </c>
    </row>
    <row r="1302" spans="1:29" hidden="1" x14ac:dyDescent="0.25">
      <c r="A1302" s="26">
        <v>300</v>
      </c>
      <c r="B1302" s="19" t="s">
        <v>1907</v>
      </c>
      <c r="C1302" s="44" t="s">
        <v>273</v>
      </c>
      <c r="D1302" s="19" t="s">
        <v>1041</v>
      </c>
      <c r="E1302" s="19">
        <v>20</v>
      </c>
      <c r="F1302" s="19">
        <v>300</v>
      </c>
      <c r="G1302" s="19">
        <v>6101</v>
      </c>
      <c r="H1302" s="19">
        <v>1</v>
      </c>
      <c r="I1302" s="80">
        <v>287.36</v>
      </c>
      <c r="J1302" s="80">
        <v>287.36</v>
      </c>
      <c r="K1302" s="19" t="s">
        <v>1067</v>
      </c>
      <c r="L1302" s="19" t="s">
        <v>1897</v>
      </c>
      <c r="P1302" s="19" t="s">
        <v>138</v>
      </c>
      <c r="Q1302" s="20">
        <v>22</v>
      </c>
      <c r="R1302" s="65" t="s">
        <v>1572</v>
      </c>
      <c r="T1302" s="19" t="s">
        <v>307</v>
      </c>
      <c r="V1302" s="19" t="s">
        <v>178</v>
      </c>
      <c r="Y1302" s="19" t="s">
        <v>138</v>
      </c>
      <c r="Z1302" s="44" t="s">
        <v>1573</v>
      </c>
      <c r="AA1302" s="44" t="s">
        <v>180</v>
      </c>
      <c r="AC1302" s="19" t="s">
        <v>1898</v>
      </c>
    </row>
    <row r="1303" spans="1:29" hidden="1" x14ac:dyDescent="0.25">
      <c r="A1303" s="26">
        <v>301</v>
      </c>
      <c r="B1303" s="19" t="s">
        <v>1908</v>
      </c>
      <c r="C1303" s="44" t="s">
        <v>273</v>
      </c>
      <c r="D1303" s="19" t="s">
        <v>1041</v>
      </c>
      <c r="E1303" s="19">
        <v>20</v>
      </c>
      <c r="F1303" s="19">
        <v>300</v>
      </c>
      <c r="G1303" s="19">
        <v>6101</v>
      </c>
      <c r="H1303" s="19">
        <v>1</v>
      </c>
      <c r="I1303" s="80">
        <v>287.36</v>
      </c>
      <c r="J1303" s="80">
        <v>287.36</v>
      </c>
      <c r="K1303" s="19" t="s">
        <v>1067</v>
      </c>
      <c r="L1303" s="19" t="s">
        <v>1897</v>
      </c>
      <c r="P1303" s="19" t="s">
        <v>138</v>
      </c>
      <c r="Q1303" s="20">
        <v>22</v>
      </c>
      <c r="R1303" s="65" t="s">
        <v>1572</v>
      </c>
      <c r="T1303" s="19" t="s">
        <v>307</v>
      </c>
      <c r="V1303" s="19" t="s">
        <v>178</v>
      </c>
      <c r="Y1303" s="19" t="s">
        <v>138</v>
      </c>
      <c r="Z1303" s="44" t="s">
        <v>1573</v>
      </c>
      <c r="AA1303" s="44" t="s">
        <v>180</v>
      </c>
      <c r="AC1303" s="19" t="s">
        <v>1898</v>
      </c>
    </row>
    <row r="1304" spans="1:29" hidden="1" x14ac:dyDescent="0.25">
      <c r="A1304" s="26">
        <v>302</v>
      </c>
      <c r="B1304" s="19" t="s">
        <v>1909</v>
      </c>
      <c r="C1304" s="44" t="s">
        <v>273</v>
      </c>
      <c r="D1304" s="19" t="s">
        <v>1041</v>
      </c>
      <c r="E1304" s="19">
        <v>20</v>
      </c>
      <c r="F1304" s="19">
        <v>300</v>
      </c>
      <c r="G1304" s="19">
        <v>6101</v>
      </c>
      <c r="H1304" s="19">
        <v>1</v>
      </c>
      <c r="I1304" s="80">
        <v>287.36</v>
      </c>
      <c r="J1304" s="80">
        <v>287.36</v>
      </c>
      <c r="K1304" s="19" t="s">
        <v>1067</v>
      </c>
      <c r="L1304" s="19" t="s">
        <v>1897</v>
      </c>
      <c r="P1304" s="19" t="s">
        <v>138</v>
      </c>
      <c r="Q1304" s="20">
        <v>22</v>
      </c>
      <c r="R1304" s="65" t="s">
        <v>1572</v>
      </c>
      <c r="T1304" s="19" t="s">
        <v>307</v>
      </c>
      <c r="V1304" s="19" t="s">
        <v>178</v>
      </c>
      <c r="Y1304" s="19" t="s">
        <v>138</v>
      </c>
      <c r="Z1304" s="44" t="s">
        <v>1573</v>
      </c>
      <c r="AA1304" s="44" t="s">
        <v>180</v>
      </c>
      <c r="AC1304" s="19" t="s">
        <v>1898</v>
      </c>
    </row>
    <row r="1305" spans="1:29" hidden="1" x14ac:dyDescent="0.25">
      <c r="A1305" s="26">
        <v>303</v>
      </c>
      <c r="B1305" s="19" t="s">
        <v>1910</v>
      </c>
      <c r="C1305" s="44" t="s">
        <v>273</v>
      </c>
      <c r="D1305" s="19" t="s">
        <v>1041</v>
      </c>
      <c r="E1305" s="19">
        <v>20</v>
      </c>
      <c r="F1305" s="19">
        <v>300</v>
      </c>
      <c r="G1305" s="19">
        <v>6101</v>
      </c>
      <c r="H1305" s="19">
        <v>1</v>
      </c>
      <c r="I1305" s="80">
        <v>287.36</v>
      </c>
      <c r="J1305" s="80">
        <v>287.36</v>
      </c>
      <c r="K1305" s="19" t="s">
        <v>1067</v>
      </c>
      <c r="L1305" s="19" t="s">
        <v>1897</v>
      </c>
      <c r="P1305" s="19" t="s">
        <v>138</v>
      </c>
      <c r="Q1305" s="20">
        <v>22</v>
      </c>
      <c r="R1305" s="65" t="s">
        <v>1572</v>
      </c>
      <c r="T1305" s="19" t="s">
        <v>307</v>
      </c>
      <c r="V1305" s="19" t="s">
        <v>178</v>
      </c>
      <c r="Y1305" s="19" t="s">
        <v>138</v>
      </c>
      <c r="Z1305" s="44" t="s">
        <v>1573</v>
      </c>
      <c r="AA1305" s="44" t="s">
        <v>180</v>
      </c>
      <c r="AC1305" s="19" t="s">
        <v>1898</v>
      </c>
    </row>
    <row r="1306" spans="1:29" hidden="1" x14ac:dyDescent="0.25">
      <c r="A1306" s="26">
        <v>304</v>
      </c>
      <c r="B1306" s="19" t="s">
        <v>1911</v>
      </c>
      <c r="C1306" s="44" t="s">
        <v>273</v>
      </c>
      <c r="D1306" s="19" t="s">
        <v>1041</v>
      </c>
      <c r="E1306" s="19">
        <v>20</v>
      </c>
      <c r="F1306" s="19">
        <v>300</v>
      </c>
      <c r="G1306" s="19">
        <v>6101</v>
      </c>
      <c r="H1306" s="19">
        <v>1</v>
      </c>
      <c r="I1306" s="80">
        <v>287.36</v>
      </c>
      <c r="J1306" s="80">
        <v>287.36</v>
      </c>
      <c r="K1306" s="19" t="s">
        <v>1067</v>
      </c>
      <c r="L1306" s="19" t="s">
        <v>1897</v>
      </c>
      <c r="P1306" s="19" t="s">
        <v>138</v>
      </c>
      <c r="Q1306" s="20">
        <v>22</v>
      </c>
      <c r="R1306" s="65" t="s">
        <v>1572</v>
      </c>
      <c r="T1306" s="19" t="s">
        <v>307</v>
      </c>
      <c r="V1306" s="19" t="s">
        <v>178</v>
      </c>
      <c r="Y1306" s="19" t="s">
        <v>138</v>
      </c>
      <c r="Z1306" s="44" t="s">
        <v>1573</v>
      </c>
      <c r="AA1306" s="44" t="s">
        <v>180</v>
      </c>
      <c r="AC1306" s="19" t="s">
        <v>1898</v>
      </c>
    </row>
    <row r="1307" spans="1:29" hidden="1" x14ac:dyDescent="0.25">
      <c r="A1307" s="26">
        <v>305</v>
      </c>
      <c r="B1307" s="19" t="s">
        <v>1912</v>
      </c>
      <c r="C1307" s="44" t="s">
        <v>273</v>
      </c>
      <c r="D1307" s="19" t="s">
        <v>1041</v>
      </c>
      <c r="E1307" s="19">
        <v>20</v>
      </c>
      <c r="F1307" s="19">
        <v>300</v>
      </c>
      <c r="G1307" s="19">
        <v>6101</v>
      </c>
      <c r="H1307" s="19">
        <v>1</v>
      </c>
      <c r="I1307" s="80">
        <v>287.36</v>
      </c>
      <c r="J1307" s="80">
        <v>287.36</v>
      </c>
      <c r="K1307" s="19" t="s">
        <v>1067</v>
      </c>
      <c r="L1307" s="19" t="s">
        <v>1897</v>
      </c>
      <c r="P1307" s="19" t="s">
        <v>138</v>
      </c>
      <c r="Q1307" s="20">
        <v>22</v>
      </c>
      <c r="R1307" s="65" t="s">
        <v>1572</v>
      </c>
      <c r="T1307" s="19" t="s">
        <v>307</v>
      </c>
      <c r="V1307" s="19" t="s">
        <v>178</v>
      </c>
      <c r="Y1307" s="19" t="s">
        <v>138</v>
      </c>
      <c r="Z1307" s="44" t="s">
        <v>1573</v>
      </c>
      <c r="AA1307" s="44" t="s">
        <v>180</v>
      </c>
      <c r="AC1307" s="19" t="s">
        <v>1898</v>
      </c>
    </row>
    <row r="1308" spans="1:29" hidden="1" x14ac:dyDescent="0.25">
      <c r="A1308" s="26">
        <v>306</v>
      </c>
      <c r="B1308" s="19" t="s">
        <v>1913</v>
      </c>
      <c r="C1308" s="44" t="s">
        <v>273</v>
      </c>
      <c r="D1308" s="19" t="s">
        <v>1041</v>
      </c>
      <c r="E1308" s="19">
        <v>20</v>
      </c>
      <c r="F1308" s="19">
        <v>300</v>
      </c>
      <c r="G1308" s="19">
        <v>6101</v>
      </c>
      <c r="H1308" s="19">
        <v>1</v>
      </c>
      <c r="I1308" s="80">
        <v>287.36</v>
      </c>
      <c r="J1308" s="80">
        <v>287.36</v>
      </c>
      <c r="K1308" s="19" t="s">
        <v>1067</v>
      </c>
      <c r="L1308" s="19" t="s">
        <v>1897</v>
      </c>
      <c r="P1308" s="19" t="s">
        <v>138</v>
      </c>
      <c r="Q1308" s="20">
        <v>22</v>
      </c>
      <c r="R1308" s="65" t="s">
        <v>1572</v>
      </c>
      <c r="T1308" s="19" t="s">
        <v>307</v>
      </c>
      <c r="V1308" s="19" t="s">
        <v>178</v>
      </c>
      <c r="Y1308" s="19" t="s">
        <v>138</v>
      </c>
      <c r="Z1308" s="44" t="s">
        <v>1573</v>
      </c>
      <c r="AA1308" s="44" t="s">
        <v>180</v>
      </c>
      <c r="AC1308" s="19" t="s">
        <v>1898</v>
      </c>
    </row>
    <row r="1309" spans="1:29" hidden="1" x14ac:dyDescent="0.25">
      <c r="A1309" s="26">
        <v>307</v>
      </c>
      <c r="B1309" s="19" t="s">
        <v>1914</v>
      </c>
      <c r="C1309" s="44" t="s">
        <v>273</v>
      </c>
      <c r="D1309" s="19" t="s">
        <v>1041</v>
      </c>
      <c r="E1309" s="19">
        <v>20</v>
      </c>
      <c r="F1309" s="19">
        <v>300</v>
      </c>
      <c r="G1309" s="19">
        <v>6101</v>
      </c>
      <c r="H1309" s="19">
        <v>1</v>
      </c>
      <c r="I1309" s="80">
        <v>287.36</v>
      </c>
      <c r="J1309" s="80">
        <v>287.36</v>
      </c>
      <c r="K1309" s="19" t="s">
        <v>1067</v>
      </c>
      <c r="L1309" s="19" t="s">
        <v>1897</v>
      </c>
      <c r="P1309" s="19" t="s">
        <v>138</v>
      </c>
      <c r="Q1309" s="20">
        <v>22</v>
      </c>
      <c r="R1309" s="65" t="s">
        <v>1572</v>
      </c>
      <c r="T1309" s="19" t="s">
        <v>307</v>
      </c>
      <c r="V1309" s="19" t="s">
        <v>178</v>
      </c>
      <c r="Y1309" s="19" t="s">
        <v>138</v>
      </c>
      <c r="Z1309" s="44" t="s">
        <v>1573</v>
      </c>
      <c r="AA1309" s="44" t="s">
        <v>180</v>
      </c>
      <c r="AC1309" s="19" t="s">
        <v>1898</v>
      </c>
    </row>
    <row r="1310" spans="1:29" hidden="1" x14ac:dyDescent="0.25">
      <c r="A1310" s="26">
        <v>308</v>
      </c>
      <c r="B1310" s="19" t="s">
        <v>1915</v>
      </c>
      <c r="C1310" s="44" t="s">
        <v>273</v>
      </c>
      <c r="D1310" s="19" t="s">
        <v>1363</v>
      </c>
      <c r="E1310" s="19">
        <v>20</v>
      </c>
      <c r="F1310" s="19">
        <v>270</v>
      </c>
      <c r="G1310" s="19">
        <v>300</v>
      </c>
      <c r="H1310" s="19">
        <v>4</v>
      </c>
      <c r="I1310" s="80">
        <v>12.72</v>
      </c>
      <c r="J1310" s="80">
        <v>50.87</v>
      </c>
      <c r="K1310" s="19" t="s">
        <v>1067</v>
      </c>
      <c r="L1310" s="19" t="s">
        <v>1897</v>
      </c>
      <c r="Q1310" s="20">
        <v>22</v>
      </c>
      <c r="R1310" s="65" t="s">
        <v>1572</v>
      </c>
      <c r="T1310" s="19" t="s">
        <v>307</v>
      </c>
      <c r="V1310" s="19" t="s">
        <v>178</v>
      </c>
      <c r="W1310" s="19" t="s">
        <v>138</v>
      </c>
      <c r="Z1310" s="44" t="s">
        <v>1573</v>
      </c>
      <c r="AA1310" s="44" t="s">
        <v>180</v>
      </c>
      <c r="AC1310" s="19" t="s">
        <v>1898</v>
      </c>
    </row>
    <row r="1311" spans="1:29" hidden="1" x14ac:dyDescent="0.25">
      <c r="A1311" s="26">
        <v>309</v>
      </c>
      <c r="B1311" s="19" t="s">
        <v>1916</v>
      </c>
      <c r="C1311" s="44" t="s">
        <v>273</v>
      </c>
      <c r="D1311" s="19" t="s">
        <v>1370</v>
      </c>
      <c r="E1311" s="19">
        <v>20</v>
      </c>
      <c r="F1311" s="19">
        <v>300</v>
      </c>
      <c r="G1311" s="19">
        <v>480</v>
      </c>
      <c r="H1311" s="19">
        <v>3</v>
      </c>
      <c r="I1311" s="80">
        <v>22.61</v>
      </c>
      <c r="J1311" s="80">
        <v>67.819999999999993</v>
      </c>
      <c r="K1311" s="19" t="s">
        <v>1067</v>
      </c>
      <c r="L1311" s="19" t="s">
        <v>1897</v>
      </c>
      <c r="Q1311" s="20">
        <v>22</v>
      </c>
      <c r="R1311" s="65" t="s">
        <v>1572</v>
      </c>
      <c r="T1311" s="19" t="s">
        <v>307</v>
      </c>
      <c r="V1311" s="19" t="s">
        <v>178</v>
      </c>
      <c r="W1311" s="19" t="s">
        <v>138</v>
      </c>
      <c r="Z1311" s="44" t="s">
        <v>1573</v>
      </c>
      <c r="AA1311" s="44" t="s">
        <v>180</v>
      </c>
      <c r="AC1311" s="19" t="s">
        <v>1898</v>
      </c>
    </row>
    <row r="1312" spans="1:29" hidden="1" x14ac:dyDescent="0.25">
      <c r="A1312" s="26">
        <v>310</v>
      </c>
      <c r="B1312" s="19" t="s">
        <v>1917</v>
      </c>
      <c r="C1312" s="44" t="s">
        <v>273</v>
      </c>
      <c r="D1312" s="19" t="s">
        <v>1363</v>
      </c>
      <c r="E1312" s="19">
        <v>20</v>
      </c>
      <c r="F1312" s="19">
        <v>270</v>
      </c>
      <c r="G1312" s="19">
        <v>300</v>
      </c>
      <c r="H1312" s="19">
        <v>4</v>
      </c>
      <c r="I1312" s="80">
        <v>12.72</v>
      </c>
      <c r="J1312" s="80">
        <v>50.87</v>
      </c>
      <c r="K1312" s="19" t="s">
        <v>1067</v>
      </c>
      <c r="L1312" s="19" t="s">
        <v>1897</v>
      </c>
      <c r="Q1312" s="20">
        <v>22</v>
      </c>
      <c r="R1312" s="65" t="s">
        <v>1572</v>
      </c>
      <c r="T1312" s="19" t="s">
        <v>307</v>
      </c>
      <c r="V1312" s="19" t="s">
        <v>178</v>
      </c>
      <c r="W1312" s="19" t="s">
        <v>138</v>
      </c>
      <c r="Z1312" s="44" t="s">
        <v>1573</v>
      </c>
      <c r="AA1312" s="44" t="s">
        <v>180</v>
      </c>
      <c r="AC1312" s="19" t="s">
        <v>1898</v>
      </c>
    </row>
    <row r="1313" spans="1:29" hidden="1" x14ac:dyDescent="0.25">
      <c r="A1313" s="26">
        <v>311</v>
      </c>
      <c r="B1313" s="19" t="s">
        <v>1918</v>
      </c>
      <c r="C1313" s="44" t="s">
        <v>273</v>
      </c>
      <c r="D1313" s="19" t="s">
        <v>1086</v>
      </c>
      <c r="E1313" s="19">
        <v>20</v>
      </c>
      <c r="F1313" s="19">
        <v>300</v>
      </c>
      <c r="G1313" s="19">
        <v>6232</v>
      </c>
      <c r="H1313" s="19">
        <v>1</v>
      </c>
      <c r="I1313" s="80">
        <v>293.52999999999997</v>
      </c>
      <c r="J1313" s="80">
        <v>293.52999999999997</v>
      </c>
      <c r="K1313" s="19" t="s">
        <v>1067</v>
      </c>
      <c r="L1313" s="19" t="s">
        <v>1919</v>
      </c>
      <c r="Q1313" s="20">
        <v>22</v>
      </c>
      <c r="R1313" s="65" t="s">
        <v>1572</v>
      </c>
      <c r="T1313" s="19" t="s">
        <v>307</v>
      </c>
      <c r="V1313" s="19" t="s">
        <v>178</v>
      </c>
      <c r="Y1313" s="19" t="s">
        <v>138</v>
      </c>
      <c r="Z1313" s="44" t="s">
        <v>1573</v>
      </c>
      <c r="AA1313" s="44" t="s">
        <v>180</v>
      </c>
      <c r="AC1313" s="19" t="s">
        <v>1920</v>
      </c>
    </row>
    <row r="1314" spans="1:29" hidden="1" x14ac:dyDescent="0.25">
      <c r="A1314" s="26">
        <v>312</v>
      </c>
      <c r="B1314" s="19" t="s">
        <v>1921</v>
      </c>
      <c r="C1314" s="44" t="s">
        <v>273</v>
      </c>
      <c r="D1314" s="19" t="s">
        <v>1066</v>
      </c>
      <c r="E1314" s="19">
        <v>20</v>
      </c>
      <c r="F1314" s="19">
        <v>300</v>
      </c>
      <c r="G1314" s="19">
        <v>6464</v>
      </c>
      <c r="H1314" s="19">
        <v>1</v>
      </c>
      <c r="I1314" s="80">
        <v>304.45</v>
      </c>
      <c r="J1314" s="80">
        <v>304.45</v>
      </c>
      <c r="K1314" s="19" t="s">
        <v>1067</v>
      </c>
      <c r="L1314" s="19" t="s">
        <v>1919</v>
      </c>
      <c r="Q1314" s="20">
        <v>22</v>
      </c>
      <c r="R1314" s="65" t="s">
        <v>1572</v>
      </c>
      <c r="T1314" s="19" t="s">
        <v>307</v>
      </c>
      <c r="V1314" s="19" t="s">
        <v>178</v>
      </c>
      <c r="Y1314" s="19" t="s">
        <v>138</v>
      </c>
      <c r="Z1314" s="44" t="s">
        <v>1573</v>
      </c>
      <c r="AA1314" s="44" t="s">
        <v>180</v>
      </c>
      <c r="AC1314" s="19" t="s">
        <v>1920</v>
      </c>
    </row>
    <row r="1315" spans="1:29" hidden="1" x14ac:dyDescent="0.25">
      <c r="A1315" s="26">
        <v>313</v>
      </c>
      <c r="B1315" s="19" t="s">
        <v>1922</v>
      </c>
      <c r="C1315" s="44" t="s">
        <v>273</v>
      </c>
      <c r="D1315" s="19" t="s">
        <v>1066</v>
      </c>
      <c r="E1315" s="19">
        <v>20</v>
      </c>
      <c r="F1315" s="19">
        <v>300</v>
      </c>
      <c r="G1315" s="19">
        <v>6464</v>
      </c>
      <c r="H1315" s="19">
        <v>1</v>
      </c>
      <c r="I1315" s="80">
        <v>304.45</v>
      </c>
      <c r="J1315" s="80">
        <v>304.45</v>
      </c>
      <c r="K1315" s="19" t="s">
        <v>1067</v>
      </c>
      <c r="L1315" s="19" t="s">
        <v>1919</v>
      </c>
      <c r="Q1315" s="20">
        <v>22</v>
      </c>
      <c r="R1315" s="65" t="s">
        <v>1572</v>
      </c>
      <c r="T1315" s="19" t="s">
        <v>307</v>
      </c>
      <c r="V1315" s="19" t="s">
        <v>178</v>
      </c>
      <c r="Y1315" s="19" t="s">
        <v>138</v>
      </c>
      <c r="Z1315" s="44" t="s">
        <v>1573</v>
      </c>
      <c r="AA1315" s="44" t="s">
        <v>180</v>
      </c>
      <c r="AC1315" s="19" t="s">
        <v>1920</v>
      </c>
    </row>
    <row r="1316" spans="1:29" hidden="1" x14ac:dyDescent="0.25">
      <c r="A1316" s="26">
        <v>314</v>
      </c>
      <c r="B1316" s="19" t="s">
        <v>1923</v>
      </c>
      <c r="C1316" s="44" t="s">
        <v>273</v>
      </c>
      <c r="D1316" s="19" t="s">
        <v>1066</v>
      </c>
      <c r="E1316" s="19">
        <v>20</v>
      </c>
      <c r="F1316" s="19">
        <v>300</v>
      </c>
      <c r="G1316" s="19">
        <v>6464</v>
      </c>
      <c r="H1316" s="19">
        <v>1</v>
      </c>
      <c r="I1316" s="80">
        <v>304.45</v>
      </c>
      <c r="J1316" s="80">
        <v>304.45</v>
      </c>
      <c r="K1316" s="19" t="s">
        <v>1067</v>
      </c>
      <c r="L1316" s="19" t="s">
        <v>1919</v>
      </c>
      <c r="Q1316" s="20">
        <v>22</v>
      </c>
      <c r="R1316" s="65" t="s">
        <v>1572</v>
      </c>
      <c r="T1316" s="19" t="s">
        <v>307</v>
      </c>
      <c r="V1316" s="19" t="s">
        <v>178</v>
      </c>
      <c r="Y1316" s="19" t="s">
        <v>138</v>
      </c>
      <c r="Z1316" s="44" t="s">
        <v>1573</v>
      </c>
      <c r="AA1316" s="44" t="s">
        <v>180</v>
      </c>
      <c r="AC1316" s="19" t="s">
        <v>1920</v>
      </c>
    </row>
    <row r="1317" spans="1:29" hidden="1" x14ac:dyDescent="0.25">
      <c r="A1317" s="26">
        <v>315</v>
      </c>
      <c r="B1317" s="19" t="s">
        <v>1924</v>
      </c>
      <c r="C1317" s="44" t="s">
        <v>273</v>
      </c>
      <c r="D1317" s="19" t="s">
        <v>1066</v>
      </c>
      <c r="E1317" s="19">
        <v>20</v>
      </c>
      <c r="F1317" s="19">
        <v>300</v>
      </c>
      <c r="G1317" s="19">
        <v>6464</v>
      </c>
      <c r="H1317" s="19">
        <v>1</v>
      </c>
      <c r="I1317" s="80">
        <v>304.45</v>
      </c>
      <c r="J1317" s="80">
        <v>304.45</v>
      </c>
      <c r="K1317" s="19" t="s">
        <v>1067</v>
      </c>
      <c r="L1317" s="19" t="s">
        <v>1919</v>
      </c>
      <c r="Q1317" s="20">
        <v>22</v>
      </c>
      <c r="R1317" s="65" t="s">
        <v>1572</v>
      </c>
      <c r="T1317" s="19" t="s">
        <v>307</v>
      </c>
      <c r="V1317" s="19" t="s">
        <v>178</v>
      </c>
      <c r="Y1317" s="19" t="s">
        <v>138</v>
      </c>
      <c r="Z1317" s="44" t="s">
        <v>1573</v>
      </c>
      <c r="AA1317" s="44" t="s">
        <v>180</v>
      </c>
      <c r="AC1317" s="19" t="s">
        <v>1920</v>
      </c>
    </row>
    <row r="1318" spans="1:29" hidden="1" x14ac:dyDescent="0.25">
      <c r="A1318" s="26">
        <v>316</v>
      </c>
      <c r="B1318" s="19" t="s">
        <v>1925</v>
      </c>
      <c r="C1318" s="44" t="s">
        <v>273</v>
      </c>
      <c r="D1318" s="19" t="s">
        <v>1086</v>
      </c>
      <c r="E1318" s="19">
        <v>20</v>
      </c>
      <c r="F1318" s="19">
        <v>300</v>
      </c>
      <c r="G1318" s="19">
        <v>6232</v>
      </c>
      <c r="H1318" s="19">
        <v>1</v>
      </c>
      <c r="I1318" s="80">
        <v>293.52999999999997</v>
      </c>
      <c r="J1318" s="80">
        <v>293.52999999999997</v>
      </c>
      <c r="K1318" s="19" t="s">
        <v>1067</v>
      </c>
      <c r="L1318" s="19" t="s">
        <v>1919</v>
      </c>
      <c r="Q1318" s="20">
        <v>22</v>
      </c>
      <c r="R1318" s="65" t="s">
        <v>1572</v>
      </c>
      <c r="T1318" s="19" t="s">
        <v>307</v>
      </c>
      <c r="V1318" s="19" t="s">
        <v>178</v>
      </c>
      <c r="Y1318" s="19" t="s">
        <v>138</v>
      </c>
      <c r="Z1318" s="44" t="s">
        <v>1573</v>
      </c>
      <c r="AA1318" s="44" t="s">
        <v>180</v>
      </c>
      <c r="AC1318" s="19" t="s">
        <v>1920</v>
      </c>
    </row>
    <row r="1319" spans="1:29" hidden="1" x14ac:dyDescent="0.25">
      <c r="A1319" s="26">
        <v>317</v>
      </c>
      <c r="B1319" s="19" t="s">
        <v>1926</v>
      </c>
      <c r="C1319" s="44" t="s">
        <v>273</v>
      </c>
      <c r="D1319" s="19" t="s">
        <v>1079</v>
      </c>
      <c r="E1319" s="19">
        <v>20</v>
      </c>
      <c r="F1319" s="19">
        <v>1436</v>
      </c>
      <c r="G1319" s="19">
        <v>6298</v>
      </c>
      <c r="H1319" s="19">
        <v>1</v>
      </c>
      <c r="I1319" s="80">
        <v>1414.64</v>
      </c>
      <c r="J1319" s="80">
        <v>1414.64</v>
      </c>
      <c r="K1319" s="19" t="s">
        <v>1067</v>
      </c>
      <c r="L1319" s="19" t="s">
        <v>1919</v>
      </c>
      <c r="P1319" s="19" t="s">
        <v>138</v>
      </c>
      <c r="Q1319" s="20">
        <v>22</v>
      </c>
      <c r="R1319" s="65" t="s">
        <v>1572</v>
      </c>
      <c r="T1319" s="19" t="s">
        <v>307</v>
      </c>
      <c r="V1319" s="19" t="s">
        <v>178</v>
      </c>
      <c r="Y1319" s="19" t="s">
        <v>138</v>
      </c>
      <c r="Z1319" s="44" t="s">
        <v>1573</v>
      </c>
      <c r="AA1319" s="44" t="s">
        <v>180</v>
      </c>
      <c r="AC1319" s="19" t="s">
        <v>1920</v>
      </c>
    </row>
    <row r="1320" spans="1:29" hidden="1" x14ac:dyDescent="0.25">
      <c r="A1320" s="26">
        <v>318</v>
      </c>
      <c r="B1320" s="19" t="s">
        <v>1927</v>
      </c>
      <c r="C1320" s="44" t="s">
        <v>273</v>
      </c>
      <c r="D1320" s="19" t="s">
        <v>1079</v>
      </c>
      <c r="E1320" s="19">
        <v>20</v>
      </c>
      <c r="F1320" s="19">
        <v>1436</v>
      </c>
      <c r="G1320" s="19">
        <v>6298</v>
      </c>
      <c r="H1320" s="19">
        <v>1</v>
      </c>
      <c r="I1320" s="80">
        <v>1414.64</v>
      </c>
      <c r="J1320" s="80">
        <v>1414.64</v>
      </c>
      <c r="K1320" s="19" t="s">
        <v>1067</v>
      </c>
      <c r="L1320" s="19" t="s">
        <v>1919</v>
      </c>
      <c r="P1320" s="19" t="s">
        <v>138</v>
      </c>
      <c r="Q1320" s="20">
        <v>22</v>
      </c>
      <c r="R1320" s="65" t="s">
        <v>1572</v>
      </c>
      <c r="T1320" s="19" t="s">
        <v>307</v>
      </c>
      <c r="V1320" s="19" t="s">
        <v>178</v>
      </c>
      <c r="Y1320" s="19" t="s">
        <v>138</v>
      </c>
      <c r="Z1320" s="44" t="s">
        <v>1573</v>
      </c>
      <c r="AA1320" s="44" t="s">
        <v>180</v>
      </c>
      <c r="AC1320" s="19" t="s">
        <v>1920</v>
      </c>
    </row>
    <row r="1321" spans="1:29" hidden="1" x14ac:dyDescent="0.25">
      <c r="A1321" s="26">
        <v>319</v>
      </c>
      <c r="B1321" s="19" t="s">
        <v>1928</v>
      </c>
      <c r="C1321" s="44" t="s">
        <v>273</v>
      </c>
      <c r="D1321" s="19" t="s">
        <v>1066</v>
      </c>
      <c r="E1321" s="19">
        <v>20</v>
      </c>
      <c r="F1321" s="19">
        <v>300</v>
      </c>
      <c r="G1321" s="19">
        <v>6464</v>
      </c>
      <c r="H1321" s="19">
        <v>1</v>
      </c>
      <c r="I1321" s="80">
        <v>304.45</v>
      </c>
      <c r="J1321" s="80">
        <v>304.45</v>
      </c>
      <c r="K1321" s="19" t="s">
        <v>1067</v>
      </c>
      <c r="L1321" s="19" t="s">
        <v>1929</v>
      </c>
      <c r="Q1321" s="20">
        <v>22</v>
      </c>
      <c r="R1321" s="65" t="s">
        <v>1572</v>
      </c>
      <c r="T1321" s="19" t="s">
        <v>307</v>
      </c>
      <c r="V1321" s="19" t="s">
        <v>178</v>
      </c>
      <c r="Y1321" s="19" t="s">
        <v>138</v>
      </c>
      <c r="Z1321" s="44" t="s">
        <v>1573</v>
      </c>
      <c r="AA1321" s="44" t="s">
        <v>180</v>
      </c>
      <c r="AC1321" s="19" t="s">
        <v>1930</v>
      </c>
    </row>
    <row r="1322" spans="1:29" hidden="1" x14ac:dyDescent="0.25">
      <c r="A1322" s="26">
        <v>320</v>
      </c>
      <c r="B1322" s="19" t="s">
        <v>1931</v>
      </c>
      <c r="C1322" s="44" t="s">
        <v>273</v>
      </c>
      <c r="D1322" s="19" t="s">
        <v>1066</v>
      </c>
      <c r="E1322" s="19">
        <v>20</v>
      </c>
      <c r="F1322" s="19">
        <v>300</v>
      </c>
      <c r="G1322" s="19">
        <v>6464</v>
      </c>
      <c r="H1322" s="19">
        <v>1</v>
      </c>
      <c r="I1322" s="80">
        <v>304.45</v>
      </c>
      <c r="J1322" s="80">
        <v>304.45</v>
      </c>
      <c r="K1322" s="19" t="s">
        <v>1067</v>
      </c>
      <c r="L1322" s="19" t="s">
        <v>1929</v>
      </c>
      <c r="Q1322" s="20">
        <v>22</v>
      </c>
      <c r="R1322" s="65" t="s">
        <v>1572</v>
      </c>
      <c r="T1322" s="19" t="s">
        <v>307</v>
      </c>
      <c r="V1322" s="19" t="s">
        <v>178</v>
      </c>
      <c r="Y1322" s="19" t="s">
        <v>138</v>
      </c>
      <c r="Z1322" s="44" t="s">
        <v>1573</v>
      </c>
      <c r="AA1322" s="44" t="s">
        <v>180</v>
      </c>
      <c r="AC1322" s="19" t="s">
        <v>1930</v>
      </c>
    </row>
    <row r="1323" spans="1:29" hidden="1" x14ac:dyDescent="0.25">
      <c r="A1323" s="26">
        <v>321</v>
      </c>
      <c r="B1323" s="19" t="s">
        <v>1932</v>
      </c>
      <c r="C1323" s="44" t="s">
        <v>273</v>
      </c>
      <c r="D1323" s="19" t="s">
        <v>1066</v>
      </c>
      <c r="E1323" s="19">
        <v>20</v>
      </c>
      <c r="F1323" s="19">
        <v>300</v>
      </c>
      <c r="G1323" s="19">
        <v>6464</v>
      </c>
      <c r="H1323" s="19">
        <v>1</v>
      </c>
      <c r="I1323" s="80">
        <v>304.45</v>
      </c>
      <c r="J1323" s="80">
        <v>304.45</v>
      </c>
      <c r="K1323" s="19" t="s">
        <v>1067</v>
      </c>
      <c r="L1323" s="19" t="s">
        <v>1929</v>
      </c>
      <c r="Q1323" s="20">
        <v>22</v>
      </c>
      <c r="R1323" s="65" t="s">
        <v>1572</v>
      </c>
      <c r="T1323" s="19" t="s">
        <v>307</v>
      </c>
      <c r="V1323" s="19" t="s">
        <v>178</v>
      </c>
      <c r="Y1323" s="19" t="s">
        <v>138</v>
      </c>
      <c r="Z1323" s="44" t="s">
        <v>1573</v>
      </c>
      <c r="AA1323" s="44" t="s">
        <v>180</v>
      </c>
      <c r="AC1323" s="19" t="s">
        <v>1930</v>
      </c>
    </row>
    <row r="1324" spans="1:29" hidden="1" x14ac:dyDescent="0.25">
      <c r="A1324" s="26">
        <v>322</v>
      </c>
      <c r="B1324" s="19" t="s">
        <v>1933</v>
      </c>
      <c r="C1324" s="44" t="s">
        <v>273</v>
      </c>
      <c r="D1324" s="19" t="s">
        <v>1066</v>
      </c>
      <c r="E1324" s="19">
        <v>20</v>
      </c>
      <c r="F1324" s="19">
        <v>300</v>
      </c>
      <c r="G1324" s="19">
        <v>6464</v>
      </c>
      <c r="H1324" s="19">
        <v>1</v>
      </c>
      <c r="I1324" s="80">
        <v>304.45</v>
      </c>
      <c r="J1324" s="80">
        <v>304.45</v>
      </c>
      <c r="K1324" s="19" t="s">
        <v>1067</v>
      </c>
      <c r="L1324" s="19" t="s">
        <v>1929</v>
      </c>
      <c r="Q1324" s="20">
        <v>22</v>
      </c>
      <c r="R1324" s="65" t="s">
        <v>1572</v>
      </c>
      <c r="T1324" s="19" t="s">
        <v>307</v>
      </c>
      <c r="V1324" s="19" t="s">
        <v>178</v>
      </c>
      <c r="Y1324" s="19" t="s">
        <v>138</v>
      </c>
      <c r="Z1324" s="44" t="s">
        <v>1573</v>
      </c>
      <c r="AA1324" s="44" t="s">
        <v>180</v>
      </c>
      <c r="AC1324" s="19" t="s">
        <v>1930</v>
      </c>
    </row>
    <row r="1325" spans="1:29" hidden="1" x14ac:dyDescent="0.25">
      <c r="A1325" s="26">
        <v>323</v>
      </c>
      <c r="B1325" s="19" t="s">
        <v>1934</v>
      </c>
      <c r="C1325" s="44" t="s">
        <v>273</v>
      </c>
      <c r="D1325" s="19" t="s">
        <v>1066</v>
      </c>
      <c r="E1325" s="19">
        <v>20</v>
      </c>
      <c r="F1325" s="19">
        <v>300</v>
      </c>
      <c r="G1325" s="19">
        <v>6464</v>
      </c>
      <c r="H1325" s="19">
        <v>1</v>
      </c>
      <c r="I1325" s="80">
        <v>304.45</v>
      </c>
      <c r="J1325" s="80">
        <v>304.45</v>
      </c>
      <c r="K1325" s="19" t="s">
        <v>1067</v>
      </c>
      <c r="L1325" s="19" t="s">
        <v>1929</v>
      </c>
      <c r="Q1325" s="20">
        <v>22</v>
      </c>
      <c r="R1325" s="65" t="s">
        <v>1572</v>
      </c>
      <c r="T1325" s="19" t="s">
        <v>307</v>
      </c>
      <c r="V1325" s="19" t="s">
        <v>178</v>
      </c>
      <c r="Y1325" s="19" t="s">
        <v>138</v>
      </c>
      <c r="Z1325" s="44" t="s">
        <v>1573</v>
      </c>
      <c r="AA1325" s="44" t="s">
        <v>180</v>
      </c>
      <c r="AC1325" s="19" t="s">
        <v>1930</v>
      </c>
    </row>
    <row r="1326" spans="1:29" hidden="1" x14ac:dyDescent="0.25">
      <c r="A1326" s="26">
        <v>324</v>
      </c>
      <c r="B1326" s="19" t="s">
        <v>1935</v>
      </c>
      <c r="C1326" s="44" t="s">
        <v>273</v>
      </c>
      <c r="D1326" s="19" t="s">
        <v>1066</v>
      </c>
      <c r="E1326" s="19">
        <v>20</v>
      </c>
      <c r="F1326" s="19">
        <v>300</v>
      </c>
      <c r="G1326" s="19">
        <v>6464</v>
      </c>
      <c r="H1326" s="19">
        <v>1</v>
      </c>
      <c r="I1326" s="80">
        <v>304.45</v>
      </c>
      <c r="J1326" s="80">
        <v>304.45</v>
      </c>
      <c r="K1326" s="19" t="s">
        <v>1067</v>
      </c>
      <c r="L1326" s="19" t="s">
        <v>1929</v>
      </c>
      <c r="Q1326" s="20">
        <v>22</v>
      </c>
      <c r="R1326" s="65" t="s">
        <v>1572</v>
      </c>
      <c r="T1326" s="19" t="s">
        <v>307</v>
      </c>
      <c r="V1326" s="19" t="s">
        <v>178</v>
      </c>
      <c r="Y1326" s="19" t="s">
        <v>138</v>
      </c>
      <c r="Z1326" s="44" t="s">
        <v>1573</v>
      </c>
      <c r="AA1326" s="44" t="s">
        <v>180</v>
      </c>
      <c r="AC1326" s="19" t="s">
        <v>1930</v>
      </c>
    </row>
    <row r="1327" spans="1:29" hidden="1" x14ac:dyDescent="0.25">
      <c r="A1327" s="26">
        <v>325</v>
      </c>
      <c r="B1327" s="19" t="s">
        <v>1936</v>
      </c>
      <c r="C1327" s="44" t="s">
        <v>273</v>
      </c>
      <c r="D1327" s="19" t="s">
        <v>1066</v>
      </c>
      <c r="E1327" s="19">
        <v>20</v>
      </c>
      <c r="F1327" s="19">
        <v>300</v>
      </c>
      <c r="G1327" s="19">
        <v>6464</v>
      </c>
      <c r="H1327" s="19">
        <v>1</v>
      </c>
      <c r="I1327" s="80">
        <v>304.45</v>
      </c>
      <c r="J1327" s="80">
        <v>304.45</v>
      </c>
      <c r="K1327" s="19" t="s">
        <v>1067</v>
      </c>
      <c r="L1327" s="19" t="s">
        <v>1929</v>
      </c>
      <c r="Q1327" s="20">
        <v>22</v>
      </c>
      <c r="R1327" s="65" t="s">
        <v>1572</v>
      </c>
      <c r="T1327" s="19" t="s">
        <v>307</v>
      </c>
      <c r="V1327" s="19" t="s">
        <v>178</v>
      </c>
      <c r="Y1327" s="19" t="s">
        <v>138</v>
      </c>
      <c r="Z1327" s="44" t="s">
        <v>1573</v>
      </c>
      <c r="AA1327" s="44" t="s">
        <v>180</v>
      </c>
      <c r="AC1327" s="19" t="s">
        <v>1930</v>
      </c>
    </row>
    <row r="1328" spans="1:29" hidden="1" x14ac:dyDescent="0.25">
      <c r="A1328" s="26">
        <v>326</v>
      </c>
      <c r="B1328" s="19" t="s">
        <v>1937</v>
      </c>
      <c r="C1328" s="44" t="s">
        <v>273</v>
      </c>
      <c r="D1328" s="19" t="s">
        <v>1066</v>
      </c>
      <c r="E1328" s="19">
        <v>20</v>
      </c>
      <c r="F1328" s="19">
        <v>300</v>
      </c>
      <c r="G1328" s="19">
        <v>6464</v>
      </c>
      <c r="H1328" s="19">
        <v>1</v>
      </c>
      <c r="I1328" s="80">
        <v>304.45</v>
      </c>
      <c r="J1328" s="80">
        <v>304.45</v>
      </c>
      <c r="K1328" s="19" t="s">
        <v>1067</v>
      </c>
      <c r="L1328" s="19" t="s">
        <v>1929</v>
      </c>
      <c r="Q1328" s="20">
        <v>22</v>
      </c>
      <c r="R1328" s="65" t="s">
        <v>1572</v>
      </c>
      <c r="T1328" s="19" t="s">
        <v>307</v>
      </c>
      <c r="V1328" s="19" t="s">
        <v>178</v>
      </c>
      <c r="Y1328" s="19" t="s">
        <v>138</v>
      </c>
      <c r="Z1328" s="44" t="s">
        <v>1573</v>
      </c>
      <c r="AA1328" s="44" t="s">
        <v>180</v>
      </c>
      <c r="AC1328" s="19" t="s">
        <v>1930</v>
      </c>
    </row>
    <row r="1329" spans="1:29" hidden="1" x14ac:dyDescent="0.25">
      <c r="A1329" s="26">
        <v>327</v>
      </c>
      <c r="B1329" s="19" t="s">
        <v>1938</v>
      </c>
      <c r="C1329" s="44" t="s">
        <v>273</v>
      </c>
      <c r="D1329" s="19" t="s">
        <v>1066</v>
      </c>
      <c r="E1329" s="19">
        <v>20</v>
      </c>
      <c r="F1329" s="19">
        <v>300</v>
      </c>
      <c r="G1329" s="19">
        <v>6464</v>
      </c>
      <c r="H1329" s="19">
        <v>1</v>
      </c>
      <c r="I1329" s="80">
        <v>304.45</v>
      </c>
      <c r="J1329" s="80">
        <v>304.45</v>
      </c>
      <c r="K1329" s="19" t="s">
        <v>1067</v>
      </c>
      <c r="L1329" s="19" t="s">
        <v>1929</v>
      </c>
      <c r="Q1329" s="20">
        <v>22</v>
      </c>
      <c r="R1329" s="65" t="s">
        <v>1572</v>
      </c>
      <c r="T1329" s="19" t="s">
        <v>307</v>
      </c>
      <c r="V1329" s="19" t="s">
        <v>178</v>
      </c>
      <c r="Y1329" s="19" t="s">
        <v>138</v>
      </c>
      <c r="Z1329" s="44" t="s">
        <v>1573</v>
      </c>
      <c r="AA1329" s="44" t="s">
        <v>180</v>
      </c>
      <c r="AC1329" s="19" t="s">
        <v>1930</v>
      </c>
    </row>
    <row r="1330" spans="1:29" hidden="1" x14ac:dyDescent="0.25">
      <c r="A1330" s="26">
        <v>328</v>
      </c>
      <c r="B1330" s="19" t="s">
        <v>1939</v>
      </c>
      <c r="C1330" s="44" t="s">
        <v>273</v>
      </c>
      <c r="D1330" s="19" t="s">
        <v>1066</v>
      </c>
      <c r="E1330" s="19">
        <v>20</v>
      </c>
      <c r="F1330" s="19">
        <v>300</v>
      </c>
      <c r="G1330" s="19">
        <v>6464</v>
      </c>
      <c r="H1330" s="19">
        <v>1</v>
      </c>
      <c r="I1330" s="80">
        <v>304.45</v>
      </c>
      <c r="J1330" s="80">
        <v>304.45</v>
      </c>
      <c r="K1330" s="19" t="s">
        <v>1067</v>
      </c>
      <c r="L1330" s="19" t="s">
        <v>1929</v>
      </c>
      <c r="Q1330" s="20">
        <v>22</v>
      </c>
      <c r="R1330" s="65" t="s">
        <v>1572</v>
      </c>
      <c r="T1330" s="19" t="s">
        <v>307</v>
      </c>
      <c r="V1330" s="19" t="s">
        <v>178</v>
      </c>
      <c r="Y1330" s="19" t="s">
        <v>138</v>
      </c>
      <c r="Z1330" s="44" t="s">
        <v>1573</v>
      </c>
      <c r="AA1330" s="44" t="s">
        <v>180</v>
      </c>
      <c r="AC1330" s="19" t="s">
        <v>1930</v>
      </c>
    </row>
    <row r="1331" spans="1:29" hidden="1" x14ac:dyDescent="0.25">
      <c r="A1331" s="26">
        <v>329</v>
      </c>
      <c r="B1331" s="19" t="s">
        <v>1940</v>
      </c>
      <c r="C1331" s="44" t="s">
        <v>273</v>
      </c>
      <c r="D1331" s="19" t="s">
        <v>1066</v>
      </c>
      <c r="E1331" s="19">
        <v>20</v>
      </c>
      <c r="F1331" s="19">
        <v>300</v>
      </c>
      <c r="G1331" s="19">
        <v>6464</v>
      </c>
      <c r="H1331" s="19">
        <v>1</v>
      </c>
      <c r="I1331" s="80">
        <v>304.45</v>
      </c>
      <c r="J1331" s="80">
        <v>304.45</v>
      </c>
      <c r="K1331" s="19" t="s">
        <v>1067</v>
      </c>
      <c r="L1331" s="19" t="s">
        <v>1929</v>
      </c>
      <c r="Q1331" s="20">
        <v>22</v>
      </c>
      <c r="R1331" s="65" t="s">
        <v>1572</v>
      </c>
      <c r="T1331" s="19" t="s">
        <v>307</v>
      </c>
      <c r="V1331" s="19" t="s">
        <v>178</v>
      </c>
      <c r="Y1331" s="19" t="s">
        <v>138</v>
      </c>
      <c r="Z1331" s="44" t="s">
        <v>1573</v>
      </c>
      <c r="AA1331" s="44" t="s">
        <v>180</v>
      </c>
      <c r="AC1331" s="19" t="s">
        <v>1930</v>
      </c>
    </row>
    <row r="1332" spans="1:29" hidden="1" x14ac:dyDescent="0.25">
      <c r="A1332" s="26">
        <v>330</v>
      </c>
      <c r="B1332" s="19" t="s">
        <v>1941</v>
      </c>
      <c r="C1332" s="44" t="s">
        <v>273</v>
      </c>
      <c r="D1332" s="19" t="s">
        <v>1066</v>
      </c>
      <c r="E1332" s="19">
        <v>20</v>
      </c>
      <c r="F1332" s="19">
        <v>300</v>
      </c>
      <c r="G1332" s="19">
        <v>6464</v>
      </c>
      <c r="H1332" s="19">
        <v>1</v>
      </c>
      <c r="I1332" s="80">
        <v>304.45</v>
      </c>
      <c r="J1332" s="80">
        <v>304.45</v>
      </c>
      <c r="K1332" s="19" t="s">
        <v>1067</v>
      </c>
      <c r="L1332" s="19" t="s">
        <v>1929</v>
      </c>
      <c r="Q1332" s="20">
        <v>22</v>
      </c>
      <c r="R1332" s="65" t="s">
        <v>1572</v>
      </c>
      <c r="T1332" s="19" t="s">
        <v>307</v>
      </c>
      <c r="V1332" s="19" t="s">
        <v>178</v>
      </c>
      <c r="Y1332" s="19" t="s">
        <v>138</v>
      </c>
      <c r="Z1332" s="44" t="s">
        <v>1573</v>
      </c>
      <c r="AA1332" s="44" t="s">
        <v>180</v>
      </c>
      <c r="AC1332" s="19" t="s">
        <v>1930</v>
      </c>
    </row>
    <row r="1333" spans="1:29" hidden="1" x14ac:dyDescent="0.25">
      <c r="A1333" s="26">
        <v>331</v>
      </c>
      <c r="B1333" s="19" t="s">
        <v>1942</v>
      </c>
      <c r="C1333" s="44" t="s">
        <v>273</v>
      </c>
      <c r="D1333" s="19" t="s">
        <v>1066</v>
      </c>
      <c r="E1333" s="19">
        <v>20</v>
      </c>
      <c r="F1333" s="19">
        <v>300</v>
      </c>
      <c r="G1333" s="19">
        <v>6464</v>
      </c>
      <c r="H1333" s="19">
        <v>1</v>
      </c>
      <c r="I1333" s="80">
        <v>304.45</v>
      </c>
      <c r="J1333" s="80">
        <v>304.45</v>
      </c>
      <c r="K1333" s="19" t="s">
        <v>1067</v>
      </c>
      <c r="L1333" s="19" t="s">
        <v>1929</v>
      </c>
      <c r="Q1333" s="20">
        <v>22</v>
      </c>
      <c r="R1333" s="65" t="s">
        <v>1572</v>
      </c>
      <c r="T1333" s="19" t="s">
        <v>307</v>
      </c>
      <c r="V1333" s="19" t="s">
        <v>178</v>
      </c>
      <c r="Y1333" s="19" t="s">
        <v>138</v>
      </c>
      <c r="Z1333" s="44" t="s">
        <v>1573</v>
      </c>
      <c r="AA1333" s="44" t="s">
        <v>180</v>
      </c>
      <c r="AC1333" s="19" t="s">
        <v>1930</v>
      </c>
    </row>
    <row r="1334" spans="1:29" hidden="1" x14ac:dyDescent="0.25">
      <c r="A1334" s="26">
        <v>332</v>
      </c>
      <c r="B1334" s="19" t="s">
        <v>1943</v>
      </c>
      <c r="C1334" s="44" t="s">
        <v>273</v>
      </c>
      <c r="D1334" s="19" t="s">
        <v>1066</v>
      </c>
      <c r="E1334" s="19">
        <v>20</v>
      </c>
      <c r="F1334" s="19">
        <v>300</v>
      </c>
      <c r="G1334" s="19">
        <v>6464</v>
      </c>
      <c r="H1334" s="19">
        <v>1</v>
      </c>
      <c r="I1334" s="80">
        <v>304.45</v>
      </c>
      <c r="J1334" s="80">
        <v>304.45</v>
      </c>
      <c r="K1334" s="19" t="s">
        <v>1067</v>
      </c>
      <c r="L1334" s="19" t="s">
        <v>1929</v>
      </c>
      <c r="Q1334" s="20">
        <v>22</v>
      </c>
      <c r="R1334" s="65" t="s">
        <v>1572</v>
      </c>
      <c r="T1334" s="19" t="s">
        <v>307</v>
      </c>
      <c r="V1334" s="19" t="s">
        <v>178</v>
      </c>
      <c r="Y1334" s="19" t="s">
        <v>138</v>
      </c>
      <c r="Z1334" s="44" t="s">
        <v>1573</v>
      </c>
      <c r="AA1334" s="44" t="s">
        <v>180</v>
      </c>
      <c r="AC1334" s="19" t="s">
        <v>1930</v>
      </c>
    </row>
    <row r="1335" spans="1:29" hidden="1" x14ac:dyDescent="0.25">
      <c r="A1335" s="26">
        <v>333</v>
      </c>
      <c r="B1335" s="19" t="s">
        <v>1944</v>
      </c>
      <c r="C1335" s="44" t="s">
        <v>273</v>
      </c>
      <c r="D1335" s="19" t="s">
        <v>1066</v>
      </c>
      <c r="E1335" s="19">
        <v>20</v>
      </c>
      <c r="F1335" s="19">
        <v>300</v>
      </c>
      <c r="G1335" s="19">
        <v>6464</v>
      </c>
      <c r="H1335" s="19">
        <v>1</v>
      </c>
      <c r="I1335" s="80">
        <v>304.45</v>
      </c>
      <c r="J1335" s="80">
        <v>304.45</v>
      </c>
      <c r="K1335" s="19" t="s">
        <v>1067</v>
      </c>
      <c r="L1335" s="19" t="s">
        <v>1929</v>
      </c>
      <c r="Q1335" s="20">
        <v>22</v>
      </c>
      <c r="R1335" s="65" t="s">
        <v>1572</v>
      </c>
      <c r="T1335" s="19" t="s">
        <v>307</v>
      </c>
      <c r="V1335" s="19" t="s">
        <v>178</v>
      </c>
      <c r="Y1335" s="19" t="s">
        <v>138</v>
      </c>
      <c r="Z1335" s="44" t="s">
        <v>1573</v>
      </c>
      <c r="AA1335" s="44" t="s">
        <v>180</v>
      </c>
      <c r="AC1335" s="19" t="s">
        <v>1930</v>
      </c>
    </row>
    <row r="1336" spans="1:29" hidden="1" x14ac:dyDescent="0.25">
      <c r="A1336" s="26">
        <v>334</v>
      </c>
      <c r="B1336" s="19" t="s">
        <v>1945</v>
      </c>
      <c r="C1336" s="44" t="s">
        <v>273</v>
      </c>
      <c r="D1336" s="19" t="s">
        <v>1066</v>
      </c>
      <c r="E1336" s="19">
        <v>20</v>
      </c>
      <c r="F1336" s="19">
        <v>300</v>
      </c>
      <c r="G1336" s="19">
        <v>6464</v>
      </c>
      <c r="H1336" s="19">
        <v>1</v>
      </c>
      <c r="I1336" s="80">
        <v>304.45</v>
      </c>
      <c r="J1336" s="80">
        <v>304.45</v>
      </c>
      <c r="K1336" s="19" t="s">
        <v>1067</v>
      </c>
      <c r="L1336" s="19" t="s">
        <v>1929</v>
      </c>
      <c r="Q1336" s="20">
        <v>22</v>
      </c>
      <c r="R1336" s="65" t="s">
        <v>1572</v>
      </c>
      <c r="T1336" s="19" t="s">
        <v>307</v>
      </c>
      <c r="V1336" s="19" t="s">
        <v>178</v>
      </c>
      <c r="Y1336" s="19" t="s">
        <v>138</v>
      </c>
      <c r="Z1336" s="44" t="s">
        <v>1573</v>
      </c>
      <c r="AA1336" s="44" t="s">
        <v>180</v>
      </c>
      <c r="AC1336" s="19" t="s">
        <v>1930</v>
      </c>
    </row>
    <row r="1337" spans="1:29" hidden="1" x14ac:dyDescent="0.25">
      <c r="A1337" s="26">
        <v>335</v>
      </c>
      <c r="B1337" s="19" t="s">
        <v>1946</v>
      </c>
      <c r="C1337" s="44" t="s">
        <v>273</v>
      </c>
      <c r="D1337" s="19" t="s">
        <v>1028</v>
      </c>
      <c r="E1337" s="19">
        <v>20</v>
      </c>
      <c r="F1337" s="19">
        <v>300</v>
      </c>
      <c r="G1337" s="19">
        <v>9516</v>
      </c>
      <c r="H1337" s="19">
        <v>1</v>
      </c>
      <c r="I1337" s="80">
        <v>448.2</v>
      </c>
      <c r="J1337" s="80">
        <v>448.2</v>
      </c>
      <c r="K1337" s="19" t="s">
        <v>195</v>
      </c>
      <c r="L1337" s="19" t="s">
        <v>1947</v>
      </c>
      <c r="P1337" s="19" t="s">
        <v>138</v>
      </c>
      <c r="Q1337" s="20">
        <v>22</v>
      </c>
      <c r="R1337" s="65" t="s">
        <v>1572</v>
      </c>
      <c r="T1337" s="19" t="s">
        <v>307</v>
      </c>
      <c r="V1337" s="19" t="s">
        <v>178</v>
      </c>
      <c r="Y1337" s="19" t="s">
        <v>138</v>
      </c>
      <c r="Z1337" s="44" t="s">
        <v>1573</v>
      </c>
      <c r="AA1337" s="44" t="s">
        <v>180</v>
      </c>
      <c r="AC1337" s="19" t="s">
        <v>1948</v>
      </c>
    </row>
    <row r="1338" spans="1:29" hidden="1" x14ac:dyDescent="0.25">
      <c r="A1338" s="26">
        <v>336</v>
      </c>
      <c r="B1338" s="19" t="s">
        <v>1949</v>
      </c>
      <c r="C1338" s="44" t="s">
        <v>273</v>
      </c>
      <c r="D1338" s="19" t="s">
        <v>1028</v>
      </c>
      <c r="E1338" s="19">
        <v>20</v>
      </c>
      <c r="F1338" s="19">
        <v>300</v>
      </c>
      <c r="G1338" s="19">
        <v>9516</v>
      </c>
      <c r="H1338" s="19">
        <v>1</v>
      </c>
      <c r="I1338" s="80">
        <v>448.2</v>
      </c>
      <c r="J1338" s="80">
        <v>448.2</v>
      </c>
      <c r="K1338" s="19" t="s">
        <v>195</v>
      </c>
      <c r="L1338" s="19" t="s">
        <v>1947</v>
      </c>
      <c r="P1338" s="19" t="s">
        <v>138</v>
      </c>
      <c r="Q1338" s="20">
        <v>22</v>
      </c>
      <c r="R1338" s="65" t="s">
        <v>1572</v>
      </c>
      <c r="T1338" s="19" t="s">
        <v>307</v>
      </c>
      <c r="V1338" s="19" t="s">
        <v>178</v>
      </c>
      <c r="Y1338" s="19" t="s">
        <v>138</v>
      </c>
      <c r="Z1338" s="44" t="s">
        <v>1573</v>
      </c>
      <c r="AA1338" s="44" t="s">
        <v>180</v>
      </c>
      <c r="AC1338" s="19" t="s">
        <v>1948</v>
      </c>
    </row>
    <row r="1339" spans="1:29" hidden="1" x14ac:dyDescent="0.25">
      <c r="A1339" s="26">
        <v>337</v>
      </c>
      <c r="B1339" s="19" t="s">
        <v>1950</v>
      </c>
      <c r="C1339" s="44" t="s">
        <v>273</v>
      </c>
      <c r="D1339" s="19" t="s">
        <v>1028</v>
      </c>
      <c r="E1339" s="19">
        <v>20</v>
      </c>
      <c r="F1339" s="19">
        <v>300</v>
      </c>
      <c r="G1339" s="19">
        <v>9516</v>
      </c>
      <c r="H1339" s="19">
        <v>1</v>
      </c>
      <c r="I1339" s="80">
        <v>448.2</v>
      </c>
      <c r="J1339" s="80">
        <v>448.2</v>
      </c>
      <c r="K1339" s="19" t="s">
        <v>195</v>
      </c>
      <c r="L1339" s="19" t="s">
        <v>1947</v>
      </c>
      <c r="P1339" s="19" t="s">
        <v>138</v>
      </c>
      <c r="Q1339" s="20">
        <v>22</v>
      </c>
      <c r="R1339" s="65" t="s">
        <v>1572</v>
      </c>
      <c r="T1339" s="19" t="s">
        <v>307</v>
      </c>
      <c r="V1339" s="19" t="s">
        <v>178</v>
      </c>
      <c r="Y1339" s="19" t="s">
        <v>138</v>
      </c>
      <c r="Z1339" s="44" t="s">
        <v>1573</v>
      </c>
      <c r="AA1339" s="44" t="s">
        <v>180</v>
      </c>
      <c r="AC1339" s="19" t="s">
        <v>1948</v>
      </c>
    </row>
    <row r="1340" spans="1:29" hidden="1" x14ac:dyDescent="0.25">
      <c r="A1340" s="26">
        <v>338</v>
      </c>
      <c r="B1340" s="19" t="s">
        <v>1951</v>
      </c>
      <c r="C1340" s="44" t="s">
        <v>273</v>
      </c>
      <c r="D1340" s="19" t="s">
        <v>1028</v>
      </c>
      <c r="E1340" s="19">
        <v>20</v>
      </c>
      <c r="F1340" s="19">
        <v>300</v>
      </c>
      <c r="G1340" s="19">
        <v>9516</v>
      </c>
      <c r="H1340" s="19">
        <v>1</v>
      </c>
      <c r="I1340" s="80">
        <v>448.2</v>
      </c>
      <c r="J1340" s="80">
        <v>448.2</v>
      </c>
      <c r="K1340" s="19" t="s">
        <v>195</v>
      </c>
      <c r="L1340" s="19" t="s">
        <v>1947</v>
      </c>
      <c r="P1340" s="19" t="s">
        <v>138</v>
      </c>
      <c r="Q1340" s="20">
        <v>22</v>
      </c>
      <c r="R1340" s="65" t="s">
        <v>1572</v>
      </c>
      <c r="T1340" s="19" t="s">
        <v>307</v>
      </c>
      <c r="V1340" s="19" t="s">
        <v>178</v>
      </c>
      <c r="Y1340" s="19" t="s">
        <v>138</v>
      </c>
      <c r="Z1340" s="44" t="s">
        <v>1573</v>
      </c>
      <c r="AA1340" s="44" t="s">
        <v>180</v>
      </c>
      <c r="AC1340" s="19" t="s">
        <v>1948</v>
      </c>
    </row>
    <row r="1341" spans="1:29" hidden="1" x14ac:dyDescent="0.25">
      <c r="A1341" s="26">
        <v>339</v>
      </c>
      <c r="B1341" s="19" t="s">
        <v>1952</v>
      </c>
      <c r="C1341" s="44" t="s">
        <v>273</v>
      </c>
      <c r="D1341" s="19" t="s">
        <v>1028</v>
      </c>
      <c r="E1341" s="19">
        <v>20</v>
      </c>
      <c r="F1341" s="19">
        <v>300</v>
      </c>
      <c r="G1341" s="19">
        <v>9516</v>
      </c>
      <c r="H1341" s="19">
        <v>1</v>
      </c>
      <c r="I1341" s="80">
        <v>448.2</v>
      </c>
      <c r="J1341" s="80">
        <v>448.2</v>
      </c>
      <c r="K1341" s="19" t="s">
        <v>195</v>
      </c>
      <c r="L1341" s="19" t="s">
        <v>1947</v>
      </c>
      <c r="P1341" s="19" t="s">
        <v>138</v>
      </c>
      <c r="Q1341" s="20">
        <v>22</v>
      </c>
      <c r="R1341" s="65" t="s">
        <v>1572</v>
      </c>
      <c r="T1341" s="19" t="s">
        <v>307</v>
      </c>
      <c r="V1341" s="19" t="s">
        <v>178</v>
      </c>
      <c r="Y1341" s="19" t="s">
        <v>138</v>
      </c>
      <c r="Z1341" s="44" t="s">
        <v>1573</v>
      </c>
      <c r="AA1341" s="44" t="s">
        <v>180</v>
      </c>
      <c r="AC1341" s="19" t="s">
        <v>1948</v>
      </c>
    </row>
    <row r="1342" spans="1:29" hidden="1" x14ac:dyDescent="0.25">
      <c r="A1342" s="26">
        <v>340</v>
      </c>
      <c r="B1342" s="19" t="s">
        <v>1953</v>
      </c>
      <c r="C1342" s="44" t="s">
        <v>273</v>
      </c>
      <c r="D1342" s="19" t="s">
        <v>1050</v>
      </c>
      <c r="E1342" s="19">
        <v>20</v>
      </c>
      <c r="F1342" s="19">
        <v>300</v>
      </c>
      <c r="G1342" s="19">
        <v>1383</v>
      </c>
      <c r="H1342" s="19">
        <v>1</v>
      </c>
      <c r="I1342" s="80">
        <v>65.14</v>
      </c>
      <c r="J1342" s="80">
        <v>65.14</v>
      </c>
      <c r="K1342" s="19" t="s">
        <v>195</v>
      </c>
      <c r="L1342" s="19" t="s">
        <v>1947</v>
      </c>
      <c r="P1342" s="19" t="s">
        <v>138</v>
      </c>
      <c r="Q1342" s="20">
        <v>22</v>
      </c>
      <c r="R1342" s="65" t="s">
        <v>1572</v>
      </c>
      <c r="T1342" s="19" t="s">
        <v>307</v>
      </c>
      <c r="V1342" s="19" t="s">
        <v>178</v>
      </c>
      <c r="Y1342" s="19" t="s">
        <v>138</v>
      </c>
      <c r="Z1342" s="44" t="s">
        <v>1573</v>
      </c>
      <c r="AA1342" s="44" t="s">
        <v>180</v>
      </c>
      <c r="AC1342" s="19" t="s">
        <v>1948</v>
      </c>
    </row>
    <row r="1343" spans="1:29" hidden="1" x14ac:dyDescent="0.25">
      <c r="A1343" s="26">
        <v>341</v>
      </c>
      <c r="B1343" s="19" t="s">
        <v>1954</v>
      </c>
      <c r="C1343" s="44" t="s">
        <v>273</v>
      </c>
      <c r="D1343" s="19" t="s">
        <v>1050</v>
      </c>
      <c r="E1343" s="19">
        <v>20</v>
      </c>
      <c r="F1343" s="19">
        <v>300</v>
      </c>
      <c r="G1343" s="19">
        <v>1383</v>
      </c>
      <c r="H1343" s="19">
        <v>1</v>
      </c>
      <c r="I1343" s="80">
        <v>65.14</v>
      </c>
      <c r="J1343" s="80">
        <v>65.14</v>
      </c>
      <c r="K1343" s="19" t="s">
        <v>195</v>
      </c>
      <c r="L1343" s="19" t="s">
        <v>1947</v>
      </c>
      <c r="P1343" s="19" t="s">
        <v>138</v>
      </c>
      <c r="Q1343" s="20">
        <v>22</v>
      </c>
      <c r="R1343" s="65" t="s">
        <v>1572</v>
      </c>
      <c r="T1343" s="19" t="s">
        <v>307</v>
      </c>
      <c r="V1343" s="19" t="s">
        <v>178</v>
      </c>
      <c r="Y1343" s="19" t="s">
        <v>138</v>
      </c>
      <c r="Z1343" s="44" t="s">
        <v>1573</v>
      </c>
      <c r="AA1343" s="44" t="s">
        <v>180</v>
      </c>
      <c r="AC1343" s="19" t="s">
        <v>1948</v>
      </c>
    </row>
    <row r="1344" spans="1:29" hidden="1" x14ac:dyDescent="0.25">
      <c r="A1344" s="26">
        <v>342</v>
      </c>
      <c r="B1344" s="19" t="s">
        <v>1862</v>
      </c>
      <c r="C1344" s="44" t="s">
        <v>273</v>
      </c>
      <c r="D1344" s="19" t="s">
        <v>1363</v>
      </c>
      <c r="E1344" s="19">
        <v>20</v>
      </c>
      <c r="F1344" s="19">
        <v>270</v>
      </c>
      <c r="G1344" s="19">
        <v>300</v>
      </c>
      <c r="H1344" s="19">
        <v>3</v>
      </c>
      <c r="I1344" s="80">
        <v>12.72</v>
      </c>
      <c r="J1344" s="80">
        <v>38.15</v>
      </c>
      <c r="K1344" s="19" t="s">
        <v>195</v>
      </c>
      <c r="L1344" s="19" t="s">
        <v>1947</v>
      </c>
      <c r="Q1344" s="20">
        <v>22</v>
      </c>
      <c r="R1344" s="65" t="s">
        <v>1572</v>
      </c>
      <c r="T1344" s="19" t="s">
        <v>307</v>
      </c>
      <c r="V1344" s="19" t="s">
        <v>178</v>
      </c>
      <c r="W1344" s="19" t="s">
        <v>138</v>
      </c>
      <c r="Z1344" s="44" t="s">
        <v>1573</v>
      </c>
      <c r="AA1344" s="44" t="s">
        <v>180</v>
      </c>
      <c r="AC1344" s="19" t="s">
        <v>1948</v>
      </c>
    </row>
    <row r="1345" spans="1:29" hidden="1" x14ac:dyDescent="0.25">
      <c r="A1345" s="26">
        <v>343</v>
      </c>
      <c r="B1345" s="19" t="s">
        <v>1906</v>
      </c>
      <c r="C1345" s="44" t="s">
        <v>273</v>
      </c>
      <c r="D1345" s="19" t="s">
        <v>1363</v>
      </c>
      <c r="E1345" s="19">
        <v>20</v>
      </c>
      <c r="F1345" s="19">
        <v>270</v>
      </c>
      <c r="G1345" s="19">
        <v>300</v>
      </c>
      <c r="H1345" s="19">
        <v>3</v>
      </c>
      <c r="I1345" s="80">
        <v>12.72</v>
      </c>
      <c r="J1345" s="80">
        <v>38.15</v>
      </c>
      <c r="K1345" s="19" t="s">
        <v>195</v>
      </c>
      <c r="L1345" s="19" t="s">
        <v>1947</v>
      </c>
      <c r="Q1345" s="20">
        <v>22</v>
      </c>
      <c r="R1345" s="65" t="s">
        <v>1572</v>
      </c>
      <c r="T1345" s="19" t="s">
        <v>307</v>
      </c>
      <c r="V1345" s="19" t="s">
        <v>178</v>
      </c>
      <c r="W1345" s="19" t="s">
        <v>138</v>
      </c>
      <c r="Z1345" s="44" t="s">
        <v>1573</v>
      </c>
      <c r="AA1345" s="44" t="s">
        <v>180</v>
      </c>
      <c r="AC1345" s="19" t="s">
        <v>1948</v>
      </c>
    </row>
    <row r="1346" spans="1:29" hidden="1" x14ac:dyDescent="0.25">
      <c r="A1346" s="26">
        <v>344</v>
      </c>
      <c r="B1346" s="19" t="s">
        <v>1955</v>
      </c>
      <c r="C1346" s="44" t="s">
        <v>273</v>
      </c>
      <c r="D1346" s="19" t="s">
        <v>1011</v>
      </c>
      <c r="E1346" s="19">
        <v>20</v>
      </c>
      <c r="F1346" s="19">
        <v>300</v>
      </c>
      <c r="G1346" s="19">
        <v>9980</v>
      </c>
      <c r="H1346" s="19">
        <v>1</v>
      </c>
      <c r="I1346" s="80">
        <v>470.06</v>
      </c>
      <c r="J1346" s="80">
        <v>470.06</v>
      </c>
      <c r="K1346" s="19" t="s">
        <v>195</v>
      </c>
      <c r="L1346" s="19" t="s">
        <v>1947</v>
      </c>
      <c r="Q1346" s="20">
        <v>22</v>
      </c>
      <c r="R1346" s="65" t="s">
        <v>1572</v>
      </c>
      <c r="T1346" s="19" t="s">
        <v>307</v>
      </c>
      <c r="V1346" s="19" t="s">
        <v>178</v>
      </c>
      <c r="Y1346" s="19" t="s">
        <v>138</v>
      </c>
      <c r="Z1346" s="44" t="s">
        <v>1573</v>
      </c>
      <c r="AA1346" s="44" t="s">
        <v>180</v>
      </c>
      <c r="AC1346" s="19" t="s">
        <v>1948</v>
      </c>
    </row>
    <row r="1347" spans="1:29" hidden="1" x14ac:dyDescent="0.25">
      <c r="A1347" s="26">
        <v>345</v>
      </c>
      <c r="B1347" s="19" t="s">
        <v>1956</v>
      </c>
      <c r="C1347" s="44" t="s">
        <v>273</v>
      </c>
      <c r="D1347" s="19" t="s">
        <v>1011</v>
      </c>
      <c r="E1347" s="19">
        <v>20</v>
      </c>
      <c r="F1347" s="19">
        <v>300</v>
      </c>
      <c r="G1347" s="19">
        <v>9980</v>
      </c>
      <c r="H1347" s="19">
        <v>1</v>
      </c>
      <c r="I1347" s="80">
        <v>470.06</v>
      </c>
      <c r="J1347" s="80">
        <v>470.06</v>
      </c>
      <c r="K1347" s="19" t="s">
        <v>195</v>
      </c>
      <c r="L1347" s="19" t="s">
        <v>1947</v>
      </c>
      <c r="Q1347" s="20">
        <v>22</v>
      </c>
      <c r="R1347" s="65" t="s">
        <v>1572</v>
      </c>
      <c r="T1347" s="19" t="s">
        <v>307</v>
      </c>
      <c r="V1347" s="19" t="s">
        <v>178</v>
      </c>
      <c r="Y1347" s="19" t="s">
        <v>138</v>
      </c>
      <c r="Z1347" s="44" t="s">
        <v>1573</v>
      </c>
      <c r="AA1347" s="44" t="s">
        <v>180</v>
      </c>
      <c r="AC1347" s="19" t="s">
        <v>1948</v>
      </c>
    </row>
    <row r="1348" spans="1:29" hidden="1" x14ac:dyDescent="0.25">
      <c r="A1348" s="26">
        <v>346</v>
      </c>
      <c r="B1348" s="19" t="s">
        <v>1957</v>
      </c>
      <c r="C1348" s="44" t="s">
        <v>273</v>
      </c>
      <c r="D1348" s="19" t="s">
        <v>1011</v>
      </c>
      <c r="E1348" s="19">
        <v>20</v>
      </c>
      <c r="F1348" s="19">
        <v>300</v>
      </c>
      <c r="G1348" s="19">
        <v>9980</v>
      </c>
      <c r="H1348" s="19">
        <v>1</v>
      </c>
      <c r="I1348" s="80">
        <v>470.06</v>
      </c>
      <c r="J1348" s="80">
        <v>470.06</v>
      </c>
      <c r="K1348" s="19" t="s">
        <v>195</v>
      </c>
      <c r="L1348" s="19" t="s">
        <v>1947</v>
      </c>
      <c r="Q1348" s="20">
        <v>22</v>
      </c>
      <c r="R1348" s="65" t="s">
        <v>1572</v>
      </c>
      <c r="T1348" s="19" t="s">
        <v>307</v>
      </c>
      <c r="V1348" s="19" t="s">
        <v>178</v>
      </c>
      <c r="Y1348" s="19" t="s">
        <v>138</v>
      </c>
      <c r="Z1348" s="44" t="s">
        <v>1573</v>
      </c>
      <c r="AA1348" s="44" t="s">
        <v>180</v>
      </c>
      <c r="AC1348" s="19" t="s">
        <v>1948</v>
      </c>
    </row>
    <row r="1349" spans="1:29" hidden="1" x14ac:dyDescent="0.25">
      <c r="A1349" s="26">
        <v>347</v>
      </c>
      <c r="B1349" s="19" t="s">
        <v>1958</v>
      </c>
      <c r="C1349" s="44" t="s">
        <v>273</v>
      </c>
      <c r="D1349" s="19" t="s">
        <v>1050</v>
      </c>
      <c r="E1349" s="19">
        <v>20</v>
      </c>
      <c r="F1349" s="19">
        <v>300</v>
      </c>
      <c r="G1349" s="19">
        <v>1383</v>
      </c>
      <c r="H1349" s="19">
        <v>1</v>
      </c>
      <c r="I1349" s="80">
        <v>65.14</v>
      </c>
      <c r="J1349" s="80">
        <v>65.14</v>
      </c>
      <c r="K1349" s="19" t="s">
        <v>195</v>
      </c>
      <c r="L1349" s="19" t="s">
        <v>1947</v>
      </c>
      <c r="P1349" s="19" t="s">
        <v>138</v>
      </c>
      <c r="Q1349" s="20">
        <v>22</v>
      </c>
      <c r="R1349" s="65" t="s">
        <v>1572</v>
      </c>
      <c r="T1349" s="19" t="s">
        <v>307</v>
      </c>
      <c r="V1349" s="19" t="s">
        <v>178</v>
      </c>
      <c r="Y1349" s="19" t="s">
        <v>138</v>
      </c>
      <c r="Z1349" s="44" t="s">
        <v>1573</v>
      </c>
      <c r="AA1349" s="44" t="s">
        <v>180</v>
      </c>
      <c r="AC1349" s="19" t="s">
        <v>1948</v>
      </c>
    </row>
    <row r="1350" spans="1:29" hidden="1" x14ac:dyDescent="0.25">
      <c r="A1350" s="26">
        <v>348</v>
      </c>
      <c r="B1350" s="19" t="s">
        <v>1959</v>
      </c>
      <c r="C1350" s="44" t="s">
        <v>273</v>
      </c>
      <c r="D1350" s="19" t="s">
        <v>1050</v>
      </c>
      <c r="E1350" s="19">
        <v>20</v>
      </c>
      <c r="F1350" s="19">
        <v>300</v>
      </c>
      <c r="G1350" s="19">
        <v>1383</v>
      </c>
      <c r="H1350" s="19">
        <v>1</v>
      </c>
      <c r="I1350" s="80">
        <v>65.14</v>
      </c>
      <c r="J1350" s="80">
        <v>65.14</v>
      </c>
      <c r="K1350" s="19" t="s">
        <v>195</v>
      </c>
      <c r="L1350" s="19" t="s">
        <v>1947</v>
      </c>
      <c r="P1350" s="19" t="s">
        <v>138</v>
      </c>
      <c r="Q1350" s="20">
        <v>22</v>
      </c>
      <c r="R1350" s="65" t="s">
        <v>1572</v>
      </c>
      <c r="T1350" s="19" t="s">
        <v>307</v>
      </c>
      <c r="V1350" s="19" t="s">
        <v>178</v>
      </c>
      <c r="Y1350" s="19" t="s">
        <v>138</v>
      </c>
      <c r="Z1350" s="44" t="s">
        <v>1573</v>
      </c>
      <c r="AA1350" s="44" t="s">
        <v>180</v>
      </c>
      <c r="AC1350" s="19" t="s">
        <v>1948</v>
      </c>
    </row>
    <row r="1351" spans="1:29" hidden="1" x14ac:dyDescent="0.25">
      <c r="A1351" s="26">
        <v>349</v>
      </c>
      <c r="B1351" s="19" t="s">
        <v>1960</v>
      </c>
      <c r="C1351" s="44" t="s">
        <v>273</v>
      </c>
      <c r="D1351" s="19" t="s">
        <v>1050</v>
      </c>
      <c r="E1351" s="19">
        <v>20</v>
      </c>
      <c r="F1351" s="19">
        <v>300</v>
      </c>
      <c r="G1351" s="19">
        <v>1383</v>
      </c>
      <c r="H1351" s="19">
        <v>1</v>
      </c>
      <c r="I1351" s="80">
        <v>65.14</v>
      </c>
      <c r="J1351" s="80">
        <v>65.14</v>
      </c>
      <c r="K1351" s="19" t="s">
        <v>195</v>
      </c>
      <c r="L1351" s="19" t="s">
        <v>1947</v>
      </c>
      <c r="P1351" s="19" t="s">
        <v>138</v>
      </c>
      <c r="Q1351" s="20">
        <v>22</v>
      </c>
      <c r="R1351" s="65" t="s">
        <v>1572</v>
      </c>
      <c r="T1351" s="19" t="s">
        <v>307</v>
      </c>
      <c r="V1351" s="19" t="s">
        <v>178</v>
      </c>
      <c r="Y1351" s="19" t="s">
        <v>138</v>
      </c>
      <c r="Z1351" s="44" t="s">
        <v>1573</v>
      </c>
      <c r="AA1351" s="44" t="s">
        <v>180</v>
      </c>
      <c r="AC1351" s="19" t="s">
        <v>1948</v>
      </c>
    </row>
    <row r="1352" spans="1:29" hidden="1" x14ac:dyDescent="0.25">
      <c r="A1352" s="26">
        <v>350</v>
      </c>
      <c r="B1352" s="19" t="s">
        <v>1891</v>
      </c>
      <c r="C1352" s="44" t="s">
        <v>273</v>
      </c>
      <c r="D1352" s="19" t="s">
        <v>1370</v>
      </c>
      <c r="E1352" s="19">
        <v>20</v>
      </c>
      <c r="F1352" s="19">
        <v>300</v>
      </c>
      <c r="G1352" s="19">
        <v>480</v>
      </c>
      <c r="H1352" s="19">
        <v>1</v>
      </c>
      <c r="I1352" s="80">
        <v>22.61</v>
      </c>
      <c r="J1352" s="80">
        <v>22.61</v>
      </c>
      <c r="K1352" s="19" t="s">
        <v>195</v>
      </c>
      <c r="L1352" s="19" t="s">
        <v>1947</v>
      </c>
      <c r="Q1352" s="20">
        <v>22</v>
      </c>
      <c r="R1352" s="65" t="s">
        <v>1572</v>
      </c>
      <c r="T1352" s="19" t="s">
        <v>307</v>
      </c>
      <c r="V1352" s="19" t="s">
        <v>178</v>
      </c>
      <c r="W1352" s="19" t="s">
        <v>138</v>
      </c>
      <c r="Z1352" s="44" t="s">
        <v>1573</v>
      </c>
      <c r="AA1352" s="44" t="s">
        <v>180</v>
      </c>
      <c r="AC1352" s="19" t="s">
        <v>1948</v>
      </c>
    </row>
    <row r="1353" spans="1:29" hidden="1" x14ac:dyDescent="0.25">
      <c r="A1353" s="26">
        <v>351</v>
      </c>
      <c r="B1353" s="19" t="s">
        <v>1916</v>
      </c>
      <c r="C1353" s="44" t="s">
        <v>273</v>
      </c>
      <c r="D1353" s="19" t="s">
        <v>1370</v>
      </c>
      <c r="E1353" s="19">
        <v>20</v>
      </c>
      <c r="F1353" s="19">
        <v>300</v>
      </c>
      <c r="G1353" s="19">
        <v>480</v>
      </c>
      <c r="H1353" s="19">
        <v>2</v>
      </c>
      <c r="I1353" s="80">
        <v>22.61</v>
      </c>
      <c r="J1353" s="80">
        <v>45.22</v>
      </c>
      <c r="K1353" s="19" t="s">
        <v>195</v>
      </c>
      <c r="L1353" s="19" t="s">
        <v>1947</v>
      </c>
      <c r="Q1353" s="20">
        <v>22</v>
      </c>
      <c r="R1353" s="65" t="s">
        <v>1572</v>
      </c>
      <c r="T1353" s="19" t="s">
        <v>307</v>
      </c>
      <c r="V1353" s="19" t="s">
        <v>178</v>
      </c>
      <c r="W1353" s="19" t="s">
        <v>138</v>
      </c>
      <c r="Z1353" s="44" t="s">
        <v>1573</v>
      </c>
      <c r="AA1353" s="44" t="s">
        <v>180</v>
      </c>
      <c r="AC1353" s="19" t="s">
        <v>1948</v>
      </c>
    </row>
    <row r="1354" spans="1:29" hidden="1" x14ac:dyDescent="0.25">
      <c r="A1354" s="26">
        <v>352</v>
      </c>
      <c r="B1354" s="19" t="s">
        <v>1961</v>
      </c>
      <c r="C1354" s="44" t="s">
        <v>273</v>
      </c>
      <c r="D1354" s="19" t="s">
        <v>1028</v>
      </c>
      <c r="E1354" s="19">
        <v>20</v>
      </c>
      <c r="F1354" s="19">
        <v>300</v>
      </c>
      <c r="G1354" s="19">
        <v>9516</v>
      </c>
      <c r="H1354" s="19">
        <v>1</v>
      </c>
      <c r="I1354" s="80">
        <v>448.2</v>
      </c>
      <c r="J1354" s="80">
        <v>448.2</v>
      </c>
      <c r="K1354" s="19" t="s">
        <v>195</v>
      </c>
      <c r="L1354" s="19" t="s">
        <v>1962</v>
      </c>
      <c r="P1354" s="19" t="s">
        <v>138</v>
      </c>
      <c r="Q1354" s="20">
        <v>22</v>
      </c>
      <c r="R1354" s="65" t="s">
        <v>1572</v>
      </c>
      <c r="T1354" s="19" t="s">
        <v>307</v>
      </c>
      <c r="V1354" s="19" t="s">
        <v>178</v>
      </c>
      <c r="Y1354" s="19" t="s">
        <v>138</v>
      </c>
      <c r="Z1354" s="44" t="s">
        <v>1573</v>
      </c>
      <c r="AA1354" s="44" t="s">
        <v>180</v>
      </c>
      <c r="AC1354" s="19" t="s">
        <v>1963</v>
      </c>
    </row>
    <row r="1355" spans="1:29" hidden="1" x14ac:dyDescent="0.25">
      <c r="A1355" s="26">
        <v>353</v>
      </c>
      <c r="B1355" s="19" t="s">
        <v>1964</v>
      </c>
      <c r="C1355" s="44" t="s">
        <v>273</v>
      </c>
      <c r="D1355" s="19" t="s">
        <v>1028</v>
      </c>
      <c r="E1355" s="19">
        <v>20</v>
      </c>
      <c r="F1355" s="19">
        <v>300</v>
      </c>
      <c r="G1355" s="19">
        <v>9516</v>
      </c>
      <c r="H1355" s="19">
        <v>1</v>
      </c>
      <c r="I1355" s="80">
        <v>448.2</v>
      </c>
      <c r="J1355" s="80">
        <v>448.2</v>
      </c>
      <c r="K1355" s="19" t="s">
        <v>195</v>
      </c>
      <c r="L1355" s="19" t="s">
        <v>1962</v>
      </c>
      <c r="P1355" s="19" t="s">
        <v>138</v>
      </c>
      <c r="Q1355" s="20">
        <v>22</v>
      </c>
      <c r="R1355" s="65" t="s">
        <v>1572</v>
      </c>
      <c r="T1355" s="19" t="s">
        <v>307</v>
      </c>
      <c r="V1355" s="19" t="s">
        <v>178</v>
      </c>
      <c r="Y1355" s="19" t="s">
        <v>138</v>
      </c>
      <c r="Z1355" s="44" t="s">
        <v>1573</v>
      </c>
      <c r="AA1355" s="44" t="s">
        <v>180</v>
      </c>
      <c r="AC1355" s="19" t="s">
        <v>1963</v>
      </c>
    </row>
    <row r="1356" spans="1:29" hidden="1" x14ac:dyDescent="0.25">
      <c r="A1356" s="26">
        <v>354</v>
      </c>
      <c r="B1356" s="19" t="s">
        <v>1965</v>
      </c>
      <c r="C1356" s="44" t="s">
        <v>273</v>
      </c>
      <c r="D1356" s="19" t="s">
        <v>1028</v>
      </c>
      <c r="E1356" s="19">
        <v>20</v>
      </c>
      <c r="F1356" s="19">
        <v>300</v>
      </c>
      <c r="G1356" s="19">
        <v>9516</v>
      </c>
      <c r="H1356" s="19">
        <v>1</v>
      </c>
      <c r="I1356" s="80">
        <v>448.2</v>
      </c>
      <c r="J1356" s="80">
        <v>448.2</v>
      </c>
      <c r="K1356" s="19" t="s">
        <v>195</v>
      </c>
      <c r="L1356" s="19" t="s">
        <v>1962</v>
      </c>
      <c r="P1356" s="19" t="s">
        <v>138</v>
      </c>
      <c r="Q1356" s="20">
        <v>22</v>
      </c>
      <c r="R1356" s="65" t="s">
        <v>1572</v>
      </c>
      <c r="T1356" s="19" t="s">
        <v>307</v>
      </c>
      <c r="V1356" s="19" t="s">
        <v>178</v>
      </c>
      <c r="Y1356" s="19" t="s">
        <v>138</v>
      </c>
      <c r="Z1356" s="44" t="s">
        <v>1573</v>
      </c>
      <c r="AA1356" s="44" t="s">
        <v>180</v>
      </c>
      <c r="AC1356" s="19" t="s">
        <v>1963</v>
      </c>
    </row>
    <row r="1357" spans="1:29" hidden="1" x14ac:dyDescent="0.25">
      <c r="A1357" s="26">
        <v>355</v>
      </c>
      <c r="B1357" s="19" t="s">
        <v>1966</v>
      </c>
      <c r="C1357" s="44" t="s">
        <v>273</v>
      </c>
      <c r="D1357" s="19" t="s">
        <v>1028</v>
      </c>
      <c r="E1357" s="19">
        <v>20</v>
      </c>
      <c r="F1357" s="19">
        <v>300</v>
      </c>
      <c r="G1357" s="19">
        <v>9516</v>
      </c>
      <c r="H1357" s="19">
        <v>1</v>
      </c>
      <c r="I1357" s="80">
        <v>448.2</v>
      </c>
      <c r="J1357" s="80">
        <v>448.2</v>
      </c>
      <c r="K1357" s="19" t="s">
        <v>195</v>
      </c>
      <c r="L1357" s="19" t="s">
        <v>1962</v>
      </c>
      <c r="P1357" s="19" t="s">
        <v>138</v>
      </c>
      <c r="Q1357" s="20">
        <v>22</v>
      </c>
      <c r="R1357" s="65" t="s">
        <v>1572</v>
      </c>
      <c r="T1357" s="19" t="s">
        <v>307</v>
      </c>
      <c r="V1357" s="19" t="s">
        <v>178</v>
      </c>
      <c r="Y1357" s="19" t="s">
        <v>138</v>
      </c>
      <c r="Z1357" s="44" t="s">
        <v>1573</v>
      </c>
      <c r="AA1357" s="44" t="s">
        <v>180</v>
      </c>
      <c r="AC1357" s="19" t="s">
        <v>1963</v>
      </c>
    </row>
    <row r="1358" spans="1:29" hidden="1" x14ac:dyDescent="0.25">
      <c r="A1358" s="26">
        <v>356</v>
      </c>
      <c r="B1358" s="19" t="s">
        <v>1967</v>
      </c>
      <c r="C1358" s="44" t="s">
        <v>273</v>
      </c>
      <c r="D1358" s="19" t="s">
        <v>1028</v>
      </c>
      <c r="E1358" s="19">
        <v>20</v>
      </c>
      <c r="F1358" s="19">
        <v>300</v>
      </c>
      <c r="G1358" s="19">
        <v>9516</v>
      </c>
      <c r="H1358" s="19">
        <v>1</v>
      </c>
      <c r="I1358" s="80">
        <v>448.2</v>
      </c>
      <c r="J1358" s="80">
        <v>448.2</v>
      </c>
      <c r="K1358" s="19" t="s">
        <v>195</v>
      </c>
      <c r="L1358" s="19" t="s">
        <v>1962</v>
      </c>
      <c r="P1358" s="19" t="s">
        <v>138</v>
      </c>
      <c r="Q1358" s="20">
        <v>22</v>
      </c>
      <c r="R1358" s="65" t="s">
        <v>1572</v>
      </c>
      <c r="T1358" s="19" t="s">
        <v>307</v>
      </c>
      <c r="V1358" s="19" t="s">
        <v>178</v>
      </c>
      <c r="Y1358" s="19" t="s">
        <v>138</v>
      </c>
      <c r="Z1358" s="44" t="s">
        <v>1573</v>
      </c>
      <c r="AA1358" s="44" t="s">
        <v>180</v>
      </c>
      <c r="AC1358" s="19" t="s">
        <v>1963</v>
      </c>
    </row>
    <row r="1359" spans="1:29" hidden="1" x14ac:dyDescent="0.25">
      <c r="A1359" s="26">
        <v>357</v>
      </c>
      <c r="B1359" s="19" t="s">
        <v>1968</v>
      </c>
      <c r="C1359" s="44" t="s">
        <v>273</v>
      </c>
      <c r="D1359" s="19" t="s">
        <v>1050</v>
      </c>
      <c r="E1359" s="19">
        <v>20</v>
      </c>
      <c r="F1359" s="19">
        <v>300</v>
      </c>
      <c r="G1359" s="19">
        <v>1383</v>
      </c>
      <c r="H1359" s="19">
        <v>1</v>
      </c>
      <c r="I1359" s="80">
        <v>65.14</v>
      </c>
      <c r="J1359" s="80">
        <v>65.14</v>
      </c>
      <c r="K1359" s="19" t="s">
        <v>195</v>
      </c>
      <c r="L1359" s="19" t="s">
        <v>1962</v>
      </c>
      <c r="P1359" s="19" t="s">
        <v>138</v>
      </c>
      <c r="Q1359" s="20">
        <v>22</v>
      </c>
      <c r="R1359" s="65" t="s">
        <v>1572</v>
      </c>
      <c r="T1359" s="19" t="s">
        <v>307</v>
      </c>
      <c r="V1359" s="19" t="s">
        <v>178</v>
      </c>
      <c r="Y1359" s="19" t="s">
        <v>138</v>
      </c>
      <c r="Z1359" s="44" t="s">
        <v>1573</v>
      </c>
      <c r="AA1359" s="44" t="s">
        <v>180</v>
      </c>
      <c r="AC1359" s="19" t="s">
        <v>1963</v>
      </c>
    </row>
    <row r="1360" spans="1:29" hidden="1" x14ac:dyDescent="0.25">
      <c r="A1360" s="26">
        <v>358</v>
      </c>
      <c r="B1360" s="19" t="s">
        <v>1969</v>
      </c>
      <c r="C1360" s="44" t="s">
        <v>273</v>
      </c>
      <c r="D1360" s="19" t="s">
        <v>1050</v>
      </c>
      <c r="E1360" s="19">
        <v>20</v>
      </c>
      <c r="F1360" s="19">
        <v>300</v>
      </c>
      <c r="G1360" s="19">
        <v>1383</v>
      </c>
      <c r="H1360" s="19">
        <v>1</v>
      </c>
      <c r="I1360" s="80">
        <v>65.14</v>
      </c>
      <c r="J1360" s="80">
        <v>65.14</v>
      </c>
      <c r="K1360" s="19" t="s">
        <v>195</v>
      </c>
      <c r="L1360" s="19" t="s">
        <v>1962</v>
      </c>
      <c r="P1360" s="19" t="s">
        <v>138</v>
      </c>
      <c r="Q1360" s="20">
        <v>22</v>
      </c>
      <c r="R1360" s="65" t="s">
        <v>1572</v>
      </c>
      <c r="T1360" s="19" t="s">
        <v>307</v>
      </c>
      <c r="V1360" s="19" t="s">
        <v>178</v>
      </c>
      <c r="Y1360" s="19" t="s">
        <v>138</v>
      </c>
      <c r="Z1360" s="44" t="s">
        <v>1573</v>
      </c>
      <c r="AA1360" s="44" t="s">
        <v>180</v>
      </c>
      <c r="AC1360" s="19" t="s">
        <v>1963</v>
      </c>
    </row>
    <row r="1361" spans="1:29" hidden="1" x14ac:dyDescent="0.25">
      <c r="A1361" s="26">
        <v>359</v>
      </c>
      <c r="B1361" s="19" t="s">
        <v>1970</v>
      </c>
      <c r="C1361" s="44" t="s">
        <v>273</v>
      </c>
      <c r="D1361" s="19" t="s">
        <v>1050</v>
      </c>
      <c r="E1361" s="19">
        <v>20</v>
      </c>
      <c r="F1361" s="19">
        <v>300</v>
      </c>
      <c r="G1361" s="19">
        <v>1383</v>
      </c>
      <c r="H1361" s="19">
        <v>1</v>
      </c>
      <c r="I1361" s="80">
        <v>65.14</v>
      </c>
      <c r="J1361" s="80">
        <v>65.14</v>
      </c>
      <c r="K1361" s="19" t="s">
        <v>195</v>
      </c>
      <c r="L1361" s="19" t="s">
        <v>1962</v>
      </c>
      <c r="P1361" s="19" t="s">
        <v>138</v>
      </c>
      <c r="Q1361" s="20">
        <v>22</v>
      </c>
      <c r="R1361" s="65" t="s">
        <v>1572</v>
      </c>
      <c r="T1361" s="19" t="s">
        <v>307</v>
      </c>
      <c r="V1361" s="19" t="s">
        <v>178</v>
      </c>
      <c r="Y1361" s="19" t="s">
        <v>138</v>
      </c>
      <c r="Z1361" s="44" t="s">
        <v>1573</v>
      </c>
      <c r="AA1361" s="44" t="s">
        <v>180</v>
      </c>
      <c r="AC1361" s="19" t="s">
        <v>1963</v>
      </c>
    </row>
    <row r="1362" spans="1:29" hidden="1" x14ac:dyDescent="0.25">
      <c r="A1362" s="26">
        <v>360</v>
      </c>
      <c r="B1362" s="19" t="s">
        <v>1971</v>
      </c>
      <c r="C1362" s="44" t="s">
        <v>273</v>
      </c>
      <c r="D1362" s="19" t="s">
        <v>1050</v>
      </c>
      <c r="E1362" s="19">
        <v>20</v>
      </c>
      <c r="F1362" s="19">
        <v>300</v>
      </c>
      <c r="G1362" s="19">
        <v>1383</v>
      </c>
      <c r="H1362" s="19">
        <v>1</v>
      </c>
      <c r="I1362" s="80">
        <v>65.14</v>
      </c>
      <c r="J1362" s="80">
        <v>65.14</v>
      </c>
      <c r="K1362" s="19" t="s">
        <v>195</v>
      </c>
      <c r="L1362" s="19" t="s">
        <v>1962</v>
      </c>
      <c r="P1362" s="19" t="s">
        <v>138</v>
      </c>
      <c r="Q1362" s="20">
        <v>22</v>
      </c>
      <c r="R1362" s="65" t="s">
        <v>1572</v>
      </c>
      <c r="T1362" s="19" t="s">
        <v>307</v>
      </c>
      <c r="V1362" s="19" t="s">
        <v>178</v>
      </c>
      <c r="Y1362" s="19" t="s">
        <v>138</v>
      </c>
      <c r="Z1362" s="44" t="s">
        <v>1573</v>
      </c>
      <c r="AA1362" s="44" t="s">
        <v>180</v>
      </c>
      <c r="AC1362" s="19" t="s">
        <v>1963</v>
      </c>
    </row>
    <row r="1363" spans="1:29" hidden="1" x14ac:dyDescent="0.25">
      <c r="A1363" s="26">
        <v>361</v>
      </c>
      <c r="B1363" s="19" t="s">
        <v>1972</v>
      </c>
      <c r="C1363" s="44" t="s">
        <v>273</v>
      </c>
      <c r="D1363" s="19" t="s">
        <v>1050</v>
      </c>
      <c r="E1363" s="19">
        <v>20</v>
      </c>
      <c r="F1363" s="19">
        <v>300</v>
      </c>
      <c r="G1363" s="19">
        <v>1383</v>
      </c>
      <c r="H1363" s="19">
        <v>1</v>
      </c>
      <c r="I1363" s="80">
        <v>65.14</v>
      </c>
      <c r="J1363" s="80">
        <v>65.14</v>
      </c>
      <c r="K1363" s="19" t="s">
        <v>195</v>
      </c>
      <c r="L1363" s="19" t="s">
        <v>1962</v>
      </c>
      <c r="P1363" s="19" t="s">
        <v>138</v>
      </c>
      <c r="Q1363" s="20">
        <v>22</v>
      </c>
      <c r="R1363" s="65" t="s">
        <v>1572</v>
      </c>
      <c r="T1363" s="19" t="s">
        <v>307</v>
      </c>
      <c r="V1363" s="19" t="s">
        <v>178</v>
      </c>
      <c r="Y1363" s="19" t="s">
        <v>138</v>
      </c>
      <c r="Z1363" s="44" t="s">
        <v>1573</v>
      </c>
      <c r="AA1363" s="44" t="s">
        <v>180</v>
      </c>
      <c r="AC1363" s="19" t="s">
        <v>1963</v>
      </c>
    </row>
    <row r="1364" spans="1:29" hidden="1" x14ac:dyDescent="0.25">
      <c r="A1364" s="26">
        <v>362</v>
      </c>
      <c r="B1364" s="19" t="s">
        <v>1973</v>
      </c>
      <c r="C1364" s="44" t="s">
        <v>273</v>
      </c>
      <c r="D1364" s="19" t="s">
        <v>1086</v>
      </c>
      <c r="E1364" s="19">
        <v>20</v>
      </c>
      <c r="F1364" s="19">
        <v>300</v>
      </c>
      <c r="G1364" s="19">
        <v>6232</v>
      </c>
      <c r="H1364" s="19">
        <v>1</v>
      </c>
      <c r="I1364" s="80">
        <v>293.52999999999997</v>
      </c>
      <c r="J1364" s="80">
        <v>293.52999999999997</v>
      </c>
      <c r="K1364" s="19" t="s">
        <v>195</v>
      </c>
      <c r="L1364" s="19" t="s">
        <v>1974</v>
      </c>
      <c r="Q1364" s="20">
        <v>22</v>
      </c>
      <c r="R1364" s="65" t="s">
        <v>1572</v>
      </c>
      <c r="T1364" s="19" t="s">
        <v>307</v>
      </c>
      <c r="V1364" s="19" t="s">
        <v>178</v>
      </c>
      <c r="Y1364" s="19" t="s">
        <v>138</v>
      </c>
      <c r="Z1364" s="44" t="s">
        <v>1573</v>
      </c>
      <c r="AA1364" s="44" t="s">
        <v>180</v>
      </c>
      <c r="AC1364" s="19" t="s">
        <v>1975</v>
      </c>
    </row>
    <row r="1365" spans="1:29" hidden="1" x14ac:dyDescent="0.25">
      <c r="A1365" s="26">
        <v>363</v>
      </c>
      <c r="B1365" s="19" t="s">
        <v>1976</v>
      </c>
      <c r="C1365" s="44" t="s">
        <v>273</v>
      </c>
      <c r="D1365" s="19" t="s">
        <v>1106</v>
      </c>
      <c r="E1365" s="19">
        <v>20</v>
      </c>
      <c r="F1365" s="19">
        <v>300</v>
      </c>
      <c r="G1365" s="19">
        <v>9068</v>
      </c>
      <c r="H1365" s="19">
        <v>1</v>
      </c>
      <c r="I1365" s="80">
        <v>427.1</v>
      </c>
      <c r="J1365" s="80">
        <v>427.1</v>
      </c>
      <c r="K1365" s="19" t="s">
        <v>195</v>
      </c>
      <c r="L1365" s="19" t="s">
        <v>1974</v>
      </c>
      <c r="Q1365" s="20">
        <v>22</v>
      </c>
      <c r="R1365" s="65" t="s">
        <v>1572</v>
      </c>
      <c r="T1365" s="19" t="s">
        <v>307</v>
      </c>
      <c r="V1365" s="19" t="s">
        <v>178</v>
      </c>
      <c r="Y1365" s="19" t="s">
        <v>138</v>
      </c>
      <c r="Z1365" s="44" t="s">
        <v>1573</v>
      </c>
      <c r="AA1365" s="44" t="s">
        <v>180</v>
      </c>
      <c r="AC1365" s="19" t="s">
        <v>1975</v>
      </c>
    </row>
    <row r="1366" spans="1:29" hidden="1" x14ac:dyDescent="0.25">
      <c r="A1366" s="26">
        <v>364</v>
      </c>
      <c r="B1366" s="19" t="s">
        <v>1977</v>
      </c>
      <c r="C1366" s="44" t="s">
        <v>273</v>
      </c>
      <c r="D1366" s="19" t="s">
        <v>1020</v>
      </c>
      <c r="E1366" s="19">
        <v>20</v>
      </c>
      <c r="F1366" s="19">
        <v>1436</v>
      </c>
      <c r="G1366" s="19">
        <v>9068</v>
      </c>
      <c r="H1366" s="19">
        <v>1</v>
      </c>
      <c r="I1366" s="80">
        <v>2029.94</v>
      </c>
      <c r="J1366" s="80">
        <v>2029.94</v>
      </c>
      <c r="K1366" s="19" t="s">
        <v>195</v>
      </c>
      <c r="L1366" s="19" t="s">
        <v>1974</v>
      </c>
      <c r="Q1366" s="20">
        <v>22</v>
      </c>
      <c r="R1366" s="65" t="s">
        <v>1572</v>
      </c>
      <c r="T1366" s="19" t="s">
        <v>307</v>
      </c>
      <c r="V1366" s="19" t="s">
        <v>178</v>
      </c>
      <c r="Y1366" s="19" t="s">
        <v>138</v>
      </c>
      <c r="Z1366" s="44" t="s">
        <v>1573</v>
      </c>
      <c r="AA1366" s="44" t="s">
        <v>180</v>
      </c>
      <c r="AC1366" s="19" t="s">
        <v>1975</v>
      </c>
    </row>
    <row r="1367" spans="1:29" hidden="1" x14ac:dyDescent="0.25">
      <c r="A1367" s="26">
        <v>365</v>
      </c>
      <c r="B1367" s="19" t="s">
        <v>1978</v>
      </c>
      <c r="C1367" s="44" t="s">
        <v>273</v>
      </c>
      <c r="D1367" s="19" t="s">
        <v>1106</v>
      </c>
      <c r="E1367" s="19">
        <v>20</v>
      </c>
      <c r="F1367" s="19">
        <v>300</v>
      </c>
      <c r="G1367" s="19">
        <v>9068</v>
      </c>
      <c r="H1367" s="19">
        <v>1</v>
      </c>
      <c r="I1367" s="80">
        <v>427.1</v>
      </c>
      <c r="J1367" s="80">
        <v>427.1</v>
      </c>
      <c r="K1367" s="19" t="s">
        <v>195</v>
      </c>
      <c r="L1367" s="19" t="s">
        <v>1974</v>
      </c>
      <c r="Q1367" s="20">
        <v>22</v>
      </c>
      <c r="R1367" s="65" t="s">
        <v>1572</v>
      </c>
      <c r="T1367" s="19" t="s">
        <v>307</v>
      </c>
      <c r="V1367" s="19" t="s">
        <v>178</v>
      </c>
      <c r="Y1367" s="19" t="s">
        <v>138</v>
      </c>
      <c r="Z1367" s="44" t="s">
        <v>1573</v>
      </c>
      <c r="AA1367" s="44" t="s">
        <v>180</v>
      </c>
      <c r="AC1367" s="19" t="s">
        <v>1975</v>
      </c>
    </row>
    <row r="1368" spans="1:29" hidden="1" x14ac:dyDescent="0.25">
      <c r="A1368" s="26">
        <v>366</v>
      </c>
      <c r="B1368" s="19" t="s">
        <v>1979</v>
      </c>
      <c r="C1368" s="44" t="s">
        <v>273</v>
      </c>
      <c r="D1368" s="19" t="s">
        <v>1044</v>
      </c>
      <c r="E1368" s="19">
        <v>20</v>
      </c>
      <c r="F1368" s="19">
        <v>300</v>
      </c>
      <c r="G1368" s="19">
        <v>8016</v>
      </c>
      <c r="H1368" s="19">
        <v>1</v>
      </c>
      <c r="I1368" s="80">
        <v>377.55</v>
      </c>
      <c r="J1368" s="80">
        <v>377.55</v>
      </c>
      <c r="K1368" s="19" t="s">
        <v>195</v>
      </c>
      <c r="L1368" s="19" t="s">
        <v>1980</v>
      </c>
      <c r="P1368" s="19" t="s">
        <v>138</v>
      </c>
      <c r="Q1368" s="20">
        <v>22</v>
      </c>
      <c r="R1368" s="65" t="s">
        <v>1572</v>
      </c>
      <c r="T1368" s="19" t="s">
        <v>307</v>
      </c>
      <c r="V1368" s="19" t="s">
        <v>178</v>
      </c>
      <c r="Y1368" s="19" t="s">
        <v>138</v>
      </c>
      <c r="Z1368" s="44" t="s">
        <v>1573</v>
      </c>
      <c r="AA1368" s="44" t="s">
        <v>180</v>
      </c>
      <c r="AC1368" s="19" t="s">
        <v>1981</v>
      </c>
    </row>
    <row r="1369" spans="1:29" hidden="1" x14ac:dyDescent="0.25">
      <c r="A1369" s="26">
        <v>367</v>
      </c>
      <c r="B1369" s="19" t="s">
        <v>1982</v>
      </c>
      <c r="C1369" s="44" t="s">
        <v>273</v>
      </c>
      <c r="D1369" s="19" t="s">
        <v>1020</v>
      </c>
      <c r="E1369" s="19">
        <v>20</v>
      </c>
      <c r="F1369" s="19">
        <v>1436</v>
      </c>
      <c r="G1369" s="19">
        <v>9068</v>
      </c>
      <c r="H1369" s="19">
        <v>1</v>
      </c>
      <c r="I1369" s="80">
        <v>2029.94</v>
      </c>
      <c r="J1369" s="80">
        <v>2029.94</v>
      </c>
      <c r="K1369" s="19" t="s">
        <v>195</v>
      </c>
      <c r="L1369" s="19" t="s">
        <v>1980</v>
      </c>
      <c r="Q1369" s="20">
        <v>22</v>
      </c>
      <c r="R1369" s="65" t="s">
        <v>1572</v>
      </c>
      <c r="T1369" s="19" t="s">
        <v>307</v>
      </c>
      <c r="V1369" s="19" t="s">
        <v>178</v>
      </c>
      <c r="Y1369" s="19" t="s">
        <v>138</v>
      </c>
      <c r="Z1369" s="44" t="s">
        <v>1573</v>
      </c>
      <c r="AA1369" s="44" t="s">
        <v>180</v>
      </c>
      <c r="AC1369" s="19" t="s">
        <v>1981</v>
      </c>
    </row>
    <row r="1370" spans="1:29" hidden="1" x14ac:dyDescent="0.25">
      <c r="A1370" s="26">
        <v>368</v>
      </c>
      <c r="B1370" s="19" t="s">
        <v>1983</v>
      </c>
      <c r="C1370" s="44" t="s">
        <v>273</v>
      </c>
      <c r="D1370" s="19" t="s">
        <v>1044</v>
      </c>
      <c r="E1370" s="19">
        <v>20</v>
      </c>
      <c r="F1370" s="19">
        <v>300</v>
      </c>
      <c r="G1370" s="19">
        <v>8016</v>
      </c>
      <c r="H1370" s="19">
        <v>1</v>
      </c>
      <c r="I1370" s="80">
        <v>377.55</v>
      </c>
      <c r="J1370" s="80">
        <v>377.55</v>
      </c>
      <c r="K1370" s="19" t="s">
        <v>195</v>
      </c>
      <c r="L1370" s="19" t="s">
        <v>1980</v>
      </c>
      <c r="P1370" s="19" t="s">
        <v>138</v>
      </c>
      <c r="Q1370" s="20">
        <v>22</v>
      </c>
      <c r="R1370" s="65" t="s">
        <v>1572</v>
      </c>
      <c r="T1370" s="19" t="s">
        <v>307</v>
      </c>
      <c r="V1370" s="19" t="s">
        <v>178</v>
      </c>
      <c r="Y1370" s="19" t="s">
        <v>138</v>
      </c>
      <c r="Z1370" s="44" t="s">
        <v>1573</v>
      </c>
      <c r="AA1370" s="44" t="s">
        <v>180</v>
      </c>
      <c r="AC1370" s="19" t="s">
        <v>1981</v>
      </c>
    </row>
    <row r="1371" spans="1:29" hidden="1" x14ac:dyDescent="0.25">
      <c r="A1371" s="26">
        <v>369</v>
      </c>
      <c r="B1371" s="19" t="s">
        <v>1984</v>
      </c>
      <c r="C1371" s="44" t="s">
        <v>273</v>
      </c>
      <c r="D1371" s="19" t="s">
        <v>1086</v>
      </c>
      <c r="E1371" s="19">
        <v>20</v>
      </c>
      <c r="F1371" s="19">
        <v>300</v>
      </c>
      <c r="G1371" s="19">
        <v>6232</v>
      </c>
      <c r="H1371" s="19">
        <v>1</v>
      </c>
      <c r="I1371" s="80">
        <v>293.52999999999997</v>
      </c>
      <c r="J1371" s="80">
        <v>293.52999999999997</v>
      </c>
      <c r="K1371" s="19" t="s">
        <v>195</v>
      </c>
      <c r="L1371" s="19" t="s">
        <v>1980</v>
      </c>
      <c r="Q1371" s="20">
        <v>22</v>
      </c>
      <c r="R1371" s="65" t="s">
        <v>1572</v>
      </c>
      <c r="T1371" s="19" t="s">
        <v>307</v>
      </c>
      <c r="V1371" s="19" t="s">
        <v>178</v>
      </c>
      <c r="Y1371" s="19" t="s">
        <v>138</v>
      </c>
      <c r="Z1371" s="44" t="s">
        <v>1573</v>
      </c>
      <c r="AA1371" s="44" t="s">
        <v>180</v>
      </c>
      <c r="AC1371" s="19" t="s">
        <v>1981</v>
      </c>
    </row>
    <row r="1372" spans="1:29" hidden="1" x14ac:dyDescent="0.25">
      <c r="A1372" s="26">
        <v>370</v>
      </c>
      <c r="B1372" s="19" t="s">
        <v>1985</v>
      </c>
      <c r="C1372" s="44" t="s">
        <v>273</v>
      </c>
      <c r="D1372" s="19" t="s">
        <v>1061</v>
      </c>
      <c r="E1372" s="19">
        <v>20</v>
      </c>
      <c r="F1372" s="19">
        <v>300</v>
      </c>
      <c r="G1372" s="19">
        <v>7800</v>
      </c>
      <c r="H1372" s="19">
        <v>2</v>
      </c>
      <c r="I1372" s="80">
        <v>367.38</v>
      </c>
      <c r="J1372" s="80">
        <v>734.76</v>
      </c>
      <c r="K1372" s="19" t="s">
        <v>195</v>
      </c>
      <c r="L1372" s="19" t="s">
        <v>1986</v>
      </c>
      <c r="Q1372" s="20">
        <v>22</v>
      </c>
      <c r="R1372" s="65" t="s">
        <v>1572</v>
      </c>
      <c r="T1372" s="19" t="s">
        <v>307</v>
      </c>
      <c r="V1372" s="19" t="s">
        <v>178</v>
      </c>
      <c r="Y1372" s="19" t="s">
        <v>138</v>
      </c>
      <c r="Z1372" s="44" t="s">
        <v>1573</v>
      </c>
      <c r="AA1372" s="44" t="s">
        <v>180</v>
      </c>
      <c r="AC1372" s="19" t="s">
        <v>1987</v>
      </c>
    </row>
    <row r="1373" spans="1:29" hidden="1" x14ac:dyDescent="0.25">
      <c r="A1373" s="26">
        <v>371</v>
      </c>
      <c r="B1373" s="19" t="s">
        <v>1988</v>
      </c>
      <c r="C1373" s="44" t="s">
        <v>273</v>
      </c>
      <c r="D1373" s="19" t="s">
        <v>1061</v>
      </c>
      <c r="E1373" s="19">
        <v>20</v>
      </c>
      <c r="F1373" s="19">
        <v>300</v>
      </c>
      <c r="G1373" s="19">
        <v>7800</v>
      </c>
      <c r="H1373" s="19">
        <v>2</v>
      </c>
      <c r="I1373" s="80">
        <v>367.38</v>
      </c>
      <c r="J1373" s="80">
        <v>734.76</v>
      </c>
      <c r="K1373" s="19" t="s">
        <v>195</v>
      </c>
      <c r="L1373" s="19" t="s">
        <v>1986</v>
      </c>
      <c r="Q1373" s="20">
        <v>22</v>
      </c>
      <c r="R1373" s="65" t="s">
        <v>1572</v>
      </c>
      <c r="T1373" s="19" t="s">
        <v>307</v>
      </c>
      <c r="V1373" s="19" t="s">
        <v>178</v>
      </c>
      <c r="Y1373" s="19" t="s">
        <v>138</v>
      </c>
      <c r="Z1373" s="44" t="s">
        <v>1573</v>
      </c>
      <c r="AA1373" s="44" t="s">
        <v>180</v>
      </c>
      <c r="AC1373" s="19" t="s">
        <v>1987</v>
      </c>
    </row>
    <row r="1374" spans="1:29" hidden="1" x14ac:dyDescent="0.25">
      <c r="A1374" s="26">
        <v>372</v>
      </c>
      <c r="B1374" s="19" t="s">
        <v>1989</v>
      </c>
      <c r="C1374" s="44" t="s">
        <v>273</v>
      </c>
      <c r="D1374" s="19" t="s">
        <v>1117</v>
      </c>
      <c r="E1374" s="19">
        <v>32</v>
      </c>
      <c r="F1374" s="19">
        <v>550</v>
      </c>
      <c r="G1374" s="19">
        <v>7896</v>
      </c>
      <c r="H1374" s="19">
        <v>1</v>
      </c>
      <c r="I1374" s="80">
        <v>1090.9100000000001</v>
      </c>
      <c r="J1374" s="80">
        <v>1090.9100000000001</v>
      </c>
      <c r="K1374" s="19" t="s">
        <v>1111</v>
      </c>
      <c r="L1374" s="19" t="s">
        <v>1990</v>
      </c>
      <c r="P1374" s="19" t="s">
        <v>138</v>
      </c>
      <c r="Q1374" s="20">
        <v>22</v>
      </c>
      <c r="R1374" s="65" t="s">
        <v>1572</v>
      </c>
      <c r="T1374" s="19" t="s">
        <v>307</v>
      </c>
      <c r="V1374" s="19" t="s">
        <v>178</v>
      </c>
      <c r="Y1374" s="19" t="s">
        <v>138</v>
      </c>
      <c r="Z1374" s="44" t="s">
        <v>1573</v>
      </c>
      <c r="AA1374" s="44" t="s">
        <v>1991</v>
      </c>
      <c r="AC1374" s="19" t="s">
        <v>1992</v>
      </c>
    </row>
    <row r="1375" spans="1:29" hidden="1" x14ac:dyDescent="0.25">
      <c r="A1375" s="26">
        <v>373</v>
      </c>
      <c r="B1375" s="19" t="s">
        <v>1993</v>
      </c>
      <c r="C1375" s="44" t="s">
        <v>273</v>
      </c>
      <c r="D1375" s="19" t="s">
        <v>1117</v>
      </c>
      <c r="E1375" s="19">
        <v>32</v>
      </c>
      <c r="F1375" s="19">
        <v>550</v>
      </c>
      <c r="G1375" s="19">
        <v>7896</v>
      </c>
      <c r="H1375" s="19">
        <v>1</v>
      </c>
      <c r="I1375" s="80">
        <v>1090.9100000000001</v>
      </c>
      <c r="J1375" s="80">
        <v>1090.9100000000001</v>
      </c>
      <c r="K1375" s="19" t="s">
        <v>1111</v>
      </c>
      <c r="L1375" s="19" t="s">
        <v>1990</v>
      </c>
      <c r="P1375" s="19" t="s">
        <v>138</v>
      </c>
      <c r="Q1375" s="20">
        <v>22</v>
      </c>
      <c r="R1375" s="65" t="s">
        <v>1572</v>
      </c>
      <c r="T1375" s="19" t="s">
        <v>307</v>
      </c>
      <c r="V1375" s="19" t="s">
        <v>178</v>
      </c>
      <c r="Y1375" s="19" t="s">
        <v>138</v>
      </c>
      <c r="Z1375" s="44" t="s">
        <v>1573</v>
      </c>
      <c r="AA1375" s="44" t="s">
        <v>1991</v>
      </c>
      <c r="AC1375" s="19" t="s">
        <v>1992</v>
      </c>
    </row>
    <row r="1376" spans="1:29" hidden="1" x14ac:dyDescent="0.25">
      <c r="A1376" s="26">
        <v>374</v>
      </c>
      <c r="B1376" s="19" t="s">
        <v>1994</v>
      </c>
      <c r="C1376" s="44" t="s">
        <v>273</v>
      </c>
      <c r="D1376" s="19" t="s">
        <v>1122</v>
      </c>
      <c r="E1376" s="19">
        <v>32</v>
      </c>
      <c r="F1376" s="19">
        <v>550</v>
      </c>
      <c r="G1376" s="19">
        <v>7660</v>
      </c>
      <c r="H1376" s="19">
        <v>2</v>
      </c>
      <c r="I1376" s="80">
        <v>1058.3</v>
      </c>
      <c r="J1376" s="80">
        <v>2116.61</v>
      </c>
      <c r="K1376" s="19" t="s">
        <v>1123</v>
      </c>
      <c r="L1376" s="19" t="s">
        <v>1995</v>
      </c>
      <c r="Q1376" s="20">
        <v>22</v>
      </c>
      <c r="R1376" s="65" t="s">
        <v>1572</v>
      </c>
      <c r="T1376" s="19" t="s">
        <v>307</v>
      </c>
      <c r="V1376" s="19" t="s">
        <v>178</v>
      </c>
      <c r="Y1376" s="19" t="s">
        <v>138</v>
      </c>
      <c r="Z1376" s="44" t="s">
        <v>1573</v>
      </c>
      <c r="AA1376" s="44" t="s">
        <v>180</v>
      </c>
      <c r="AC1376" s="19" t="s">
        <v>1996</v>
      </c>
    </row>
    <row r="1377" spans="1:29" hidden="1" x14ac:dyDescent="0.25">
      <c r="A1377" s="26">
        <v>375</v>
      </c>
      <c r="B1377" s="19" t="s">
        <v>1997</v>
      </c>
      <c r="C1377" s="44" t="s">
        <v>273</v>
      </c>
      <c r="D1377" s="19" t="s">
        <v>1122</v>
      </c>
      <c r="E1377" s="19">
        <v>32</v>
      </c>
      <c r="F1377" s="19">
        <v>550</v>
      </c>
      <c r="G1377" s="19">
        <v>7660</v>
      </c>
      <c r="H1377" s="19">
        <v>2</v>
      </c>
      <c r="I1377" s="80">
        <v>1058.3</v>
      </c>
      <c r="J1377" s="80">
        <v>2116.61</v>
      </c>
      <c r="K1377" s="19" t="s">
        <v>1123</v>
      </c>
      <c r="L1377" s="19" t="s">
        <v>1995</v>
      </c>
      <c r="Q1377" s="20">
        <v>22</v>
      </c>
      <c r="R1377" s="65" t="s">
        <v>1572</v>
      </c>
      <c r="T1377" s="19" t="s">
        <v>307</v>
      </c>
      <c r="V1377" s="19" t="s">
        <v>178</v>
      </c>
      <c r="Y1377" s="19" t="s">
        <v>138</v>
      </c>
      <c r="Z1377" s="44" t="s">
        <v>1573</v>
      </c>
      <c r="AA1377" s="44" t="s">
        <v>180</v>
      </c>
      <c r="AC1377" s="19" t="s">
        <v>1996</v>
      </c>
    </row>
    <row r="1378" spans="1:29" hidden="1" x14ac:dyDescent="0.25">
      <c r="A1378" s="26">
        <v>1</v>
      </c>
      <c r="B1378" s="19" t="s">
        <v>2008</v>
      </c>
      <c r="C1378" s="44" t="s">
        <v>273</v>
      </c>
      <c r="D1378" s="19" t="s">
        <v>803</v>
      </c>
      <c r="E1378" s="19">
        <v>12</v>
      </c>
      <c r="F1378" s="19">
        <v>135</v>
      </c>
      <c r="G1378" s="19">
        <v>488</v>
      </c>
      <c r="H1378" s="19">
        <v>2</v>
      </c>
      <c r="I1378" s="80">
        <v>6.19</v>
      </c>
      <c r="J1378" s="80">
        <v>12.38</v>
      </c>
      <c r="K1378" s="19" t="s">
        <v>184</v>
      </c>
      <c r="L1378" s="19" t="s">
        <v>2009</v>
      </c>
      <c r="Q1378" s="20">
        <v>23</v>
      </c>
      <c r="R1378" s="65" t="s">
        <v>2010</v>
      </c>
      <c r="T1378" s="19" t="s">
        <v>307</v>
      </c>
      <c r="V1378" s="19" t="s">
        <v>178</v>
      </c>
      <c r="W1378" s="19" t="s">
        <v>138</v>
      </c>
      <c r="Z1378" s="44" t="s">
        <v>2011</v>
      </c>
      <c r="AA1378" s="44" t="s">
        <v>2012</v>
      </c>
      <c r="AC1378" s="19" t="s">
        <v>2013</v>
      </c>
    </row>
    <row r="1379" spans="1:29" hidden="1" x14ac:dyDescent="0.25">
      <c r="A1379" s="26">
        <v>2</v>
      </c>
      <c r="B1379" s="19" t="s">
        <v>2014</v>
      </c>
      <c r="C1379" s="44" t="s">
        <v>273</v>
      </c>
      <c r="D1379" s="19" t="s">
        <v>839</v>
      </c>
      <c r="E1379" s="19">
        <v>12</v>
      </c>
      <c r="F1379" s="19">
        <v>120</v>
      </c>
      <c r="G1379" s="19">
        <v>129</v>
      </c>
      <c r="H1379" s="19">
        <v>2</v>
      </c>
      <c r="I1379" s="80">
        <v>1.32</v>
      </c>
      <c r="J1379" s="80">
        <v>2.65</v>
      </c>
      <c r="K1379" s="19" t="s">
        <v>184</v>
      </c>
      <c r="L1379" s="19" t="s">
        <v>2009</v>
      </c>
      <c r="Q1379" s="20">
        <v>23</v>
      </c>
      <c r="R1379" s="65" t="s">
        <v>2010</v>
      </c>
      <c r="T1379" s="19" t="s">
        <v>307</v>
      </c>
      <c r="V1379" s="19" t="s">
        <v>178</v>
      </c>
      <c r="W1379" s="19" t="s">
        <v>138</v>
      </c>
      <c r="Z1379" s="44" t="s">
        <v>2011</v>
      </c>
      <c r="AA1379" s="44" t="s">
        <v>2012</v>
      </c>
      <c r="AC1379" s="19" t="s">
        <v>2013</v>
      </c>
    </row>
    <row r="1380" spans="1:29" hidden="1" x14ac:dyDescent="0.25">
      <c r="A1380" s="26">
        <v>3</v>
      </c>
      <c r="B1380" s="19" t="s">
        <v>2015</v>
      </c>
      <c r="C1380" s="44" t="s">
        <v>273</v>
      </c>
      <c r="D1380" s="19" t="s">
        <v>828</v>
      </c>
      <c r="E1380" s="19">
        <v>12</v>
      </c>
      <c r="F1380" s="19">
        <v>490</v>
      </c>
      <c r="G1380" s="19">
        <v>9980</v>
      </c>
      <c r="H1380" s="19">
        <v>1</v>
      </c>
      <c r="I1380" s="80">
        <v>460.46</v>
      </c>
      <c r="J1380" s="80">
        <v>460.46</v>
      </c>
      <c r="K1380" s="19" t="s">
        <v>184</v>
      </c>
      <c r="L1380" s="19" t="s">
        <v>2009</v>
      </c>
      <c r="Q1380" s="20">
        <v>23</v>
      </c>
      <c r="R1380" s="65" t="s">
        <v>2010</v>
      </c>
      <c r="T1380" s="19" t="s">
        <v>307</v>
      </c>
      <c r="V1380" s="19" t="s">
        <v>178</v>
      </c>
      <c r="Y1380" s="19" t="s">
        <v>138</v>
      </c>
      <c r="Z1380" s="44" t="s">
        <v>2011</v>
      </c>
      <c r="AA1380" s="44" t="s">
        <v>2012</v>
      </c>
      <c r="AC1380" s="19" t="s">
        <v>2013</v>
      </c>
    </row>
    <row r="1381" spans="1:29" hidden="1" x14ac:dyDescent="0.25">
      <c r="A1381" s="26">
        <v>4</v>
      </c>
      <c r="B1381" s="19" t="s">
        <v>2016</v>
      </c>
      <c r="C1381" s="44" t="s">
        <v>273</v>
      </c>
      <c r="D1381" s="19" t="s">
        <v>874</v>
      </c>
      <c r="E1381" s="19">
        <v>12</v>
      </c>
      <c r="F1381" s="19">
        <v>100</v>
      </c>
      <c r="G1381" s="19">
        <v>150</v>
      </c>
      <c r="H1381" s="19">
        <v>1</v>
      </c>
      <c r="I1381" s="80">
        <v>1.41</v>
      </c>
      <c r="J1381" s="80">
        <v>1.41</v>
      </c>
      <c r="K1381" s="19" t="s">
        <v>184</v>
      </c>
      <c r="L1381" s="19" t="s">
        <v>2009</v>
      </c>
      <c r="Q1381" s="20">
        <v>23</v>
      </c>
      <c r="R1381" s="65" t="s">
        <v>2010</v>
      </c>
      <c r="T1381" s="19" t="s">
        <v>307</v>
      </c>
      <c r="V1381" s="19" t="s">
        <v>178</v>
      </c>
      <c r="W1381" s="19" t="s">
        <v>138</v>
      </c>
      <c r="Z1381" s="44" t="s">
        <v>2011</v>
      </c>
      <c r="AA1381" s="44" t="s">
        <v>2012</v>
      </c>
      <c r="AC1381" s="19" t="s">
        <v>2013</v>
      </c>
    </row>
    <row r="1382" spans="1:29" hidden="1" x14ac:dyDescent="0.25">
      <c r="A1382" s="26">
        <v>5</v>
      </c>
      <c r="B1382" s="19" t="s">
        <v>2017</v>
      </c>
      <c r="C1382" s="44" t="s">
        <v>273</v>
      </c>
      <c r="D1382" s="19" t="s">
        <v>874</v>
      </c>
      <c r="E1382" s="19">
        <v>12</v>
      </c>
      <c r="F1382" s="19">
        <v>100</v>
      </c>
      <c r="G1382" s="19">
        <v>150</v>
      </c>
      <c r="H1382" s="19">
        <v>1</v>
      </c>
      <c r="I1382" s="80">
        <v>1.41</v>
      </c>
      <c r="J1382" s="80">
        <v>1.41</v>
      </c>
      <c r="K1382" s="19" t="s">
        <v>184</v>
      </c>
      <c r="L1382" s="19" t="s">
        <v>2009</v>
      </c>
      <c r="Q1382" s="20">
        <v>23</v>
      </c>
      <c r="R1382" s="65" t="s">
        <v>2010</v>
      </c>
      <c r="T1382" s="19" t="s">
        <v>307</v>
      </c>
      <c r="V1382" s="19" t="s">
        <v>178</v>
      </c>
      <c r="W1382" s="19" t="s">
        <v>138</v>
      </c>
      <c r="Z1382" s="44" t="s">
        <v>2011</v>
      </c>
      <c r="AA1382" s="44" t="s">
        <v>2012</v>
      </c>
      <c r="AC1382" s="19" t="s">
        <v>2013</v>
      </c>
    </row>
    <row r="1383" spans="1:29" hidden="1" x14ac:dyDescent="0.25">
      <c r="A1383" s="26">
        <v>6</v>
      </c>
      <c r="B1383" s="19" t="s">
        <v>2018</v>
      </c>
      <c r="C1383" s="44" t="s">
        <v>273</v>
      </c>
      <c r="D1383" s="19" t="s">
        <v>914</v>
      </c>
      <c r="E1383" s="19">
        <v>12</v>
      </c>
      <c r="F1383" s="19">
        <v>95</v>
      </c>
      <c r="G1383" s="19">
        <v>263</v>
      </c>
      <c r="H1383" s="19">
        <v>2</v>
      </c>
      <c r="I1383" s="80">
        <v>2.34</v>
      </c>
      <c r="J1383" s="80">
        <v>4.68</v>
      </c>
      <c r="K1383" s="19" t="s">
        <v>184</v>
      </c>
      <c r="L1383" s="19" t="s">
        <v>2009</v>
      </c>
      <c r="Q1383" s="20">
        <v>23</v>
      </c>
      <c r="R1383" s="65" t="s">
        <v>2010</v>
      </c>
      <c r="T1383" s="19" t="s">
        <v>307</v>
      </c>
      <c r="V1383" s="19" t="s">
        <v>178</v>
      </c>
      <c r="W1383" s="19" t="s">
        <v>138</v>
      </c>
      <c r="Z1383" s="44" t="s">
        <v>2011</v>
      </c>
      <c r="AA1383" s="44" t="s">
        <v>2012</v>
      </c>
      <c r="AC1383" s="19" t="s">
        <v>2013</v>
      </c>
    </row>
    <row r="1384" spans="1:29" hidden="1" x14ac:dyDescent="0.25">
      <c r="A1384" s="26">
        <v>7</v>
      </c>
      <c r="B1384" s="19" t="s">
        <v>2019</v>
      </c>
      <c r="C1384" s="44" t="s">
        <v>273</v>
      </c>
      <c r="D1384" s="19" t="s">
        <v>877</v>
      </c>
      <c r="E1384" s="19">
        <v>12</v>
      </c>
      <c r="F1384" s="19">
        <v>130</v>
      </c>
      <c r="G1384" s="19">
        <v>1458</v>
      </c>
      <c r="H1384" s="19">
        <v>1</v>
      </c>
      <c r="I1384" s="80">
        <v>17.84</v>
      </c>
      <c r="J1384" s="80">
        <v>17.84</v>
      </c>
      <c r="K1384" s="19" t="s">
        <v>184</v>
      </c>
      <c r="L1384" s="19" t="s">
        <v>2009</v>
      </c>
      <c r="Q1384" s="20">
        <v>23</v>
      </c>
      <c r="R1384" s="65" t="s">
        <v>2010</v>
      </c>
      <c r="T1384" s="19" t="s">
        <v>307</v>
      </c>
      <c r="V1384" s="19" t="s">
        <v>178</v>
      </c>
      <c r="W1384" s="19" t="s">
        <v>138</v>
      </c>
      <c r="Z1384" s="44" t="s">
        <v>2011</v>
      </c>
      <c r="AA1384" s="44" t="s">
        <v>2012</v>
      </c>
      <c r="AC1384" s="19" t="s">
        <v>2013</v>
      </c>
    </row>
    <row r="1385" spans="1:29" hidden="1" x14ac:dyDescent="0.25">
      <c r="A1385" s="26">
        <v>8</v>
      </c>
      <c r="B1385" s="19" t="s">
        <v>2020</v>
      </c>
      <c r="C1385" s="44" t="s">
        <v>273</v>
      </c>
      <c r="D1385" s="19" t="s">
        <v>1239</v>
      </c>
      <c r="E1385" s="19">
        <v>12</v>
      </c>
      <c r="F1385" s="19">
        <v>130</v>
      </c>
      <c r="G1385" s="19">
        <v>663</v>
      </c>
      <c r="H1385" s="19">
        <v>1</v>
      </c>
      <c r="I1385" s="80">
        <v>8.11</v>
      </c>
      <c r="J1385" s="80">
        <v>8.11</v>
      </c>
      <c r="K1385" s="19" t="s">
        <v>184</v>
      </c>
      <c r="L1385" s="19" t="s">
        <v>2009</v>
      </c>
      <c r="Q1385" s="20">
        <v>23</v>
      </c>
      <c r="R1385" s="65" t="s">
        <v>2010</v>
      </c>
      <c r="T1385" s="19" t="s">
        <v>307</v>
      </c>
      <c r="V1385" s="19" t="s">
        <v>178</v>
      </c>
      <c r="W1385" s="19" t="s">
        <v>138</v>
      </c>
      <c r="Z1385" s="44" t="s">
        <v>2011</v>
      </c>
      <c r="AA1385" s="44" t="s">
        <v>2012</v>
      </c>
      <c r="AC1385" s="19" t="s">
        <v>2013</v>
      </c>
    </row>
    <row r="1386" spans="1:29" hidden="1" x14ac:dyDescent="0.25">
      <c r="A1386" s="26">
        <v>9</v>
      </c>
      <c r="B1386" s="19" t="s">
        <v>2021</v>
      </c>
      <c r="C1386" s="44" t="s">
        <v>273</v>
      </c>
      <c r="D1386" s="19" t="s">
        <v>877</v>
      </c>
      <c r="E1386" s="19">
        <v>12</v>
      </c>
      <c r="F1386" s="19">
        <v>130</v>
      </c>
      <c r="G1386" s="19">
        <v>1458</v>
      </c>
      <c r="H1386" s="19">
        <v>1</v>
      </c>
      <c r="I1386" s="80">
        <v>17.84</v>
      </c>
      <c r="J1386" s="80">
        <v>17.84</v>
      </c>
      <c r="K1386" s="19" t="s">
        <v>184</v>
      </c>
      <c r="L1386" s="19" t="s">
        <v>2009</v>
      </c>
      <c r="Q1386" s="20">
        <v>23</v>
      </c>
      <c r="R1386" s="65" t="s">
        <v>2010</v>
      </c>
      <c r="T1386" s="19" t="s">
        <v>307</v>
      </c>
      <c r="V1386" s="19" t="s">
        <v>178</v>
      </c>
      <c r="W1386" s="19" t="s">
        <v>138</v>
      </c>
      <c r="Z1386" s="44" t="s">
        <v>2011</v>
      </c>
      <c r="AA1386" s="44" t="s">
        <v>2012</v>
      </c>
      <c r="AC1386" s="19" t="s">
        <v>2013</v>
      </c>
    </row>
    <row r="1387" spans="1:29" hidden="1" x14ac:dyDescent="0.25">
      <c r="A1387" s="26">
        <v>10</v>
      </c>
      <c r="B1387" s="19" t="s">
        <v>2022</v>
      </c>
      <c r="C1387" s="44" t="s">
        <v>273</v>
      </c>
      <c r="D1387" s="19" t="s">
        <v>1211</v>
      </c>
      <c r="E1387" s="19">
        <v>12</v>
      </c>
      <c r="F1387" s="19">
        <v>490</v>
      </c>
      <c r="G1387" s="19">
        <v>1388</v>
      </c>
      <c r="H1387" s="19">
        <v>1</v>
      </c>
      <c r="I1387" s="80">
        <v>63.63</v>
      </c>
      <c r="J1387" s="80">
        <v>63.63</v>
      </c>
      <c r="K1387" s="19" t="s">
        <v>184</v>
      </c>
      <c r="L1387" s="19" t="s">
        <v>2009</v>
      </c>
      <c r="Q1387" s="20">
        <v>23</v>
      </c>
      <c r="R1387" s="65" t="s">
        <v>2010</v>
      </c>
      <c r="T1387" s="19" t="s">
        <v>307</v>
      </c>
      <c r="V1387" s="19" t="s">
        <v>178</v>
      </c>
      <c r="Y1387" s="19" t="s">
        <v>138</v>
      </c>
      <c r="Z1387" s="44" t="s">
        <v>2011</v>
      </c>
      <c r="AA1387" s="44" t="s">
        <v>2012</v>
      </c>
      <c r="AC1387" s="19" t="s">
        <v>2013</v>
      </c>
    </row>
    <row r="1388" spans="1:29" hidden="1" x14ac:dyDescent="0.25">
      <c r="A1388" s="26">
        <v>11</v>
      </c>
      <c r="B1388" s="19" t="s">
        <v>2023</v>
      </c>
      <c r="C1388" s="44" t="s">
        <v>273</v>
      </c>
      <c r="D1388" s="19" t="s">
        <v>1211</v>
      </c>
      <c r="E1388" s="19">
        <v>12</v>
      </c>
      <c r="F1388" s="19">
        <v>490</v>
      </c>
      <c r="G1388" s="19">
        <v>1388</v>
      </c>
      <c r="H1388" s="19">
        <v>1</v>
      </c>
      <c r="I1388" s="80">
        <v>63.63</v>
      </c>
      <c r="J1388" s="80">
        <v>63.63</v>
      </c>
      <c r="K1388" s="19" t="s">
        <v>184</v>
      </c>
      <c r="L1388" s="19" t="s">
        <v>2009</v>
      </c>
      <c r="Q1388" s="20">
        <v>23</v>
      </c>
      <c r="R1388" s="65" t="s">
        <v>2010</v>
      </c>
      <c r="T1388" s="19" t="s">
        <v>307</v>
      </c>
      <c r="V1388" s="19" t="s">
        <v>178</v>
      </c>
      <c r="Y1388" s="19" t="s">
        <v>138</v>
      </c>
      <c r="Z1388" s="44" t="s">
        <v>2011</v>
      </c>
      <c r="AA1388" s="44" t="s">
        <v>2012</v>
      </c>
      <c r="AC1388" s="19" t="s">
        <v>2013</v>
      </c>
    </row>
    <row r="1389" spans="1:29" hidden="1" x14ac:dyDescent="0.25">
      <c r="A1389" s="26">
        <v>12</v>
      </c>
      <c r="B1389" s="19" t="s">
        <v>2024</v>
      </c>
      <c r="C1389" s="44" t="s">
        <v>273</v>
      </c>
      <c r="D1389" s="19" t="s">
        <v>1493</v>
      </c>
      <c r="E1389" s="19">
        <v>12</v>
      </c>
      <c r="F1389" s="19">
        <v>238</v>
      </c>
      <c r="G1389" s="19">
        <v>1280</v>
      </c>
      <c r="H1389" s="19">
        <v>1</v>
      </c>
      <c r="I1389" s="80">
        <v>28.7</v>
      </c>
      <c r="J1389" s="80">
        <v>28.7</v>
      </c>
      <c r="K1389" s="19" t="s">
        <v>184</v>
      </c>
      <c r="L1389" s="19" t="s">
        <v>2009</v>
      </c>
      <c r="O1389" s="19" t="s">
        <v>138</v>
      </c>
      <c r="Q1389" s="20">
        <v>23</v>
      </c>
      <c r="R1389" s="65" t="s">
        <v>2010</v>
      </c>
      <c r="T1389" s="19" t="s">
        <v>307</v>
      </c>
      <c r="V1389" s="19" t="s">
        <v>178</v>
      </c>
      <c r="Z1389" s="44" t="s">
        <v>2011</v>
      </c>
      <c r="AA1389" s="44" t="s">
        <v>2012</v>
      </c>
      <c r="AC1389" s="19" t="s">
        <v>2013</v>
      </c>
    </row>
    <row r="1390" spans="1:29" hidden="1" x14ac:dyDescent="0.25">
      <c r="A1390" s="26">
        <v>13</v>
      </c>
      <c r="B1390" s="19" t="s">
        <v>2025</v>
      </c>
      <c r="C1390" s="44" t="s">
        <v>273</v>
      </c>
      <c r="D1390" s="19" t="s">
        <v>1493</v>
      </c>
      <c r="E1390" s="19">
        <v>12</v>
      </c>
      <c r="F1390" s="19">
        <v>238</v>
      </c>
      <c r="G1390" s="19">
        <v>1280</v>
      </c>
      <c r="H1390" s="19">
        <v>1</v>
      </c>
      <c r="I1390" s="80">
        <v>28.7</v>
      </c>
      <c r="J1390" s="80">
        <v>28.7</v>
      </c>
      <c r="K1390" s="19" t="s">
        <v>184</v>
      </c>
      <c r="L1390" s="19" t="s">
        <v>2009</v>
      </c>
      <c r="O1390" s="19" t="s">
        <v>138</v>
      </c>
      <c r="Q1390" s="20">
        <v>23</v>
      </c>
      <c r="R1390" s="65" t="s">
        <v>2010</v>
      </c>
      <c r="T1390" s="19" t="s">
        <v>307</v>
      </c>
      <c r="V1390" s="19" t="s">
        <v>178</v>
      </c>
      <c r="Z1390" s="44" t="s">
        <v>2011</v>
      </c>
      <c r="AA1390" s="44" t="s">
        <v>2012</v>
      </c>
      <c r="AC1390" s="19" t="s">
        <v>2013</v>
      </c>
    </row>
    <row r="1391" spans="1:29" hidden="1" x14ac:dyDescent="0.25">
      <c r="A1391" s="26">
        <v>14</v>
      </c>
      <c r="B1391" s="19" t="s">
        <v>2026</v>
      </c>
      <c r="C1391" s="44" t="s">
        <v>273</v>
      </c>
      <c r="D1391" s="19" t="s">
        <v>1493</v>
      </c>
      <c r="E1391" s="19">
        <v>12</v>
      </c>
      <c r="F1391" s="19">
        <v>238</v>
      </c>
      <c r="G1391" s="19">
        <v>1280</v>
      </c>
      <c r="H1391" s="19">
        <v>1</v>
      </c>
      <c r="I1391" s="80">
        <v>28.7</v>
      </c>
      <c r="J1391" s="80">
        <v>28.7</v>
      </c>
      <c r="K1391" s="19" t="s">
        <v>184</v>
      </c>
      <c r="L1391" s="19" t="s">
        <v>2009</v>
      </c>
      <c r="O1391" s="19" t="s">
        <v>138</v>
      </c>
      <c r="Q1391" s="20">
        <v>23</v>
      </c>
      <c r="R1391" s="65" t="s">
        <v>2010</v>
      </c>
      <c r="T1391" s="19" t="s">
        <v>307</v>
      </c>
      <c r="V1391" s="19" t="s">
        <v>178</v>
      </c>
      <c r="Z1391" s="44" t="s">
        <v>2011</v>
      </c>
      <c r="AA1391" s="44" t="s">
        <v>2012</v>
      </c>
      <c r="AC1391" s="19" t="s">
        <v>2013</v>
      </c>
    </row>
    <row r="1392" spans="1:29" hidden="1" x14ac:dyDescent="0.25">
      <c r="A1392" s="26">
        <v>15</v>
      </c>
      <c r="B1392" s="19" t="s">
        <v>2027</v>
      </c>
      <c r="C1392" s="44" t="s">
        <v>273</v>
      </c>
      <c r="D1392" s="19" t="s">
        <v>1493</v>
      </c>
      <c r="E1392" s="19">
        <v>12</v>
      </c>
      <c r="F1392" s="19">
        <v>238</v>
      </c>
      <c r="G1392" s="19">
        <v>1280</v>
      </c>
      <c r="H1392" s="19">
        <v>1</v>
      </c>
      <c r="I1392" s="80">
        <v>28.7</v>
      </c>
      <c r="J1392" s="80">
        <v>28.7</v>
      </c>
      <c r="K1392" s="19" t="s">
        <v>184</v>
      </c>
      <c r="L1392" s="19" t="s">
        <v>2009</v>
      </c>
      <c r="O1392" s="19" t="s">
        <v>138</v>
      </c>
      <c r="Q1392" s="20">
        <v>23</v>
      </c>
      <c r="R1392" s="65" t="s">
        <v>2010</v>
      </c>
      <c r="T1392" s="19" t="s">
        <v>307</v>
      </c>
      <c r="V1392" s="19" t="s">
        <v>178</v>
      </c>
      <c r="Z1392" s="44" t="s">
        <v>2011</v>
      </c>
      <c r="AA1392" s="44" t="s">
        <v>2012</v>
      </c>
      <c r="AC1392" s="19" t="s">
        <v>2013</v>
      </c>
    </row>
    <row r="1393" spans="1:29" hidden="1" x14ac:dyDescent="0.25">
      <c r="A1393" s="26">
        <v>16</v>
      </c>
      <c r="B1393" s="19" t="s">
        <v>2028</v>
      </c>
      <c r="C1393" s="44" t="s">
        <v>273</v>
      </c>
      <c r="D1393" s="19" t="s">
        <v>1493</v>
      </c>
      <c r="E1393" s="19">
        <v>12</v>
      </c>
      <c r="F1393" s="19">
        <v>238</v>
      </c>
      <c r="G1393" s="19">
        <v>1280</v>
      </c>
      <c r="H1393" s="19">
        <v>1</v>
      </c>
      <c r="I1393" s="80">
        <v>28.7</v>
      </c>
      <c r="J1393" s="80">
        <v>28.7</v>
      </c>
      <c r="K1393" s="19" t="s">
        <v>184</v>
      </c>
      <c r="L1393" s="19" t="s">
        <v>2009</v>
      </c>
      <c r="O1393" s="19" t="s">
        <v>138</v>
      </c>
      <c r="Q1393" s="20">
        <v>23</v>
      </c>
      <c r="R1393" s="65" t="s">
        <v>2010</v>
      </c>
      <c r="T1393" s="19" t="s">
        <v>307</v>
      </c>
      <c r="V1393" s="19" t="s">
        <v>178</v>
      </c>
      <c r="Z1393" s="44" t="s">
        <v>2011</v>
      </c>
      <c r="AA1393" s="44" t="s">
        <v>2012</v>
      </c>
      <c r="AC1393" s="19" t="s">
        <v>2013</v>
      </c>
    </row>
    <row r="1394" spans="1:29" hidden="1" x14ac:dyDescent="0.25">
      <c r="A1394" s="26">
        <v>17</v>
      </c>
      <c r="B1394" s="19" t="s">
        <v>2029</v>
      </c>
      <c r="C1394" s="44" t="s">
        <v>273</v>
      </c>
      <c r="D1394" s="19" t="s">
        <v>1493</v>
      </c>
      <c r="E1394" s="19">
        <v>12</v>
      </c>
      <c r="F1394" s="19">
        <v>238</v>
      </c>
      <c r="G1394" s="19">
        <v>1280</v>
      </c>
      <c r="H1394" s="19">
        <v>1</v>
      </c>
      <c r="I1394" s="80">
        <v>28.7</v>
      </c>
      <c r="J1394" s="80">
        <v>28.7</v>
      </c>
      <c r="K1394" s="19" t="s">
        <v>184</v>
      </c>
      <c r="L1394" s="19" t="s">
        <v>2009</v>
      </c>
      <c r="O1394" s="19" t="s">
        <v>138</v>
      </c>
      <c r="Q1394" s="20">
        <v>23</v>
      </c>
      <c r="R1394" s="65" t="s">
        <v>2010</v>
      </c>
      <c r="T1394" s="19" t="s">
        <v>307</v>
      </c>
      <c r="V1394" s="19" t="s">
        <v>178</v>
      </c>
      <c r="Z1394" s="44" t="s">
        <v>2011</v>
      </c>
      <c r="AA1394" s="44" t="s">
        <v>2012</v>
      </c>
      <c r="AC1394" s="19" t="s">
        <v>2013</v>
      </c>
    </row>
    <row r="1395" spans="1:29" hidden="1" x14ac:dyDescent="0.25">
      <c r="A1395" s="26">
        <v>18</v>
      </c>
      <c r="B1395" s="19" t="s">
        <v>2030</v>
      </c>
      <c r="C1395" s="44" t="s">
        <v>273</v>
      </c>
      <c r="D1395" s="19" t="s">
        <v>828</v>
      </c>
      <c r="E1395" s="19">
        <v>12</v>
      </c>
      <c r="F1395" s="19">
        <v>490</v>
      </c>
      <c r="G1395" s="19">
        <v>9980</v>
      </c>
      <c r="H1395" s="19">
        <v>1</v>
      </c>
      <c r="I1395" s="80">
        <v>460.46</v>
      </c>
      <c r="J1395" s="80">
        <v>460.46</v>
      </c>
      <c r="K1395" s="19" t="s">
        <v>184</v>
      </c>
      <c r="L1395" s="19" t="s">
        <v>2009</v>
      </c>
      <c r="Q1395" s="20">
        <v>23</v>
      </c>
      <c r="R1395" s="65" t="s">
        <v>2010</v>
      </c>
      <c r="T1395" s="19" t="s">
        <v>307</v>
      </c>
      <c r="V1395" s="19" t="s">
        <v>178</v>
      </c>
      <c r="Y1395" s="19" t="s">
        <v>138</v>
      </c>
      <c r="Z1395" s="44" t="s">
        <v>2011</v>
      </c>
      <c r="AA1395" s="44" t="s">
        <v>2012</v>
      </c>
      <c r="AC1395" s="19" t="s">
        <v>2013</v>
      </c>
    </row>
    <row r="1396" spans="1:29" hidden="1" x14ac:dyDescent="0.25">
      <c r="A1396" s="26">
        <v>19</v>
      </c>
      <c r="B1396" s="19" t="s">
        <v>2031</v>
      </c>
      <c r="C1396" s="44" t="s">
        <v>273</v>
      </c>
      <c r="D1396" s="19" t="s">
        <v>869</v>
      </c>
      <c r="E1396" s="19">
        <v>12</v>
      </c>
      <c r="F1396" s="19">
        <v>490</v>
      </c>
      <c r="G1396" s="19">
        <v>1514</v>
      </c>
      <c r="H1396" s="19">
        <v>1</v>
      </c>
      <c r="I1396" s="80">
        <v>69.78</v>
      </c>
      <c r="J1396" s="80">
        <v>69.78</v>
      </c>
      <c r="K1396" s="19" t="s">
        <v>184</v>
      </c>
      <c r="L1396" s="19" t="s">
        <v>2009</v>
      </c>
      <c r="Q1396" s="20">
        <v>23</v>
      </c>
      <c r="R1396" s="65" t="s">
        <v>2010</v>
      </c>
      <c r="T1396" s="19" t="s">
        <v>307</v>
      </c>
      <c r="V1396" s="19" t="s">
        <v>178</v>
      </c>
      <c r="Y1396" s="19" t="s">
        <v>138</v>
      </c>
      <c r="Z1396" s="44" t="s">
        <v>2011</v>
      </c>
      <c r="AA1396" s="44" t="s">
        <v>2012</v>
      </c>
      <c r="AC1396" s="19" t="s">
        <v>2013</v>
      </c>
    </row>
    <row r="1397" spans="1:29" hidden="1" x14ac:dyDescent="0.25">
      <c r="A1397" s="26">
        <v>20</v>
      </c>
      <c r="B1397" s="19" t="s">
        <v>2032</v>
      </c>
      <c r="C1397" s="44" t="s">
        <v>273</v>
      </c>
      <c r="D1397" s="19" t="s">
        <v>869</v>
      </c>
      <c r="E1397" s="19">
        <v>12</v>
      </c>
      <c r="F1397" s="19">
        <v>490</v>
      </c>
      <c r="G1397" s="19">
        <v>1514</v>
      </c>
      <c r="H1397" s="19">
        <v>1</v>
      </c>
      <c r="I1397" s="80">
        <v>69.78</v>
      </c>
      <c r="J1397" s="80">
        <v>69.78</v>
      </c>
      <c r="K1397" s="19" t="s">
        <v>184</v>
      </c>
      <c r="L1397" s="19" t="s">
        <v>2009</v>
      </c>
      <c r="Q1397" s="20">
        <v>23</v>
      </c>
      <c r="R1397" s="65" t="s">
        <v>2010</v>
      </c>
      <c r="T1397" s="19" t="s">
        <v>307</v>
      </c>
      <c r="V1397" s="19" t="s">
        <v>178</v>
      </c>
      <c r="Y1397" s="19" t="s">
        <v>138</v>
      </c>
      <c r="Z1397" s="44" t="s">
        <v>2011</v>
      </c>
      <c r="AA1397" s="44" t="s">
        <v>2012</v>
      </c>
      <c r="AC1397" s="19" t="s">
        <v>2013</v>
      </c>
    </row>
    <row r="1398" spans="1:29" hidden="1" x14ac:dyDescent="0.25">
      <c r="A1398" s="26">
        <v>21</v>
      </c>
      <c r="B1398" s="19" t="s">
        <v>2033</v>
      </c>
      <c r="C1398" s="44" t="s">
        <v>273</v>
      </c>
      <c r="D1398" s="19" t="s">
        <v>877</v>
      </c>
      <c r="E1398" s="19">
        <v>12</v>
      </c>
      <c r="F1398" s="19">
        <v>130</v>
      </c>
      <c r="G1398" s="19">
        <v>1458</v>
      </c>
      <c r="H1398" s="19">
        <v>1</v>
      </c>
      <c r="I1398" s="80">
        <v>17.84</v>
      </c>
      <c r="J1398" s="80">
        <v>17.84</v>
      </c>
      <c r="K1398" s="19" t="s">
        <v>184</v>
      </c>
      <c r="L1398" s="19" t="s">
        <v>2009</v>
      </c>
      <c r="Q1398" s="20">
        <v>23</v>
      </c>
      <c r="R1398" s="65" t="s">
        <v>2010</v>
      </c>
      <c r="T1398" s="19" t="s">
        <v>307</v>
      </c>
      <c r="V1398" s="19" t="s">
        <v>178</v>
      </c>
      <c r="W1398" s="19" t="s">
        <v>138</v>
      </c>
      <c r="Z1398" s="44" t="s">
        <v>2011</v>
      </c>
      <c r="AA1398" s="44" t="s">
        <v>2012</v>
      </c>
      <c r="AC1398" s="19" t="s">
        <v>2013</v>
      </c>
    </row>
    <row r="1399" spans="1:29" hidden="1" x14ac:dyDescent="0.25">
      <c r="A1399" s="26">
        <v>22</v>
      </c>
      <c r="B1399" s="19" t="s">
        <v>2034</v>
      </c>
      <c r="C1399" s="44" t="s">
        <v>273</v>
      </c>
      <c r="D1399" s="19" t="s">
        <v>877</v>
      </c>
      <c r="E1399" s="19">
        <v>12</v>
      </c>
      <c r="F1399" s="19">
        <v>130</v>
      </c>
      <c r="G1399" s="19">
        <v>1458</v>
      </c>
      <c r="H1399" s="19">
        <v>1</v>
      </c>
      <c r="I1399" s="80">
        <v>17.84</v>
      </c>
      <c r="J1399" s="80">
        <v>17.84</v>
      </c>
      <c r="K1399" s="19" t="s">
        <v>184</v>
      </c>
      <c r="L1399" s="19" t="s">
        <v>2009</v>
      </c>
      <c r="Q1399" s="20">
        <v>23</v>
      </c>
      <c r="R1399" s="65" t="s">
        <v>2010</v>
      </c>
      <c r="T1399" s="19" t="s">
        <v>307</v>
      </c>
      <c r="V1399" s="19" t="s">
        <v>178</v>
      </c>
      <c r="W1399" s="19" t="s">
        <v>138</v>
      </c>
      <c r="Z1399" s="44" t="s">
        <v>2011</v>
      </c>
      <c r="AA1399" s="44" t="s">
        <v>2012</v>
      </c>
      <c r="AC1399" s="19" t="s">
        <v>2013</v>
      </c>
    </row>
    <row r="1400" spans="1:29" hidden="1" x14ac:dyDescent="0.25">
      <c r="A1400" s="26">
        <v>23</v>
      </c>
      <c r="B1400" s="19" t="s">
        <v>2035</v>
      </c>
      <c r="C1400" s="44" t="s">
        <v>273</v>
      </c>
      <c r="D1400" s="19" t="s">
        <v>1211</v>
      </c>
      <c r="E1400" s="19">
        <v>12</v>
      </c>
      <c r="F1400" s="19">
        <v>490</v>
      </c>
      <c r="G1400" s="19">
        <v>1388</v>
      </c>
      <c r="H1400" s="19">
        <v>1</v>
      </c>
      <c r="I1400" s="80">
        <v>63.63</v>
      </c>
      <c r="J1400" s="80">
        <v>63.63</v>
      </c>
      <c r="K1400" s="19" t="s">
        <v>184</v>
      </c>
      <c r="L1400" s="19" t="s">
        <v>2009</v>
      </c>
      <c r="Q1400" s="20">
        <v>23</v>
      </c>
      <c r="R1400" s="65" t="s">
        <v>2010</v>
      </c>
      <c r="T1400" s="19" t="s">
        <v>307</v>
      </c>
      <c r="V1400" s="19" t="s">
        <v>178</v>
      </c>
      <c r="Y1400" s="19" t="s">
        <v>138</v>
      </c>
      <c r="Z1400" s="44" t="s">
        <v>2011</v>
      </c>
      <c r="AA1400" s="44" t="s">
        <v>2012</v>
      </c>
      <c r="AC1400" s="19" t="s">
        <v>2013</v>
      </c>
    </row>
    <row r="1401" spans="1:29" hidden="1" x14ac:dyDescent="0.25">
      <c r="A1401" s="26">
        <v>24</v>
      </c>
      <c r="B1401" s="19" t="s">
        <v>2036</v>
      </c>
      <c r="C1401" s="44" t="s">
        <v>273</v>
      </c>
      <c r="D1401" s="19" t="s">
        <v>1211</v>
      </c>
      <c r="E1401" s="19">
        <v>12</v>
      </c>
      <c r="F1401" s="19">
        <v>490</v>
      </c>
      <c r="G1401" s="19">
        <v>1388</v>
      </c>
      <c r="H1401" s="19">
        <v>1</v>
      </c>
      <c r="I1401" s="80">
        <v>63.63</v>
      </c>
      <c r="J1401" s="80">
        <v>63.63</v>
      </c>
      <c r="K1401" s="19" t="s">
        <v>184</v>
      </c>
      <c r="L1401" s="19" t="s">
        <v>2009</v>
      </c>
      <c r="Q1401" s="20">
        <v>23</v>
      </c>
      <c r="R1401" s="65" t="s">
        <v>2010</v>
      </c>
      <c r="T1401" s="19" t="s">
        <v>307</v>
      </c>
      <c r="V1401" s="19" t="s">
        <v>178</v>
      </c>
      <c r="Y1401" s="19" t="s">
        <v>138</v>
      </c>
      <c r="Z1401" s="44" t="s">
        <v>2011</v>
      </c>
      <c r="AA1401" s="44" t="s">
        <v>2012</v>
      </c>
      <c r="AC1401" s="19" t="s">
        <v>2013</v>
      </c>
    </row>
    <row r="1402" spans="1:29" hidden="1" x14ac:dyDescent="0.25">
      <c r="A1402" s="26">
        <v>25</v>
      </c>
      <c r="B1402" s="19" t="s">
        <v>2008</v>
      </c>
      <c r="C1402" s="44" t="s">
        <v>273</v>
      </c>
      <c r="D1402" s="19" t="s">
        <v>803</v>
      </c>
      <c r="E1402" s="19">
        <v>12</v>
      </c>
      <c r="F1402" s="19">
        <v>135</v>
      </c>
      <c r="G1402" s="19">
        <v>488</v>
      </c>
      <c r="H1402" s="19">
        <v>6</v>
      </c>
      <c r="I1402" s="80">
        <v>6.19</v>
      </c>
      <c r="J1402" s="80">
        <v>37.14</v>
      </c>
      <c r="K1402" s="19" t="s">
        <v>2037</v>
      </c>
      <c r="L1402" s="19" t="s">
        <v>2038</v>
      </c>
      <c r="Q1402" s="20">
        <v>23</v>
      </c>
      <c r="R1402" s="65" t="s">
        <v>2010</v>
      </c>
      <c r="T1402" s="19" t="s">
        <v>307</v>
      </c>
      <c r="V1402" s="19" t="s">
        <v>178</v>
      </c>
      <c r="W1402" s="19" t="s">
        <v>138</v>
      </c>
      <c r="Z1402" s="44" t="s">
        <v>2011</v>
      </c>
      <c r="AA1402" s="44" t="s">
        <v>2039</v>
      </c>
      <c r="AC1402" s="19" t="s">
        <v>2040</v>
      </c>
    </row>
    <row r="1403" spans="1:29" hidden="1" x14ac:dyDescent="0.25">
      <c r="A1403" s="26">
        <v>26</v>
      </c>
      <c r="B1403" s="19" t="s">
        <v>2014</v>
      </c>
      <c r="C1403" s="44" t="s">
        <v>273</v>
      </c>
      <c r="D1403" s="19" t="s">
        <v>839</v>
      </c>
      <c r="E1403" s="19">
        <v>12</v>
      </c>
      <c r="F1403" s="19">
        <v>120</v>
      </c>
      <c r="G1403" s="19">
        <v>129</v>
      </c>
      <c r="H1403" s="19">
        <v>13</v>
      </c>
      <c r="I1403" s="80">
        <v>1.32</v>
      </c>
      <c r="J1403" s="80">
        <v>17.21</v>
      </c>
      <c r="K1403" s="19" t="s">
        <v>2037</v>
      </c>
      <c r="L1403" s="19" t="s">
        <v>2038</v>
      </c>
      <c r="Q1403" s="20">
        <v>23</v>
      </c>
      <c r="R1403" s="65" t="s">
        <v>2010</v>
      </c>
      <c r="T1403" s="19" t="s">
        <v>307</v>
      </c>
      <c r="V1403" s="19" t="s">
        <v>178</v>
      </c>
      <c r="W1403" s="19" t="s">
        <v>138</v>
      </c>
      <c r="Z1403" s="44" t="s">
        <v>2011</v>
      </c>
      <c r="AA1403" s="44" t="s">
        <v>2039</v>
      </c>
      <c r="AC1403" s="19" t="s">
        <v>2040</v>
      </c>
    </row>
    <row r="1404" spans="1:29" hidden="1" x14ac:dyDescent="0.25">
      <c r="A1404" s="26">
        <v>27</v>
      </c>
      <c r="B1404" s="19" t="s">
        <v>2041</v>
      </c>
      <c r="C1404" s="44" t="s">
        <v>273</v>
      </c>
      <c r="D1404" s="19" t="s">
        <v>869</v>
      </c>
      <c r="E1404" s="19">
        <v>12</v>
      </c>
      <c r="F1404" s="19">
        <v>490</v>
      </c>
      <c r="G1404" s="19">
        <v>1514</v>
      </c>
      <c r="H1404" s="19">
        <v>1</v>
      </c>
      <c r="I1404" s="80">
        <v>69.78</v>
      </c>
      <c r="J1404" s="80">
        <v>69.78</v>
      </c>
      <c r="K1404" s="19" t="s">
        <v>2037</v>
      </c>
      <c r="L1404" s="19" t="s">
        <v>2038</v>
      </c>
      <c r="Q1404" s="20">
        <v>23</v>
      </c>
      <c r="R1404" s="65" t="s">
        <v>2010</v>
      </c>
      <c r="T1404" s="19" t="s">
        <v>307</v>
      </c>
      <c r="V1404" s="19" t="s">
        <v>178</v>
      </c>
      <c r="Y1404" s="19" t="s">
        <v>138</v>
      </c>
      <c r="Z1404" s="44" t="s">
        <v>2011</v>
      </c>
      <c r="AA1404" s="44" t="s">
        <v>2039</v>
      </c>
      <c r="AC1404" s="19" t="s">
        <v>2040</v>
      </c>
    </row>
    <row r="1405" spans="1:29" hidden="1" x14ac:dyDescent="0.25">
      <c r="A1405" s="26">
        <v>28</v>
      </c>
      <c r="B1405" s="19" t="s">
        <v>2042</v>
      </c>
      <c r="C1405" s="44" t="s">
        <v>273</v>
      </c>
      <c r="D1405" s="19" t="s">
        <v>874</v>
      </c>
      <c r="E1405" s="19">
        <v>12</v>
      </c>
      <c r="F1405" s="19">
        <v>100</v>
      </c>
      <c r="G1405" s="19">
        <v>150</v>
      </c>
      <c r="H1405" s="19">
        <v>1</v>
      </c>
      <c r="I1405" s="80">
        <v>1.41</v>
      </c>
      <c r="J1405" s="80">
        <v>1.41</v>
      </c>
      <c r="K1405" s="19" t="s">
        <v>2037</v>
      </c>
      <c r="L1405" s="19" t="s">
        <v>2038</v>
      </c>
      <c r="Q1405" s="20">
        <v>23</v>
      </c>
      <c r="R1405" s="65" t="s">
        <v>2010</v>
      </c>
      <c r="T1405" s="19" t="s">
        <v>307</v>
      </c>
      <c r="V1405" s="19" t="s">
        <v>178</v>
      </c>
      <c r="W1405" s="19" t="s">
        <v>138</v>
      </c>
      <c r="Z1405" s="44" t="s">
        <v>2011</v>
      </c>
      <c r="AA1405" s="44" t="s">
        <v>2039</v>
      </c>
      <c r="AC1405" s="19" t="s">
        <v>2040</v>
      </c>
    </row>
    <row r="1406" spans="1:29" hidden="1" x14ac:dyDescent="0.25">
      <c r="A1406" s="26">
        <v>29</v>
      </c>
      <c r="B1406" s="19" t="s">
        <v>2043</v>
      </c>
      <c r="C1406" s="44" t="s">
        <v>273</v>
      </c>
      <c r="D1406" s="19" t="s">
        <v>874</v>
      </c>
      <c r="E1406" s="19">
        <v>12</v>
      </c>
      <c r="F1406" s="19">
        <v>100</v>
      </c>
      <c r="G1406" s="19">
        <v>150</v>
      </c>
      <c r="H1406" s="19">
        <v>1</v>
      </c>
      <c r="I1406" s="80">
        <v>1.41</v>
      </c>
      <c r="J1406" s="80">
        <v>1.41</v>
      </c>
      <c r="K1406" s="19" t="s">
        <v>2037</v>
      </c>
      <c r="L1406" s="19" t="s">
        <v>2038</v>
      </c>
      <c r="Q1406" s="20">
        <v>23</v>
      </c>
      <c r="R1406" s="65" t="s">
        <v>2010</v>
      </c>
      <c r="T1406" s="19" t="s">
        <v>307</v>
      </c>
      <c r="V1406" s="19" t="s">
        <v>178</v>
      </c>
      <c r="W1406" s="19" t="s">
        <v>138</v>
      </c>
      <c r="Z1406" s="44" t="s">
        <v>2011</v>
      </c>
      <c r="AA1406" s="44" t="s">
        <v>2039</v>
      </c>
      <c r="AC1406" s="19" t="s">
        <v>2040</v>
      </c>
    </row>
    <row r="1407" spans="1:29" hidden="1" x14ac:dyDescent="0.25">
      <c r="A1407" s="26">
        <v>30</v>
      </c>
      <c r="B1407" s="19" t="s">
        <v>2044</v>
      </c>
      <c r="C1407" s="44" t="s">
        <v>273</v>
      </c>
      <c r="D1407" s="19" t="s">
        <v>874</v>
      </c>
      <c r="E1407" s="19">
        <v>12</v>
      </c>
      <c r="F1407" s="19">
        <v>100</v>
      </c>
      <c r="G1407" s="19">
        <v>150</v>
      </c>
      <c r="H1407" s="19">
        <v>1</v>
      </c>
      <c r="I1407" s="80">
        <v>1.41</v>
      </c>
      <c r="J1407" s="80">
        <v>1.41</v>
      </c>
      <c r="K1407" s="19" t="s">
        <v>2037</v>
      </c>
      <c r="L1407" s="19" t="s">
        <v>2038</v>
      </c>
      <c r="Q1407" s="20">
        <v>23</v>
      </c>
      <c r="R1407" s="65" t="s">
        <v>2010</v>
      </c>
      <c r="T1407" s="19" t="s">
        <v>307</v>
      </c>
      <c r="V1407" s="19" t="s">
        <v>178</v>
      </c>
      <c r="W1407" s="19" t="s">
        <v>138</v>
      </c>
      <c r="Z1407" s="44" t="s">
        <v>2011</v>
      </c>
      <c r="AA1407" s="44" t="s">
        <v>2039</v>
      </c>
      <c r="AC1407" s="19" t="s">
        <v>2040</v>
      </c>
    </row>
    <row r="1408" spans="1:29" hidden="1" x14ac:dyDescent="0.25">
      <c r="A1408" s="26">
        <v>31</v>
      </c>
      <c r="B1408" s="19" t="s">
        <v>2045</v>
      </c>
      <c r="C1408" s="44" t="s">
        <v>273</v>
      </c>
      <c r="D1408" s="19" t="s">
        <v>869</v>
      </c>
      <c r="E1408" s="19">
        <v>12</v>
      </c>
      <c r="F1408" s="19">
        <v>490</v>
      </c>
      <c r="G1408" s="19">
        <v>1514</v>
      </c>
      <c r="H1408" s="19">
        <v>1</v>
      </c>
      <c r="I1408" s="80">
        <v>69.78</v>
      </c>
      <c r="J1408" s="80">
        <v>69.78</v>
      </c>
      <c r="K1408" s="19" t="s">
        <v>2037</v>
      </c>
      <c r="L1408" s="19" t="s">
        <v>2038</v>
      </c>
      <c r="Q1408" s="20">
        <v>23</v>
      </c>
      <c r="R1408" s="65" t="s">
        <v>2010</v>
      </c>
      <c r="T1408" s="19" t="s">
        <v>307</v>
      </c>
      <c r="V1408" s="19" t="s">
        <v>178</v>
      </c>
      <c r="Y1408" s="19" t="s">
        <v>138</v>
      </c>
      <c r="Z1408" s="44" t="s">
        <v>2011</v>
      </c>
      <c r="AA1408" s="44" t="s">
        <v>2039</v>
      </c>
      <c r="AC1408" s="19" t="s">
        <v>2040</v>
      </c>
    </row>
    <row r="1409" spans="1:29" hidden="1" x14ac:dyDescent="0.25">
      <c r="A1409" s="26">
        <v>32</v>
      </c>
      <c r="B1409" s="19" t="s">
        <v>2018</v>
      </c>
      <c r="C1409" s="44" t="s">
        <v>273</v>
      </c>
      <c r="D1409" s="19" t="s">
        <v>914</v>
      </c>
      <c r="E1409" s="19">
        <v>12</v>
      </c>
      <c r="F1409" s="19">
        <v>95</v>
      </c>
      <c r="G1409" s="19">
        <v>263</v>
      </c>
      <c r="H1409" s="19">
        <v>6</v>
      </c>
      <c r="I1409" s="80">
        <v>2.34</v>
      </c>
      <c r="J1409" s="80">
        <v>14.03</v>
      </c>
      <c r="K1409" s="19" t="s">
        <v>2037</v>
      </c>
      <c r="L1409" s="19" t="s">
        <v>2038</v>
      </c>
      <c r="Q1409" s="20">
        <v>23</v>
      </c>
      <c r="R1409" s="65" t="s">
        <v>2010</v>
      </c>
      <c r="T1409" s="19" t="s">
        <v>307</v>
      </c>
      <c r="V1409" s="19" t="s">
        <v>178</v>
      </c>
      <c r="W1409" s="19" t="s">
        <v>138</v>
      </c>
      <c r="Z1409" s="44" t="s">
        <v>2011</v>
      </c>
      <c r="AA1409" s="44" t="s">
        <v>2039</v>
      </c>
      <c r="AC1409" s="19" t="s">
        <v>2040</v>
      </c>
    </row>
    <row r="1410" spans="1:29" hidden="1" x14ac:dyDescent="0.25">
      <c r="A1410" s="26">
        <v>33</v>
      </c>
      <c r="B1410" s="19" t="s">
        <v>2020</v>
      </c>
      <c r="C1410" s="44" t="s">
        <v>273</v>
      </c>
      <c r="D1410" s="19" t="s">
        <v>1239</v>
      </c>
      <c r="E1410" s="19">
        <v>12</v>
      </c>
      <c r="F1410" s="19">
        <v>130</v>
      </c>
      <c r="G1410" s="19">
        <v>663</v>
      </c>
      <c r="H1410" s="19">
        <v>7</v>
      </c>
      <c r="I1410" s="80">
        <v>8.11</v>
      </c>
      <c r="J1410" s="80">
        <v>56.77</v>
      </c>
      <c r="K1410" s="19" t="s">
        <v>2037</v>
      </c>
      <c r="L1410" s="19" t="s">
        <v>2038</v>
      </c>
      <c r="Q1410" s="20">
        <v>23</v>
      </c>
      <c r="R1410" s="65" t="s">
        <v>2010</v>
      </c>
      <c r="T1410" s="19" t="s">
        <v>307</v>
      </c>
      <c r="V1410" s="19" t="s">
        <v>178</v>
      </c>
      <c r="W1410" s="19" t="s">
        <v>138</v>
      </c>
      <c r="Z1410" s="44" t="s">
        <v>2011</v>
      </c>
      <c r="AA1410" s="44" t="s">
        <v>2039</v>
      </c>
      <c r="AC1410" s="19" t="s">
        <v>2040</v>
      </c>
    </row>
    <row r="1411" spans="1:29" hidden="1" x14ac:dyDescent="0.25">
      <c r="A1411" s="26">
        <v>34</v>
      </c>
      <c r="B1411" s="19" t="s">
        <v>2046</v>
      </c>
      <c r="C1411" s="44" t="s">
        <v>273</v>
      </c>
      <c r="D1411" s="19" t="s">
        <v>879</v>
      </c>
      <c r="E1411" s="19">
        <v>12</v>
      </c>
      <c r="F1411" s="19">
        <v>130</v>
      </c>
      <c r="G1411" s="19">
        <v>263</v>
      </c>
      <c r="H1411" s="19">
        <v>1</v>
      </c>
      <c r="I1411" s="80">
        <v>3.21</v>
      </c>
      <c r="J1411" s="80">
        <v>3.21</v>
      </c>
      <c r="K1411" s="19" t="s">
        <v>2037</v>
      </c>
      <c r="L1411" s="19" t="s">
        <v>2038</v>
      </c>
      <c r="Q1411" s="20">
        <v>23</v>
      </c>
      <c r="R1411" s="65" t="s">
        <v>2010</v>
      </c>
      <c r="T1411" s="19" t="s">
        <v>307</v>
      </c>
      <c r="V1411" s="19" t="s">
        <v>178</v>
      </c>
      <c r="W1411" s="19" t="s">
        <v>138</v>
      </c>
      <c r="Z1411" s="44" t="s">
        <v>2011</v>
      </c>
      <c r="AA1411" s="44" t="s">
        <v>2039</v>
      </c>
      <c r="AC1411" s="19" t="s">
        <v>2040</v>
      </c>
    </row>
    <row r="1412" spans="1:29" hidden="1" x14ac:dyDescent="0.25">
      <c r="A1412" s="26">
        <v>35</v>
      </c>
      <c r="B1412" s="19" t="s">
        <v>2047</v>
      </c>
      <c r="C1412" s="44" t="s">
        <v>273</v>
      </c>
      <c r="D1412" s="19" t="s">
        <v>914</v>
      </c>
      <c r="E1412" s="19">
        <v>12</v>
      </c>
      <c r="F1412" s="19">
        <v>95</v>
      </c>
      <c r="G1412" s="19">
        <v>263</v>
      </c>
      <c r="H1412" s="19">
        <v>8</v>
      </c>
      <c r="I1412" s="80">
        <v>2.34</v>
      </c>
      <c r="J1412" s="80">
        <v>18.7</v>
      </c>
      <c r="K1412" s="19" t="s">
        <v>2037</v>
      </c>
      <c r="L1412" s="19" t="s">
        <v>2038</v>
      </c>
      <c r="Q1412" s="20">
        <v>23</v>
      </c>
      <c r="R1412" s="65" t="s">
        <v>2010</v>
      </c>
      <c r="T1412" s="19" t="s">
        <v>307</v>
      </c>
      <c r="V1412" s="19" t="s">
        <v>178</v>
      </c>
      <c r="W1412" s="19" t="s">
        <v>138</v>
      </c>
      <c r="Z1412" s="44" t="s">
        <v>2011</v>
      </c>
      <c r="AA1412" s="44" t="s">
        <v>2039</v>
      </c>
      <c r="AC1412" s="19" t="s">
        <v>2040</v>
      </c>
    </row>
    <row r="1413" spans="1:29" hidden="1" x14ac:dyDescent="0.25">
      <c r="A1413" s="26">
        <v>36</v>
      </c>
      <c r="B1413" s="19" t="s">
        <v>2048</v>
      </c>
      <c r="C1413" s="44" t="s">
        <v>273</v>
      </c>
      <c r="D1413" s="19" t="s">
        <v>1493</v>
      </c>
      <c r="E1413" s="19">
        <v>12</v>
      </c>
      <c r="F1413" s="19">
        <v>238</v>
      </c>
      <c r="G1413" s="19">
        <v>1280</v>
      </c>
      <c r="H1413" s="19">
        <v>1</v>
      </c>
      <c r="I1413" s="80">
        <v>28.7</v>
      </c>
      <c r="J1413" s="80">
        <v>28.7</v>
      </c>
      <c r="K1413" s="19" t="s">
        <v>2037</v>
      </c>
      <c r="L1413" s="19" t="s">
        <v>2038</v>
      </c>
      <c r="O1413" s="19" t="s">
        <v>138</v>
      </c>
      <c r="Q1413" s="20">
        <v>23</v>
      </c>
      <c r="R1413" s="65" t="s">
        <v>2010</v>
      </c>
      <c r="T1413" s="19" t="s">
        <v>307</v>
      </c>
      <c r="V1413" s="19" t="s">
        <v>178</v>
      </c>
      <c r="Z1413" s="44" t="s">
        <v>2011</v>
      </c>
      <c r="AA1413" s="44" t="s">
        <v>2039</v>
      </c>
      <c r="AC1413" s="19" t="s">
        <v>2040</v>
      </c>
    </row>
    <row r="1414" spans="1:29" hidden="1" x14ac:dyDescent="0.25">
      <c r="A1414" s="26">
        <v>37</v>
      </c>
      <c r="B1414" s="19" t="s">
        <v>2049</v>
      </c>
      <c r="C1414" s="44" t="s">
        <v>273</v>
      </c>
      <c r="D1414" s="19" t="s">
        <v>1493</v>
      </c>
      <c r="E1414" s="19">
        <v>12</v>
      </c>
      <c r="F1414" s="19">
        <v>238</v>
      </c>
      <c r="G1414" s="19">
        <v>1280</v>
      </c>
      <c r="H1414" s="19">
        <v>1</v>
      </c>
      <c r="I1414" s="80">
        <v>28.7</v>
      </c>
      <c r="J1414" s="80">
        <v>28.7</v>
      </c>
      <c r="K1414" s="19" t="s">
        <v>2037</v>
      </c>
      <c r="L1414" s="19" t="s">
        <v>2038</v>
      </c>
      <c r="O1414" s="19" t="s">
        <v>138</v>
      </c>
      <c r="Q1414" s="20">
        <v>23</v>
      </c>
      <c r="R1414" s="65" t="s">
        <v>2010</v>
      </c>
      <c r="T1414" s="19" t="s">
        <v>307</v>
      </c>
      <c r="V1414" s="19" t="s">
        <v>178</v>
      </c>
      <c r="Z1414" s="44" t="s">
        <v>2011</v>
      </c>
      <c r="AA1414" s="44" t="s">
        <v>2039</v>
      </c>
      <c r="AC1414" s="19" t="s">
        <v>2040</v>
      </c>
    </row>
    <row r="1415" spans="1:29" hidden="1" x14ac:dyDescent="0.25">
      <c r="A1415" s="26">
        <v>38</v>
      </c>
      <c r="B1415" s="19" t="s">
        <v>2050</v>
      </c>
      <c r="C1415" s="44" t="s">
        <v>273</v>
      </c>
      <c r="D1415" s="19" t="s">
        <v>1493</v>
      </c>
      <c r="E1415" s="19">
        <v>12</v>
      </c>
      <c r="F1415" s="19">
        <v>238</v>
      </c>
      <c r="G1415" s="19">
        <v>1280</v>
      </c>
      <c r="H1415" s="19">
        <v>1</v>
      </c>
      <c r="I1415" s="80">
        <v>28.7</v>
      </c>
      <c r="J1415" s="80">
        <v>28.7</v>
      </c>
      <c r="K1415" s="19" t="s">
        <v>2037</v>
      </c>
      <c r="L1415" s="19" t="s">
        <v>2038</v>
      </c>
      <c r="O1415" s="19" t="s">
        <v>138</v>
      </c>
      <c r="Q1415" s="20">
        <v>23</v>
      </c>
      <c r="R1415" s="65" t="s">
        <v>2010</v>
      </c>
      <c r="T1415" s="19" t="s">
        <v>307</v>
      </c>
      <c r="V1415" s="19" t="s">
        <v>178</v>
      </c>
      <c r="Z1415" s="44" t="s">
        <v>2011</v>
      </c>
      <c r="AA1415" s="44" t="s">
        <v>2039</v>
      </c>
      <c r="AC1415" s="19" t="s">
        <v>2040</v>
      </c>
    </row>
    <row r="1416" spans="1:29" hidden="1" x14ac:dyDescent="0.25">
      <c r="A1416" s="26">
        <v>39</v>
      </c>
      <c r="B1416" s="19" t="s">
        <v>2051</v>
      </c>
      <c r="C1416" s="44" t="s">
        <v>273</v>
      </c>
      <c r="D1416" s="19" t="s">
        <v>1493</v>
      </c>
      <c r="E1416" s="19">
        <v>12</v>
      </c>
      <c r="F1416" s="19">
        <v>238</v>
      </c>
      <c r="G1416" s="19">
        <v>1280</v>
      </c>
      <c r="H1416" s="19">
        <v>1</v>
      </c>
      <c r="I1416" s="80">
        <v>28.7</v>
      </c>
      <c r="J1416" s="80">
        <v>28.7</v>
      </c>
      <c r="K1416" s="19" t="s">
        <v>2037</v>
      </c>
      <c r="L1416" s="19" t="s">
        <v>2038</v>
      </c>
      <c r="O1416" s="19" t="s">
        <v>138</v>
      </c>
      <c r="Q1416" s="20">
        <v>23</v>
      </c>
      <c r="R1416" s="65" t="s">
        <v>2010</v>
      </c>
      <c r="T1416" s="19" t="s">
        <v>307</v>
      </c>
      <c r="V1416" s="19" t="s">
        <v>178</v>
      </c>
      <c r="Z1416" s="44" t="s">
        <v>2011</v>
      </c>
      <c r="AA1416" s="44" t="s">
        <v>2039</v>
      </c>
      <c r="AC1416" s="19" t="s">
        <v>2040</v>
      </c>
    </row>
    <row r="1417" spans="1:29" hidden="1" x14ac:dyDescent="0.25">
      <c r="A1417" s="26">
        <v>40</v>
      </c>
      <c r="B1417" s="19" t="s">
        <v>2052</v>
      </c>
      <c r="C1417" s="44" t="s">
        <v>273</v>
      </c>
      <c r="D1417" s="19" t="s">
        <v>1493</v>
      </c>
      <c r="E1417" s="19">
        <v>12</v>
      </c>
      <c r="F1417" s="19">
        <v>238</v>
      </c>
      <c r="G1417" s="19">
        <v>1280</v>
      </c>
      <c r="H1417" s="19">
        <v>1</v>
      </c>
      <c r="I1417" s="80">
        <v>28.7</v>
      </c>
      <c r="J1417" s="80">
        <v>28.7</v>
      </c>
      <c r="K1417" s="19" t="s">
        <v>2037</v>
      </c>
      <c r="L1417" s="19" t="s">
        <v>2038</v>
      </c>
      <c r="O1417" s="19" t="s">
        <v>138</v>
      </c>
      <c r="Q1417" s="20">
        <v>23</v>
      </c>
      <c r="R1417" s="65" t="s">
        <v>2010</v>
      </c>
      <c r="T1417" s="19" t="s">
        <v>307</v>
      </c>
      <c r="V1417" s="19" t="s">
        <v>178</v>
      </c>
      <c r="Z1417" s="44" t="s">
        <v>2011</v>
      </c>
      <c r="AA1417" s="44" t="s">
        <v>2039</v>
      </c>
      <c r="AC1417" s="19" t="s">
        <v>2040</v>
      </c>
    </row>
    <row r="1418" spans="1:29" hidden="1" x14ac:dyDescent="0.25">
      <c r="A1418" s="26">
        <v>41</v>
      </c>
      <c r="B1418" s="19" t="s">
        <v>2053</v>
      </c>
      <c r="C1418" s="44" t="s">
        <v>273</v>
      </c>
      <c r="D1418" s="19" t="s">
        <v>869</v>
      </c>
      <c r="E1418" s="19">
        <v>12</v>
      </c>
      <c r="F1418" s="19">
        <v>490</v>
      </c>
      <c r="G1418" s="19">
        <v>1514</v>
      </c>
      <c r="H1418" s="19">
        <v>1</v>
      </c>
      <c r="I1418" s="80">
        <v>69.78</v>
      </c>
      <c r="J1418" s="80">
        <v>69.78</v>
      </c>
      <c r="K1418" s="19" t="s">
        <v>2037</v>
      </c>
      <c r="L1418" s="19" t="s">
        <v>2038</v>
      </c>
      <c r="Q1418" s="20">
        <v>23</v>
      </c>
      <c r="R1418" s="65" t="s">
        <v>2010</v>
      </c>
      <c r="T1418" s="19" t="s">
        <v>307</v>
      </c>
      <c r="V1418" s="19" t="s">
        <v>178</v>
      </c>
      <c r="Y1418" s="19" t="s">
        <v>138</v>
      </c>
      <c r="Z1418" s="44" t="s">
        <v>2011</v>
      </c>
      <c r="AA1418" s="44" t="s">
        <v>2039</v>
      </c>
      <c r="AC1418" s="19" t="s">
        <v>2040</v>
      </c>
    </row>
    <row r="1419" spans="1:29" hidden="1" x14ac:dyDescent="0.25">
      <c r="A1419" s="26">
        <v>42</v>
      </c>
      <c r="B1419" s="19" t="s">
        <v>2054</v>
      </c>
      <c r="C1419" s="44" t="s">
        <v>273</v>
      </c>
      <c r="D1419" s="19" t="s">
        <v>869</v>
      </c>
      <c r="E1419" s="19">
        <v>12</v>
      </c>
      <c r="F1419" s="19">
        <v>490</v>
      </c>
      <c r="G1419" s="19">
        <v>1514</v>
      </c>
      <c r="H1419" s="19">
        <v>1</v>
      </c>
      <c r="I1419" s="80">
        <v>69.78</v>
      </c>
      <c r="J1419" s="80">
        <v>69.78</v>
      </c>
      <c r="K1419" s="19" t="s">
        <v>2037</v>
      </c>
      <c r="L1419" s="19" t="s">
        <v>2038</v>
      </c>
      <c r="Q1419" s="20">
        <v>23</v>
      </c>
      <c r="R1419" s="65" t="s">
        <v>2010</v>
      </c>
      <c r="T1419" s="19" t="s">
        <v>307</v>
      </c>
      <c r="V1419" s="19" t="s">
        <v>178</v>
      </c>
      <c r="Y1419" s="19" t="s">
        <v>138</v>
      </c>
      <c r="Z1419" s="44" t="s">
        <v>2011</v>
      </c>
      <c r="AA1419" s="44" t="s">
        <v>2039</v>
      </c>
      <c r="AC1419" s="19" t="s">
        <v>2040</v>
      </c>
    </row>
    <row r="1420" spans="1:29" hidden="1" x14ac:dyDescent="0.25">
      <c r="A1420" s="26">
        <v>43</v>
      </c>
      <c r="B1420" s="19" t="s">
        <v>2055</v>
      </c>
      <c r="C1420" s="44" t="s">
        <v>273</v>
      </c>
      <c r="D1420" s="19" t="s">
        <v>869</v>
      </c>
      <c r="E1420" s="19">
        <v>12</v>
      </c>
      <c r="F1420" s="19">
        <v>490</v>
      </c>
      <c r="G1420" s="19">
        <v>1514</v>
      </c>
      <c r="H1420" s="19">
        <v>1</v>
      </c>
      <c r="I1420" s="80">
        <v>69.78</v>
      </c>
      <c r="J1420" s="80">
        <v>69.78</v>
      </c>
      <c r="K1420" s="19" t="s">
        <v>2037</v>
      </c>
      <c r="L1420" s="19" t="s">
        <v>2038</v>
      </c>
      <c r="Q1420" s="20">
        <v>23</v>
      </c>
      <c r="R1420" s="65" t="s">
        <v>2010</v>
      </c>
      <c r="T1420" s="19" t="s">
        <v>307</v>
      </c>
      <c r="V1420" s="19" t="s">
        <v>178</v>
      </c>
      <c r="Y1420" s="19" t="s">
        <v>138</v>
      </c>
      <c r="Z1420" s="44" t="s">
        <v>2011</v>
      </c>
      <c r="AA1420" s="44" t="s">
        <v>2039</v>
      </c>
      <c r="AC1420" s="19" t="s">
        <v>2040</v>
      </c>
    </row>
    <row r="1421" spans="1:29" hidden="1" x14ac:dyDescent="0.25">
      <c r="A1421" s="26">
        <v>44</v>
      </c>
      <c r="B1421" s="19" t="s">
        <v>2056</v>
      </c>
      <c r="C1421" s="44" t="s">
        <v>273</v>
      </c>
      <c r="D1421" s="19" t="s">
        <v>914</v>
      </c>
      <c r="E1421" s="19">
        <v>12</v>
      </c>
      <c r="F1421" s="19">
        <v>95</v>
      </c>
      <c r="G1421" s="19">
        <v>263</v>
      </c>
      <c r="H1421" s="19">
        <v>8</v>
      </c>
      <c r="I1421" s="80">
        <v>2.34</v>
      </c>
      <c r="J1421" s="80">
        <v>18.7</v>
      </c>
      <c r="K1421" s="19" t="s">
        <v>2037</v>
      </c>
      <c r="L1421" s="19" t="s">
        <v>2038</v>
      </c>
      <c r="Q1421" s="20">
        <v>23</v>
      </c>
      <c r="R1421" s="65" t="s">
        <v>2010</v>
      </c>
      <c r="T1421" s="19" t="s">
        <v>307</v>
      </c>
      <c r="V1421" s="19" t="s">
        <v>178</v>
      </c>
      <c r="W1421" s="19" t="s">
        <v>138</v>
      </c>
      <c r="Z1421" s="44" t="s">
        <v>2011</v>
      </c>
      <c r="AA1421" s="44" t="s">
        <v>2039</v>
      </c>
      <c r="AC1421" s="19" t="s">
        <v>2040</v>
      </c>
    </row>
    <row r="1422" spans="1:29" hidden="1" x14ac:dyDescent="0.25">
      <c r="A1422" s="26">
        <v>45</v>
      </c>
      <c r="B1422" s="19" t="s">
        <v>2008</v>
      </c>
      <c r="C1422" s="44" t="s">
        <v>273</v>
      </c>
      <c r="D1422" s="19" t="s">
        <v>803</v>
      </c>
      <c r="E1422" s="19">
        <v>12</v>
      </c>
      <c r="F1422" s="19">
        <v>135</v>
      </c>
      <c r="G1422" s="19">
        <v>488</v>
      </c>
      <c r="H1422" s="19">
        <v>4</v>
      </c>
      <c r="I1422" s="80">
        <v>6.19</v>
      </c>
      <c r="J1422" s="80">
        <v>24.76</v>
      </c>
      <c r="K1422" s="19" t="s">
        <v>184</v>
      </c>
      <c r="L1422" s="19" t="s">
        <v>2057</v>
      </c>
      <c r="Q1422" s="20">
        <v>23</v>
      </c>
      <c r="R1422" s="65" t="s">
        <v>2010</v>
      </c>
      <c r="T1422" s="19" t="s">
        <v>307</v>
      </c>
      <c r="V1422" s="19" t="s">
        <v>178</v>
      </c>
      <c r="W1422" s="19" t="s">
        <v>138</v>
      </c>
      <c r="Z1422" s="44" t="s">
        <v>2011</v>
      </c>
      <c r="AA1422" s="44" t="s">
        <v>180</v>
      </c>
      <c r="AC1422" s="19" t="s">
        <v>2058</v>
      </c>
    </row>
    <row r="1423" spans="1:29" hidden="1" x14ac:dyDescent="0.25">
      <c r="A1423" s="26">
        <v>46</v>
      </c>
      <c r="B1423" s="19" t="s">
        <v>2059</v>
      </c>
      <c r="C1423" s="44" t="s">
        <v>273</v>
      </c>
      <c r="D1423" s="19" t="s">
        <v>803</v>
      </c>
      <c r="E1423" s="19">
        <v>12</v>
      </c>
      <c r="F1423" s="19">
        <v>135</v>
      </c>
      <c r="G1423" s="19">
        <v>488</v>
      </c>
      <c r="H1423" s="19">
        <v>8</v>
      </c>
      <c r="I1423" s="80">
        <v>6.19</v>
      </c>
      <c r="J1423" s="80">
        <v>49.52</v>
      </c>
      <c r="K1423" s="19" t="s">
        <v>184</v>
      </c>
      <c r="L1423" s="19" t="s">
        <v>2057</v>
      </c>
      <c r="Q1423" s="20">
        <v>23</v>
      </c>
      <c r="R1423" s="65" t="s">
        <v>2010</v>
      </c>
      <c r="T1423" s="19" t="s">
        <v>307</v>
      </c>
      <c r="V1423" s="19" t="s">
        <v>178</v>
      </c>
      <c r="W1423" s="19" t="s">
        <v>138</v>
      </c>
      <c r="Z1423" s="44" t="s">
        <v>2011</v>
      </c>
      <c r="AA1423" s="44" t="s">
        <v>180</v>
      </c>
      <c r="AC1423" s="19" t="s">
        <v>2058</v>
      </c>
    </row>
    <row r="1424" spans="1:29" hidden="1" x14ac:dyDescent="0.25">
      <c r="A1424" s="26">
        <v>47</v>
      </c>
      <c r="B1424" s="19" t="s">
        <v>2060</v>
      </c>
      <c r="C1424" s="44" t="s">
        <v>273</v>
      </c>
      <c r="D1424" s="19" t="s">
        <v>828</v>
      </c>
      <c r="E1424" s="19">
        <v>12</v>
      </c>
      <c r="F1424" s="19">
        <v>490</v>
      </c>
      <c r="G1424" s="19">
        <v>9980</v>
      </c>
      <c r="H1424" s="19">
        <v>1</v>
      </c>
      <c r="I1424" s="80">
        <v>460.46</v>
      </c>
      <c r="J1424" s="80">
        <v>460.46</v>
      </c>
      <c r="K1424" s="19" t="s">
        <v>184</v>
      </c>
      <c r="L1424" s="19" t="s">
        <v>2057</v>
      </c>
      <c r="Q1424" s="20">
        <v>23</v>
      </c>
      <c r="R1424" s="65" t="s">
        <v>2010</v>
      </c>
      <c r="T1424" s="19" t="s">
        <v>307</v>
      </c>
      <c r="V1424" s="19" t="s">
        <v>178</v>
      </c>
      <c r="Y1424" s="19" t="s">
        <v>138</v>
      </c>
      <c r="Z1424" s="44" t="s">
        <v>2011</v>
      </c>
      <c r="AA1424" s="44" t="s">
        <v>180</v>
      </c>
      <c r="AC1424" s="19" t="s">
        <v>2058</v>
      </c>
    </row>
    <row r="1425" spans="1:29" hidden="1" x14ac:dyDescent="0.25">
      <c r="A1425" s="26">
        <v>48</v>
      </c>
      <c r="B1425" s="19" t="s">
        <v>2061</v>
      </c>
      <c r="C1425" s="44" t="s">
        <v>273</v>
      </c>
      <c r="D1425" s="19" t="s">
        <v>828</v>
      </c>
      <c r="E1425" s="19">
        <v>12</v>
      </c>
      <c r="F1425" s="19">
        <v>490</v>
      </c>
      <c r="G1425" s="19">
        <v>9980</v>
      </c>
      <c r="H1425" s="19">
        <v>1</v>
      </c>
      <c r="I1425" s="80">
        <v>460.46</v>
      </c>
      <c r="J1425" s="80">
        <v>460.46</v>
      </c>
      <c r="K1425" s="19" t="s">
        <v>184</v>
      </c>
      <c r="L1425" s="19" t="s">
        <v>2057</v>
      </c>
      <c r="Q1425" s="20">
        <v>23</v>
      </c>
      <c r="R1425" s="65" t="s">
        <v>2010</v>
      </c>
      <c r="T1425" s="19" t="s">
        <v>307</v>
      </c>
      <c r="V1425" s="19" t="s">
        <v>178</v>
      </c>
      <c r="Y1425" s="19" t="s">
        <v>138</v>
      </c>
      <c r="Z1425" s="44" t="s">
        <v>2011</v>
      </c>
      <c r="AA1425" s="44" t="s">
        <v>180</v>
      </c>
      <c r="AC1425" s="19" t="s">
        <v>2058</v>
      </c>
    </row>
    <row r="1426" spans="1:29" hidden="1" x14ac:dyDescent="0.25">
      <c r="A1426" s="26">
        <v>49</v>
      </c>
      <c r="B1426" s="19" t="s">
        <v>2020</v>
      </c>
      <c r="C1426" s="44" t="s">
        <v>273</v>
      </c>
      <c r="D1426" s="19" t="s">
        <v>1239</v>
      </c>
      <c r="E1426" s="19">
        <v>12</v>
      </c>
      <c r="F1426" s="19">
        <v>130</v>
      </c>
      <c r="G1426" s="19">
        <v>663</v>
      </c>
      <c r="H1426" s="19">
        <v>1</v>
      </c>
      <c r="I1426" s="80">
        <v>8.11</v>
      </c>
      <c r="J1426" s="80">
        <v>8.11</v>
      </c>
      <c r="K1426" s="19" t="s">
        <v>184</v>
      </c>
      <c r="L1426" s="19" t="s">
        <v>2057</v>
      </c>
      <c r="Q1426" s="20">
        <v>23</v>
      </c>
      <c r="R1426" s="65" t="s">
        <v>2010</v>
      </c>
      <c r="T1426" s="19" t="s">
        <v>307</v>
      </c>
      <c r="V1426" s="19" t="s">
        <v>178</v>
      </c>
      <c r="W1426" s="19" t="s">
        <v>138</v>
      </c>
      <c r="Z1426" s="44" t="s">
        <v>2011</v>
      </c>
      <c r="AA1426" s="44" t="s">
        <v>180</v>
      </c>
      <c r="AC1426" s="19" t="s">
        <v>2058</v>
      </c>
    </row>
    <row r="1427" spans="1:29" hidden="1" x14ac:dyDescent="0.25">
      <c r="A1427" s="26">
        <v>50</v>
      </c>
      <c r="B1427" s="19" t="s">
        <v>2062</v>
      </c>
      <c r="C1427" s="44" t="s">
        <v>273</v>
      </c>
      <c r="D1427" s="19" t="s">
        <v>1239</v>
      </c>
      <c r="E1427" s="19">
        <v>12</v>
      </c>
      <c r="F1427" s="19">
        <v>130</v>
      </c>
      <c r="G1427" s="19">
        <v>663</v>
      </c>
      <c r="H1427" s="19">
        <v>8</v>
      </c>
      <c r="I1427" s="80">
        <v>8.11</v>
      </c>
      <c r="J1427" s="80">
        <v>64.88</v>
      </c>
      <c r="K1427" s="19" t="s">
        <v>184</v>
      </c>
      <c r="L1427" s="19" t="s">
        <v>2057</v>
      </c>
      <c r="Q1427" s="20">
        <v>23</v>
      </c>
      <c r="R1427" s="65" t="s">
        <v>2010</v>
      </c>
      <c r="T1427" s="19" t="s">
        <v>307</v>
      </c>
      <c r="V1427" s="19" t="s">
        <v>178</v>
      </c>
      <c r="W1427" s="19" t="s">
        <v>138</v>
      </c>
      <c r="Z1427" s="44" t="s">
        <v>2011</v>
      </c>
      <c r="AA1427" s="44" t="s">
        <v>180</v>
      </c>
      <c r="AC1427" s="19" t="s">
        <v>2058</v>
      </c>
    </row>
    <row r="1428" spans="1:29" hidden="1" x14ac:dyDescent="0.25">
      <c r="A1428" s="26">
        <v>51</v>
      </c>
      <c r="B1428" s="19" t="s">
        <v>2063</v>
      </c>
      <c r="C1428" s="44" t="s">
        <v>273</v>
      </c>
      <c r="D1428" s="19" t="s">
        <v>1493</v>
      </c>
      <c r="E1428" s="19">
        <v>12</v>
      </c>
      <c r="F1428" s="19">
        <v>238</v>
      </c>
      <c r="G1428" s="19">
        <v>1280</v>
      </c>
      <c r="H1428" s="19">
        <v>1</v>
      </c>
      <c r="I1428" s="80">
        <v>28.7</v>
      </c>
      <c r="J1428" s="80">
        <v>28.7</v>
      </c>
      <c r="K1428" s="19" t="s">
        <v>184</v>
      </c>
      <c r="L1428" s="19" t="s">
        <v>2057</v>
      </c>
      <c r="O1428" s="19" t="s">
        <v>138</v>
      </c>
      <c r="Q1428" s="20">
        <v>23</v>
      </c>
      <c r="R1428" s="65" t="s">
        <v>2010</v>
      </c>
      <c r="T1428" s="19" t="s">
        <v>307</v>
      </c>
      <c r="V1428" s="19" t="s">
        <v>178</v>
      </c>
      <c r="Z1428" s="44" t="s">
        <v>2011</v>
      </c>
      <c r="AA1428" s="44" t="s">
        <v>180</v>
      </c>
      <c r="AC1428" s="19" t="s">
        <v>2058</v>
      </c>
    </row>
    <row r="1429" spans="1:29" hidden="1" x14ac:dyDescent="0.25">
      <c r="A1429" s="26">
        <v>52</v>
      </c>
      <c r="B1429" s="19" t="s">
        <v>2064</v>
      </c>
      <c r="C1429" s="44" t="s">
        <v>273</v>
      </c>
      <c r="D1429" s="19" t="s">
        <v>1493</v>
      </c>
      <c r="E1429" s="19">
        <v>12</v>
      </c>
      <c r="F1429" s="19">
        <v>238</v>
      </c>
      <c r="G1429" s="19">
        <v>1280</v>
      </c>
      <c r="H1429" s="19">
        <v>1</v>
      </c>
      <c r="I1429" s="80">
        <v>28.7</v>
      </c>
      <c r="J1429" s="80">
        <v>28.7</v>
      </c>
      <c r="K1429" s="19" t="s">
        <v>184</v>
      </c>
      <c r="L1429" s="19" t="s">
        <v>2057</v>
      </c>
      <c r="O1429" s="19" t="s">
        <v>138</v>
      </c>
      <c r="Q1429" s="20">
        <v>23</v>
      </c>
      <c r="R1429" s="65" t="s">
        <v>2010</v>
      </c>
      <c r="T1429" s="19" t="s">
        <v>307</v>
      </c>
      <c r="V1429" s="19" t="s">
        <v>178</v>
      </c>
      <c r="Z1429" s="44" t="s">
        <v>2011</v>
      </c>
      <c r="AA1429" s="44" t="s">
        <v>180</v>
      </c>
      <c r="AC1429" s="19" t="s">
        <v>2058</v>
      </c>
    </row>
    <row r="1430" spans="1:29" hidden="1" x14ac:dyDescent="0.25">
      <c r="A1430" s="26">
        <v>53</v>
      </c>
      <c r="B1430" s="19" t="s">
        <v>2065</v>
      </c>
      <c r="C1430" s="44" t="s">
        <v>273</v>
      </c>
      <c r="D1430" s="19" t="s">
        <v>1493</v>
      </c>
      <c r="E1430" s="19">
        <v>12</v>
      </c>
      <c r="F1430" s="19">
        <v>238</v>
      </c>
      <c r="G1430" s="19">
        <v>1280</v>
      </c>
      <c r="H1430" s="19">
        <v>1</v>
      </c>
      <c r="I1430" s="80">
        <v>28.7</v>
      </c>
      <c r="J1430" s="80">
        <v>28.7</v>
      </c>
      <c r="K1430" s="19" t="s">
        <v>184</v>
      </c>
      <c r="L1430" s="19" t="s">
        <v>2057</v>
      </c>
      <c r="O1430" s="19" t="s">
        <v>138</v>
      </c>
      <c r="Q1430" s="20">
        <v>23</v>
      </c>
      <c r="R1430" s="65" t="s">
        <v>2010</v>
      </c>
      <c r="T1430" s="19" t="s">
        <v>307</v>
      </c>
      <c r="V1430" s="19" t="s">
        <v>178</v>
      </c>
      <c r="Z1430" s="44" t="s">
        <v>2011</v>
      </c>
      <c r="AA1430" s="44" t="s">
        <v>180</v>
      </c>
      <c r="AC1430" s="19" t="s">
        <v>2058</v>
      </c>
    </row>
    <row r="1431" spans="1:29" hidden="1" x14ac:dyDescent="0.25">
      <c r="A1431" s="26">
        <v>54</v>
      </c>
      <c r="B1431" s="19" t="s">
        <v>2066</v>
      </c>
      <c r="C1431" s="44" t="s">
        <v>273</v>
      </c>
      <c r="D1431" s="19" t="s">
        <v>1493</v>
      </c>
      <c r="E1431" s="19">
        <v>12</v>
      </c>
      <c r="F1431" s="19">
        <v>238</v>
      </c>
      <c r="G1431" s="19">
        <v>1280</v>
      </c>
      <c r="H1431" s="19">
        <v>1</v>
      </c>
      <c r="I1431" s="80">
        <v>28.7</v>
      </c>
      <c r="J1431" s="80">
        <v>28.7</v>
      </c>
      <c r="K1431" s="19" t="s">
        <v>184</v>
      </c>
      <c r="L1431" s="19" t="s">
        <v>2057</v>
      </c>
      <c r="O1431" s="19" t="s">
        <v>138</v>
      </c>
      <c r="Q1431" s="20">
        <v>23</v>
      </c>
      <c r="R1431" s="65" t="s">
        <v>2010</v>
      </c>
      <c r="T1431" s="19" t="s">
        <v>307</v>
      </c>
      <c r="V1431" s="19" t="s">
        <v>178</v>
      </c>
      <c r="Z1431" s="44" t="s">
        <v>2011</v>
      </c>
      <c r="AA1431" s="44" t="s">
        <v>180</v>
      </c>
      <c r="AC1431" s="19" t="s">
        <v>2058</v>
      </c>
    </row>
    <row r="1432" spans="1:29" hidden="1" x14ac:dyDescent="0.25">
      <c r="A1432" s="26">
        <v>55</v>
      </c>
      <c r="B1432" s="19" t="s">
        <v>2067</v>
      </c>
      <c r="C1432" s="44" t="s">
        <v>273</v>
      </c>
      <c r="D1432" s="19" t="s">
        <v>1493</v>
      </c>
      <c r="E1432" s="19">
        <v>12</v>
      </c>
      <c r="F1432" s="19">
        <v>238</v>
      </c>
      <c r="G1432" s="19">
        <v>1280</v>
      </c>
      <c r="H1432" s="19">
        <v>1</v>
      </c>
      <c r="I1432" s="80">
        <v>28.7</v>
      </c>
      <c r="J1432" s="80">
        <v>28.7</v>
      </c>
      <c r="K1432" s="19" t="s">
        <v>184</v>
      </c>
      <c r="L1432" s="19" t="s">
        <v>2057</v>
      </c>
      <c r="O1432" s="19" t="s">
        <v>138</v>
      </c>
      <c r="Q1432" s="20">
        <v>23</v>
      </c>
      <c r="R1432" s="65" t="s">
        <v>2010</v>
      </c>
      <c r="T1432" s="19" t="s">
        <v>307</v>
      </c>
      <c r="V1432" s="19" t="s">
        <v>178</v>
      </c>
      <c r="Z1432" s="44" t="s">
        <v>2011</v>
      </c>
      <c r="AA1432" s="44" t="s">
        <v>180</v>
      </c>
      <c r="AC1432" s="19" t="s">
        <v>2058</v>
      </c>
    </row>
    <row r="1433" spans="1:29" hidden="1" x14ac:dyDescent="0.25">
      <c r="A1433" s="26">
        <v>56</v>
      </c>
      <c r="B1433" s="19" t="s">
        <v>2068</v>
      </c>
      <c r="C1433" s="44" t="s">
        <v>273</v>
      </c>
      <c r="D1433" s="19" t="s">
        <v>828</v>
      </c>
      <c r="E1433" s="19">
        <v>12</v>
      </c>
      <c r="F1433" s="19">
        <v>490</v>
      </c>
      <c r="G1433" s="19">
        <v>9980</v>
      </c>
      <c r="H1433" s="19">
        <v>1</v>
      </c>
      <c r="I1433" s="80">
        <v>460.46</v>
      </c>
      <c r="J1433" s="80">
        <v>460.46</v>
      </c>
      <c r="K1433" s="19" t="s">
        <v>184</v>
      </c>
      <c r="L1433" s="19" t="s">
        <v>2057</v>
      </c>
      <c r="Q1433" s="20">
        <v>23</v>
      </c>
      <c r="R1433" s="65" t="s">
        <v>2010</v>
      </c>
      <c r="T1433" s="19" t="s">
        <v>307</v>
      </c>
      <c r="V1433" s="19" t="s">
        <v>178</v>
      </c>
      <c r="Y1433" s="19" t="s">
        <v>138</v>
      </c>
      <c r="Z1433" s="44" t="s">
        <v>2011</v>
      </c>
      <c r="AA1433" s="44" t="s">
        <v>180</v>
      </c>
      <c r="AC1433" s="19" t="s">
        <v>2058</v>
      </c>
    </row>
    <row r="1434" spans="1:29" hidden="1" x14ac:dyDescent="0.25">
      <c r="A1434" s="26">
        <v>57</v>
      </c>
      <c r="B1434" s="19" t="s">
        <v>2069</v>
      </c>
      <c r="C1434" s="44" t="s">
        <v>273</v>
      </c>
      <c r="D1434" s="19" t="s">
        <v>828</v>
      </c>
      <c r="E1434" s="19">
        <v>12</v>
      </c>
      <c r="F1434" s="19">
        <v>490</v>
      </c>
      <c r="G1434" s="19">
        <v>9980</v>
      </c>
      <c r="H1434" s="19">
        <v>1</v>
      </c>
      <c r="I1434" s="80">
        <v>460.46</v>
      </c>
      <c r="J1434" s="80">
        <v>460.46</v>
      </c>
      <c r="K1434" s="19" t="s">
        <v>184</v>
      </c>
      <c r="L1434" s="19" t="s">
        <v>2057</v>
      </c>
      <c r="Q1434" s="20">
        <v>23</v>
      </c>
      <c r="R1434" s="65" t="s">
        <v>2010</v>
      </c>
      <c r="T1434" s="19" t="s">
        <v>307</v>
      </c>
      <c r="V1434" s="19" t="s">
        <v>178</v>
      </c>
      <c r="Y1434" s="19" t="s">
        <v>138</v>
      </c>
      <c r="Z1434" s="44" t="s">
        <v>2011</v>
      </c>
      <c r="AA1434" s="44" t="s">
        <v>180</v>
      </c>
      <c r="AC1434" s="19" t="s">
        <v>2058</v>
      </c>
    </row>
    <row r="1435" spans="1:29" hidden="1" x14ac:dyDescent="0.25">
      <c r="A1435" s="26">
        <v>58</v>
      </c>
      <c r="B1435" s="19" t="s">
        <v>2070</v>
      </c>
      <c r="C1435" s="44" t="s">
        <v>273</v>
      </c>
      <c r="D1435" s="19" t="s">
        <v>1493</v>
      </c>
      <c r="E1435" s="19">
        <v>12</v>
      </c>
      <c r="F1435" s="19">
        <v>238</v>
      </c>
      <c r="G1435" s="19">
        <v>1280</v>
      </c>
      <c r="H1435" s="19">
        <v>1</v>
      </c>
      <c r="I1435" s="80">
        <v>28.7</v>
      </c>
      <c r="J1435" s="80">
        <v>28.7</v>
      </c>
      <c r="K1435" s="19" t="s">
        <v>184</v>
      </c>
      <c r="L1435" s="19" t="s">
        <v>2057</v>
      </c>
      <c r="O1435" s="19" t="s">
        <v>138</v>
      </c>
      <c r="Q1435" s="20">
        <v>23</v>
      </c>
      <c r="R1435" s="65" t="s">
        <v>2010</v>
      </c>
      <c r="T1435" s="19" t="s">
        <v>307</v>
      </c>
      <c r="V1435" s="19" t="s">
        <v>178</v>
      </c>
      <c r="Z1435" s="44" t="s">
        <v>2011</v>
      </c>
      <c r="AA1435" s="44" t="s">
        <v>180</v>
      </c>
      <c r="AC1435" s="19" t="s">
        <v>2058</v>
      </c>
    </row>
    <row r="1436" spans="1:29" hidden="1" x14ac:dyDescent="0.25">
      <c r="A1436" s="26">
        <v>59</v>
      </c>
      <c r="B1436" s="19" t="s">
        <v>2071</v>
      </c>
      <c r="C1436" s="44" t="s">
        <v>273</v>
      </c>
      <c r="D1436" s="19" t="s">
        <v>1493</v>
      </c>
      <c r="E1436" s="19">
        <v>12</v>
      </c>
      <c r="F1436" s="19">
        <v>238</v>
      </c>
      <c r="G1436" s="19">
        <v>1280</v>
      </c>
      <c r="H1436" s="19">
        <v>1</v>
      </c>
      <c r="I1436" s="80">
        <v>28.7</v>
      </c>
      <c r="J1436" s="80">
        <v>28.7</v>
      </c>
      <c r="K1436" s="19" t="s">
        <v>184</v>
      </c>
      <c r="L1436" s="19" t="s">
        <v>2057</v>
      </c>
      <c r="O1436" s="19" t="s">
        <v>138</v>
      </c>
      <c r="Q1436" s="20">
        <v>23</v>
      </c>
      <c r="R1436" s="65" t="s">
        <v>2010</v>
      </c>
      <c r="T1436" s="19" t="s">
        <v>307</v>
      </c>
      <c r="V1436" s="19" t="s">
        <v>178</v>
      </c>
      <c r="Z1436" s="44" t="s">
        <v>2011</v>
      </c>
      <c r="AA1436" s="44" t="s">
        <v>180</v>
      </c>
      <c r="AC1436" s="19" t="s">
        <v>2058</v>
      </c>
    </row>
    <row r="1437" spans="1:29" hidden="1" x14ac:dyDescent="0.25">
      <c r="A1437" s="26">
        <v>60</v>
      </c>
      <c r="B1437" s="19" t="s">
        <v>2059</v>
      </c>
      <c r="C1437" s="44" t="s">
        <v>273</v>
      </c>
      <c r="D1437" s="19" t="s">
        <v>803</v>
      </c>
      <c r="E1437" s="19">
        <v>12</v>
      </c>
      <c r="F1437" s="19">
        <v>135</v>
      </c>
      <c r="G1437" s="19">
        <v>488</v>
      </c>
      <c r="H1437" s="19">
        <v>4</v>
      </c>
      <c r="I1437" s="80">
        <v>6.19</v>
      </c>
      <c r="J1437" s="80">
        <v>24.76</v>
      </c>
      <c r="K1437" s="19" t="s">
        <v>184</v>
      </c>
      <c r="L1437" s="19" t="s">
        <v>2072</v>
      </c>
      <c r="Q1437" s="20">
        <v>23</v>
      </c>
      <c r="R1437" s="65" t="s">
        <v>2010</v>
      </c>
      <c r="T1437" s="19" t="s">
        <v>307</v>
      </c>
      <c r="V1437" s="19" t="s">
        <v>178</v>
      </c>
      <c r="W1437" s="19" t="s">
        <v>138</v>
      </c>
      <c r="Z1437" s="44" t="s">
        <v>2011</v>
      </c>
      <c r="AA1437" s="44" t="s">
        <v>180</v>
      </c>
      <c r="AC1437" s="19" t="s">
        <v>2073</v>
      </c>
    </row>
    <row r="1438" spans="1:29" hidden="1" x14ac:dyDescent="0.25">
      <c r="A1438" s="26">
        <v>61</v>
      </c>
      <c r="B1438" s="19" t="s">
        <v>2074</v>
      </c>
      <c r="C1438" s="44" t="s">
        <v>273</v>
      </c>
      <c r="D1438" s="19" t="s">
        <v>803</v>
      </c>
      <c r="E1438" s="19">
        <v>12</v>
      </c>
      <c r="F1438" s="19">
        <v>135</v>
      </c>
      <c r="G1438" s="19">
        <v>488</v>
      </c>
      <c r="H1438" s="19">
        <v>8</v>
      </c>
      <c r="I1438" s="80">
        <v>6.19</v>
      </c>
      <c r="J1438" s="80">
        <v>49.52</v>
      </c>
      <c r="K1438" s="19" t="s">
        <v>184</v>
      </c>
      <c r="L1438" s="19" t="s">
        <v>2072</v>
      </c>
      <c r="Q1438" s="20">
        <v>23</v>
      </c>
      <c r="R1438" s="65" t="s">
        <v>2010</v>
      </c>
      <c r="T1438" s="19" t="s">
        <v>307</v>
      </c>
      <c r="V1438" s="19" t="s">
        <v>178</v>
      </c>
      <c r="W1438" s="19" t="s">
        <v>138</v>
      </c>
      <c r="Z1438" s="44" t="s">
        <v>2011</v>
      </c>
      <c r="AA1438" s="44" t="s">
        <v>180</v>
      </c>
      <c r="AC1438" s="19" t="s">
        <v>2073</v>
      </c>
    </row>
    <row r="1439" spans="1:29" hidden="1" x14ac:dyDescent="0.25">
      <c r="A1439" s="26">
        <v>62</v>
      </c>
      <c r="B1439" s="19" t="s">
        <v>2075</v>
      </c>
      <c r="C1439" s="44" t="s">
        <v>273</v>
      </c>
      <c r="D1439" s="19" t="s">
        <v>828</v>
      </c>
      <c r="E1439" s="19">
        <v>12</v>
      </c>
      <c r="F1439" s="19">
        <v>490</v>
      </c>
      <c r="G1439" s="19">
        <v>9980</v>
      </c>
      <c r="H1439" s="19">
        <v>1</v>
      </c>
      <c r="I1439" s="80">
        <v>460.46</v>
      </c>
      <c r="J1439" s="80">
        <v>460.46</v>
      </c>
      <c r="K1439" s="19" t="s">
        <v>184</v>
      </c>
      <c r="L1439" s="19" t="s">
        <v>2072</v>
      </c>
      <c r="Q1439" s="20">
        <v>23</v>
      </c>
      <c r="R1439" s="65" t="s">
        <v>2010</v>
      </c>
      <c r="T1439" s="19" t="s">
        <v>307</v>
      </c>
      <c r="V1439" s="19" t="s">
        <v>178</v>
      </c>
      <c r="Y1439" s="19" t="s">
        <v>138</v>
      </c>
      <c r="Z1439" s="44" t="s">
        <v>2011</v>
      </c>
      <c r="AA1439" s="44" t="s">
        <v>180</v>
      </c>
      <c r="AC1439" s="19" t="s">
        <v>2073</v>
      </c>
    </row>
    <row r="1440" spans="1:29" hidden="1" x14ac:dyDescent="0.25">
      <c r="A1440" s="26">
        <v>63</v>
      </c>
      <c r="B1440" s="19" t="s">
        <v>2076</v>
      </c>
      <c r="C1440" s="44" t="s">
        <v>273</v>
      </c>
      <c r="D1440" s="19" t="s">
        <v>828</v>
      </c>
      <c r="E1440" s="19">
        <v>12</v>
      </c>
      <c r="F1440" s="19">
        <v>490</v>
      </c>
      <c r="G1440" s="19">
        <v>9980</v>
      </c>
      <c r="H1440" s="19">
        <v>1</v>
      </c>
      <c r="I1440" s="80">
        <v>460.46</v>
      </c>
      <c r="J1440" s="80">
        <v>460.46</v>
      </c>
      <c r="K1440" s="19" t="s">
        <v>184</v>
      </c>
      <c r="L1440" s="19" t="s">
        <v>2072</v>
      </c>
      <c r="Q1440" s="20">
        <v>23</v>
      </c>
      <c r="R1440" s="65" t="s">
        <v>2010</v>
      </c>
      <c r="T1440" s="19" t="s">
        <v>307</v>
      </c>
      <c r="V1440" s="19" t="s">
        <v>178</v>
      </c>
      <c r="Y1440" s="19" t="s">
        <v>138</v>
      </c>
      <c r="Z1440" s="44" t="s">
        <v>2011</v>
      </c>
      <c r="AA1440" s="44" t="s">
        <v>180</v>
      </c>
      <c r="AC1440" s="19" t="s">
        <v>2073</v>
      </c>
    </row>
    <row r="1441" spans="1:29" hidden="1" x14ac:dyDescent="0.25">
      <c r="A1441" s="26">
        <v>64</v>
      </c>
      <c r="B1441" s="19" t="s">
        <v>2062</v>
      </c>
      <c r="C1441" s="44" t="s">
        <v>273</v>
      </c>
      <c r="D1441" s="19" t="s">
        <v>1239</v>
      </c>
      <c r="E1441" s="19">
        <v>12</v>
      </c>
      <c r="F1441" s="19">
        <v>130</v>
      </c>
      <c r="G1441" s="19">
        <v>663</v>
      </c>
      <c r="H1441" s="19">
        <v>1</v>
      </c>
      <c r="I1441" s="80">
        <v>8.11</v>
      </c>
      <c r="J1441" s="80">
        <v>8.11</v>
      </c>
      <c r="K1441" s="19" t="s">
        <v>184</v>
      </c>
      <c r="L1441" s="19" t="s">
        <v>2072</v>
      </c>
      <c r="Q1441" s="20">
        <v>23</v>
      </c>
      <c r="R1441" s="65" t="s">
        <v>2010</v>
      </c>
      <c r="T1441" s="19" t="s">
        <v>307</v>
      </c>
      <c r="V1441" s="19" t="s">
        <v>178</v>
      </c>
      <c r="W1441" s="19" t="s">
        <v>138</v>
      </c>
      <c r="Z1441" s="44" t="s">
        <v>2011</v>
      </c>
      <c r="AA1441" s="44" t="s">
        <v>180</v>
      </c>
      <c r="AC1441" s="19" t="s">
        <v>2073</v>
      </c>
    </row>
    <row r="1442" spans="1:29" hidden="1" x14ac:dyDescent="0.25">
      <c r="A1442" s="26">
        <v>65</v>
      </c>
      <c r="B1442" s="19" t="s">
        <v>2077</v>
      </c>
      <c r="C1442" s="44" t="s">
        <v>273</v>
      </c>
      <c r="D1442" s="19" t="s">
        <v>828</v>
      </c>
      <c r="E1442" s="19">
        <v>12</v>
      </c>
      <c r="F1442" s="19">
        <v>490</v>
      </c>
      <c r="G1442" s="19">
        <v>9980</v>
      </c>
      <c r="H1442" s="19">
        <v>1</v>
      </c>
      <c r="I1442" s="80">
        <v>460.46</v>
      </c>
      <c r="J1442" s="80">
        <v>460.46</v>
      </c>
      <c r="K1442" s="19" t="s">
        <v>184</v>
      </c>
      <c r="L1442" s="19" t="s">
        <v>2072</v>
      </c>
      <c r="Q1442" s="20">
        <v>23</v>
      </c>
      <c r="R1442" s="65" t="s">
        <v>2010</v>
      </c>
      <c r="T1442" s="19" t="s">
        <v>307</v>
      </c>
      <c r="V1442" s="19" t="s">
        <v>178</v>
      </c>
      <c r="Y1442" s="19" t="s">
        <v>138</v>
      </c>
      <c r="Z1442" s="44" t="s">
        <v>2011</v>
      </c>
      <c r="AA1442" s="44" t="s">
        <v>180</v>
      </c>
      <c r="AC1442" s="19" t="s">
        <v>2073</v>
      </c>
    </row>
    <row r="1443" spans="1:29" hidden="1" x14ac:dyDescent="0.25">
      <c r="A1443" s="26">
        <v>66</v>
      </c>
      <c r="B1443" s="19" t="s">
        <v>2078</v>
      </c>
      <c r="C1443" s="44" t="s">
        <v>273</v>
      </c>
      <c r="D1443" s="19" t="s">
        <v>828</v>
      </c>
      <c r="E1443" s="19">
        <v>12</v>
      </c>
      <c r="F1443" s="19">
        <v>490</v>
      </c>
      <c r="G1443" s="19">
        <v>9980</v>
      </c>
      <c r="H1443" s="19">
        <v>1</v>
      </c>
      <c r="I1443" s="80">
        <v>460.46</v>
      </c>
      <c r="J1443" s="80">
        <v>460.46</v>
      </c>
      <c r="K1443" s="19" t="s">
        <v>184</v>
      </c>
      <c r="L1443" s="19" t="s">
        <v>2072</v>
      </c>
      <c r="Q1443" s="20">
        <v>23</v>
      </c>
      <c r="R1443" s="65" t="s">
        <v>2010</v>
      </c>
      <c r="T1443" s="19" t="s">
        <v>307</v>
      </c>
      <c r="V1443" s="19" t="s">
        <v>178</v>
      </c>
      <c r="Y1443" s="19" t="s">
        <v>138</v>
      </c>
      <c r="Z1443" s="44" t="s">
        <v>2011</v>
      </c>
      <c r="AA1443" s="44" t="s">
        <v>180</v>
      </c>
      <c r="AC1443" s="19" t="s">
        <v>2073</v>
      </c>
    </row>
    <row r="1444" spans="1:29" hidden="1" x14ac:dyDescent="0.25">
      <c r="A1444" s="26">
        <v>67</v>
      </c>
      <c r="B1444" s="19" t="s">
        <v>2079</v>
      </c>
      <c r="C1444" s="44" t="s">
        <v>273</v>
      </c>
      <c r="D1444" s="19" t="s">
        <v>1239</v>
      </c>
      <c r="E1444" s="19">
        <v>12</v>
      </c>
      <c r="F1444" s="19">
        <v>130</v>
      </c>
      <c r="G1444" s="19">
        <v>663</v>
      </c>
      <c r="H1444" s="19">
        <v>8</v>
      </c>
      <c r="I1444" s="80">
        <v>8.11</v>
      </c>
      <c r="J1444" s="80">
        <v>64.88</v>
      </c>
      <c r="K1444" s="19" t="s">
        <v>184</v>
      </c>
      <c r="L1444" s="19" t="s">
        <v>2072</v>
      </c>
      <c r="Q1444" s="20">
        <v>23</v>
      </c>
      <c r="R1444" s="65" t="s">
        <v>2010</v>
      </c>
      <c r="T1444" s="19" t="s">
        <v>307</v>
      </c>
      <c r="V1444" s="19" t="s">
        <v>178</v>
      </c>
      <c r="W1444" s="19" t="s">
        <v>138</v>
      </c>
      <c r="Z1444" s="44" t="s">
        <v>2011</v>
      </c>
      <c r="AA1444" s="44" t="s">
        <v>180</v>
      </c>
      <c r="AC1444" s="19" t="s">
        <v>2073</v>
      </c>
    </row>
    <row r="1445" spans="1:29" hidden="1" x14ac:dyDescent="0.25">
      <c r="A1445" s="26">
        <v>68</v>
      </c>
      <c r="B1445" s="19" t="s">
        <v>2080</v>
      </c>
      <c r="C1445" s="44" t="s">
        <v>273</v>
      </c>
      <c r="D1445" s="19" t="s">
        <v>1493</v>
      </c>
      <c r="E1445" s="19">
        <v>12</v>
      </c>
      <c r="F1445" s="19">
        <v>238</v>
      </c>
      <c r="G1445" s="19">
        <v>1280</v>
      </c>
      <c r="H1445" s="19">
        <v>1</v>
      </c>
      <c r="I1445" s="80">
        <v>28.7</v>
      </c>
      <c r="J1445" s="80">
        <v>28.7</v>
      </c>
      <c r="K1445" s="19" t="s">
        <v>184</v>
      </c>
      <c r="L1445" s="19" t="s">
        <v>2072</v>
      </c>
      <c r="O1445" s="19" t="s">
        <v>138</v>
      </c>
      <c r="Q1445" s="20">
        <v>23</v>
      </c>
      <c r="R1445" s="65" t="s">
        <v>2010</v>
      </c>
      <c r="T1445" s="19" t="s">
        <v>307</v>
      </c>
      <c r="V1445" s="19" t="s">
        <v>178</v>
      </c>
      <c r="Z1445" s="44" t="s">
        <v>2011</v>
      </c>
      <c r="AA1445" s="44" t="s">
        <v>180</v>
      </c>
      <c r="AC1445" s="19" t="s">
        <v>2073</v>
      </c>
    </row>
    <row r="1446" spans="1:29" hidden="1" x14ac:dyDescent="0.25">
      <c r="A1446" s="26">
        <v>69</v>
      </c>
      <c r="B1446" s="19" t="s">
        <v>2081</v>
      </c>
      <c r="C1446" s="44" t="s">
        <v>273</v>
      </c>
      <c r="D1446" s="19" t="s">
        <v>1493</v>
      </c>
      <c r="E1446" s="19">
        <v>12</v>
      </c>
      <c r="F1446" s="19">
        <v>238</v>
      </c>
      <c r="G1446" s="19">
        <v>1280</v>
      </c>
      <c r="H1446" s="19">
        <v>1</v>
      </c>
      <c r="I1446" s="80">
        <v>28.7</v>
      </c>
      <c r="J1446" s="80">
        <v>28.7</v>
      </c>
      <c r="K1446" s="19" t="s">
        <v>184</v>
      </c>
      <c r="L1446" s="19" t="s">
        <v>2072</v>
      </c>
      <c r="O1446" s="19" t="s">
        <v>138</v>
      </c>
      <c r="Q1446" s="20">
        <v>23</v>
      </c>
      <c r="R1446" s="65" t="s">
        <v>2010</v>
      </c>
      <c r="T1446" s="19" t="s">
        <v>307</v>
      </c>
      <c r="V1446" s="19" t="s">
        <v>178</v>
      </c>
      <c r="Z1446" s="44" t="s">
        <v>2011</v>
      </c>
      <c r="AA1446" s="44" t="s">
        <v>180</v>
      </c>
      <c r="AC1446" s="19" t="s">
        <v>2073</v>
      </c>
    </row>
    <row r="1447" spans="1:29" hidden="1" x14ac:dyDescent="0.25">
      <c r="A1447" s="26">
        <v>70</v>
      </c>
      <c r="B1447" s="19" t="s">
        <v>2082</v>
      </c>
      <c r="C1447" s="44" t="s">
        <v>273</v>
      </c>
      <c r="D1447" s="19" t="s">
        <v>1493</v>
      </c>
      <c r="E1447" s="19">
        <v>12</v>
      </c>
      <c r="F1447" s="19">
        <v>238</v>
      </c>
      <c r="G1447" s="19">
        <v>1280</v>
      </c>
      <c r="H1447" s="19">
        <v>1</v>
      </c>
      <c r="I1447" s="80">
        <v>28.7</v>
      </c>
      <c r="J1447" s="80">
        <v>28.7</v>
      </c>
      <c r="K1447" s="19" t="s">
        <v>184</v>
      </c>
      <c r="L1447" s="19" t="s">
        <v>2072</v>
      </c>
      <c r="O1447" s="19" t="s">
        <v>138</v>
      </c>
      <c r="Q1447" s="20">
        <v>23</v>
      </c>
      <c r="R1447" s="65" t="s">
        <v>2010</v>
      </c>
      <c r="T1447" s="19" t="s">
        <v>307</v>
      </c>
      <c r="V1447" s="19" t="s">
        <v>178</v>
      </c>
      <c r="Z1447" s="44" t="s">
        <v>2011</v>
      </c>
      <c r="AA1447" s="44" t="s">
        <v>180</v>
      </c>
      <c r="AC1447" s="19" t="s">
        <v>2073</v>
      </c>
    </row>
    <row r="1448" spans="1:29" hidden="1" x14ac:dyDescent="0.25">
      <c r="A1448" s="26">
        <v>71</v>
      </c>
      <c r="B1448" s="19" t="s">
        <v>2083</v>
      </c>
      <c r="C1448" s="44" t="s">
        <v>273</v>
      </c>
      <c r="D1448" s="19" t="s">
        <v>1493</v>
      </c>
      <c r="E1448" s="19">
        <v>12</v>
      </c>
      <c r="F1448" s="19">
        <v>238</v>
      </c>
      <c r="G1448" s="19">
        <v>1280</v>
      </c>
      <c r="H1448" s="19">
        <v>1</v>
      </c>
      <c r="I1448" s="80">
        <v>28.7</v>
      </c>
      <c r="J1448" s="80">
        <v>28.7</v>
      </c>
      <c r="K1448" s="19" t="s">
        <v>184</v>
      </c>
      <c r="L1448" s="19" t="s">
        <v>2072</v>
      </c>
      <c r="O1448" s="19" t="s">
        <v>138</v>
      </c>
      <c r="Q1448" s="20">
        <v>23</v>
      </c>
      <c r="R1448" s="65" t="s">
        <v>2010</v>
      </c>
      <c r="T1448" s="19" t="s">
        <v>307</v>
      </c>
      <c r="V1448" s="19" t="s">
        <v>178</v>
      </c>
      <c r="Z1448" s="44" t="s">
        <v>2011</v>
      </c>
      <c r="AA1448" s="44" t="s">
        <v>180</v>
      </c>
      <c r="AC1448" s="19" t="s">
        <v>2073</v>
      </c>
    </row>
    <row r="1449" spans="1:29" hidden="1" x14ac:dyDescent="0.25">
      <c r="A1449" s="26">
        <v>72</v>
      </c>
      <c r="B1449" s="19" t="s">
        <v>2084</v>
      </c>
      <c r="C1449" s="44" t="s">
        <v>273</v>
      </c>
      <c r="D1449" s="19" t="s">
        <v>1493</v>
      </c>
      <c r="E1449" s="19">
        <v>12</v>
      </c>
      <c r="F1449" s="19">
        <v>238</v>
      </c>
      <c r="G1449" s="19">
        <v>1280</v>
      </c>
      <c r="H1449" s="19">
        <v>1</v>
      </c>
      <c r="I1449" s="80">
        <v>28.7</v>
      </c>
      <c r="J1449" s="80">
        <v>28.7</v>
      </c>
      <c r="K1449" s="19" t="s">
        <v>184</v>
      </c>
      <c r="L1449" s="19" t="s">
        <v>2072</v>
      </c>
      <c r="O1449" s="19" t="s">
        <v>138</v>
      </c>
      <c r="Q1449" s="20">
        <v>23</v>
      </c>
      <c r="R1449" s="65" t="s">
        <v>2010</v>
      </c>
      <c r="T1449" s="19" t="s">
        <v>307</v>
      </c>
      <c r="V1449" s="19" t="s">
        <v>178</v>
      </c>
      <c r="Z1449" s="44" t="s">
        <v>2011</v>
      </c>
      <c r="AA1449" s="44" t="s">
        <v>180</v>
      </c>
      <c r="AC1449" s="19" t="s">
        <v>2073</v>
      </c>
    </row>
    <row r="1450" spans="1:29" hidden="1" x14ac:dyDescent="0.25">
      <c r="A1450" s="26">
        <v>73</v>
      </c>
      <c r="B1450" s="19" t="s">
        <v>2085</v>
      </c>
      <c r="C1450" s="44" t="s">
        <v>273</v>
      </c>
      <c r="D1450" s="19" t="s">
        <v>1493</v>
      </c>
      <c r="E1450" s="19">
        <v>12</v>
      </c>
      <c r="F1450" s="19">
        <v>238</v>
      </c>
      <c r="G1450" s="19">
        <v>1280</v>
      </c>
      <c r="H1450" s="19">
        <v>1</v>
      </c>
      <c r="I1450" s="80">
        <v>28.7</v>
      </c>
      <c r="J1450" s="80">
        <v>28.7</v>
      </c>
      <c r="K1450" s="19" t="s">
        <v>184</v>
      </c>
      <c r="L1450" s="19" t="s">
        <v>2072</v>
      </c>
      <c r="O1450" s="19" t="s">
        <v>138</v>
      </c>
      <c r="Q1450" s="20">
        <v>23</v>
      </c>
      <c r="R1450" s="65" t="s">
        <v>2010</v>
      </c>
      <c r="T1450" s="19" t="s">
        <v>307</v>
      </c>
      <c r="V1450" s="19" t="s">
        <v>178</v>
      </c>
      <c r="Z1450" s="44" t="s">
        <v>2011</v>
      </c>
      <c r="AA1450" s="44" t="s">
        <v>180</v>
      </c>
      <c r="AC1450" s="19" t="s">
        <v>2073</v>
      </c>
    </row>
    <row r="1451" spans="1:29" hidden="1" x14ac:dyDescent="0.25">
      <c r="A1451" s="26">
        <v>74</v>
      </c>
      <c r="B1451" s="19" t="s">
        <v>2086</v>
      </c>
      <c r="C1451" s="44" t="s">
        <v>273</v>
      </c>
      <c r="D1451" s="19" t="s">
        <v>1493</v>
      </c>
      <c r="E1451" s="19">
        <v>12</v>
      </c>
      <c r="F1451" s="19">
        <v>238</v>
      </c>
      <c r="G1451" s="19">
        <v>1280</v>
      </c>
      <c r="H1451" s="19">
        <v>1</v>
      </c>
      <c r="I1451" s="80">
        <v>28.7</v>
      </c>
      <c r="J1451" s="80">
        <v>28.7</v>
      </c>
      <c r="K1451" s="19" t="s">
        <v>184</v>
      </c>
      <c r="L1451" s="19" t="s">
        <v>2072</v>
      </c>
      <c r="O1451" s="19" t="s">
        <v>138</v>
      </c>
      <c r="Q1451" s="20">
        <v>23</v>
      </c>
      <c r="R1451" s="65" t="s">
        <v>2010</v>
      </c>
      <c r="T1451" s="19" t="s">
        <v>307</v>
      </c>
      <c r="V1451" s="19" t="s">
        <v>178</v>
      </c>
      <c r="Z1451" s="44" t="s">
        <v>2011</v>
      </c>
      <c r="AA1451" s="44" t="s">
        <v>180</v>
      </c>
      <c r="AC1451" s="19" t="s">
        <v>2073</v>
      </c>
    </row>
    <row r="1452" spans="1:29" hidden="1" x14ac:dyDescent="0.25">
      <c r="A1452" s="26">
        <v>75</v>
      </c>
      <c r="B1452" s="19" t="s">
        <v>2014</v>
      </c>
      <c r="C1452" s="44" t="s">
        <v>273</v>
      </c>
      <c r="D1452" s="19" t="s">
        <v>839</v>
      </c>
      <c r="E1452" s="19">
        <v>12</v>
      </c>
      <c r="F1452" s="19">
        <v>120</v>
      </c>
      <c r="G1452" s="19">
        <v>129</v>
      </c>
      <c r="H1452" s="19">
        <v>9</v>
      </c>
      <c r="I1452" s="80">
        <v>1.32</v>
      </c>
      <c r="J1452" s="80">
        <v>11.92</v>
      </c>
      <c r="K1452" s="19" t="s">
        <v>184</v>
      </c>
      <c r="L1452" s="19" t="s">
        <v>2087</v>
      </c>
      <c r="Q1452" s="20">
        <v>23</v>
      </c>
      <c r="R1452" s="65" t="s">
        <v>2010</v>
      </c>
      <c r="T1452" s="19" t="s">
        <v>307</v>
      </c>
      <c r="V1452" s="19" t="s">
        <v>178</v>
      </c>
      <c r="W1452" s="19" t="s">
        <v>138</v>
      </c>
      <c r="Z1452" s="44" t="s">
        <v>2011</v>
      </c>
      <c r="AA1452" s="44" t="s">
        <v>180</v>
      </c>
      <c r="AC1452" s="19" t="s">
        <v>2088</v>
      </c>
    </row>
    <row r="1453" spans="1:29" hidden="1" x14ac:dyDescent="0.25">
      <c r="A1453" s="26">
        <v>76</v>
      </c>
      <c r="B1453" s="19" t="s">
        <v>2089</v>
      </c>
      <c r="C1453" s="44" t="s">
        <v>273</v>
      </c>
      <c r="D1453" s="19" t="s">
        <v>839</v>
      </c>
      <c r="E1453" s="19">
        <v>12</v>
      </c>
      <c r="F1453" s="19">
        <v>120</v>
      </c>
      <c r="G1453" s="19">
        <v>129</v>
      </c>
      <c r="H1453" s="19">
        <v>24</v>
      </c>
      <c r="I1453" s="80">
        <v>1.32</v>
      </c>
      <c r="J1453" s="80">
        <v>31.78</v>
      </c>
      <c r="K1453" s="19" t="s">
        <v>184</v>
      </c>
      <c r="L1453" s="19" t="s">
        <v>2087</v>
      </c>
      <c r="Q1453" s="20">
        <v>23</v>
      </c>
      <c r="R1453" s="65" t="s">
        <v>2010</v>
      </c>
      <c r="T1453" s="19" t="s">
        <v>307</v>
      </c>
      <c r="V1453" s="19" t="s">
        <v>178</v>
      </c>
      <c r="W1453" s="19" t="s">
        <v>138</v>
      </c>
      <c r="Z1453" s="44" t="s">
        <v>2011</v>
      </c>
      <c r="AA1453" s="44" t="s">
        <v>180</v>
      </c>
      <c r="AC1453" s="19" t="s">
        <v>2088</v>
      </c>
    </row>
    <row r="1454" spans="1:29" hidden="1" x14ac:dyDescent="0.25">
      <c r="A1454" s="26">
        <v>77</v>
      </c>
      <c r="B1454" s="19" t="s">
        <v>2074</v>
      </c>
      <c r="C1454" s="44" t="s">
        <v>273</v>
      </c>
      <c r="D1454" s="19" t="s">
        <v>803</v>
      </c>
      <c r="E1454" s="19">
        <v>12</v>
      </c>
      <c r="F1454" s="19">
        <v>135</v>
      </c>
      <c r="G1454" s="19">
        <v>488</v>
      </c>
      <c r="H1454" s="19">
        <v>4</v>
      </c>
      <c r="I1454" s="80">
        <v>6.19</v>
      </c>
      <c r="J1454" s="80">
        <v>24.76</v>
      </c>
      <c r="K1454" s="19" t="s">
        <v>184</v>
      </c>
      <c r="L1454" s="19" t="s">
        <v>2087</v>
      </c>
      <c r="Q1454" s="20">
        <v>23</v>
      </c>
      <c r="R1454" s="65" t="s">
        <v>2010</v>
      </c>
      <c r="T1454" s="19" t="s">
        <v>307</v>
      </c>
      <c r="V1454" s="19" t="s">
        <v>178</v>
      </c>
      <c r="W1454" s="19" t="s">
        <v>138</v>
      </c>
      <c r="Z1454" s="44" t="s">
        <v>2011</v>
      </c>
      <c r="AA1454" s="44" t="s">
        <v>180</v>
      </c>
      <c r="AC1454" s="19" t="s">
        <v>2088</v>
      </c>
    </row>
    <row r="1455" spans="1:29" hidden="1" x14ac:dyDescent="0.25">
      <c r="A1455" s="26">
        <v>78</v>
      </c>
      <c r="B1455" s="19" t="s">
        <v>2090</v>
      </c>
      <c r="C1455" s="44" t="s">
        <v>273</v>
      </c>
      <c r="D1455" s="19" t="s">
        <v>839</v>
      </c>
      <c r="E1455" s="19">
        <v>12</v>
      </c>
      <c r="F1455" s="19">
        <v>120</v>
      </c>
      <c r="G1455" s="19">
        <v>129</v>
      </c>
      <c r="H1455" s="19">
        <v>24</v>
      </c>
      <c r="I1455" s="80">
        <v>1.32</v>
      </c>
      <c r="J1455" s="80">
        <v>31.78</v>
      </c>
      <c r="K1455" s="19" t="s">
        <v>184</v>
      </c>
      <c r="L1455" s="19" t="s">
        <v>2087</v>
      </c>
      <c r="Q1455" s="20">
        <v>23</v>
      </c>
      <c r="R1455" s="65" t="s">
        <v>2010</v>
      </c>
      <c r="T1455" s="19" t="s">
        <v>307</v>
      </c>
      <c r="V1455" s="19" t="s">
        <v>178</v>
      </c>
      <c r="W1455" s="19" t="s">
        <v>138</v>
      </c>
      <c r="Z1455" s="44" t="s">
        <v>2011</v>
      </c>
      <c r="AA1455" s="44" t="s">
        <v>180</v>
      </c>
      <c r="AC1455" s="19" t="s">
        <v>2088</v>
      </c>
    </row>
    <row r="1456" spans="1:29" hidden="1" x14ac:dyDescent="0.25">
      <c r="A1456" s="26">
        <v>79</v>
      </c>
      <c r="B1456" s="19" t="s">
        <v>2091</v>
      </c>
      <c r="C1456" s="44" t="s">
        <v>273</v>
      </c>
      <c r="D1456" s="19" t="s">
        <v>812</v>
      </c>
      <c r="E1456" s="19">
        <v>12</v>
      </c>
      <c r="F1456" s="19">
        <v>490</v>
      </c>
      <c r="G1456" s="19">
        <v>6464</v>
      </c>
      <c r="H1456" s="19">
        <v>1</v>
      </c>
      <c r="I1456" s="80">
        <v>298.16000000000003</v>
      </c>
      <c r="J1456" s="80">
        <v>298.16000000000003</v>
      </c>
      <c r="K1456" s="19" t="s">
        <v>184</v>
      </c>
      <c r="L1456" s="19" t="s">
        <v>2087</v>
      </c>
      <c r="Q1456" s="20">
        <v>23</v>
      </c>
      <c r="R1456" s="65" t="s">
        <v>2010</v>
      </c>
      <c r="T1456" s="19" t="s">
        <v>307</v>
      </c>
      <c r="V1456" s="19" t="s">
        <v>178</v>
      </c>
      <c r="Y1456" s="19" t="s">
        <v>138</v>
      </c>
      <c r="Z1456" s="44" t="s">
        <v>2011</v>
      </c>
      <c r="AA1456" s="44" t="s">
        <v>180</v>
      </c>
      <c r="AC1456" s="19" t="s">
        <v>2088</v>
      </c>
    </row>
    <row r="1457" spans="1:29" hidden="1" x14ac:dyDescent="0.25">
      <c r="A1457" s="26">
        <v>80</v>
      </c>
      <c r="B1457" s="19" t="s">
        <v>2092</v>
      </c>
      <c r="C1457" s="44" t="s">
        <v>273</v>
      </c>
      <c r="D1457" s="19" t="s">
        <v>803</v>
      </c>
      <c r="E1457" s="19">
        <v>12</v>
      </c>
      <c r="F1457" s="19">
        <v>135</v>
      </c>
      <c r="G1457" s="19">
        <v>488</v>
      </c>
      <c r="H1457" s="19">
        <v>1</v>
      </c>
      <c r="I1457" s="80">
        <v>6.19</v>
      </c>
      <c r="J1457" s="80">
        <v>6.19</v>
      </c>
      <c r="K1457" s="19" t="s">
        <v>184</v>
      </c>
      <c r="L1457" s="19" t="s">
        <v>2087</v>
      </c>
      <c r="Q1457" s="20">
        <v>23</v>
      </c>
      <c r="R1457" s="65" t="s">
        <v>2010</v>
      </c>
      <c r="T1457" s="19" t="s">
        <v>307</v>
      </c>
      <c r="V1457" s="19" t="s">
        <v>178</v>
      </c>
      <c r="W1457" s="19" t="s">
        <v>138</v>
      </c>
      <c r="Z1457" s="44" t="s">
        <v>2011</v>
      </c>
      <c r="AA1457" s="44" t="s">
        <v>180</v>
      </c>
      <c r="AC1457" s="19" t="s">
        <v>2088</v>
      </c>
    </row>
    <row r="1458" spans="1:29" hidden="1" x14ac:dyDescent="0.25">
      <c r="A1458" s="26">
        <v>81</v>
      </c>
      <c r="B1458" s="19" t="s">
        <v>2093</v>
      </c>
      <c r="C1458" s="44" t="s">
        <v>273</v>
      </c>
      <c r="D1458" s="19" t="s">
        <v>839</v>
      </c>
      <c r="E1458" s="19">
        <v>12</v>
      </c>
      <c r="F1458" s="19">
        <v>120</v>
      </c>
      <c r="G1458" s="19">
        <v>129</v>
      </c>
      <c r="H1458" s="19">
        <v>24</v>
      </c>
      <c r="I1458" s="80">
        <v>1.32</v>
      </c>
      <c r="J1458" s="80">
        <v>31.78</v>
      </c>
      <c r="K1458" s="19" t="s">
        <v>184</v>
      </c>
      <c r="L1458" s="19" t="s">
        <v>2087</v>
      </c>
      <c r="Q1458" s="20">
        <v>23</v>
      </c>
      <c r="R1458" s="65" t="s">
        <v>2010</v>
      </c>
      <c r="T1458" s="19" t="s">
        <v>307</v>
      </c>
      <c r="V1458" s="19" t="s">
        <v>178</v>
      </c>
      <c r="W1458" s="19" t="s">
        <v>138</v>
      </c>
      <c r="Z1458" s="44" t="s">
        <v>2011</v>
      </c>
      <c r="AA1458" s="44" t="s">
        <v>180</v>
      </c>
      <c r="AC1458" s="19" t="s">
        <v>2088</v>
      </c>
    </row>
    <row r="1459" spans="1:29" hidden="1" x14ac:dyDescent="0.25">
      <c r="A1459" s="26">
        <v>82</v>
      </c>
      <c r="B1459" s="19" t="s">
        <v>2094</v>
      </c>
      <c r="C1459" s="44" t="s">
        <v>273</v>
      </c>
      <c r="D1459" s="19" t="s">
        <v>839</v>
      </c>
      <c r="E1459" s="19">
        <v>12</v>
      </c>
      <c r="F1459" s="19">
        <v>120</v>
      </c>
      <c r="G1459" s="19">
        <v>129</v>
      </c>
      <c r="H1459" s="19">
        <v>24</v>
      </c>
      <c r="I1459" s="80">
        <v>1.32</v>
      </c>
      <c r="J1459" s="80">
        <v>31.78</v>
      </c>
      <c r="K1459" s="19" t="s">
        <v>184</v>
      </c>
      <c r="L1459" s="19" t="s">
        <v>2087</v>
      </c>
      <c r="Q1459" s="20">
        <v>23</v>
      </c>
      <c r="R1459" s="65" t="s">
        <v>2010</v>
      </c>
      <c r="T1459" s="19" t="s">
        <v>307</v>
      </c>
      <c r="V1459" s="19" t="s">
        <v>178</v>
      </c>
      <c r="W1459" s="19" t="s">
        <v>138</v>
      </c>
      <c r="Z1459" s="44" t="s">
        <v>2011</v>
      </c>
      <c r="AA1459" s="44" t="s">
        <v>180</v>
      </c>
      <c r="AC1459" s="19" t="s">
        <v>2088</v>
      </c>
    </row>
    <row r="1460" spans="1:29" hidden="1" x14ac:dyDescent="0.25">
      <c r="A1460" s="26">
        <v>83</v>
      </c>
      <c r="B1460" s="19" t="s">
        <v>2095</v>
      </c>
      <c r="C1460" s="44" t="s">
        <v>273</v>
      </c>
      <c r="D1460" s="19" t="s">
        <v>839</v>
      </c>
      <c r="E1460" s="19">
        <v>12</v>
      </c>
      <c r="F1460" s="19">
        <v>120</v>
      </c>
      <c r="G1460" s="19">
        <v>129</v>
      </c>
      <c r="H1460" s="19">
        <v>24</v>
      </c>
      <c r="I1460" s="80">
        <v>1.32</v>
      </c>
      <c r="J1460" s="80">
        <v>31.78</v>
      </c>
      <c r="K1460" s="19" t="s">
        <v>184</v>
      </c>
      <c r="L1460" s="19" t="s">
        <v>2087</v>
      </c>
      <c r="Q1460" s="20">
        <v>23</v>
      </c>
      <c r="R1460" s="65" t="s">
        <v>2010</v>
      </c>
      <c r="T1460" s="19" t="s">
        <v>307</v>
      </c>
      <c r="V1460" s="19" t="s">
        <v>178</v>
      </c>
      <c r="W1460" s="19" t="s">
        <v>138</v>
      </c>
      <c r="Z1460" s="44" t="s">
        <v>2011</v>
      </c>
      <c r="AA1460" s="44" t="s">
        <v>180</v>
      </c>
      <c r="AC1460" s="19" t="s">
        <v>2088</v>
      </c>
    </row>
    <row r="1461" spans="1:29" hidden="1" x14ac:dyDescent="0.25">
      <c r="A1461" s="26">
        <v>84</v>
      </c>
      <c r="B1461" s="19" t="s">
        <v>2096</v>
      </c>
      <c r="C1461" s="44" t="s">
        <v>273</v>
      </c>
      <c r="D1461" s="19" t="s">
        <v>839</v>
      </c>
      <c r="E1461" s="19">
        <v>12</v>
      </c>
      <c r="F1461" s="19">
        <v>120</v>
      </c>
      <c r="G1461" s="19">
        <v>129</v>
      </c>
      <c r="H1461" s="19">
        <v>19</v>
      </c>
      <c r="I1461" s="80">
        <v>1.32</v>
      </c>
      <c r="J1461" s="80">
        <v>25.16</v>
      </c>
      <c r="K1461" s="19" t="s">
        <v>184</v>
      </c>
      <c r="L1461" s="19" t="s">
        <v>2087</v>
      </c>
      <c r="Q1461" s="20">
        <v>23</v>
      </c>
      <c r="R1461" s="65" t="s">
        <v>2010</v>
      </c>
      <c r="T1461" s="19" t="s">
        <v>307</v>
      </c>
      <c r="V1461" s="19" t="s">
        <v>178</v>
      </c>
      <c r="W1461" s="19" t="s">
        <v>138</v>
      </c>
      <c r="Z1461" s="44" t="s">
        <v>2011</v>
      </c>
      <c r="AA1461" s="44" t="s">
        <v>180</v>
      </c>
      <c r="AC1461" s="19" t="s">
        <v>2088</v>
      </c>
    </row>
    <row r="1462" spans="1:29" hidden="1" x14ac:dyDescent="0.25">
      <c r="A1462" s="26">
        <v>85</v>
      </c>
      <c r="B1462" s="19" t="s">
        <v>2097</v>
      </c>
      <c r="C1462" s="44" t="s">
        <v>273</v>
      </c>
      <c r="D1462" s="19" t="s">
        <v>869</v>
      </c>
      <c r="E1462" s="19">
        <v>12</v>
      </c>
      <c r="F1462" s="19">
        <v>490</v>
      </c>
      <c r="G1462" s="19">
        <v>1514</v>
      </c>
      <c r="H1462" s="19">
        <v>1</v>
      </c>
      <c r="I1462" s="80">
        <v>69.78</v>
      </c>
      <c r="J1462" s="80">
        <v>69.78</v>
      </c>
      <c r="K1462" s="19" t="s">
        <v>184</v>
      </c>
      <c r="L1462" s="19" t="s">
        <v>2087</v>
      </c>
      <c r="Q1462" s="20">
        <v>23</v>
      </c>
      <c r="R1462" s="65" t="s">
        <v>2010</v>
      </c>
      <c r="T1462" s="19" t="s">
        <v>307</v>
      </c>
      <c r="V1462" s="19" t="s">
        <v>178</v>
      </c>
      <c r="Y1462" s="19" t="s">
        <v>138</v>
      </c>
      <c r="Z1462" s="44" t="s">
        <v>2011</v>
      </c>
      <c r="AA1462" s="44" t="s">
        <v>180</v>
      </c>
      <c r="AC1462" s="19" t="s">
        <v>2088</v>
      </c>
    </row>
    <row r="1463" spans="1:29" hidden="1" x14ac:dyDescent="0.25">
      <c r="A1463" s="26">
        <v>86</v>
      </c>
      <c r="B1463" s="19" t="s">
        <v>2098</v>
      </c>
      <c r="C1463" s="44" t="s">
        <v>273</v>
      </c>
      <c r="D1463" s="19" t="s">
        <v>869</v>
      </c>
      <c r="E1463" s="19">
        <v>12</v>
      </c>
      <c r="F1463" s="19">
        <v>490</v>
      </c>
      <c r="G1463" s="19">
        <v>1514</v>
      </c>
      <c r="H1463" s="19">
        <v>1</v>
      </c>
      <c r="I1463" s="80">
        <v>69.78</v>
      </c>
      <c r="J1463" s="80">
        <v>69.78</v>
      </c>
      <c r="K1463" s="19" t="s">
        <v>184</v>
      </c>
      <c r="L1463" s="19" t="s">
        <v>2087</v>
      </c>
      <c r="Q1463" s="20">
        <v>23</v>
      </c>
      <c r="R1463" s="65" t="s">
        <v>2010</v>
      </c>
      <c r="T1463" s="19" t="s">
        <v>307</v>
      </c>
      <c r="V1463" s="19" t="s">
        <v>178</v>
      </c>
      <c r="Y1463" s="19" t="s">
        <v>138</v>
      </c>
      <c r="Z1463" s="44" t="s">
        <v>2011</v>
      </c>
      <c r="AA1463" s="44" t="s">
        <v>180</v>
      </c>
      <c r="AC1463" s="19" t="s">
        <v>2088</v>
      </c>
    </row>
    <row r="1464" spans="1:29" hidden="1" x14ac:dyDescent="0.25">
      <c r="A1464" s="26">
        <v>87</v>
      </c>
      <c r="B1464" s="19" t="s">
        <v>2099</v>
      </c>
      <c r="C1464" s="44" t="s">
        <v>273</v>
      </c>
      <c r="D1464" s="19" t="s">
        <v>874</v>
      </c>
      <c r="E1464" s="19">
        <v>12</v>
      </c>
      <c r="F1464" s="19">
        <v>100</v>
      </c>
      <c r="G1464" s="19">
        <v>150</v>
      </c>
      <c r="H1464" s="19">
        <v>1</v>
      </c>
      <c r="I1464" s="80">
        <v>1.41</v>
      </c>
      <c r="J1464" s="80">
        <v>1.41</v>
      </c>
      <c r="K1464" s="19" t="s">
        <v>184</v>
      </c>
      <c r="L1464" s="19" t="s">
        <v>2087</v>
      </c>
      <c r="Q1464" s="20">
        <v>23</v>
      </c>
      <c r="R1464" s="65" t="s">
        <v>2010</v>
      </c>
      <c r="T1464" s="19" t="s">
        <v>307</v>
      </c>
      <c r="V1464" s="19" t="s">
        <v>178</v>
      </c>
      <c r="W1464" s="19" t="s">
        <v>138</v>
      </c>
      <c r="Z1464" s="44" t="s">
        <v>2011</v>
      </c>
      <c r="AA1464" s="44" t="s">
        <v>180</v>
      </c>
      <c r="AC1464" s="19" t="s">
        <v>2088</v>
      </c>
    </row>
    <row r="1465" spans="1:29" hidden="1" x14ac:dyDescent="0.25">
      <c r="A1465" s="26">
        <v>88</v>
      </c>
      <c r="B1465" s="19" t="s">
        <v>2100</v>
      </c>
      <c r="C1465" s="44" t="s">
        <v>273</v>
      </c>
      <c r="D1465" s="19" t="s">
        <v>835</v>
      </c>
      <c r="E1465" s="19">
        <v>12</v>
      </c>
      <c r="F1465" s="19">
        <v>1460</v>
      </c>
      <c r="G1465" s="19">
        <v>9068</v>
      </c>
      <c r="H1465" s="19">
        <v>1</v>
      </c>
      <c r="I1465" s="80">
        <v>1240.54</v>
      </c>
      <c r="J1465" s="80">
        <v>1240.54</v>
      </c>
      <c r="K1465" s="19" t="s">
        <v>184</v>
      </c>
      <c r="L1465" s="19" t="s">
        <v>2087</v>
      </c>
      <c r="Q1465" s="20">
        <v>23</v>
      </c>
      <c r="R1465" s="65" t="s">
        <v>2010</v>
      </c>
      <c r="T1465" s="19" t="s">
        <v>307</v>
      </c>
      <c r="V1465" s="19" t="s">
        <v>178</v>
      </c>
      <c r="Y1465" s="19" t="s">
        <v>138</v>
      </c>
      <c r="Z1465" s="44" t="s">
        <v>2011</v>
      </c>
      <c r="AA1465" s="44" t="s">
        <v>180</v>
      </c>
      <c r="AC1465" s="19" t="s">
        <v>2088</v>
      </c>
    </row>
    <row r="1466" spans="1:29" hidden="1" x14ac:dyDescent="0.25">
      <c r="A1466" s="26">
        <v>89</v>
      </c>
      <c r="B1466" s="19" t="s">
        <v>2079</v>
      </c>
      <c r="C1466" s="44" t="s">
        <v>273</v>
      </c>
      <c r="D1466" s="19" t="s">
        <v>1239</v>
      </c>
      <c r="E1466" s="19">
        <v>12</v>
      </c>
      <c r="F1466" s="19">
        <v>130</v>
      </c>
      <c r="G1466" s="19">
        <v>663</v>
      </c>
      <c r="H1466" s="19">
        <v>1</v>
      </c>
      <c r="I1466" s="80">
        <v>8.11</v>
      </c>
      <c r="J1466" s="80">
        <v>8.11</v>
      </c>
      <c r="K1466" s="19" t="s">
        <v>184</v>
      </c>
      <c r="L1466" s="19" t="s">
        <v>2087</v>
      </c>
      <c r="Q1466" s="20">
        <v>23</v>
      </c>
      <c r="R1466" s="65" t="s">
        <v>2010</v>
      </c>
      <c r="T1466" s="19" t="s">
        <v>307</v>
      </c>
      <c r="V1466" s="19" t="s">
        <v>178</v>
      </c>
      <c r="W1466" s="19" t="s">
        <v>138</v>
      </c>
      <c r="Z1466" s="44" t="s">
        <v>2011</v>
      </c>
      <c r="AA1466" s="44" t="s">
        <v>180</v>
      </c>
      <c r="AC1466" s="19" t="s">
        <v>2088</v>
      </c>
    </row>
    <row r="1467" spans="1:29" hidden="1" x14ac:dyDescent="0.25">
      <c r="A1467" s="26">
        <v>90</v>
      </c>
      <c r="B1467" s="19" t="s">
        <v>2101</v>
      </c>
      <c r="C1467" s="44" t="s">
        <v>273</v>
      </c>
      <c r="D1467" s="19" t="s">
        <v>914</v>
      </c>
      <c r="E1467" s="19">
        <v>12</v>
      </c>
      <c r="F1467" s="19">
        <v>95</v>
      </c>
      <c r="G1467" s="19">
        <v>263</v>
      </c>
      <c r="H1467" s="19">
        <v>3</v>
      </c>
      <c r="I1467" s="80">
        <v>2.34</v>
      </c>
      <c r="J1467" s="80">
        <v>7.01</v>
      </c>
      <c r="K1467" s="19" t="s">
        <v>184</v>
      </c>
      <c r="L1467" s="19" t="s">
        <v>2087</v>
      </c>
      <c r="Q1467" s="20">
        <v>23</v>
      </c>
      <c r="R1467" s="65" t="s">
        <v>2010</v>
      </c>
      <c r="T1467" s="19" t="s">
        <v>307</v>
      </c>
      <c r="V1467" s="19" t="s">
        <v>178</v>
      </c>
      <c r="W1467" s="19" t="s">
        <v>138</v>
      </c>
      <c r="Z1467" s="44" t="s">
        <v>2011</v>
      </c>
      <c r="AA1467" s="44" t="s">
        <v>180</v>
      </c>
      <c r="AC1467" s="19" t="s">
        <v>2088</v>
      </c>
    </row>
    <row r="1468" spans="1:29" hidden="1" x14ac:dyDescent="0.25">
      <c r="A1468" s="26">
        <v>91</v>
      </c>
      <c r="B1468" s="19" t="s">
        <v>2102</v>
      </c>
      <c r="C1468" s="44" t="s">
        <v>273</v>
      </c>
      <c r="D1468" s="19" t="s">
        <v>1239</v>
      </c>
      <c r="E1468" s="19">
        <v>12</v>
      </c>
      <c r="F1468" s="19">
        <v>130</v>
      </c>
      <c r="G1468" s="19">
        <v>663</v>
      </c>
      <c r="H1468" s="19">
        <v>5</v>
      </c>
      <c r="I1468" s="80">
        <v>8.11</v>
      </c>
      <c r="J1468" s="80">
        <v>40.549999999999997</v>
      </c>
      <c r="K1468" s="19" t="s">
        <v>184</v>
      </c>
      <c r="L1468" s="19" t="s">
        <v>2087</v>
      </c>
      <c r="Q1468" s="20">
        <v>23</v>
      </c>
      <c r="R1468" s="65" t="s">
        <v>2010</v>
      </c>
      <c r="T1468" s="19" t="s">
        <v>307</v>
      </c>
      <c r="V1468" s="19" t="s">
        <v>178</v>
      </c>
      <c r="W1468" s="19" t="s">
        <v>138</v>
      </c>
      <c r="Z1468" s="44" t="s">
        <v>2011</v>
      </c>
      <c r="AA1468" s="44" t="s">
        <v>180</v>
      </c>
      <c r="AC1468" s="19" t="s">
        <v>2088</v>
      </c>
    </row>
    <row r="1469" spans="1:29" hidden="1" x14ac:dyDescent="0.25">
      <c r="A1469" s="26">
        <v>92</v>
      </c>
      <c r="B1469" s="19" t="s">
        <v>2103</v>
      </c>
      <c r="C1469" s="44" t="s">
        <v>273</v>
      </c>
      <c r="D1469" s="19" t="s">
        <v>1211</v>
      </c>
      <c r="E1469" s="19">
        <v>12</v>
      </c>
      <c r="F1469" s="19">
        <v>490</v>
      </c>
      <c r="G1469" s="19">
        <v>1388</v>
      </c>
      <c r="H1469" s="19">
        <v>1</v>
      </c>
      <c r="I1469" s="80">
        <v>63.63</v>
      </c>
      <c r="J1469" s="80">
        <v>63.63</v>
      </c>
      <c r="K1469" s="19" t="s">
        <v>184</v>
      </c>
      <c r="L1469" s="19" t="s">
        <v>2087</v>
      </c>
      <c r="Q1469" s="20">
        <v>23</v>
      </c>
      <c r="R1469" s="65" t="s">
        <v>2010</v>
      </c>
      <c r="T1469" s="19" t="s">
        <v>307</v>
      </c>
      <c r="V1469" s="19" t="s">
        <v>178</v>
      </c>
      <c r="Y1469" s="19" t="s">
        <v>138</v>
      </c>
      <c r="Z1469" s="44" t="s">
        <v>2011</v>
      </c>
      <c r="AA1469" s="44" t="s">
        <v>180</v>
      </c>
      <c r="AC1469" s="19" t="s">
        <v>2088</v>
      </c>
    </row>
    <row r="1470" spans="1:29" hidden="1" x14ac:dyDescent="0.25">
      <c r="A1470" s="26">
        <v>93</v>
      </c>
      <c r="B1470" s="19" t="s">
        <v>2104</v>
      </c>
      <c r="C1470" s="44" t="s">
        <v>273</v>
      </c>
      <c r="D1470" s="19" t="s">
        <v>1493</v>
      </c>
      <c r="E1470" s="19">
        <v>12</v>
      </c>
      <c r="F1470" s="19">
        <v>238</v>
      </c>
      <c r="G1470" s="19">
        <v>1280</v>
      </c>
      <c r="H1470" s="19">
        <v>1</v>
      </c>
      <c r="I1470" s="80">
        <v>28.7</v>
      </c>
      <c r="J1470" s="80">
        <v>28.7</v>
      </c>
      <c r="K1470" s="19" t="s">
        <v>184</v>
      </c>
      <c r="L1470" s="19" t="s">
        <v>2087</v>
      </c>
      <c r="O1470" s="19" t="s">
        <v>138</v>
      </c>
      <c r="Q1470" s="20">
        <v>23</v>
      </c>
      <c r="R1470" s="65" t="s">
        <v>2010</v>
      </c>
      <c r="T1470" s="19" t="s">
        <v>307</v>
      </c>
      <c r="V1470" s="19" t="s">
        <v>178</v>
      </c>
      <c r="Z1470" s="44" t="s">
        <v>2011</v>
      </c>
      <c r="AA1470" s="44" t="s">
        <v>180</v>
      </c>
      <c r="AC1470" s="19" t="s">
        <v>2088</v>
      </c>
    </row>
    <row r="1471" spans="1:29" hidden="1" x14ac:dyDescent="0.25">
      <c r="A1471" s="26">
        <v>94</v>
      </c>
      <c r="B1471" s="19" t="s">
        <v>2105</v>
      </c>
      <c r="C1471" s="44" t="s">
        <v>273</v>
      </c>
      <c r="D1471" s="19" t="s">
        <v>1493</v>
      </c>
      <c r="E1471" s="19">
        <v>12</v>
      </c>
      <c r="F1471" s="19">
        <v>238</v>
      </c>
      <c r="G1471" s="19">
        <v>1280</v>
      </c>
      <c r="H1471" s="19">
        <v>1</v>
      </c>
      <c r="I1471" s="80">
        <v>28.7</v>
      </c>
      <c r="J1471" s="80">
        <v>28.7</v>
      </c>
      <c r="K1471" s="19" t="s">
        <v>184</v>
      </c>
      <c r="L1471" s="19" t="s">
        <v>2087</v>
      </c>
      <c r="O1471" s="19" t="s">
        <v>138</v>
      </c>
      <c r="Q1471" s="20">
        <v>23</v>
      </c>
      <c r="R1471" s="65" t="s">
        <v>2010</v>
      </c>
      <c r="T1471" s="19" t="s">
        <v>307</v>
      </c>
      <c r="V1471" s="19" t="s">
        <v>178</v>
      </c>
      <c r="Z1471" s="44" t="s">
        <v>2011</v>
      </c>
      <c r="AA1471" s="44" t="s">
        <v>180</v>
      </c>
      <c r="AC1471" s="19" t="s">
        <v>2088</v>
      </c>
    </row>
    <row r="1472" spans="1:29" hidden="1" x14ac:dyDescent="0.25">
      <c r="A1472" s="26">
        <v>95</v>
      </c>
      <c r="B1472" s="19" t="s">
        <v>2106</v>
      </c>
      <c r="C1472" s="44" t="s">
        <v>273</v>
      </c>
      <c r="D1472" s="19" t="s">
        <v>1493</v>
      </c>
      <c r="E1472" s="19">
        <v>12</v>
      </c>
      <c r="F1472" s="19">
        <v>238</v>
      </c>
      <c r="G1472" s="19">
        <v>1280</v>
      </c>
      <c r="H1472" s="19">
        <v>1</v>
      </c>
      <c r="I1472" s="80">
        <v>28.7</v>
      </c>
      <c r="J1472" s="80">
        <v>28.7</v>
      </c>
      <c r="K1472" s="19" t="s">
        <v>184</v>
      </c>
      <c r="L1472" s="19" t="s">
        <v>2087</v>
      </c>
      <c r="O1472" s="19" t="s">
        <v>138</v>
      </c>
      <c r="Q1472" s="20">
        <v>23</v>
      </c>
      <c r="R1472" s="65" t="s">
        <v>2010</v>
      </c>
      <c r="T1472" s="19" t="s">
        <v>307</v>
      </c>
      <c r="V1472" s="19" t="s">
        <v>178</v>
      </c>
      <c r="Z1472" s="44" t="s">
        <v>2011</v>
      </c>
      <c r="AA1472" s="44" t="s">
        <v>180</v>
      </c>
      <c r="AC1472" s="19" t="s">
        <v>2088</v>
      </c>
    </row>
    <row r="1473" spans="1:29" hidden="1" x14ac:dyDescent="0.25">
      <c r="A1473" s="26">
        <v>96</v>
      </c>
      <c r="B1473" s="19" t="s">
        <v>2107</v>
      </c>
      <c r="C1473" s="44" t="s">
        <v>273</v>
      </c>
      <c r="D1473" s="19" t="s">
        <v>1493</v>
      </c>
      <c r="E1473" s="19">
        <v>12</v>
      </c>
      <c r="F1473" s="19">
        <v>238</v>
      </c>
      <c r="G1473" s="19">
        <v>1280</v>
      </c>
      <c r="H1473" s="19">
        <v>1</v>
      </c>
      <c r="I1473" s="80">
        <v>28.7</v>
      </c>
      <c r="J1473" s="80">
        <v>28.7</v>
      </c>
      <c r="K1473" s="19" t="s">
        <v>184</v>
      </c>
      <c r="L1473" s="19" t="s">
        <v>2087</v>
      </c>
      <c r="O1473" s="19" t="s">
        <v>138</v>
      </c>
      <c r="Q1473" s="20">
        <v>23</v>
      </c>
      <c r="R1473" s="65" t="s">
        <v>2010</v>
      </c>
      <c r="T1473" s="19" t="s">
        <v>307</v>
      </c>
      <c r="V1473" s="19" t="s">
        <v>178</v>
      </c>
      <c r="Z1473" s="44" t="s">
        <v>2011</v>
      </c>
      <c r="AA1473" s="44" t="s">
        <v>180</v>
      </c>
      <c r="AC1473" s="19" t="s">
        <v>2088</v>
      </c>
    </row>
    <row r="1474" spans="1:29" hidden="1" x14ac:dyDescent="0.25">
      <c r="A1474" s="26">
        <v>97</v>
      </c>
      <c r="B1474" s="19" t="s">
        <v>2108</v>
      </c>
      <c r="C1474" s="44" t="s">
        <v>273</v>
      </c>
      <c r="D1474" s="19" t="s">
        <v>1493</v>
      </c>
      <c r="E1474" s="19">
        <v>12</v>
      </c>
      <c r="F1474" s="19">
        <v>238</v>
      </c>
      <c r="G1474" s="19">
        <v>1280</v>
      </c>
      <c r="H1474" s="19">
        <v>1</v>
      </c>
      <c r="I1474" s="80">
        <v>28.7</v>
      </c>
      <c r="J1474" s="80">
        <v>28.7</v>
      </c>
      <c r="K1474" s="19" t="s">
        <v>184</v>
      </c>
      <c r="L1474" s="19" t="s">
        <v>2087</v>
      </c>
      <c r="O1474" s="19" t="s">
        <v>138</v>
      </c>
      <c r="Q1474" s="20">
        <v>23</v>
      </c>
      <c r="R1474" s="65" t="s">
        <v>2010</v>
      </c>
      <c r="T1474" s="19" t="s">
        <v>307</v>
      </c>
      <c r="V1474" s="19" t="s">
        <v>178</v>
      </c>
      <c r="Z1474" s="44" t="s">
        <v>2011</v>
      </c>
      <c r="AA1474" s="44" t="s">
        <v>180</v>
      </c>
      <c r="AC1474" s="19" t="s">
        <v>2088</v>
      </c>
    </row>
    <row r="1475" spans="1:29" hidden="1" x14ac:dyDescent="0.25">
      <c r="A1475" s="26">
        <v>98</v>
      </c>
      <c r="B1475" s="19" t="s">
        <v>2109</v>
      </c>
      <c r="C1475" s="44" t="s">
        <v>273</v>
      </c>
      <c r="D1475" s="19" t="s">
        <v>1493</v>
      </c>
      <c r="E1475" s="19">
        <v>12</v>
      </c>
      <c r="F1475" s="19">
        <v>238</v>
      </c>
      <c r="G1475" s="19">
        <v>1280</v>
      </c>
      <c r="H1475" s="19">
        <v>1</v>
      </c>
      <c r="I1475" s="80">
        <v>28.7</v>
      </c>
      <c r="J1475" s="80">
        <v>28.7</v>
      </c>
      <c r="K1475" s="19" t="s">
        <v>184</v>
      </c>
      <c r="L1475" s="19" t="s">
        <v>2087</v>
      </c>
      <c r="O1475" s="19" t="s">
        <v>138</v>
      </c>
      <c r="Q1475" s="20">
        <v>23</v>
      </c>
      <c r="R1475" s="65" t="s">
        <v>2010</v>
      </c>
      <c r="T1475" s="19" t="s">
        <v>307</v>
      </c>
      <c r="V1475" s="19" t="s">
        <v>178</v>
      </c>
      <c r="Z1475" s="44" t="s">
        <v>2011</v>
      </c>
      <c r="AA1475" s="44" t="s">
        <v>180</v>
      </c>
      <c r="AC1475" s="19" t="s">
        <v>2088</v>
      </c>
    </row>
    <row r="1476" spans="1:29" hidden="1" x14ac:dyDescent="0.25">
      <c r="A1476" s="26">
        <v>99</v>
      </c>
      <c r="B1476" s="19" t="s">
        <v>2110</v>
      </c>
      <c r="C1476" s="44" t="s">
        <v>273</v>
      </c>
      <c r="D1476" s="19" t="s">
        <v>1493</v>
      </c>
      <c r="E1476" s="19">
        <v>12</v>
      </c>
      <c r="F1476" s="19">
        <v>238</v>
      </c>
      <c r="G1476" s="19">
        <v>1280</v>
      </c>
      <c r="H1476" s="19">
        <v>1</v>
      </c>
      <c r="I1476" s="80">
        <v>28.7</v>
      </c>
      <c r="J1476" s="80">
        <v>28.7</v>
      </c>
      <c r="K1476" s="19" t="s">
        <v>184</v>
      </c>
      <c r="L1476" s="19" t="s">
        <v>2087</v>
      </c>
      <c r="O1476" s="19" t="s">
        <v>138</v>
      </c>
      <c r="Q1476" s="20">
        <v>23</v>
      </c>
      <c r="R1476" s="65" t="s">
        <v>2010</v>
      </c>
      <c r="T1476" s="19" t="s">
        <v>307</v>
      </c>
      <c r="V1476" s="19" t="s">
        <v>178</v>
      </c>
      <c r="Z1476" s="44" t="s">
        <v>2011</v>
      </c>
      <c r="AA1476" s="44" t="s">
        <v>180</v>
      </c>
      <c r="AC1476" s="19" t="s">
        <v>2088</v>
      </c>
    </row>
    <row r="1477" spans="1:29" hidden="1" x14ac:dyDescent="0.25">
      <c r="A1477" s="26">
        <v>100</v>
      </c>
      <c r="B1477" s="19" t="s">
        <v>2092</v>
      </c>
      <c r="C1477" s="44" t="s">
        <v>273</v>
      </c>
      <c r="D1477" s="19" t="s">
        <v>803</v>
      </c>
      <c r="E1477" s="19">
        <v>12</v>
      </c>
      <c r="F1477" s="19">
        <v>135</v>
      </c>
      <c r="G1477" s="19">
        <v>488</v>
      </c>
      <c r="H1477" s="19">
        <v>11</v>
      </c>
      <c r="I1477" s="80">
        <v>6.19</v>
      </c>
      <c r="J1477" s="80">
        <v>68.09</v>
      </c>
      <c r="K1477" s="19" t="s">
        <v>184</v>
      </c>
      <c r="L1477" s="19" t="s">
        <v>2111</v>
      </c>
      <c r="Q1477" s="20">
        <v>23</v>
      </c>
      <c r="R1477" s="65" t="s">
        <v>2010</v>
      </c>
      <c r="T1477" s="19" t="s">
        <v>307</v>
      </c>
      <c r="V1477" s="19" t="s">
        <v>178</v>
      </c>
      <c r="W1477" s="19" t="s">
        <v>138</v>
      </c>
      <c r="Z1477" s="44" t="s">
        <v>2011</v>
      </c>
      <c r="AA1477" s="44" t="s">
        <v>180</v>
      </c>
      <c r="AC1477" s="19" t="s">
        <v>2112</v>
      </c>
    </row>
    <row r="1478" spans="1:29" hidden="1" x14ac:dyDescent="0.25">
      <c r="A1478" s="26">
        <v>101</v>
      </c>
      <c r="B1478" s="19" t="s">
        <v>2113</v>
      </c>
      <c r="C1478" s="44" t="s">
        <v>273</v>
      </c>
      <c r="D1478" s="19" t="s">
        <v>812</v>
      </c>
      <c r="E1478" s="19">
        <v>12</v>
      </c>
      <c r="F1478" s="19">
        <v>490</v>
      </c>
      <c r="G1478" s="19">
        <v>6464</v>
      </c>
      <c r="H1478" s="19">
        <v>1</v>
      </c>
      <c r="I1478" s="80">
        <v>298.16000000000003</v>
      </c>
      <c r="J1478" s="80">
        <v>298.16000000000003</v>
      </c>
      <c r="K1478" s="19" t="s">
        <v>184</v>
      </c>
      <c r="L1478" s="19" t="s">
        <v>2111</v>
      </c>
      <c r="Q1478" s="20">
        <v>23</v>
      </c>
      <c r="R1478" s="65" t="s">
        <v>2010</v>
      </c>
      <c r="T1478" s="19" t="s">
        <v>307</v>
      </c>
      <c r="V1478" s="19" t="s">
        <v>178</v>
      </c>
      <c r="Y1478" s="19" t="s">
        <v>138</v>
      </c>
      <c r="Z1478" s="44" t="s">
        <v>2011</v>
      </c>
      <c r="AA1478" s="44" t="s">
        <v>180</v>
      </c>
      <c r="AC1478" s="19" t="s">
        <v>2112</v>
      </c>
    </row>
    <row r="1479" spans="1:29" hidden="1" x14ac:dyDescent="0.25">
      <c r="A1479" s="26">
        <v>102</v>
      </c>
      <c r="B1479" s="19" t="s">
        <v>2114</v>
      </c>
      <c r="C1479" s="44" t="s">
        <v>273</v>
      </c>
      <c r="D1479" s="19" t="s">
        <v>803</v>
      </c>
      <c r="E1479" s="19">
        <v>12</v>
      </c>
      <c r="F1479" s="19">
        <v>135</v>
      </c>
      <c r="G1479" s="19">
        <v>488</v>
      </c>
      <c r="H1479" s="19">
        <v>12</v>
      </c>
      <c r="I1479" s="80">
        <v>6.19</v>
      </c>
      <c r="J1479" s="80">
        <v>74.28</v>
      </c>
      <c r="K1479" s="19" t="s">
        <v>184</v>
      </c>
      <c r="L1479" s="19" t="s">
        <v>2111</v>
      </c>
      <c r="Q1479" s="20">
        <v>23</v>
      </c>
      <c r="R1479" s="65" t="s">
        <v>2010</v>
      </c>
      <c r="T1479" s="19" t="s">
        <v>307</v>
      </c>
      <c r="V1479" s="19" t="s">
        <v>178</v>
      </c>
      <c r="W1479" s="19" t="s">
        <v>138</v>
      </c>
      <c r="Z1479" s="44" t="s">
        <v>2011</v>
      </c>
      <c r="AA1479" s="44" t="s">
        <v>180</v>
      </c>
      <c r="AC1479" s="19" t="s">
        <v>2112</v>
      </c>
    </row>
    <row r="1480" spans="1:29" hidden="1" x14ac:dyDescent="0.25">
      <c r="A1480" s="26">
        <v>103</v>
      </c>
      <c r="B1480" s="19" t="s">
        <v>2115</v>
      </c>
      <c r="C1480" s="44" t="s">
        <v>273</v>
      </c>
      <c r="D1480" s="19" t="s">
        <v>803</v>
      </c>
      <c r="E1480" s="19">
        <v>12</v>
      </c>
      <c r="F1480" s="19">
        <v>135</v>
      </c>
      <c r="G1480" s="19">
        <v>488</v>
      </c>
      <c r="H1480" s="19">
        <v>12</v>
      </c>
      <c r="I1480" s="80">
        <v>6.19</v>
      </c>
      <c r="J1480" s="80">
        <v>74.28</v>
      </c>
      <c r="K1480" s="19" t="s">
        <v>184</v>
      </c>
      <c r="L1480" s="19" t="s">
        <v>2111</v>
      </c>
      <c r="Q1480" s="20">
        <v>23</v>
      </c>
      <c r="R1480" s="65" t="s">
        <v>2010</v>
      </c>
      <c r="T1480" s="19" t="s">
        <v>307</v>
      </c>
      <c r="V1480" s="19" t="s">
        <v>178</v>
      </c>
      <c r="W1480" s="19" t="s">
        <v>138</v>
      </c>
      <c r="Z1480" s="44" t="s">
        <v>2011</v>
      </c>
      <c r="AA1480" s="44" t="s">
        <v>180</v>
      </c>
      <c r="AC1480" s="19" t="s">
        <v>2112</v>
      </c>
    </row>
    <row r="1481" spans="1:29" hidden="1" x14ac:dyDescent="0.25">
      <c r="A1481" s="26">
        <v>104</v>
      </c>
      <c r="B1481" s="19" t="s">
        <v>2116</v>
      </c>
      <c r="C1481" s="44" t="s">
        <v>273</v>
      </c>
      <c r="D1481" s="19" t="s">
        <v>803</v>
      </c>
      <c r="E1481" s="19">
        <v>12</v>
      </c>
      <c r="F1481" s="19">
        <v>135</v>
      </c>
      <c r="G1481" s="19">
        <v>488</v>
      </c>
      <c r="H1481" s="19">
        <v>12</v>
      </c>
      <c r="I1481" s="80">
        <v>6.19</v>
      </c>
      <c r="J1481" s="80">
        <v>74.28</v>
      </c>
      <c r="K1481" s="19" t="s">
        <v>184</v>
      </c>
      <c r="L1481" s="19" t="s">
        <v>2111</v>
      </c>
      <c r="Q1481" s="20">
        <v>23</v>
      </c>
      <c r="R1481" s="65" t="s">
        <v>2010</v>
      </c>
      <c r="T1481" s="19" t="s">
        <v>307</v>
      </c>
      <c r="V1481" s="19" t="s">
        <v>178</v>
      </c>
      <c r="W1481" s="19" t="s">
        <v>138</v>
      </c>
      <c r="Z1481" s="44" t="s">
        <v>2011</v>
      </c>
      <c r="AA1481" s="44" t="s">
        <v>180</v>
      </c>
      <c r="AC1481" s="19" t="s">
        <v>2112</v>
      </c>
    </row>
    <row r="1482" spans="1:29" hidden="1" x14ac:dyDescent="0.25">
      <c r="A1482" s="26">
        <v>105</v>
      </c>
      <c r="B1482" s="19" t="s">
        <v>2096</v>
      </c>
      <c r="C1482" s="44" t="s">
        <v>273</v>
      </c>
      <c r="D1482" s="19" t="s">
        <v>839</v>
      </c>
      <c r="E1482" s="19">
        <v>12</v>
      </c>
      <c r="F1482" s="19">
        <v>120</v>
      </c>
      <c r="G1482" s="19">
        <v>129</v>
      </c>
      <c r="H1482" s="19">
        <v>1</v>
      </c>
      <c r="I1482" s="80">
        <v>1.32</v>
      </c>
      <c r="J1482" s="80">
        <v>1.32</v>
      </c>
      <c r="K1482" s="19" t="s">
        <v>184</v>
      </c>
      <c r="L1482" s="19" t="s">
        <v>2111</v>
      </c>
      <c r="Q1482" s="20">
        <v>23</v>
      </c>
      <c r="R1482" s="65" t="s">
        <v>2010</v>
      </c>
      <c r="T1482" s="19" t="s">
        <v>307</v>
      </c>
      <c r="V1482" s="19" t="s">
        <v>178</v>
      </c>
      <c r="W1482" s="19" t="s">
        <v>138</v>
      </c>
      <c r="Z1482" s="44" t="s">
        <v>2011</v>
      </c>
      <c r="AA1482" s="44" t="s">
        <v>180</v>
      </c>
      <c r="AC1482" s="19" t="s">
        <v>2112</v>
      </c>
    </row>
    <row r="1483" spans="1:29" hidden="1" x14ac:dyDescent="0.25">
      <c r="A1483" s="26">
        <v>106</v>
      </c>
      <c r="B1483" s="19" t="s">
        <v>2117</v>
      </c>
      <c r="C1483" s="44" t="s">
        <v>273</v>
      </c>
      <c r="D1483" s="19" t="s">
        <v>869</v>
      </c>
      <c r="E1483" s="19">
        <v>12</v>
      </c>
      <c r="F1483" s="19">
        <v>490</v>
      </c>
      <c r="G1483" s="19">
        <v>1514</v>
      </c>
      <c r="H1483" s="19">
        <v>1</v>
      </c>
      <c r="I1483" s="80">
        <v>69.78</v>
      </c>
      <c r="J1483" s="80">
        <v>69.78</v>
      </c>
      <c r="K1483" s="19" t="s">
        <v>184</v>
      </c>
      <c r="L1483" s="19" t="s">
        <v>2111</v>
      </c>
      <c r="Q1483" s="20">
        <v>23</v>
      </c>
      <c r="R1483" s="65" t="s">
        <v>2010</v>
      </c>
      <c r="T1483" s="19" t="s">
        <v>307</v>
      </c>
      <c r="V1483" s="19" t="s">
        <v>178</v>
      </c>
      <c r="Y1483" s="19" t="s">
        <v>138</v>
      </c>
      <c r="Z1483" s="44" t="s">
        <v>2011</v>
      </c>
      <c r="AA1483" s="44" t="s">
        <v>180</v>
      </c>
      <c r="AC1483" s="19" t="s">
        <v>2112</v>
      </c>
    </row>
    <row r="1484" spans="1:29" hidden="1" x14ac:dyDescent="0.25">
      <c r="A1484" s="26">
        <v>107</v>
      </c>
      <c r="B1484" s="19" t="s">
        <v>2118</v>
      </c>
      <c r="C1484" s="44" t="s">
        <v>273</v>
      </c>
      <c r="D1484" s="19" t="s">
        <v>869</v>
      </c>
      <c r="E1484" s="19">
        <v>12</v>
      </c>
      <c r="F1484" s="19">
        <v>490</v>
      </c>
      <c r="G1484" s="19">
        <v>1514</v>
      </c>
      <c r="H1484" s="19">
        <v>1</v>
      </c>
      <c r="I1484" s="80">
        <v>69.78</v>
      </c>
      <c r="J1484" s="80">
        <v>69.78</v>
      </c>
      <c r="K1484" s="19" t="s">
        <v>184</v>
      </c>
      <c r="L1484" s="19" t="s">
        <v>2111</v>
      </c>
      <c r="Q1484" s="20">
        <v>23</v>
      </c>
      <c r="R1484" s="65" t="s">
        <v>2010</v>
      </c>
      <c r="T1484" s="19" t="s">
        <v>307</v>
      </c>
      <c r="V1484" s="19" t="s">
        <v>178</v>
      </c>
      <c r="Y1484" s="19" t="s">
        <v>138</v>
      </c>
      <c r="Z1484" s="44" t="s">
        <v>2011</v>
      </c>
      <c r="AA1484" s="44" t="s">
        <v>180</v>
      </c>
      <c r="AC1484" s="19" t="s">
        <v>2112</v>
      </c>
    </row>
    <row r="1485" spans="1:29" hidden="1" x14ac:dyDescent="0.25">
      <c r="A1485" s="26">
        <v>108</v>
      </c>
      <c r="B1485" s="19" t="s">
        <v>2119</v>
      </c>
      <c r="C1485" s="44" t="s">
        <v>273</v>
      </c>
      <c r="D1485" s="19" t="s">
        <v>869</v>
      </c>
      <c r="E1485" s="19">
        <v>12</v>
      </c>
      <c r="F1485" s="19">
        <v>490</v>
      </c>
      <c r="G1485" s="19">
        <v>1514</v>
      </c>
      <c r="H1485" s="19">
        <v>1</v>
      </c>
      <c r="I1485" s="80">
        <v>69.78</v>
      </c>
      <c r="J1485" s="80">
        <v>69.78</v>
      </c>
      <c r="K1485" s="19" t="s">
        <v>184</v>
      </c>
      <c r="L1485" s="19" t="s">
        <v>2111</v>
      </c>
      <c r="Q1485" s="20">
        <v>23</v>
      </c>
      <c r="R1485" s="65" t="s">
        <v>2010</v>
      </c>
      <c r="T1485" s="19" t="s">
        <v>307</v>
      </c>
      <c r="V1485" s="19" t="s">
        <v>178</v>
      </c>
      <c r="Y1485" s="19" t="s">
        <v>138</v>
      </c>
      <c r="Z1485" s="44" t="s">
        <v>2011</v>
      </c>
      <c r="AA1485" s="44" t="s">
        <v>180</v>
      </c>
      <c r="AC1485" s="19" t="s">
        <v>2112</v>
      </c>
    </row>
    <row r="1486" spans="1:29" hidden="1" x14ac:dyDescent="0.25">
      <c r="A1486" s="26">
        <v>109</v>
      </c>
      <c r="B1486" s="19" t="s">
        <v>2120</v>
      </c>
      <c r="C1486" s="44" t="s">
        <v>273</v>
      </c>
      <c r="D1486" s="19" t="s">
        <v>803</v>
      </c>
      <c r="E1486" s="19">
        <v>12</v>
      </c>
      <c r="F1486" s="19">
        <v>135</v>
      </c>
      <c r="G1486" s="19">
        <v>488</v>
      </c>
      <c r="H1486" s="19">
        <v>4</v>
      </c>
      <c r="I1486" s="80">
        <v>6.19</v>
      </c>
      <c r="J1486" s="80">
        <v>24.76</v>
      </c>
      <c r="K1486" s="19" t="s">
        <v>184</v>
      </c>
      <c r="L1486" s="19" t="s">
        <v>2111</v>
      </c>
      <c r="Q1486" s="20">
        <v>23</v>
      </c>
      <c r="R1486" s="65" t="s">
        <v>2010</v>
      </c>
      <c r="T1486" s="19" t="s">
        <v>307</v>
      </c>
      <c r="V1486" s="19" t="s">
        <v>178</v>
      </c>
      <c r="W1486" s="19" t="s">
        <v>138</v>
      </c>
      <c r="Z1486" s="44" t="s">
        <v>2011</v>
      </c>
      <c r="AA1486" s="44" t="s">
        <v>180</v>
      </c>
      <c r="AC1486" s="19" t="s">
        <v>2112</v>
      </c>
    </row>
    <row r="1487" spans="1:29" hidden="1" x14ac:dyDescent="0.25">
      <c r="A1487" s="26">
        <v>110</v>
      </c>
      <c r="B1487" s="19" t="s">
        <v>2121</v>
      </c>
      <c r="C1487" s="44" t="s">
        <v>273</v>
      </c>
      <c r="D1487" s="19" t="s">
        <v>874</v>
      </c>
      <c r="E1487" s="19">
        <v>12</v>
      </c>
      <c r="F1487" s="19">
        <v>100</v>
      </c>
      <c r="G1487" s="19">
        <v>150</v>
      </c>
      <c r="H1487" s="19">
        <v>1</v>
      </c>
      <c r="I1487" s="80">
        <v>1.41</v>
      </c>
      <c r="J1487" s="80">
        <v>1.41</v>
      </c>
      <c r="K1487" s="19" t="s">
        <v>184</v>
      </c>
      <c r="L1487" s="19" t="s">
        <v>2111</v>
      </c>
      <c r="Q1487" s="20">
        <v>23</v>
      </c>
      <c r="R1487" s="65" t="s">
        <v>2010</v>
      </c>
      <c r="T1487" s="19" t="s">
        <v>307</v>
      </c>
      <c r="V1487" s="19" t="s">
        <v>178</v>
      </c>
      <c r="W1487" s="19" t="s">
        <v>138</v>
      </c>
      <c r="Z1487" s="44" t="s">
        <v>2011</v>
      </c>
      <c r="AA1487" s="44" t="s">
        <v>180</v>
      </c>
      <c r="AC1487" s="19" t="s">
        <v>2112</v>
      </c>
    </row>
    <row r="1488" spans="1:29" hidden="1" x14ac:dyDescent="0.25">
      <c r="A1488" s="26">
        <v>111</v>
      </c>
      <c r="B1488" s="19" t="s">
        <v>2122</v>
      </c>
      <c r="C1488" s="44" t="s">
        <v>273</v>
      </c>
      <c r="D1488" s="19" t="s">
        <v>835</v>
      </c>
      <c r="E1488" s="19">
        <v>12</v>
      </c>
      <c r="F1488" s="19">
        <v>1460</v>
      </c>
      <c r="G1488" s="19">
        <v>9068</v>
      </c>
      <c r="H1488" s="19">
        <v>1</v>
      </c>
      <c r="I1488" s="80">
        <v>1240.54</v>
      </c>
      <c r="J1488" s="80">
        <v>1240.54</v>
      </c>
      <c r="K1488" s="19" t="s">
        <v>184</v>
      </c>
      <c r="L1488" s="19" t="s">
        <v>2111</v>
      </c>
      <c r="Q1488" s="20">
        <v>23</v>
      </c>
      <c r="R1488" s="65" t="s">
        <v>2010</v>
      </c>
      <c r="T1488" s="19" t="s">
        <v>307</v>
      </c>
      <c r="V1488" s="19" t="s">
        <v>178</v>
      </c>
      <c r="Y1488" s="19" t="s">
        <v>138</v>
      </c>
      <c r="Z1488" s="44" t="s">
        <v>2011</v>
      </c>
      <c r="AA1488" s="44" t="s">
        <v>180</v>
      </c>
      <c r="AC1488" s="19" t="s">
        <v>2112</v>
      </c>
    </row>
    <row r="1489" spans="1:29" hidden="1" x14ac:dyDescent="0.25">
      <c r="A1489" s="26">
        <v>112</v>
      </c>
      <c r="B1489" s="19" t="s">
        <v>2123</v>
      </c>
      <c r="C1489" s="44" t="s">
        <v>273</v>
      </c>
      <c r="D1489" s="19" t="s">
        <v>879</v>
      </c>
      <c r="E1489" s="19">
        <v>12</v>
      </c>
      <c r="F1489" s="19">
        <v>130</v>
      </c>
      <c r="G1489" s="19">
        <v>263</v>
      </c>
      <c r="H1489" s="19">
        <v>1</v>
      </c>
      <c r="I1489" s="80">
        <v>3.21</v>
      </c>
      <c r="J1489" s="80">
        <v>3.21</v>
      </c>
      <c r="K1489" s="19" t="s">
        <v>184</v>
      </c>
      <c r="L1489" s="19" t="s">
        <v>2111</v>
      </c>
      <c r="Q1489" s="20">
        <v>23</v>
      </c>
      <c r="R1489" s="65" t="s">
        <v>2010</v>
      </c>
      <c r="T1489" s="19" t="s">
        <v>307</v>
      </c>
      <c r="V1489" s="19" t="s">
        <v>178</v>
      </c>
      <c r="W1489" s="19" t="s">
        <v>138</v>
      </c>
      <c r="Z1489" s="44" t="s">
        <v>2011</v>
      </c>
      <c r="AA1489" s="44" t="s">
        <v>180</v>
      </c>
      <c r="AC1489" s="19" t="s">
        <v>2112</v>
      </c>
    </row>
    <row r="1490" spans="1:29" hidden="1" x14ac:dyDescent="0.25">
      <c r="A1490" s="26">
        <v>113</v>
      </c>
      <c r="B1490" s="19" t="s">
        <v>2124</v>
      </c>
      <c r="C1490" s="44" t="s">
        <v>273</v>
      </c>
      <c r="D1490" s="19" t="s">
        <v>803</v>
      </c>
      <c r="E1490" s="19">
        <v>12</v>
      </c>
      <c r="F1490" s="19">
        <v>135</v>
      </c>
      <c r="G1490" s="19">
        <v>488</v>
      </c>
      <c r="H1490" s="19">
        <v>12</v>
      </c>
      <c r="I1490" s="80">
        <v>6.19</v>
      </c>
      <c r="J1490" s="80">
        <v>74.28</v>
      </c>
      <c r="K1490" s="19" t="s">
        <v>184</v>
      </c>
      <c r="L1490" s="19" t="s">
        <v>2111</v>
      </c>
      <c r="Q1490" s="20">
        <v>23</v>
      </c>
      <c r="R1490" s="65" t="s">
        <v>2010</v>
      </c>
      <c r="T1490" s="19" t="s">
        <v>307</v>
      </c>
      <c r="V1490" s="19" t="s">
        <v>178</v>
      </c>
      <c r="W1490" s="19" t="s">
        <v>138</v>
      </c>
      <c r="Z1490" s="44" t="s">
        <v>2011</v>
      </c>
      <c r="AA1490" s="44" t="s">
        <v>180</v>
      </c>
      <c r="AC1490" s="19" t="s">
        <v>2112</v>
      </c>
    </row>
    <row r="1491" spans="1:29" hidden="1" x14ac:dyDescent="0.25">
      <c r="A1491" s="26">
        <v>114</v>
      </c>
      <c r="B1491" s="19" t="s">
        <v>2125</v>
      </c>
      <c r="C1491" s="44" t="s">
        <v>273</v>
      </c>
      <c r="D1491" s="19" t="s">
        <v>879</v>
      </c>
      <c r="E1491" s="19">
        <v>12</v>
      </c>
      <c r="F1491" s="19">
        <v>130</v>
      </c>
      <c r="G1491" s="19">
        <v>263</v>
      </c>
      <c r="H1491" s="19">
        <v>1</v>
      </c>
      <c r="I1491" s="80">
        <v>3.21</v>
      </c>
      <c r="J1491" s="80">
        <v>3.21</v>
      </c>
      <c r="K1491" s="19" t="s">
        <v>184</v>
      </c>
      <c r="L1491" s="19" t="s">
        <v>2111</v>
      </c>
      <c r="Q1491" s="20">
        <v>23</v>
      </c>
      <c r="R1491" s="65" t="s">
        <v>2010</v>
      </c>
      <c r="T1491" s="19" t="s">
        <v>307</v>
      </c>
      <c r="V1491" s="19" t="s">
        <v>178</v>
      </c>
      <c r="W1491" s="19" t="s">
        <v>138</v>
      </c>
      <c r="Z1491" s="44" t="s">
        <v>2011</v>
      </c>
      <c r="AA1491" s="44" t="s">
        <v>180</v>
      </c>
      <c r="AC1491" s="19" t="s">
        <v>2112</v>
      </c>
    </row>
    <row r="1492" spans="1:29" hidden="1" x14ac:dyDescent="0.25">
      <c r="A1492" s="26">
        <v>115</v>
      </c>
      <c r="B1492" s="19" t="s">
        <v>2101</v>
      </c>
      <c r="C1492" s="44" t="s">
        <v>273</v>
      </c>
      <c r="D1492" s="19" t="s">
        <v>914</v>
      </c>
      <c r="E1492" s="19">
        <v>12</v>
      </c>
      <c r="F1492" s="19">
        <v>95</v>
      </c>
      <c r="G1492" s="19">
        <v>263</v>
      </c>
      <c r="H1492" s="19">
        <v>5</v>
      </c>
      <c r="I1492" s="80">
        <v>2.34</v>
      </c>
      <c r="J1492" s="80">
        <v>11.69</v>
      </c>
      <c r="K1492" s="19" t="s">
        <v>184</v>
      </c>
      <c r="L1492" s="19" t="s">
        <v>2111</v>
      </c>
      <c r="Q1492" s="20">
        <v>23</v>
      </c>
      <c r="R1492" s="65" t="s">
        <v>2010</v>
      </c>
      <c r="T1492" s="19" t="s">
        <v>307</v>
      </c>
      <c r="V1492" s="19" t="s">
        <v>178</v>
      </c>
      <c r="W1492" s="19" t="s">
        <v>138</v>
      </c>
      <c r="Z1492" s="44" t="s">
        <v>2011</v>
      </c>
      <c r="AA1492" s="44" t="s">
        <v>180</v>
      </c>
      <c r="AC1492" s="19" t="s">
        <v>2112</v>
      </c>
    </row>
    <row r="1493" spans="1:29" hidden="1" x14ac:dyDescent="0.25">
      <c r="A1493" s="26">
        <v>116</v>
      </c>
      <c r="B1493" s="19" t="s">
        <v>2102</v>
      </c>
      <c r="C1493" s="44" t="s">
        <v>273</v>
      </c>
      <c r="D1493" s="19" t="s">
        <v>1239</v>
      </c>
      <c r="E1493" s="19">
        <v>12</v>
      </c>
      <c r="F1493" s="19">
        <v>130</v>
      </c>
      <c r="G1493" s="19">
        <v>663</v>
      </c>
      <c r="H1493" s="19">
        <v>4</v>
      </c>
      <c r="I1493" s="80">
        <v>8.11</v>
      </c>
      <c r="J1493" s="80">
        <v>32.44</v>
      </c>
      <c r="K1493" s="19" t="s">
        <v>184</v>
      </c>
      <c r="L1493" s="19" t="s">
        <v>2111</v>
      </c>
      <c r="Q1493" s="20">
        <v>23</v>
      </c>
      <c r="R1493" s="65" t="s">
        <v>2010</v>
      </c>
      <c r="T1493" s="19" t="s">
        <v>307</v>
      </c>
      <c r="V1493" s="19" t="s">
        <v>178</v>
      </c>
      <c r="W1493" s="19" t="s">
        <v>138</v>
      </c>
      <c r="Z1493" s="44" t="s">
        <v>2011</v>
      </c>
      <c r="AA1493" s="44" t="s">
        <v>180</v>
      </c>
      <c r="AC1493" s="19" t="s">
        <v>2112</v>
      </c>
    </row>
    <row r="1494" spans="1:29" hidden="1" x14ac:dyDescent="0.25">
      <c r="A1494" s="26">
        <v>117</v>
      </c>
      <c r="B1494" s="19" t="s">
        <v>2126</v>
      </c>
      <c r="C1494" s="44" t="s">
        <v>273</v>
      </c>
      <c r="D1494" s="19" t="s">
        <v>879</v>
      </c>
      <c r="E1494" s="19">
        <v>12</v>
      </c>
      <c r="F1494" s="19">
        <v>130</v>
      </c>
      <c r="G1494" s="19">
        <v>263</v>
      </c>
      <c r="H1494" s="19">
        <v>1</v>
      </c>
      <c r="I1494" s="80">
        <v>3.21</v>
      </c>
      <c r="J1494" s="80">
        <v>3.21</v>
      </c>
      <c r="K1494" s="19" t="s">
        <v>184</v>
      </c>
      <c r="L1494" s="19" t="s">
        <v>2111</v>
      </c>
      <c r="Q1494" s="20">
        <v>23</v>
      </c>
      <c r="R1494" s="65" t="s">
        <v>2010</v>
      </c>
      <c r="T1494" s="19" t="s">
        <v>307</v>
      </c>
      <c r="V1494" s="19" t="s">
        <v>178</v>
      </c>
      <c r="W1494" s="19" t="s">
        <v>138</v>
      </c>
      <c r="Z1494" s="44" t="s">
        <v>2011</v>
      </c>
      <c r="AA1494" s="44" t="s">
        <v>180</v>
      </c>
      <c r="AC1494" s="19" t="s">
        <v>2112</v>
      </c>
    </row>
    <row r="1495" spans="1:29" hidden="1" x14ac:dyDescent="0.25">
      <c r="A1495" s="26">
        <v>118</v>
      </c>
      <c r="B1495" s="19" t="s">
        <v>2127</v>
      </c>
      <c r="C1495" s="44" t="s">
        <v>273</v>
      </c>
      <c r="D1495" s="19" t="s">
        <v>812</v>
      </c>
      <c r="E1495" s="19">
        <v>12</v>
      </c>
      <c r="F1495" s="19">
        <v>490</v>
      </c>
      <c r="G1495" s="19">
        <v>6464</v>
      </c>
      <c r="H1495" s="19">
        <v>1</v>
      </c>
      <c r="I1495" s="80">
        <v>298.16000000000003</v>
      </c>
      <c r="J1495" s="80">
        <v>298.16000000000003</v>
      </c>
      <c r="K1495" s="19" t="s">
        <v>184</v>
      </c>
      <c r="L1495" s="19" t="s">
        <v>2128</v>
      </c>
      <c r="Q1495" s="20">
        <v>23</v>
      </c>
      <c r="R1495" s="65" t="s">
        <v>2010</v>
      </c>
      <c r="T1495" s="19" t="s">
        <v>307</v>
      </c>
      <c r="V1495" s="19" t="s">
        <v>178</v>
      </c>
      <c r="Y1495" s="19" t="s">
        <v>138</v>
      </c>
      <c r="Z1495" s="44" t="s">
        <v>2011</v>
      </c>
      <c r="AA1495" s="44" t="s">
        <v>180</v>
      </c>
      <c r="AC1495" s="19" t="s">
        <v>2129</v>
      </c>
    </row>
    <row r="1496" spans="1:29" hidden="1" x14ac:dyDescent="0.25">
      <c r="A1496" s="26">
        <v>119</v>
      </c>
      <c r="B1496" s="19" t="s">
        <v>2130</v>
      </c>
      <c r="C1496" s="44" t="s">
        <v>273</v>
      </c>
      <c r="D1496" s="19" t="s">
        <v>812</v>
      </c>
      <c r="E1496" s="19">
        <v>12</v>
      </c>
      <c r="F1496" s="19">
        <v>490</v>
      </c>
      <c r="G1496" s="19">
        <v>6464</v>
      </c>
      <c r="H1496" s="19">
        <v>1</v>
      </c>
      <c r="I1496" s="80">
        <v>298.16000000000003</v>
      </c>
      <c r="J1496" s="80">
        <v>298.16000000000003</v>
      </c>
      <c r="K1496" s="19" t="s">
        <v>184</v>
      </c>
      <c r="L1496" s="19" t="s">
        <v>2128</v>
      </c>
      <c r="Q1496" s="20">
        <v>23</v>
      </c>
      <c r="R1496" s="65" t="s">
        <v>2010</v>
      </c>
      <c r="T1496" s="19" t="s">
        <v>307</v>
      </c>
      <c r="V1496" s="19" t="s">
        <v>178</v>
      </c>
      <c r="Y1496" s="19" t="s">
        <v>138</v>
      </c>
      <c r="Z1496" s="44" t="s">
        <v>2011</v>
      </c>
      <c r="AA1496" s="44" t="s">
        <v>180</v>
      </c>
      <c r="AC1496" s="19" t="s">
        <v>2129</v>
      </c>
    </row>
    <row r="1497" spans="1:29" hidden="1" x14ac:dyDescent="0.25">
      <c r="A1497" s="26">
        <v>120</v>
      </c>
      <c r="B1497" s="19" t="s">
        <v>2131</v>
      </c>
      <c r="C1497" s="44" t="s">
        <v>273</v>
      </c>
      <c r="D1497" s="19" t="s">
        <v>812</v>
      </c>
      <c r="E1497" s="19">
        <v>12</v>
      </c>
      <c r="F1497" s="19">
        <v>490</v>
      </c>
      <c r="G1497" s="19">
        <v>6464</v>
      </c>
      <c r="H1497" s="19">
        <v>1</v>
      </c>
      <c r="I1497" s="80">
        <v>298.16000000000003</v>
      </c>
      <c r="J1497" s="80">
        <v>298.16000000000003</v>
      </c>
      <c r="K1497" s="19" t="s">
        <v>184</v>
      </c>
      <c r="L1497" s="19" t="s">
        <v>2128</v>
      </c>
      <c r="Q1497" s="20">
        <v>23</v>
      </c>
      <c r="R1497" s="65" t="s">
        <v>2010</v>
      </c>
      <c r="T1497" s="19" t="s">
        <v>307</v>
      </c>
      <c r="V1497" s="19" t="s">
        <v>178</v>
      </c>
      <c r="Y1497" s="19" t="s">
        <v>138</v>
      </c>
      <c r="Z1497" s="44" t="s">
        <v>2011</v>
      </c>
      <c r="AA1497" s="44" t="s">
        <v>180</v>
      </c>
      <c r="AC1497" s="19" t="s">
        <v>2129</v>
      </c>
    </row>
    <row r="1498" spans="1:29" hidden="1" x14ac:dyDescent="0.25">
      <c r="A1498" s="26">
        <v>121</v>
      </c>
      <c r="B1498" s="19" t="s">
        <v>2132</v>
      </c>
      <c r="C1498" s="44" t="s">
        <v>273</v>
      </c>
      <c r="D1498" s="19" t="s">
        <v>812</v>
      </c>
      <c r="E1498" s="19">
        <v>12</v>
      </c>
      <c r="F1498" s="19">
        <v>490</v>
      </c>
      <c r="G1498" s="19">
        <v>6464</v>
      </c>
      <c r="H1498" s="19">
        <v>1</v>
      </c>
      <c r="I1498" s="80">
        <v>298.16000000000003</v>
      </c>
      <c r="J1498" s="80">
        <v>298.16000000000003</v>
      </c>
      <c r="K1498" s="19" t="s">
        <v>184</v>
      </c>
      <c r="L1498" s="19" t="s">
        <v>2128</v>
      </c>
      <c r="Q1498" s="20">
        <v>23</v>
      </c>
      <c r="R1498" s="65" t="s">
        <v>2010</v>
      </c>
      <c r="T1498" s="19" t="s">
        <v>307</v>
      </c>
      <c r="V1498" s="19" t="s">
        <v>178</v>
      </c>
      <c r="Y1498" s="19" t="s">
        <v>138</v>
      </c>
      <c r="Z1498" s="44" t="s">
        <v>2011</v>
      </c>
      <c r="AA1498" s="44" t="s">
        <v>180</v>
      </c>
      <c r="AC1498" s="19" t="s">
        <v>2129</v>
      </c>
    </row>
    <row r="1499" spans="1:29" hidden="1" x14ac:dyDescent="0.25">
      <c r="A1499" s="26">
        <v>122</v>
      </c>
      <c r="B1499" s="19" t="s">
        <v>2133</v>
      </c>
      <c r="C1499" s="44" t="s">
        <v>273</v>
      </c>
      <c r="D1499" s="19" t="s">
        <v>803</v>
      </c>
      <c r="E1499" s="19">
        <v>12</v>
      </c>
      <c r="F1499" s="19">
        <v>135</v>
      </c>
      <c r="G1499" s="19">
        <v>488</v>
      </c>
      <c r="H1499" s="19">
        <v>10</v>
      </c>
      <c r="I1499" s="80">
        <v>6.19</v>
      </c>
      <c r="J1499" s="80">
        <v>61.9</v>
      </c>
      <c r="K1499" s="19" t="s">
        <v>184</v>
      </c>
      <c r="L1499" s="19" t="s">
        <v>2128</v>
      </c>
      <c r="Q1499" s="20">
        <v>23</v>
      </c>
      <c r="R1499" s="65" t="s">
        <v>2010</v>
      </c>
      <c r="T1499" s="19" t="s">
        <v>307</v>
      </c>
      <c r="V1499" s="19" t="s">
        <v>178</v>
      </c>
      <c r="W1499" s="19" t="s">
        <v>138</v>
      </c>
      <c r="Z1499" s="44" t="s">
        <v>2011</v>
      </c>
      <c r="AA1499" s="44" t="s">
        <v>180</v>
      </c>
      <c r="AC1499" s="19" t="s">
        <v>2129</v>
      </c>
    </row>
    <row r="1500" spans="1:29" hidden="1" x14ac:dyDescent="0.25">
      <c r="A1500" s="26">
        <v>123</v>
      </c>
      <c r="B1500" s="19" t="s">
        <v>2134</v>
      </c>
      <c r="C1500" s="44" t="s">
        <v>273</v>
      </c>
      <c r="D1500" s="19" t="s">
        <v>803</v>
      </c>
      <c r="E1500" s="19">
        <v>12</v>
      </c>
      <c r="F1500" s="19">
        <v>135</v>
      </c>
      <c r="G1500" s="19">
        <v>488</v>
      </c>
      <c r="H1500" s="19">
        <v>16</v>
      </c>
      <c r="I1500" s="80">
        <v>6.19</v>
      </c>
      <c r="J1500" s="80">
        <v>99.04</v>
      </c>
      <c r="K1500" s="19" t="s">
        <v>184</v>
      </c>
      <c r="L1500" s="19" t="s">
        <v>2128</v>
      </c>
      <c r="Q1500" s="20">
        <v>23</v>
      </c>
      <c r="R1500" s="65" t="s">
        <v>2010</v>
      </c>
      <c r="T1500" s="19" t="s">
        <v>307</v>
      </c>
      <c r="V1500" s="19" t="s">
        <v>178</v>
      </c>
      <c r="W1500" s="19" t="s">
        <v>138</v>
      </c>
      <c r="Z1500" s="44" t="s">
        <v>2011</v>
      </c>
      <c r="AA1500" s="44" t="s">
        <v>180</v>
      </c>
      <c r="AC1500" s="19" t="s">
        <v>2129</v>
      </c>
    </row>
    <row r="1501" spans="1:29" hidden="1" x14ac:dyDescent="0.25">
      <c r="A1501" s="26">
        <v>124</v>
      </c>
      <c r="B1501" s="19" t="s">
        <v>2135</v>
      </c>
      <c r="C1501" s="44" t="s">
        <v>273</v>
      </c>
      <c r="D1501" s="19" t="s">
        <v>803</v>
      </c>
      <c r="E1501" s="19">
        <v>12</v>
      </c>
      <c r="F1501" s="19">
        <v>135</v>
      </c>
      <c r="G1501" s="19">
        <v>488</v>
      </c>
      <c r="H1501" s="19">
        <v>16</v>
      </c>
      <c r="I1501" s="80">
        <v>6.19</v>
      </c>
      <c r="J1501" s="80">
        <v>99.04</v>
      </c>
      <c r="K1501" s="19" t="s">
        <v>184</v>
      </c>
      <c r="L1501" s="19" t="s">
        <v>2128</v>
      </c>
      <c r="Q1501" s="20">
        <v>23</v>
      </c>
      <c r="R1501" s="65" t="s">
        <v>2010</v>
      </c>
      <c r="T1501" s="19" t="s">
        <v>307</v>
      </c>
      <c r="V1501" s="19" t="s">
        <v>178</v>
      </c>
      <c r="W1501" s="19" t="s">
        <v>138</v>
      </c>
      <c r="Z1501" s="44" t="s">
        <v>2011</v>
      </c>
      <c r="AA1501" s="44" t="s">
        <v>180</v>
      </c>
      <c r="AC1501" s="19" t="s">
        <v>2129</v>
      </c>
    </row>
    <row r="1502" spans="1:29" hidden="1" x14ac:dyDescent="0.25">
      <c r="A1502" s="26">
        <v>125</v>
      </c>
      <c r="B1502" s="19" t="s">
        <v>2136</v>
      </c>
      <c r="C1502" s="44" t="s">
        <v>273</v>
      </c>
      <c r="D1502" s="19" t="s">
        <v>803</v>
      </c>
      <c r="E1502" s="19">
        <v>12</v>
      </c>
      <c r="F1502" s="19">
        <v>135</v>
      </c>
      <c r="G1502" s="19">
        <v>488</v>
      </c>
      <c r="H1502" s="19">
        <v>16</v>
      </c>
      <c r="I1502" s="80">
        <v>6.19</v>
      </c>
      <c r="J1502" s="80">
        <v>99.04</v>
      </c>
      <c r="K1502" s="19" t="s">
        <v>184</v>
      </c>
      <c r="L1502" s="19" t="s">
        <v>2128</v>
      </c>
      <c r="Q1502" s="20">
        <v>23</v>
      </c>
      <c r="R1502" s="65" t="s">
        <v>2010</v>
      </c>
      <c r="T1502" s="19" t="s">
        <v>307</v>
      </c>
      <c r="V1502" s="19" t="s">
        <v>178</v>
      </c>
      <c r="W1502" s="19" t="s">
        <v>138</v>
      </c>
      <c r="Z1502" s="44" t="s">
        <v>2011</v>
      </c>
      <c r="AA1502" s="44" t="s">
        <v>180</v>
      </c>
      <c r="AC1502" s="19" t="s">
        <v>2129</v>
      </c>
    </row>
    <row r="1503" spans="1:29" hidden="1" x14ac:dyDescent="0.25">
      <c r="A1503" s="26">
        <v>126</v>
      </c>
      <c r="B1503" s="19" t="s">
        <v>2137</v>
      </c>
      <c r="C1503" s="44" t="s">
        <v>273</v>
      </c>
      <c r="D1503" s="19" t="s">
        <v>803</v>
      </c>
      <c r="E1503" s="19">
        <v>12</v>
      </c>
      <c r="F1503" s="19">
        <v>135</v>
      </c>
      <c r="G1503" s="19">
        <v>488</v>
      </c>
      <c r="H1503" s="19">
        <v>4</v>
      </c>
      <c r="I1503" s="80">
        <v>6.19</v>
      </c>
      <c r="J1503" s="80">
        <v>24.76</v>
      </c>
      <c r="K1503" s="19" t="s">
        <v>184</v>
      </c>
      <c r="L1503" s="19" t="s">
        <v>2128</v>
      </c>
      <c r="Q1503" s="20">
        <v>23</v>
      </c>
      <c r="R1503" s="65" t="s">
        <v>2010</v>
      </c>
      <c r="T1503" s="19" t="s">
        <v>307</v>
      </c>
      <c r="V1503" s="19" t="s">
        <v>178</v>
      </c>
      <c r="W1503" s="19" t="s">
        <v>138</v>
      </c>
      <c r="Z1503" s="44" t="s">
        <v>2011</v>
      </c>
      <c r="AA1503" s="44" t="s">
        <v>180</v>
      </c>
      <c r="AC1503" s="19" t="s">
        <v>2129</v>
      </c>
    </row>
    <row r="1504" spans="1:29" hidden="1" x14ac:dyDescent="0.25">
      <c r="A1504" s="26">
        <v>127</v>
      </c>
      <c r="B1504" s="19" t="s">
        <v>2138</v>
      </c>
      <c r="C1504" s="44" t="s">
        <v>273</v>
      </c>
      <c r="D1504" s="19" t="s">
        <v>803</v>
      </c>
      <c r="E1504" s="19">
        <v>12</v>
      </c>
      <c r="F1504" s="19">
        <v>135</v>
      </c>
      <c r="G1504" s="19">
        <v>488</v>
      </c>
      <c r="H1504" s="19">
        <v>4</v>
      </c>
      <c r="I1504" s="80">
        <v>6.19</v>
      </c>
      <c r="J1504" s="80">
        <v>24.76</v>
      </c>
      <c r="K1504" s="19" t="s">
        <v>184</v>
      </c>
      <c r="L1504" s="19" t="s">
        <v>2128</v>
      </c>
      <c r="Q1504" s="20">
        <v>23</v>
      </c>
      <c r="R1504" s="65" t="s">
        <v>2010</v>
      </c>
      <c r="T1504" s="19" t="s">
        <v>307</v>
      </c>
      <c r="V1504" s="19" t="s">
        <v>178</v>
      </c>
      <c r="W1504" s="19" t="s">
        <v>138</v>
      </c>
      <c r="Z1504" s="44" t="s">
        <v>2011</v>
      </c>
      <c r="AA1504" s="44" t="s">
        <v>180</v>
      </c>
      <c r="AC1504" s="19" t="s">
        <v>2129</v>
      </c>
    </row>
    <row r="1505" spans="1:29" hidden="1" x14ac:dyDescent="0.25">
      <c r="A1505" s="26">
        <v>128</v>
      </c>
      <c r="B1505" s="19" t="s">
        <v>2139</v>
      </c>
      <c r="C1505" s="44" t="s">
        <v>273</v>
      </c>
      <c r="D1505" s="19" t="s">
        <v>803</v>
      </c>
      <c r="E1505" s="19">
        <v>12</v>
      </c>
      <c r="F1505" s="19">
        <v>135</v>
      </c>
      <c r="G1505" s="19">
        <v>488</v>
      </c>
      <c r="H1505" s="19">
        <v>4</v>
      </c>
      <c r="I1505" s="80">
        <v>6.19</v>
      </c>
      <c r="J1505" s="80">
        <v>24.76</v>
      </c>
      <c r="K1505" s="19" t="s">
        <v>184</v>
      </c>
      <c r="L1505" s="19" t="s">
        <v>2128</v>
      </c>
      <c r="Q1505" s="20">
        <v>23</v>
      </c>
      <c r="R1505" s="65" t="s">
        <v>2010</v>
      </c>
      <c r="T1505" s="19" t="s">
        <v>307</v>
      </c>
      <c r="V1505" s="19" t="s">
        <v>178</v>
      </c>
      <c r="W1505" s="19" t="s">
        <v>138</v>
      </c>
      <c r="Z1505" s="44" t="s">
        <v>2011</v>
      </c>
      <c r="AA1505" s="44" t="s">
        <v>180</v>
      </c>
      <c r="AC1505" s="19" t="s">
        <v>2129</v>
      </c>
    </row>
    <row r="1506" spans="1:29" hidden="1" x14ac:dyDescent="0.25">
      <c r="A1506" s="26">
        <v>129</v>
      </c>
      <c r="B1506" s="19" t="s">
        <v>2140</v>
      </c>
      <c r="C1506" s="44" t="s">
        <v>273</v>
      </c>
      <c r="D1506" s="19" t="s">
        <v>803</v>
      </c>
      <c r="E1506" s="19">
        <v>12</v>
      </c>
      <c r="F1506" s="19">
        <v>135</v>
      </c>
      <c r="G1506" s="19">
        <v>488</v>
      </c>
      <c r="H1506" s="19">
        <v>4</v>
      </c>
      <c r="I1506" s="80">
        <v>6.19</v>
      </c>
      <c r="J1506" s="80">
        <v>24.76</v>
      </c>
      <c r="K1506" s="19" t="s">
        <v>184</v>
      </c>
      <c r="L1506" s="19" t="s">
        <v>2128</v>
      </c>
      <c r="Q1506" s="20">
        <v>23</v>
      </c>
      <c r="R1506" s="65" t="s">
        <v>2010</v>
      </c>
      <c r="T1506" s="19" t="s">
        <v>307</v>
      </c>
      <c r="V1506" s="19" t="s">
        <v>178</v>
      </c>
      <c r="W1506" s="19" t="s">
        <v>138</v>
      </c>
      <c r="Z1506" s="44" t="s">
        <v>2011</v>
      </c>
      <c r="AA1506" s="44" t="s">
        <v>180</v>
      </c>
      <c r="AC1506" s="19" t="s">
        <v>2129</v>
      </c>
    </row>
    <row r="1507" spans="1:29" hidden="1" x14ac:dyDescent="0.25">
      <c r="A1507" s="26">
        <v>130</v>
      </c>
      <c r="B1507" s="19" t="s">
        <v>2141</v>
      </c>
      <c r="C1507" s="44" t="s">
        <v>273</v>
      </c>
      <c r="D1507" s="19" t="s">
        <v>803</v>
      </c>
      <c r="E1507" s="19">
        <v>12</v>
      </c>
      <c r="F1507" s="19">
        <v>135</v>
      </c>
      <c r="G1507" s="19">
        <v>488</v>
      </c>
      <c r="H1507" s="19">
        <v>4</v>
      </c>
      <c r="I1507" s="80">
        <v>6.19</v>
      </c>
      <c r="J1507" s="80">
        <v>24.76</v>
      </c>
      <c r="K1507" s="19" t="s">
        <v>184</v>
      </c>
      <c r="L1507" s="19" t="s">
        <v>2128</v>
      </c>
      <c r="Q1507" s="20">
        <v>23</v>
      </c>
      <c r="R1507" s="65" t="s">
        <v>2010</v>
      </c>
      <c r="T1507" s="19" t="s">
        <v>307</v>
      </c>
      <c r="V1507" s="19" t="s">
        <v>178</v>
      </c>
      <c r="W1507" s="19" t="s">
        <v>138</v>
      </c>
      <c r="Z1507" s="44" t="s">
        <v>2011</v>
      </c>
      <c r="AA1507" s="44" t="s">
        <v>180</v>
      </c>
      <c r="AC1507" s="19" t="s">
        <v>2129</v>
      </c>
    </row>
    <row r="1508" spans="1:29" hidden="1" x14ac:dyDescent="0.25">
      <c r="A1508" s="26">
        <v>131</v>
      </c>
      <c r="B1508" s="19" t="s">
        <v>2142</v>
      </c>
      <c r="C1508" s="44" t="s">
        <v>273</v>
      </c>
      <c r="D1508" s="19" t="s">
        <v>803</v>
      </c>
      <c r="E1508" s="19">
        <v>12</v>
      </c>
      <c r="F1508" s="19">
        <v>135</v>
      </c>
      <c r="G1508" s="19">
        <v>488</v>
      </c>
      <c r="H1508" s="19">
        <v>4</v>
      </c>
      <c r="I1508" s="80">
        <v>6.19</v>
      </c>
      <c r="J1508" s="80">
        <v>24.76</v>
      </c>
      <c r="K1508" s="19" t="s">
        <v>184</v>
      </c>
      <c r="L1508" s="19" t="s">
        <v>2128</v>
      </c>
      <c r="Q1508" s="20">
        <v>23</v>
      </c>
      <c r="R1508" s="65" t="s">
        <v>2010</v>
      </c>
      <c r="T1508" s="19" t="s">
        <v>307</v>
      </c>
      <c r="V1508" s="19" t="s">
        <v>178</v>
      </c>
      <c r="W1508" s="19" t="s">
        <v>138</v>
      </c>
      <c r="Z1508" s="44" t="s">
        <v>2011</v>
      </c>
      <c r="AA1508" s="44" t="s">
        <v>180</v>
      </c>
      <c r="AC1508" s="19" t="s">
        <v>2129</v>
      </c>
    </row>
    <row r="1509" spans="1:29" hidden="1" x14ac:dyDescent="0.25">
      <c r="A1509" s="26">
        <v>132</v>
      </c>
      <c r="B1509" s="19" t="s">
        <v>2143</v>
      </c>
      <c r="C1509" s="44" t="s">
        <v>273</v>
      </c>
      <c r="D1509" s="19" t="s">
        <v>803</v>
      </c>
      <c r="E1509" s="19">
        <v>12</v>
      </c>
      <c r="F1509" s="19">
        <v>135</v>
      </c>
      <c r="G1509" s="19">
        <v>488</v>
      </c>
      <c r="H1509" s="19">
        <v>4</v>
      </c>
      <c r="I1509" s="80">
        <v>6.19</v>
      </c>
      <c r="J1509" s="80">
        <v>24.76</v>
      </c>
      <c r="K1509" s="19" t="s">
        <v>184</v>
      </c>
      <c r="L1509" s="19" t="s">
        <v>2128</v>
      </c>
      <c r="Q1509" s="20">
        <v>23</v>
      </c>
      <c r="R1509" s="65" t="s">
        <v>2010</v>
      </c>
      <c r="T1509" s="19" t="s">
        <v>307</v>
      </c>
      <c r="V1509" s="19" t="s">
        <v>178</v>
      </c>
      <c r="W1509" s="19" t="s">
        <v>138</v>
      </c>
      <c r="Z1509" s="44" t="s">
        <v>2011</v>
      </c>
      <c r="AA1509" s="44" t="s">
        <v>180</v>
      </c>
      <c r="AC1509" s="19" t="s">
        <v>2129</v>
      </c>
    </row>
    <row r="1510" spans="1:29" hidden="1" x14ac:dyDescent="0.25">
      <c r="A1510" s="26">
        <v>133</v>
      </c>
      <c r="B1510" s="19" t="s">
        <v>2144</v>
      </c>
      <c r="C1510" s="44" t="s">
        <v>273</v>
      </c>
      <c r="D1510" s="19" t="s">
        <v>874</v>
      </c>
      <c r="E1510" s="19">
        <v>12</v>
      </c>
      <c r="F1510" s="19">
        <v>100</v>
      </c>
      <c r="G1510" s="19">
        <v>150</v>
      </c>
      <c r="H1510" s="19">
        <v>1</v>
      </c>
      <c r="I1510" s="80">
        <v>1.41</v>
      </c>
      <c r="J1510" s="80">
        <v>1.41</v>
      </c>
      <c r="K1510" s="19" t="s">
        <v>184</v>
      </c>
      <c r="L1510" s="19" t="s">
        <v>2128</v>
      </c>
      <c r="Q1510" s="20">
        <v>23</v>
      </c>
      <c r="R1510" s="65" t="s">
        <v>2010</v>
      </c>
      <c r="T1510" s="19" t="s">
        <v>307</v>
      </c>
      <c r="V1510" s="19" t="s">
        <v>178</v>
      </c>
      <c r="W1510" s="19" t="s">
        <v>138</v>
      </c>
      <c r="Z1510" s="44" t="s">
        <v>2011</v>
      </c>
      <c r="AA1510" s="44" t="s">
        <v>180</v>
      </c>
      <c r="AC1510" s="19" t="s">
        <v>2129</v>
      </c>
    </row>
    <row r="1511" spans="1:29" hidden="1" x14ac:dyDescent="0.25">
      <c r="A1511" s="26">
        <v>134</v>
      </c>
      <c r="B1511" s="19" t="s">
        <v>2145</v>
      </c>
      <c r="C1511" s="44" t="s">
        <v>273</v>
      </c>
      <c r="D1511" s="19" t="s">
        <v>869</v>
      </c>
      <c r="E1511" s="19">
        <v>12</v>
      </c>
      <c r="F1511" s="19">
        <v>490</v>
      </c>
      <c r="G1511" s="19">
        <v>1514</v>
      </c>
      <c r="H1511" s="19">
        <v>1</v>
      </c>
      <c r="I1511" s="80">
        <v>69.78</v>
      </c>
      <c r="J1511" s="80">
        <v>69.78</v>
      </c>
      <c r="K1511" s="19" t="s">
        <v>184</v>
      </c>
      <c r="L1511" s="19" t="s">
        <v>2128</v>
      </c>
      <c r="Q1511" s="20">
        <v>23</v>
      </c>
      <c r="R1511" s="65" t="s">
        <v>2010</v>
      </c>
      <c r="T1511" s="19" t="s">
        <v>307</v>
      </c>
      <c r="V1511" s="19" t="s">
        <v>178</v>
      </c>
      <c r="Y1511" s="19" t="s">
        <v>138</v>
      </c>
      <c r="Z1511" s="44" t="s">
        <v>2011</v>
      </c>
      <c r="AA1511" s="44" t="s">
        <v>180</v>
      </c>
      <c r="AC1511" s="19" t="s">
        <v>2129</v>
      </c>
    </row>
    <row r="1512" spans="1:29" hidden="1" x14ac:dyDescent="0.25">
      <c r="A1512" s="26">
        <v>135</v>
      </c>
      <c r="B1512" s="19" t="s">
        <v>2146</v>
      </c>
      <c r="C1512" s="44" t="s">
        <v>273</v>
      </c>
      <c r="D1512" s="19" t="s">
        <v>1211</v>
      </c>
      <c r="E1512" s="19">
        <v>12</v>
      </c>
      <c r="F1512" s="19">
        <v>490</v>
      </c>
      <c r="G1512" s="19">
        <v>1388</v>
      </c>
      <c r="H1512" s="19">
        <v>1</v>
      </c>
      <c r="I1512" s="80">
        <v>63.63</v>
      </c>
      <c r="J1512" s="80">
        <v>63.63</v>
      </c>
      <c r="K1512" s="19" t="s">
        <v>184</v>
      </c>
      <c r="L1512" s="19" t="s">
        <v>2128</v>
      </c>
      <c r="Q1512" s="20">
        <v>23</v>
      </c>
      <c r="R1512" s="65" t="s">
        <v>2010</v>
      </c>
      <c r="T1512" s="19" t="s">
        <v>307</v>
      </c>
      <c r="V1512" s="19" t="s">
        <v>178</v>
      </c>
      <c r="Y1512" s="19" t="s">
        <v>138</v>
      </c>
      <c r="Z1512" s="44" t="s">
        <v>2011</v>
      </c>
      <c r="AA1512" s="44" t="s">
        <v>180</v>
      </c>
      <c r="AC1512" s="19" t="s">
        <v>2129</v>
      </c>
    </row>
    <row r="1513" spans="1:29" hidden="1" x14ac:dyDescent="0.25">
      <c r="A1513" s="26">
        <v>136</v>
      </c>
      <c r="B1513" s="19" t="s">
        <v>2147</v>
      </c>
      <c r="C1513" s="44" t="s">
        <v>273</v>
      </c>
      <c r="D1513" s="19" t="s">
        <v>1211</v>
      </c>
      <c r="E1513" s="19">
        <v>12</v>
      </c>
      <c r="F1513" s="19">
        <v>490</v>
      </c>
      <c r="G1513" s="19">
        <v>1388</v>
      </c>
      <c r="H1513" s="19">
        <v>1</v>
      </c>
      <c r="I1513" s="80">
        <v>63.63</v>
      </c>
      <c r="J1513" s="80">
        <v>63.63</v>
      </c>
      <c r="K1513" s="19" t="s">
        <v>184</v>
      </c>
      <c r="L1513" s="19" t="s">
        <v>2128</v>
      </c>
      <c r="Q1513" s="20">
        <v>23</v>
      </c>
      <c r="R1513" s="65" t="s">
        <v>2010</v>
      </c>
      <c r="T1513" s="19" t="s">
        <v>307</v>
      </c>
      <c r="V1513" s="19" t="s">
        <v>178</v>
      </c>
      <c r="Y1513" s="19" t="s">
        <v>138</v>
      </c>
      <c r="Z1513" s="44" t="s">
        <v>2011</v>
      </c>
      <c r="AA1513" s="44" t="s">
        <v>180</v>
      </c>
      <c r="AC1513" s="19" t="s">
        <v>2129</v>
      </c>
    </row>
    <row r="1514" spans="1:29" hidden="1" x14ac:dyDescent="0.25">
      <c r="A1514" s="26">
        <v>137</v>
      </c>
      <c r="B1514" s="19" t="s">
        <v>2148</v>
      </c>
      <c r="C1514" s="44" t="s">
        <v>273</v>
      </c>
      <c r="D1514" s="19" t="s">
        <v>869</v>
      </c>
      <c r="E1514" s="19">
        <v>12</v>
      </c>
      <c r="F1514" s="19">
        <v>490</v>
      </c>
      <c r="G1514" s="19">
        <v>1514</v>
      </c>
      <c r="H1514" s="19">
        <v>1</v>
      </c>
      <c r="I1514" s="80">
        <v>69.78</v>
      </c>
      <c r="J1514" s="80">
        <v>69.78</v>
      </c>
      <c r="K1514" s="19" t="s">
        <v>184</v>
      </c>
      <c r="L1514" s="19" t="s">
        <v>2128</v>
      </c>
      <c r="Q1514" s="20">
        <v>23</v>
      </c>
      <c r="R1514" s="65" t="s">
        <v>2010</v>
      </c>
      <c r="T1514" s="19" t="s">
        <v>307</v>
      </c>
      <c r="V1514" s="19" t="s">
        <v>178</v>
      </c>
      <c r="Y1514" s="19" t="s">
        <v>138</v>
      </c>
      <c r="Z1514" s="44" t="s">
        <v>2011</v>
      </c>
      <c r="AA1514" s="44" t="s">
        <v>180</v>
      </c>
      <c r="AC1514" s="19" t="s">
        <v>2129</v>
      </c>
    </row>
    <row r="1515" spans="1:29" hidden="1" x14ac:dyDescent="0.25">
      <c r="A1515" s="26">
        <v>138</v>
      </c>
      <c r="B1515" s="19" t="s">
        <v>2149</v>
      </c>
      <c r="C1515" s="44" t="s">
        <v>273</v>
      </c>
      <c r="D1515" s="19" t="s">
        <v>869</v>
      </c>
      <c r="E1515" s="19">
        <v>12</v>
      </c>
      <c r="F1515" s="19">
        <v>490</v>
      </c>
      <c r="G1515" s="19">
        <v>1514</v>
      </c>
      <c r="H1515" s="19">
        <v>1</v>
      </c>
      <c r="I1515" s="80">
        <v>69.78</v>
      </c>
      <c r="J1515" s="80">
        <v>69.78</v>
      </c>
      <c r="K1515" s="19" t="s">
        <v>184</v>
      </c>
      <c r="L1515" s="19" t="s">
        <v>2128</v>
      </c>
      <c r="Q1515" s="20">
        <v>23</v>
      </c>
      <c r="R1515" s="65" t="s">
        <v>2010</v>
      </c>
      <c r="T1515" s="19" t="s">
        <v>307</v>
      </c>
      <c r="V1515" s="19" t="s">
        <v>178</v>
      </c>
      <c r="Y1515" s="19" t="s">
        <v>138</v>
      </c>
      <c r="Z1515" s="44" t="s">
        <v>2011</v>
      </c>
      <c r="AA1515" s="44" t="s">
        <v>180</v>
      </c>
      <c r="AC1515" s="19" t="s">
        <v>2129</v>
      </c>
    </row>
    <row r="1516" spans="1:29" hidden="1" x14ac:dyDescent="0.25">
      <c r="A1516" s="26">
        <v>139</v>
      </c>
      <c r="B1516" s="19" t="s">
        <v>2150</v>
      </c>
      <c r="C1516" s="44" t="s">
        <v>273</v>
      </c>
      <c r="D1516" s="19" t="s">
        <v>869</v>
      </c>
      <c r="E1516" s="19">
        <v>12</v>
      </c>
      <c r="F1516" s="19">
        <v>490</v>
      </c>
      <c r="G1516" s="19">
        <v>1514</v>
      </c>
      <c r="H1516" s="19">
        <v>1</v>
      </c>
      <c r="I1516" s="80">
        <v>69.78</v>
      </c>
      <c r="J1516" s="80">
        <v>69.78</v>
      </c>
      <c r="K1516" s="19" t="s">
        <v>184</v>
      </c>
      <c r="L1516" s="19" t="s">
        <v>2128</v>
      </c>
      <c r="Q1516" s="20">
        <v>23</v>
      </c>
      <c r="R1516" s="65" t="s">
        <v>2010</v>
      </c>
      <c r="T1516" s="19" t="s">
        <v>307</v>
      </c>
      <c r="V1516" s="19" t="s">
        <v>178</v>
      </c>
      <c r="Y1516" s="19" t="s">
        <v>138</v>
      </c>
      <c r="Z1516" s="44" t="s">
        <v>2011</v>
      </c>
      <c r="AA1516" s="44" t="s">
        <v>180</v>
      </c>
      <c r="AC1516" s="19" t="s">
        <v>2129</v>
      </c>
    </row>
    <row r="1517" spans="1:29" hidden="1" x14ac:dyDescent="0.25">
      <c r="A1517" s="26">
        <v>140</v>
      </c>
      <c r="B1517" s="19" t="s">
        <v>2151</v>
      </c>
      <c r="C1517" s="44" t="s">
        <v>273</v>
      </c>
      <c r="D1517" s="19" t="s">
        <v>1211</v>
      </c>
      <c r="E1517" s="19">
        <v>12</v>
      </c>
      <c r="F1517" s="19">
        <v>490</v>
      </c>
      <c r="G1517" s="19">
        <v>1388</v>
      </c>
      <c r="H1517" s="19">
        <v>1</v>
      </c>
      <c r="I1517" s="80">
        <v>63.63</v>
      </c>
      <c r="J1517" s="80">
        <v>63.63</v>
      </c>
      <c r="K1517" s="19" t="s">
        <v>184</v>
      </c>
      <c r="L1517" s="19" t="s">
        <v>2128</v>
      </c>
      <c r="Q1517" s="20">
        <v>23</v>
      </c>
      <c r="R1517" s="65" t="s">
        <v>2010</v>
      </c>
      <c r="T1517" s="19" t="s">
        <v>307</v>
      </c>
      <c r="V1517" s="19" t="s">
        <v>178</v>
      </c>
      <c r="Y1517" s="19" t="s">
        <v>138</v>
      </c>
      <c r="Z1517" s="44" t="s">
        <v>2011</v>
      </c>
      <c r="AA1517" s="44" t="s">
        <v>180</v>
      </c>
      <c r="AC1517" s="19" t="s">
        <v>2129</v>
      </c>
    </row>
    <row r="1518" spans="1:29" hidden="1" x14ac:dyDescent="0.25">
      <c r="A1518" s="26">
        <v>141</v>
      </c>
      <c r="B1518" s="19" t="s">
        <v>2152</v>
      </c>
      <c r="C1518" s="44" t="s">
        <v>273</v>
      </c>
      <c r="D1518" s="19" t="s">
        <v>803</v>
      </c>
      <c r="E1518" s="19">
        <v>12</v>
      </c>
      <c r="F1518" s="19">
        <v>135</v>
      </c>
      <c r="G1518" s="19">
        <v>488</v>
      </c>
      <c r="H1518" s="19">
        <v>12</v>
      </c>
      <c r="I1518" s="80">
        <v>6.19</v>
      </c>
      <c r="J1518" s="80">
        <v>74.28</v>
      </c>
      <c r="K1518" s="19" t="s">
        <v>184</v>
      </c>
      <c r="L1518" s="19" t="s">
        <v>2153</v>
      </c>
      <c r="Q1518" s="20">
        <v>23</v>
      </c>
      <c r="R1518" s="65" t="s">
        <v>2010</v>
      </c>
      <c r="T1518" s="19" t="s">
        <v>307</v>
      </c>
      <c r="V1518" s="19" t="s">
        <v>178</v>
      </c>
      <c r="W1518" s="19" t="s">
        <v>138</v>
      </c>
      <c r="Z1518" s="44" t="s">
        <v>2011</v>
      </c>
      <c r="AA1518" s="44" t="s">
        <v>180</v>
      </c>
      <c r="AC1518" s="19" t="s">
        <v>2154</v>
      </c>
    </row>
    <row r="1519" spans="1:29" hidden="1" x14ac:dyDescent="0.25">
      <c r="A1519" s="26">
        <v>142</v>
      </c>
      <c r="B1519" s="19" t="s">
        <v>2155</v>
      </c>
      <c r="C1519" s="44" t="s">
        <v>273</v>
      </c>
      <c r="D1519" s="19" t="s">
        <v>803</v>
      </c>
      <c r="E1519" s="19">
        <v>12</v>
      </c>
      <c r="F1519" s="19">
        <v>135</v>
      </c>
      <c r="G1519" s="19">
        <v>488</v>
      </c>
      <c r="H1519" s="19">
        <v>12</v>
      </c>
      <c r="I1519" s="80">
        <v>6.19</v>
      </c>
      <c r="J1519" s="80">
        <v>74.28</v>
      </c>
      <c r="K1519" s="19" t="s">
        <v>184</v>
      </c>
      <c r="L1519" s="19" t="s">
        <v>2153</v>
      </c>
      <c r="Q1519" s="20">
        <v>23</v>
      </c>
      <c r="R1519" s="65" t="s">
        <v>2010</v>
      </c>
      <c r="T1519" s="19" t="s">
        <v>307</v>
      </c>
      <c r="V1519" s="19" t="s">
        <v>178</v>
      </c>
      <c r="W1519" s="19" t="s">
        <v>138</v>
      </c>
      <c r="Z1519" s="44" t="s">
        <v>2011</v>
      </c>
      <c r="AA1519" s="44" t="s">
        <v>180</v>
      </c>
      <c r="AC1519" s="19" t="s">
        <v>2154</v>
      </c>
    </row>
    <row r="1520" spans="1:29" hidden="1" x14ac:dyDescent="0.25">
      <c r="A1520" s="26">
        <v>143</v>
      </c>
      <c r="B1520" s="19" t="s">
        <v>2156</v>
      </c>
      <c r="C1520" s="44" t="s">
        <v>273</v>
      </c>
      <c r="D1520" s="19" t="s">
        <v>812</v>
      </c>
      <c r="E1520" s="19">
        <v>12</v>
      </c>
      <c r="F1520" s="19">
        <v>490</v>
      </c>
      <c r="G1520" s="19">
        <v>6464</v>
      </c>
      <c r="H1520" s="19">
        <v>1</v>
      </c>
      <c r="I1520" s="80">
        <v>298.16000000000003</v>
      </c>
      <c r="J1520" s="80">
        <v>298.16000000000003</v>
      </c>
      <c r="K1520" s="19" t="s">
        <v>184</v>
      </c>
      <c r="L1520" s="19" t="s">
        <v>2153</v>
      </c>
      <c r="Q1520" s="20">
        <v>23</v>
      </c>
      <c r="R1520" s="65" t="s">
        <v>2010</v>
      </c>
      <c r="T1520" s="19" t="s">
        <v>307</v>
      </c>
      <c r="V1520" s="19" t="s">
        <v>178</v>
      </c>
      <c r="Y1520" s="19" t="s">
        <v>138</v>
      </c>
      <c r="Z1520" s="44" t="s">
        <v>2011</v>
      </c>
      <c r="AA1520" s="44" t="s">
        <v>180</v>
      </c>
      <c r="AC1520" s="19" t="s">
        <v>2154</v>
      </c>
    </row>
    <row r="1521" spans="1:29" hidden="1" x14ac:dyDescent="0.25">
      <c r="A1521" s="26">
        <v>144</v>
      </c>
      <c r="B1521" s="19" t="s">
        <v>2157</v>
      </c>
      <c r="C1521" s="44" t="s">
        <v>273</v>
      </c>
      <c r="D1521" s="19" t="s">
        <v>803</v>
      </c>
      <c r="E1521" s="19">
        <v>12</v>
      </c>
      <c r="F1521" s="19">
        <v>135</v>
      </c>
      <c r="G1521" s="19">
        <v>488</v>
      </c>
      <c r="H1521" s="19">
        <v>12</v>
      </c>
      <c r="I1521" s="80">
        <v>6.19</v>
      </c>
      <c r="J1521" s="80">
        <v>74.28</v>
      </c>
      <c r="K1521" s="19" t="s">
        <v>184</v>
      </c>
      <c r="L1521" s="19" t="s">
        <v>2153</v>
      </c>
      <c r="Q1521" s="20">
        <v>23</v>
      </c>
      <c r="R1521" s="65" t="s">
        <v>2010</v>
      </c>
      <c r="T1521" s="19" t="s">
        <v>307</v>
      </c>
      <c r="V1521" s="19" t="s">
        <v>178</v>
      </c>
      <c r="W1521" s="19" t="s">
        <v>138</v>
      </c>
      <c r="Z1521" s="44" t="s">
        <v>2011</v>
      </c>
      <c r="AA1521" s="44" t="s">
        <v>180</v>
      </c>
      <c r="AC1521" s="19" t="s">
        <v>2154</v>
      </c>
    </row>
    <row r="1522" spans="1:29" hidden="1" x14ac:dyDescent="0.25">
      <c r="A1522" s="26">
        <v>145</v>
      </c>
      <c r="B1522" s="19" t="s">
        <v>2158</v>
      </c>
      <c r="C1522" s="44" t="s">
        <v>273</v>
      </c>
      <c r="D1522" s="19" t="s">
        <v>812</v>
      </c>
      <c r="E1522" s="19">
        <v>12</v>
      </c>
      <c r="F1522" s="19">
        <v>490</v>
      </c>
      <c r="G1522" s="19">
        <v>6464</v>
      </c>
      <c r="H1522" s="19">
        <v>1</v>
      </c>
      <c r="I1522" s="80">
        <v>298.16000000000003</v>
      </c>
      <c r="J1522" s="80">
        <v>298.16000000000003</v>
      </c>
      <c r="K1522" s="19" t="s">
        <v>184</v>
      </c>
      <c r="L1522" s="19" t="s">
        <v>2153</v>
      </c>
      <c r="Q1522" s="20">
        <v>23</v>
      </c>
      <c r="R1522" s="65" t="s">
        <v>2010</v>
      </c>
      <c r="T1522" s="19" t="s">
        <v>307</v>
      </c>
      <c r="V1522" s="19" t="s">
        <v>178</v>
      </c>
      <c r="Y1522" s="19" t="s">
        <v>138</v>
      </c>
      <c r="Z1522" s="44" t="s">
        <v>2011</v>
      </c>
      <c r="AA1522" s="44" t="s">
        <v>180</v>
      </c>
      <c r="AC1522" s="19" t="s">
        <v>2154</v>
      </c>
    </row>
    <row r="1523" spans="1:29" hidden="1" x14ac:dyDescent="0.25">
      <c r="A1523" s="26">
        <v>146</v>
      </c>
      <c r="B1523" s="19" t="s">
        <v>2159</v>
      </c>
      <c r="C1523" s="44" t="s">
        <v>273</v>
      </c>
      <c r="D1523" s="19" t="s">
        <v>803</v>
      </c>
      <c r="E1523" s="19">
        <v>12</v>
      </c>
      <c r="F1523" s="19">
        <v>135</v>
      </c>
      <c r="G1523" s="19">
        <v>488</v>
      </c>
      <c r="H1523" s="19">
        <v>17</v>
      </c>
      <c r="I1523" s="80">
        <v>6.19</v>
      </c>
      <c r="J1523" s="80">
        <v>105.23</v>
      </c>
      <c r="K1523" s="19" t="s">
        <v>184</v>
      </c>
      <c r="L1523" s="19" t="s">
        <v>2153</v>
      </c>
      <c r="Q1523" s="20">
        <v>23</v>
      </c>
      <c r="R1523" s="65" t="s">
        <v>2010</v>
      </c>
      <c r="T1523" s="19" t="s">
        <v>307</v>
      </c>
      <c r="V1523" s="19" t="s">
        <v>178</v>
      </c>
      <c r="W1523" s="19" t="s">
        <v>138</v>
      </c>
      <c r="Z1523" s="44" t="s">
        <v>2011</v>
      </c>
      <c r="AA1523" s="44" t="s">
        <v>180</v>
      </c>
      <c r="AC1523" s="19" t="s">
        <v>2154</v>
      </c>
    </row>
    <row r="1524" spans="1:29" hidden="1" x14ac:dyDescent="0.25">
      <c r="A1524" s="26">
        <v>147</v>
      </c>
      <c r="B1524" s="19" t="s">
        <v>2133</v>
      </c>
      <c r="C1524" s="44" t="s">
        <v>273</v>
      </c>
      <c r="D1524" s="19" t="s">
        <v>803</v>
      </c>
      <c r="E1524" s="19">
        <v>12</v>
      </c>
      <c r="F1524" s="19">
        <v>135</v>
      </c>
      <c r="G1524" s="19">
        <v>488</v>
      </c>
      <c r="H1524" s="19">
        <v>7</v>
      </c>
      <c r="I1524" s="80">
        <v>6.19</v>
      </c>
      <c r="J1524" s="80">
        <v>43.33</v>
      </c>
      <c r="K1524" s="19" t="s">
        <v>184</v>
      </c>
      <c r="L1524" s="19" t="s">
        <v>2153</v>
      </c>
      <c r="Q1524" s="20">
        <v>23</v>
      </c>
      <c r="R1524" s="65" t="s">
        <v>2010</v>
      </c>
      <c r="T1524" s="19" t="s">
        <v>307</v>
      </c>
      <c r="V1524" s="19" t="s">
        <v>178</v>
      </c>
      <c r="W1524" s="19" t="s">
        <v>138</v>
      </c>
      <c r="Z1524" s="44" t="s">
        <v>2011</v>
      </c>
      <c r="AA1524" s="44" t="s">
        <v>180</v>
      </c>
      <c r="AC1524" s="19" t="s">
        <v>2154</v>
      </c>
    </row>
    <row r="1525" spans="1:29" hidden="1" x14ac:dyDescent="0.25">
      <c r="A1525" s="26">
        <v>148</v>
      </c>
      <c r="B1525" s="19" t="s">
        <v>2160</v>
      </c>
      <c r="C1525" s="44" t="s">
        <v>273</v>
      </c>
      <c r="D1525" s="19" t="s">
        <v>812</v>
      </c>
      <c r="E1525" s="19">
        <v>12</v>
      </c>
      <c r="F1525" s="19">
        <v>490</v>
      </c>
      <c r="G1525" s="19">
        <v>6464</v>
      </c>
      <c r="H1525" s="19">
        <v>1</v>
      </c>
      <c r="I1525" s="80">
        <v>298.16000000000003</v>
      </c>
      <c r="J1525" s="80">
        <v>298.16000000000003</v>
      </c>
      <c r="K1525" s="19" t="s">
        <v>184</v>
      </c>
      <c r="L1525" s="19" t="s">
        <v>2153</v>
      </c>
      <c r="Q1525" s="20">
        <v>23</v>
      </c>
      <c r="R1525" s="65" t="s">
        <v>2010</v>
      </c>
      <c r="T1525" s="19" t="s">
        <v>307</v>
      </c>
      <c r="V1525" s="19" t="s">
        <v>178</v>
      </c>
      <c r="Y1525" s="19" t="s">
        <v>138</v>
      </c>
      <c r="Z1525" s="44" t="s">
        <v>2011</v>
      </c>
      <c r="AA1525" s="44" t="s">
        <v>180</v>
      </c>
      <c r="AC1525" s="19" t="s">
        <v>2154</v>
      </c>
    </row>
    <row r="1526" spans="1:29" hidden="1" x14ac:dyDescent="0.25">
      <c r="A1526" s="26">
        <v>149</v>
      </c>
      <c r="B1526" s="19" t="s">
        <v>2161</v>
      </c>
      <c r="C1526" s="44" t="s">
        <v>273</v>
      </c>
      <c r="D1526" s="19" t="s">
        <v>812</v>
      </c>
      <c r="E1526" s="19">
        <v>12</v>
      </c>
      <c r="F1526" s="19">
        <v>490</v>
      </c>
      <c r="G1526" s="19">
        <v>6464</v>
      </c>
      <c r="H1526" s="19">
        <v>1</v>
      </c>
      <c r="I1526" s="80">
        <v>298.16000000000003</v>
      </c>
      <c r="J1526" s="80">
        <v>298.16000000000003</v>
      </c>
      <c r="K1526" s="19" t="s">
        <v>184</v>
      </c>
      <c r="L1526" s="19" t="s">
        <v>2153</v>
      </c>
      <c r="Q1526" s="20">
        <v>23</v>
      </c>
      <c r="R1526" s="65" t="s">
        <v>2010</v>
      </c>
      <c r="T1526" s="19" t="s">
        <v>307</v>
      </c>
      <c r="V1526" s="19" t="s">
        <v>178</v>
      </c>
      <c r="Y1526" s="19" t="s">
        <v>138</v>
      </c>
      <c r="Z1526" s="44" t="s">
        <v>2011</v>
      </c>
      <c r="AA1526" s="44" t="s">
        <v>180</v>
      </c>
      <c r="AC1526" s="19" t="s">
        <v>2154</v>
      </c>
    </row>
    <row r="1527" spans="1:29" hidden="1" x14ac:dyDescent="0.25">
      <c r="A1527" s="26">
        <v>150</v>
      </c>
      <c r="B1527" s="19" t="s">
        <v>2162</v>
      </c>
      <c r="C1527" s="44" t="s">
        <v>273</v>
      </c>
      <c r="D1527" s="19" t="s">
        <v>803</v>
      </c>
      <c r="E1527" s="19">
        <v>12</v>
      </c>
      <c r="F1527" s="19">
        <v>135</v>
      </c>
      <c r="G1527" s="19">
        <v>488</v>
      </c>
      <c r="H1527" s="19">
        <v>6</v>
      </c>
      <c r="I1527" s="80">
        <v>6.19</v>
      </c>
      <c r="J1527" s="80">
        <v>37.14</v>
      </c>
      <c r="K1527" s="19" t="s">
        <v>184</v>
      </c>
      <c r="L1527" s="19" t="s">
        <v>2153</v>
      </c>
      <c r="Q1527" s="20">
        <v>23</v>
      </c>
      <c r="R1527" s="65" t="s">
        <v>2010</v>
      </c>
      <c r="T1527" s="19" t="s">
        <v>307</v>
      </c>
      <c r="V1527" s="19" t="s">
        <v>178</v>
      </c>
      <c r="W1527" s="19" t="s">
        <v>138</v>
      </c>
      <c r="Z1527" s="44" t="s">
        <v>2011</v>
      </c>
      <c r="AA1527" s="44" t="s">
        <v>180</v>
      </c>
      <c r="AC1527" s="19" t="s">
        <v>2154</v>
      </c>
    </row>
    <row r="1528" spans="1:29" hidden="1" x14ac:dyDescent="0.25">
      <c r="A1528" s="26">
        <v>151</v>
      </c>
      <c r="B1528" s="19" t="s">
        <v>2163</v>
      </c>
      <c r="C1528" s="44" t="s">
        <v>273</v>
      </c>
      <c r="D1528" s="19" t="s">
        <v>803</v>
      </c>
      <c r="E1528" s="19">
        <v>12</v>
      </c>
      <c r="F1528" s="19">
        <v>135</v>
      </c>
      <c r="G1528" s="19">
        <v>488</v>
      </c>
      <c r="H1528" s="19">
        <v>12</v>
      </c>
      <c r="I1528" s="80">
        <v>6.19</v>
      </c>
      <c r="J1528" s="80">
        <v>74.28</v>
      </c>
      <c r="K1528" s="19" t="s">
        <v>184</v>
      </c>
      <c r="L1528" s="19" t="s">
        <v>2153</v>
      </c>
      <c r="Q1528" s="20">
        <v>23</v>
      </c>
      <c r="R1528" s="65" t="s">
        <v>2010</v>
      </c>
      <c r="T1528" s="19" t="s">
        <v>307</v>
      </c>
      <c r="V1528" s="19" t="s">
        <v>178</v>
      </c>
      <c r="W1528" s="19" t="s">
        <v>138</v>
      </c>
      <c r="Z1528" s="44" t="s">
        <v>2011</v>
      </c>
      <c r="AA1528" s="44" t="s">
        <v>180</v>
      </c>
      <c r="AC1528" s="19" t="s">
        <v>2154</v>
      </c>
    </row>
    <row r="1529" spans="1:29" hidden="1" x14ac:dyDescent="0.25">
      <c r="A1529" s="26">
        <v>152</v>
      </c>
      <c r="B1529" s="19" t="s">
        <v>2164</v>
      </c>
      <c r="C1529" s="44" t="s">
        <v>273</v>
      </c>
      <c r="D1529" s="19" t="s">
        <v>803</v>
      </c>
      <c r="E1529" s="19">
        <v>12</v>
      </c>
      <c r="F1529" s="19">
        <v>135</v>
      </c>
      <c r="G1529" s="19">
        <v>488</v>
      </c>
      <c r="H1529" s="19">
        <v>12</v>
      </c>
      <c r="I1529" s="80">
        <v>6.19</v>
      </c>
      <c r="J1529" s="80">
        <v>74.28</v>
      </c>
      <c r="K1529" s="19" t="s">
        <v>184</v>
      </c>
      <c r="L1529" s="19" t="s">
        <v>2153</v>
      </c>
      <c r="Q1529" s="20">
        <v>23</v>
      </c>
      <c r="R1529" s="65" t="s">
        <v>2010</v>
      </c>
      <c r="T1529" s="19" t="s">
        <v>307</v>
      </c>
      <c r="V1529" s="19" t="s">
        <v>178</v>
      </c>
      <c r="W1529" s="19" t="s">
        <v>138</v>
      </c>
      <c r="Z1529" s="44" t="s">
        <v>2011</v>
      </c>
      <c r="AA1529" s="44" t="s">
        <v>180</v>
      </c>
      <c r="AC1529" s="19" t="s">
        <v>2154</v>
      </c>
    </row>
    <row r="1530" spans="1:29" hidden="1" x14ac:dyDescent="0.25">
      <c r="A1530" s="26">
        <v>153</v>
      </c>
      <c r="B1530" s="19" t="s">
        <v>2165</v>
      </c>
      <c r="C1530" s="44" t="s">
        <v>273</v>
      </c>
      <c r="D1530" s="19" t="s">
        <v>803</v>
      </c>
      <c r="E1530" s="19">
        <v>12</v>
      </c>
      <c r="F1530" s="19">
        <v>135</v>
      </c>
      <c r="G1530" s="19">
        <v>488</v>
      </c>
      <c r="H1530" s="19">
        <v>12</v>
      </c>
      <c r="I1530" s="80">
        <v>6.19</v>
      </c>
      <c r="J1530" s="80">
        <v>74.28</v>
      </c>
      <c r="K1530" s="19" t="s">
        <v>184</v>
      </c>
      <c r="L1530" s="19" t="s">
        <v>2153</v>
      </c>
      <c r="Q1530" s="20">
        <v>23</v>
      </c>
      <c r="R1530" s="65" t="s">
        <v>2010</v>
      </c>
      <c r="T1530" s="19" t="s">
        <v>307</v>
      </c>
      <c r="V1530" s="19" t="s">
        <v>178</v>
      </c>
      <c r="W1530" s="19" t="s">
        <v>138</v>
      </c>
      <c r="Z1530" s="44" t="s">
        <v>2011</v>
      </c>
      <c r="AA1530" s="44" t="s">
        <v>180</v>
      </c>
      <c r="AC1530" s="19" t="s">
        <v>2154</v>
      </c>
    </row>
    <row r="1531" spans="1:29" hidden="1" x14ac:dyDescent="0.25">
      <c r="A1531" s="26">
        <v>154</v>
      </c>
      <c r="B1531" s="19" t="s">
        <v>2166</v>
      </c>
      <c r="C1531" s="44" t="s">
        <v>273</v>
      </c>
      <c r="D1531" s="19" t="s">
        <v>803</v>
      </c>
      <c r="E1531" s="19">
        <v>12</v>
      </c>
      <c r="F1531" s="19">
        <v>135</v>
      </c>
      <c r="G1531" s="19">
        <v>488</v>
      </c>
      <c r="H1531" s="19">
        <v>12</v>
      </c>
      <c r="I1531" s="80">
        <v>6.19</v>
      </c>
      <c r="J1531" s="80">
        <v>74.28</v>
      </c>
      <c r="K1531" s="19" t="s">
        <v>184</v>
      </c>
      <c r="L1531" s="19" t="s">
        <v>2153</v>
      </c>
      <c r="Q1531" s="20">
        <v>23</v>
      </c>
      <c r="R1531" s="65" t="s">
        <v>2010</v>
      </c>
      <c r="T1531" s="19" t="s">
        <v>307</v>
      </c>
      <c r="V1531" s="19" t="s">
        <v>178</v>
      </c>
      <c r="W1531" s="19" t="s">
        <v>138</v>
      </c>
      <c r="Z1531" s="44" t="s">
        <v>2011</v>
      </c>
      <c r="AA1531" s="44" t="s">
        <v>180</v>
      </c>
      <c r="AC1531" s="19" t="s">
        <v>2154</v>
      </c>
    </row>
    <row r="1532" spans="1:29" hidden="1" x14ac:dyDescent="0.25">
      <c r="A1532" s="26">
        <v>155</v>
      </c>
      <c r="B1532" s="19" t="s">
        <v>2167</v>
      </c>
      <c r="C1532" s="44" t="s">
        <v>273</v>
      </c>
      <c r="D1532" s="19" t="s">
        <v>803</v>
      </c>
      <c r="E1532" s="19">
        <v>12</v>
      </c>
      <c r="F1532" s="19">
        <v>135</v>
      </c>
      <c r="G1532" s="19">
        <v>488</v>
      </c>
      <c r="H1532" s="19">
        <v>12</v>
      </c>
      <c r="I1532" s="80">
        <v>6.19</v>
      </c>
      <c r="J1532" s="80">
        <v>74.28</v>
      </c>
      <c r="K1532" s="19" t="s">
        <v>184</v>
      </c>
      <c r="L1532" s="19" t="s">
        <v>2153</v>
      </c>
      <c r="Q1532" s="20">
        <v>23</v>
      </c>
      <c r="R1532" s="65" t="s">
        <v>2010</v>
      </c>
      <c r="T1532" s="19" t="s">
        <v>307</v>
      </c>
      <c r="V1532" s="19" t="s">
        <v>178</v>
      </c>
      <c r="W1532" s="19" t="s">
        <v>138</v>
      </c>
      <c r="Z1532" s="44" t="s">
        <v>2011</v>
      </c>
      <c r="AA1532" s="44" t="s">
        <v>180</v>
      </c>
      <c r="AC1532" s="19" t="s">
        <v>2154</v>
      </c>
    </row>
    <row r="1533" spans="1:29" hidden="1" x14ac:dyDescent="0.25">
      <c r="A1533" s="26">
        <v>156</v>
      </c>
      <c r="B1533" s="19" t="s">
        <v>2168</v>
      </c>
      <c r="C1533" s="44" t="s">
        <v>273</v>
      </c>
      <c r="D1533" s="19" t="s">
        <v>803</v>
      </c>
      <c r="E1533" s="19">
        <v>12</v>
      </c>
      <c r="F1533" s="19">
        <v>135</v>
      </c>
      <c r="G1533" s="19">
        <v>488</v>
      </c>
      <c r="H1533" s="19">
        <v>17</v>
      </c>
      <c r="I1533" s="80">
        <v>6.19</v>
      </c>
      <c r="J1533" s="80">
        <v>105.23</v>
      </c>
      <c r="K1533" s="19" t="s">
        <v>184</v>
      </c>
      <c r="L1533" s="19" t="s">
        <v>2153</v>
      </c>
      <c r="Q1533" s="20">
        <v>23</v>
      </c>
      <c r="R1533" s="65" t="s">
        <v>2010</v>
      </c>
      <c r="T1533" s="19" t="s">
        <v>307</v>
      </c>
      <c r="V1533" s="19" t="s">
        <v>178</v>
      </c>
      <c r="W1533" s="19" t="s">
        <v>138</v>
      </c>
      <c r="Z1533" s="44" t="s">
        <v>2011</v>
      </c>
      <c r="AA1533" s="44" t="s">
        <v>180</v>
      </c>
      <c r="AC1533" s="19" t="s">
        <v>2154</v>
      </c>
    </row>
    <row r="1534" spans="1:29" hidden="1" x14ac:dyDescent="0.25">
      <c r="A1534" s="26">
        <v>157</v>
      </c>
      <c r="B1534" s="19" t="s">
        <v>2169</v>
      </c>
      <c r="C1534" s="44" t="s">
        <v>273</v>
      </c>
      <c r="D1534" s="19" t="s">
        <v>803</v>
      </c>
      <c r="E1534" s="19">
        <v>12</v>
      </c>
      <c r="F1534" s="19">
        <v>135</v>
      </c>
      <c r="G1534" s="19">
        <v>488</v>
      </c>
      <c r="H1534" s="19">
        <v>17</v>
      </c>
      <c r="I1534" s="80">
        <v>6.19</v>
      </c>
      <c r="J1534" s="80">
        <v>105.23</v>
      </c>
      <c r="K1534" s="19" t="s">
        <v>184</v>
      </c>
      <c r="L1534" s="19" t="s">
        <v>2153</v>
      </c>
      <c r="Q1534" s="20">
        <v>23</v>
      </c>
      <c r="R1534" s="65" t="s">
        <v>2010</v>
      </c>
      <c r="T1534" s="19" t="s">
        <v>307</v>
      </c>
      <c r="V1534" s="19" t="s">
        <v>178</v>
      </c>
      <c r="W1534" s="19" t="s">
        <v>138</v>
      </c>
      <c r="Z1534" s="44" t="s">
        <v>2011</v>
      </c>
      <c r="AA1534" s="44" t="s">
        <v>180</v>
      </c>
      <c r="AC1534" s="19" t="s">
        <v>2154</v>
      </c>
    </row>
    <row r="1535" spans="1:29" hidden="1" x14ac:dyDescent="0.25">
      <c r="A1535" s="26">
        <v>158</v>
      </c>
      <c r="B1535" s="19" t="s">
        <v>2170</v>
      </c>
      <c r="C1535" s="44" t="s">
        <v>273</v>
      </c>
      <c r="D1535" s="19" t="s">
        <v>874</v>
      </c>
      <c r="E1535" s="19">
        <v>12</v>
      </c>
      <c r="F1535" s="19">
        <v>100</v>
      </c>
      <c r="G1535" s="19">
        <v>150</v>
      </c>
      <c r="H1535" s="19">
        <v>1</v>
      </c>
      <c r="I1535" s="80">
        <v>1.41</v>
      </c>
      <c r="J1535" s="80">
        <v>1.41</v>
      </c>
      <c r="K1535" s="19" t="s">
        <v>184</v>
      </c>
      <c r="L1535" s="19" t="s">
        <v>2153</v>
      </c>
      <c r="Q1535" s="20">
        <v>23</v>
      </c>
      <c r="R1535" s="65" t="s">
        <v>2010</v>
      </c>
      <c r="T1535" s="19" t="s">
        <v>307</v>
      </c>
      <c r="V1535" s="19" t="s">
        <v>178</v>
      </c>
      <c r="W1535" s="19" t="s">
        <v>138</v>
      </c>
      <c r="Z1535" s="44" t="s">
        <v>2011</v>
      </c>
      <c r="AA1535" s="44" t="s">
        <v>180</v>
      </c>
      <c r="AC1535" s="19" t="s">
        <v>2154</v>
      </c>
    </row>
    <row r="1536" spans="1:29" hidden="1" x14ac:dyDescent="0.25">
      <c r="A1536" s="26">
        <v>159</v>
      </c>
      <c r="B1536" s="19" t="s">
        <v>2171</v>
      </c>
      <c r="C1536" s="44" t="s">
        <v>273</v>
      </c>
      <c r="D1536" s="19" t="s">
        <v>874</v>
      </c>
      <c r="E1536" s="19">
        <v>12</v>
      </c>
      <c r="F1536" s="19">
        <v>100</v>
      </c>
      <c r="G1536" s="19">
        <v>150</v>
      </c>
      <c r="H1536" s="19">
        <v>1</v>
      </c>
      <c r="I1536" s="80">
        <v>1.41</v>
      </c>
      <c r="J1536" s="80">
        <v>1.41</v>
      </c>
      <c r="K1536" s="19" t="s">
        <v>184</v>
      </c>
      <c r="L1536" s="19" t="s">
        <v>2153</v>
      </c>
      <c r="Q1536" s="20">
        <v>23</v>
      </c>
      <c r="R1536" s="65" t="s">
        <v>2010</v>
      </c>
      <c r="T1536" s="19" t="s">
        <v>307</v>
      </c>
      <c r="V1536" s="19" t="s">
        <v>178</v>
      </c>
      <c r="W1536" s="19" t="s">
        <v>138</v>
      </c>
      <c r="Z1536" s="44" t="s">
        <v>2011</v>
      </c>
      <c r="AA1536" s="44" t="s">
        <v>180</v>
      </c>
      <c r="AC1536" s="19" t="s">
        <v>2154</v>
      </c>
    </row>
    <row r="1537" spans="1:29" hidden="1" x14ac:dyDescent="0.25">
      <c r="A1537" s="26">
        <v>160</v>
      </c>
      <c r="B1537" s="19" t="s">
        <v>2096</v>
      </c>
      <c r="C1537" s="44" t="s">
        <v>273</v>
      </c>
      <c r="D1537" s="19" t="s">
        <v>839</v>
      </c>
      <c r="E1537" s="19">
        <v>12</v>
      </c>
      <c r="F1537" s="19">
        <v>120</v>
      </c>
      <c r="G1537" s="19">
        <v>129</v>
      </c>
      <c r="H1537" s="19">
        <v>4</v>
      </c>
      <c r="I1537" s="80">
        <v>1.32</v>
      </c>
      <c r="J1537" s="80">
        <v>5.3</v>
      </c>
      <c r="K1537" s="19" t="s">
        <v>184</v>
      </c>
      <c r="L1537" s="19" t="s">
        <v>2172</v>
      </c>
      <c r="Q1537" s="20">
        <v>23</v>
      </c>
      <c r="R1537" s="65" t="s">
        <v>2010</v>
      </c>
      <c r="T1537" s="19" t="s">
        <v>307</v>
      </c>
      <c r="V1537" s="19" t="s">
        <v>178</v>
      </c>
      <c r="W1537" s="19" t="s">
        <v>138</v>
      </c>
      <c r="Z1537" s="44" t="s">
        <v>2011</v>
      </c>
      <c r="AA1537" s="44" t="s">
        <v>180</v>
      </c>
      <c r="AC1537" s="19" t="s">
        <v>2173</v>
      </c>
    </row>
    <row r="1538" spans="1:29" hidden="1" x14ac:dyDescent="0.25">
      <c r="A1538" s="26">
        <v>161</v>
      </c>
      <c r="B1538" s="19" t="s">
        <v>2174</v>
      </c>
      <c r="C1538" s="44" t="s">
        <v>273</v>
      </c>
      <c r="D1538" s="19" t="s">
        <v>839</v>
      </c>
      <c r="E1538" s="19">
        <v>12</v>
      </c>
      <c r="F1538" s="19">
        <v>120</v>
      </c>
      <c r="G1538" s="19">
        <v>129</v>
      </c>
      <c r="H1538" s="19">
        <v>24</v>
      </c>
      <c r="I1538" s="80">
        <v>1.32</v>
      </c>
      <c r="J1538" s="80">
        <v>31.78</v>
      </c>
      <c r="K1538" s="19" t="s">
        <v>184</v>
      </c>
      <c r="L1538" s="19" t="s">
        <v>2172</v>
      </c>
      <c r="Q1538" s="20">
        <v>23</v>
      </c>
      <c r="R1538" s="65" t="s">
        <v>2010</v>
      </c>
      <c r="T1538" s="19" t="s">
        <v>307</v>
      </c>
      <c r="V1538" s="19" t="s">
        <v>178</v>
      </c>
      <c r="W1538" s="19" t="s">
        <v>138</v>
      </c>
      <c r="Z1538" s="44" t="s">
        <v>2011</v>
      </c>
      <c r="AA1538" s="44" t="s">
        <v>180</v>
      </c>
      <c r="AC1538" s="19" t="s">
        <v>2173</v>
      </c>
    </row>
    <row r="1539" spans="1:29" hidden="1" x14ac:dyDescent="0.25">
      <c r="A1539" s="26">
        <v>162</v>
      </c>
      <c r="B1539" s="19" t="s">
        <v>2175</v>
      </c>
      <c r="C1539" s="44" t="s">
        <v>273</v>
      </c>
      <c r="D1539" s="19" t="s">
        <v>839</v>
      </c>
      <c r="E1539" s="19">
        <v>12</v>
      </c>
      <c r="F1539" s="19">
        <v>120</v>
      </c>
      <c r="G1539" s="19">
        <v>129</v>
      </c>
      <c r="H1539" s="19">
        <v>24</v>
      </c>
      <c r="I1539" s="80">
        <v>1.32</v>
      </c>
      <c r="J1539" s="80">
        <v>31.78</v>
      </c>
      <c r="K1539" s="19" t="s">
        <v>184</v>
      </c>
      <c r="L1539" s="19" t="s">
        <v>2172</v>
      </c>
      <c r="Q1539" s="20">
        <v>23</v>
      </c>
      <c r="R1539" s="65" t="s">
        <v>2010</v>
      </c>
      <c r="T1539" s="19" t="s">
        <v>307</v>
      </c>
      <c r="V1539" s="19" t="s">
        <v>178</v>
      </c>
      <c r="W1539" s="19" t="s">
        <v>138</v>
      </c>
      <c r="Z1539" s="44" t="s">
        <v>2011</v>
      </c>
      <c r="AA1539" s="44" t="s">
        <v>180</v>
      </c>
      <c r="AC1539" s="19" t="s">
        <v>2173</v>
      </c>
    </row>
    <row r="1540" spans="1:29" hidden="1" x14ac:dyDescent="0.25">
      <c r="A1540" s="26">
        <v>163</v>
      </c>
      <c r="B1540" s="19" t="s">
        <v>2176</v>
      </c>
      <c r="C1540" s="44" t="s">
        <v>273</v>
      </c>
      <c r="D1540" s="19" t="s">
        <v>839</v>
      </c>
      <c r="E1540" s="19">
        <v>12</v>
      </c>
      <c r="F1540" s="19">
        <v>120</v>
      </c>
      <c r="G1540" s="19">
        <v>129</v>
      </c>
      <c r="H1540" s="19">
        <v>24</v>
      </c>
      <c r="I1540" s="80">
        <v>1.32</v>
      </c>
      <c r="J1540" s="80">
        <v>31.78</v>
      </c>
      <c r="K1540" s="19" t="s">
        <v>184</v>
      </c>
      <c r="L1540" s="19" t="s">
        <v>2172</v>
      </c>
      <c r="Q1540" s="20">
        <v>23</v>
      </c>
      <c r="R1540" s="65" t="s">
        <v>2010</v>
      </c>
      <c r="T1540" s="19" t="s">
        <v>307</v>
      </c>
      <c r="V1540" s="19" t="s">
        <v>178</v>
      </c>
      <c r="W1540" s="19" t="s">
        <v>138</v>
      </c>
      <c r="Z1540" s="44" t="s">
        <v>2011</v>
      </c>
      <c r="AA1540" s="44" t="s">
        <v>180</v>
      </c>
      <c r="AC1540" s="19" t="s">
        <v>2173</v>
      </c>
    </row>
    <row r="1541" spans="1:29" hidden="1" x14ac:dyDescent="0.25">
      <c r="A1541" s="26">
        <v>164</v>
      </c>
      <c r="B1541" s="19" t="s">
        <v>2177</v>
      </c>
      <c r="C1541" s="44" t="s">
        <v>273</v>
      </c>
      <c r="D1541" s="19" t="s">
        <v>839</v>
      </c>
      <c r="E1541" s="19">
        <v>12</v>
      </c>
      <c r="F1541" s="19">
        <v>120</v>
      </c>
      <c r="G1541" s="19">
        <v>129</v>
      </c>
      <c r="H1541" s="19">
        <v>18</v>
      </c>
      <c r="I1541" s="80">
        <v>1.32</v>
      </c>
      <c r="J1541" s="80">
        <v>23.83</v>
      </c>
      <c r="K1541" s="19" t="s">
        <v>184</v>
      </c>
      <c r="L1541" s="19" t="s">
        <v>2172</v>
      </c>
      <c r="Q1541" s="20">
        <v>23</v>
      </c>
      <c r="R1541" s="65" t="s">
        <v>2010</v>
      </c>
      <c r="T1541" s="19" t="s">
        <v>307</v>
      </c>
      <c r="V1541" s="19" t="s">
        <v>178</v>
      </c>
      <c r="W1541" s="19" t="s">
        <v>138</v>
      </c>
      <c r="Z1541" s="44" t="s">
        <v>2011</v>
      </c>
      <c r="AA1541" s="44" t="s">
        <v>180</v>
      </c>
      <c r="AC1541" s="19" t="s">
        <v>2173</v>
      </c>
    </row>
    <row r="1542" spans="1:29" hidden="1" x14ac:dyDescent="0.25">
      <c r="A1542" s="26">
        <v>165</v>
      </c>
      <c r="B1542" s="19" t="s">
        <v>2178</v>
      </c>
      <c r="C1542" s="44" t="s">
        <v>273</v>
      </c>
      <c r="D1542" s="19" t="s">
        <v>839</v>
      </c>
      <c r="E1542" s="19">
        <v>12</v>
      </c>
      <c r="F1542" s="19">
        <v>120</v>
      </c>
      <c r="G1542" s="19">
        <v>129</v>
      </c>
      <c r="H1542" s="19">
        <v>18</v>
      </c>
      <c r="I1542" s="80">
        <v>1.32</v>
      </c>
      <c r="J1542" s="80">
        <v>23.83</v>
      </c>
      <c r="K1542" s="19" t="s">
        <v>184</v>
      </c>
      <c r="L1542" s="19" t="s">
        <v>2172</v>
      </c>
      <c r="Q1542" s="20">
        <v>23</v>
      </c>
      <c r="R1542" s="65" t="s">
        <v>2010</v>
      </c>
      <c r="T1542" s="19" t="s">
        <v>307</v>
      </c>
      <c r="V1542" s="19" t="s">
        <v>178</v>
      </c>
      <c r="W1542" s="19" t="s">
        <v>138</v>
      </c>
      <c r="Z1542" s="44" t="s">
        <v>2011</v>
      </c>
      <c r="AA1542" s="44" t="s">
        <v>180</v>
      </c>
      <c r="AC1542" s="19" t="s">
        <v>2173</v>
      </c>
    </row>
    <row r="1543" spans="1:29" hidden="1" x14ac:dyDescent="0.25">
      <c r="A1543" s="26">
        <v>166</v>
      </c>
      <c r="B1543" s="19" t="s">
        <v>2179</v>
      </c>
      <c r="C1543" s="44" t="s">
        <v>273</v>
      </c>
      <c r="D1543" s="19" t="s">
        <v>839</v>
      </c>
      <c r="E1543" s="19">
        <v>12</v>
      </c>
      <c r="F1543" s="19">
        <v>120</v>
      </c>
      <c r="G1543" s="19">
        <v>129</v>
      </c>
      <c r="H1543" s="19">
        <v>15</v>
      </c>
      <c r="I1543" s="80">
        <v>1.32</v>
      </c>
      <c r="J1543" s="80">
        <v>19.86</v>
      </c>
      <c r="K1543" s="19" t="s">
        <v>184</v>
      </c>
      <c r="L1543" s="19" t="s">
        <v>2172</v>
      </c>
      <c r="Q1543" s="20">
        <v>23</v>
      </c>
      <c r="R1543" s="65" t="s">
        <v>2010</v>
      </c>
      <c r="T1543" s="19" t="s">
        <v>307</v>
      </c>
      <c r="V1543" s="19" t="s">
        <v>178</v>
      </c>
      <c r="W1543" s="19" t="s">
        <v>138</v>
      </c>
      <c r="Z1543" s="44" t="s">
        <v>2011</v>
      </c>
      <c r="AA1543" s="44" t="s">
        <v>180</v>
      </c>
      <c r="AC1543" s="19" t="s">
        <v>2173</v>
      </c>
    </row>
    <row r="1544" spans="1:29" hidden="1" x14ac:dyDescent="0.25">
      <c r="A1544" s="26">
        <v>167</v>
      </c>
      <c r="B1544" s="19" t="s">
        <v>2180</v>
      </c>
      <c r="C1544" s="44" t="s">
        <v>273</v>
      </c>
      <c r="D1544" s="19" t="s">
        <v>839</v>
      </c>
      <c r="E1544" s="19">
        <v>12</v>
      </c>
      <c r="F1544" s="19">
        <v>120</v>
      </c>
      <c r="G1544" s="19">
        <v>129</v>
      </c>
      <c r="H1544" s="19">
        <v>4</v>
      </c>
      <c r="I1544" s="80">
        <v>1.32</v>
      </c>
      <c r="J1544" s="80">
        <v>5.3</v>
      </c>
      <c r="K1544" s="19" t="s">
        <v>184</v>
      </c>
      <c r="L1544" s="19" t="s">
        <v>2172</v>
      </c>
      <c r="Q1544" s="20">
        <v>23</v>
      </c>
      <c r="R1544" s="65" t="s">
        <v>2010</v>
      </c>
      <c r="T1544" s="19" t="s">
        <v>307</v>
      </c>
      <c r="V1544" s="19" t="s">
        <v>178</v>
      </c>
      <c r="W1544" s="19" t="s">
        <v>138</v>
      </c>
      <c r="Z1544" s="44" t="s">
        <v>2011</v>
      </c>
      <c r="AA1544" s="44" t="s">
        <v>180</v>
      </c>
      <c r="AC1544" s="19" t="s">
        <v>2173</v>
      </c>
    </row>
    <row r="1545" spans="1:29" hidden="1" x14ac:dyDescent="0.25">
      <c r="A1545" s="26">
        <v>168</v>
      </c>
      <c r="B1545" s="19" t="s">
        <v>2181</v>
      </c>
      <c r="C1545" s="44" t="s">
        <v>273</v>
      </c>
      <c r="D1545" s="19" t="s">
        <v>839</v>
      </c>
      <c r="E1545" s="19">
        <v>12</v>
      </c>
      <c r="F1545" s="19">
        <v>120</v>
      </c>
      <c r="G1545" s="19">
        <v>129</v>
      </c>
      <c r="H1545" s="19">
        <v>4</v>
      </c>
      <c r="I1545" s="80">
        <v>1.32</v>
      </c>
      <c r="J1545" s="80">
        <v>5.3</v>
      </c>
      <c r="K1545" s="19" t="s">
        <v>184</v>
      </c>
      <c r="L1545" s="19" t="s">
        <v>2172</v>
      </c>
      <c r="Q1545" s="20">
        <v>23</v>
      </c>
      <c r="R1545" s="65" t="s">
        <v>2010</v>
      </c>
      <c r="T1545" s="19" t="s">
        <v>307</v>
      </c>
      <c r="V1545" s="19" t="s">
        <v>178</v>
      </c>
      <c r="W1545" s="19" t="s">
        <v>138</v>
      </c>
      <c r="Z1545" s="44" t="s">
        <v>2011</v>
      </c>
      <c r="AA1545" s="44" t="s">
        <v>180</v>
      </c>
      <c r="AC1545" s="19" t="s">
        <v>2173</v>
      </c>
    </row>
    <row r="1546" spans="1:29" hidden="1" x14ac:dyDescent="0.25">
      <c r="A1546" s="26">
        <v>169</v>
      </c>
      <c r="B1546" s="19" t="s">
        <v>2182</v>
      </c>
      <c r="C1546" s="44" t="s">
        <v>273</v>
      </c>
      <c r="D1546" s="19" t="s">
        <v>839</v>
      </c>
      <c r="E1546" s="19">
        <v>12</v>
      </c>
      <c r="F1546" s="19">
        <v>120</v>
      </c>
      <c r="G1546" s="19">
        <v>129</v>
      </c>
      <c r="H1546" s="19">
        <v>4</v>
      </c>
      <c r="I1546" s="80">
        <v>1.32</v>
      </c>
      <c r="J1546" s="80">
        <v>5.3</v>
      </c>
      <c r="K1546" s="19" t="s">
        <v>184</v>
      </c>
      <c r="L1546" s="19" t="s">
        <v>2172</v>
      </c>
      <c r="Q1546" s="20">
        <v>23</v>
      </c>
      <c r="R1546" s="65" t="s">
        <v>2010</v>
      </c>
      <c r="T1546" s="19" t="s">
        <v>307</v>
      </c>
      <c r="V1546" s="19" t="s">
        <v>178</v>
      </c>
      <c r="W1546" s="19" t="s">
        <v>138</v>
      </c>
      <c r="Z1546" s="44" t="s">
        <v>2011</v>
      </c>
      <c r="AA1546" s="44" t="s">
        <v>180</v>
      </c>
      <c r="AC1546" s="19" t="s">
        <v>2173</v>
      </c>
    </row>
    <row r="1547" spans="1:29" hidden="1" x14ac:dyDescent="0.25">
      <c r="A1547" s="26">
        <v>170</v>
      </c>
      <c r="B1547" s="19" t="s">
        <v>2183</v>
      </c>
      <c r="C1547" s="44" t="s">
        <v>273</v>
      </c>
      <c r="D1547" s="19" t="s">
        <v>839</v>
      </c>
      <c r="E1547" s="19">
        <v>12</v>
      </c>
      <c r="F1547" s="19">
        <v>120</v>
      </c>
      <c r="G1547" s="19">
        <v>129</v>
      </c>
      <c r="H1547" s="19">
        <v>4</v>
      </c>
      <c r="I1547" s="80">
        <v>1.32</v>
      </c>
      <c r="J1547" s="80">
        <v>5.3</v>
      </c>
      <c r="K1547" s="19" t="s">
        <v>184</v>
      </c>
      <c r="L1547" s="19" t="s">
        <v>2172</v>
      </c>
      <c r="Q1547" s="20">
        <v>23</v>
      </c>
      <c r="R1547" s="65" t="s">
        <v>2010</v>
      </c>
      <c r="T1547" s="19" t="s">
        <v>307</v>
      </c>
      <c r="V1547" s="19" t="s">
        <v>178</v>
      </c>
      <c r="W1547" s="19" t="s">
        <v>138</v>
      </c>
      <c r="Z1547" s="44" t="s">
        <v>2011</v>
      </c>
      <c r="AA1547" s="44" t="s">
        <v>180</v>
      </c>
      <c r="AC1547" s="19" t="s">
        <v>2173</v>
      </c>
    </row>
    <row r="1548" spans="1:29" hidden="1" x14ac:dyDescent="0.25">
      <c r="A1548" s="26">
        <v>171</v>
      </c>
      <c r="B1548" s="19" t="s">
        <v>2184</v>
      </c>
      <c r="C1548" s="44" t="s">
        <v>273</v>
      </c>
      <c r="D1548" s="19" t="s">
        <v>839</v>
      </c>
      <c r="E1548" s="19">
        <v>12</v>
      </c>
      <c r="F1548" s="19">
        <v>120</v>
      </c>
      <c r="G1548" s="19">
        <v>129</v>
      </c>
      <c r="H1548" s="19">
        <v>4</v>
      </c>
      <c r="I1548" s="80">
        <v>1.32</v>
      </c>
      <c r="J1548" s="80">
        <v>5.3</v>
      </c>
      <c r="K1548" s="19" t="s">
        <v>184</v>
      </c>
      <c r="L1548" s="19" t="s">
        <v>2172</v>
      </c>
      <c r="Q1548" s="20">
        <v>23</v>
      </c>
      <c r="R1548" s="65" t="s">
        <v>2010</v>
      </c>
      <c r="T1548" s="19" t="s">
        <v>307</v>
      </c>
      <c r="V1548" s="19" t="s">
        <v>178</v>
      </c>
      <c r="W1548" s="19" t="s">
        <v>138</v>
      </c>
      <c r="Z1548" s="44" t="s">
        <v>2011</v>
      </c>
      <c r="AA1548" s="44" t="s">
        <v>180</v>
      </c>
      <c r="AC1548" s="19" t="s">
        <v>2173</v>
      </c>
    </row>
    <row r="1549" spans="1:29" hidden="1" x14ac:dyDescent="0.25">
      <c r="A1549" s="26">
        <v>172</v>
      </c>
      <c r="B1549" s="19" t="s">
        <v>2185</v>
      </c>
      <c r="C1549" s="44" t="s">
        <v>273</v>
      </c>
      <c r="D1549" s="19" t="s">
        <v>812</v>
      </c>
      <c r="E1549" s="19">
        <v>12</v>
      </c>
      <c r="F1549" s="19">
        <v>490</v>
      </c>
      <c r="G1549" s="19">
        <v>6464</v>
      </c>
      <c r="H1549" s="19">
        <v>1</v>
      </c>
      <c r="I1549" s="80">
        <v>298.26</v>
      </c>
      <c r="J1549" s="80">
        <v>298.26</v>
      </c>
      <c r="K1549" s="19" t="s">
        <v>184</v>
      </c>
      <c r="L1549" s="19" t="s">
        <v>2172</v>
      </c>
      <c r="Q1549" s="20">
        <v>23</v>
      </c>
      <c r="R1549" s="65" t="s">
        <v>2010</v>
      </c>
      <c r="T1549" s="19" t="s">
        <v>307</v>
      </c>
      <c r="V1549" s="19" t="s">
        <v>178</v>
      </c>
      <c r="Y1549" s="19" t="s">
        <v>138</v>
      </c>
      <c r="Z1549" s="44" t="s">
        <v>2011</v>
      </c>
      <c r="AA1549" s="44" t="s">
        <v>180</v>
      </c>
      <c r="AC1549" s="19" t="s">
        <v>2173</v>
      </c>
    </row>
    <row r="1550" spans="1:29" hidden="1" x14ac:dyDescent="0.25">
      <c r="A1550" s="26">
        <v>173</v>
      </c>
      <c r="B1550" s="19" t="s">
        <v>2186</v>
      </c>
      <c r="C1550" s="44" t="s">
        <v>273</v>
      </c>
      <c r="D1550" s="19" t="s">
        <v>803</v>
      </c>
      <c r="E1550" s="19">
        <v>12</v>
      </c>
      <c r="F1550" s="19">
        <v>135</v>
      </c>
      <c r="G1550" s="19">
        <v>488</v>
      </c>
      <c r="H1550" s="19">
        <v>12</v>
      </c>
      <c r="I1550" s="80">
        <v>6.19</v>
      </c>
      <c r="J1550" s="80">
        <v>74.28</v>
      </c>
      <c r="K1550" s="19" t="s">
        <v>184</v>
      </c>
      <c r="L1550" s="19" t="s">
        <v>2172</v>
      </c>
      <c r="Q1550" s="20">
        <v>23</v>
      </c>
      <c r="R1550" s="65" t="s">
        <v>2010</v>
      </c>
      <c r="T1550" s="19" t="s">
        <v>307</v>
      </c>
      <c r="V1550" s="19" t="s">
        <v>178</v>
      </c>
      <c r="W1550" s="19" t="s">
        <v>138</v>
      </c>
      <c r="Z1550" s="44" t="s">
        <v>2011</v>
      </c>
      <c r="AA1550" s="44" t="s">
        <v>180</v>
      </c>
      <c r="AC1550" s="19" t="s">
        <v>2173</v>
      </c>
    </row>
    <row r="1551" spans="1:29" hidden="1" x14ac:dyDescent="0.25">
      <c r="A1551" s="26">
        <v>174</v>
      </c>
      <c r="B1551" s="19" t="s">
        <v>2187</v>
      </c>
      <c r="C1551" s="44" t="s">
        <v>273</v>
      </c>
      <c r="D1551" s="19" t="s">
        <v>803</v>
      </c>
      <c r="E1551" s="19">
        <v>12</v>
      </c>
      <c r="F1551" s="19">
        <v>135</v>
      </c>
      <c r="G1551" s="19">
        <v>488</v>
      </c>
      <c r="H1551" s="19">
        <v>12</v>
      </c>
      <c r="I1551" s="80">
        <v>6.19</v>
      </c>
      <c r="J1551" s="80">
        <v>74.28</v>
      </c>
      <c r="K1551" s="19" t="s">
        <v>184</v>
      </c>
      <c r="L1551" s="19" t="s">
        <v>2172</v>
      </c>
      <c r="Q1551" s="20">
        <v>23</v>
      </c>
      <c r="R1551" s="65" t="s">
        <v>2010</v>
      </c>
      <c r="T1551" s="19" t="s">
        <v>307</v>
      </c>
      <c r="V1551" s="19" t="s">
        <v>178</v>
      </c>
      <c r="W1551" s="19" t="s">
        <v>138</v>
      </c>
      <c r="Z1551" s="44" t="s">
        <v>2011</v>
      </c>
      <c r="AA1551" s="44" t="s">
        <v>180</v>
      </c>
      <c r="AC1551" s="19" t="s">
        <v>2173</v>
      </c>
    </row>
    <row r="1552" spans="1:29" hidden="1" x14ac:dyDescent="0.25">
      <c r="A1552" s="26">
        <v>175</v>
      </c>
      <c r="B1552" s="19" t="s">
        <v>2188</v>
      </c>
      <c r="C1552" s="44" t="s">
        <v>273</v>
      </c>
      <c r="D1552" s="19" t="s">
        <v>803</v>
      </c>
      <c r="E1552" s="19">
        <v>12</v>
      </c>
      <c r="F1552" s="19">
        <v>135</v>
      </c>
      <c r="G1552" s="19">
        <v>488</v>
      </c>
      <c r="H1552" s="19">
        <v>12</v>
      </c>
      <c r="I1552" s="80">
        <v>6.19</v>
      </c>
      <c r="J1552" s="80">
        <v>74.28</v>
      </c>
      <c r="K1552" s="19" t="s">
        <v>184</v>
      </c>
      <c r="L1552" s="19" t="s">
        <v>2172</v>
      </c>
      <c r="Q1552" s="20">
        <v>23</v>
      </c>
      <c r="R1552" s="65" t="s">
        <v>2010</v>
      </c>
      <c r="T1552" s="19" t="s">
        <v>307</v>
      </c>
      <c r="V1552" s="19" t="s">
        <v>178</v>
      </c>
      <c r="W1552" s="19" t="s">
        <v>138</v>
      </c>
      <c r="Z1552" s="44" t="s">
        <v>2011</v>
      </c>
      <c r="AA1552" s="44" t="s">
        <v>180</v>
      </c>
      <c r="AC1552" s="19" t="s">
        <v>2173</v>
      </c>
    </row>
    <row r="1553" spans="1:29" hidden="1" x14ac:dyDescent="0.25">
      <c r="A1553" s="26">
        <v>176</v>
      </c>
      <c r="B1553" s="19" t="s">
        <v>2162</v>
      </c>
      <c r="C1553" s="44" t="s">
        <v>273</v>
      </c>
      <c r="D1553" s="19" t="s">
        <v>803</v>
      </c>
      <c r="E1553" s="19">
        <v>12</v>
      </c>
      <c r="F1553" s="19">
        <v>135</v>
      </c>
      <c r="G1553" s="19">
        <v>488</v>
      </c>
      <c r="H1553" s="19">
        <v>6</v>
      </c>
      <c r="I1553" s="80">
        <v>6.19</v>
      </c>
      <c r="J1553" s="80">
        <v>37.14</v>
      </c>
      <c r="K1553" s="19" t="s">
        <v>184</v>
      </c>
      <c r="L1553" s="19" t="s">
        <v>2172</v>
      </c>
      <c r="Q1553" s="20">
        <v>23</v>
      </c>
      <c r="R1553" s="65" t="s">
        <v>2010</v>
      </c>
      <c r="T1553" s="19" t="s">
        <v>307</v>
      </c>
      <c r="V1553" s="19" t="s">
        <v>178</v>
      </c>
      <c r="W1553" s="19" t="s">
        <v>138</v>
      </c>
      <c r="Z1553" s="44" t="s">
        <v>2011</v>
      </c>
      <c r="AA1553" s="44" t="s">
        <v>180</v>
      </c>
      <c r="AC1553" s="19" t="s">
        <v>2173</v>
      </c>
    </row>
    <row r="1554" spans="1:29" hidden="1" x14ac:dyDescent="0.25">
      <c r="A1554" s="26">
        <v>177</v>
      </c>
      <c r="B1554" s="19" t="s">
        <v>2189</v>
      </c>
      <c r="C1554" s="44" t="s">
        <v>273</v>
      </c>
      <c r="D1554" s="19" t="s">
        <v>803</v>
      </c>
      <c r="E1554" s="19">
        <v>12</v>
      </c>
      <c r="F1554" s="19">
        <v>135</v>
      </c>
      <c r="G1554" s="19">
        <v>488</v>
      </c>
      <c r="H1554" s="19">
        <v>16</v>
      </c>
      <c r="I1554" s="80">
        <v>6.19</v>
      </c>
      <c r="J1554" s="80">
        <v>99.04</v>
      </c>
      <c r="K1554" s="19" t="s">
        <v>184</v>
      </c>
      <c r="L1554" s="19" t="s">
        <v>2172</v>
      </c>
      <c r="Q1554" s="20">
        <v>23</v>
      </c>
      <c r="R1554" s="65" t="s">
        <v>2010</v>
      </c>
      <c r="T1554" s="19" t="s">
        <v>307</v>
      </c>
      <c r="V1554" s="19" t="s">
        <v>178</v>
      </c>
      <c r="W1554" s="19" t="s">
        <v>138</v>
      </c>
      <c r="Z1554" s="44" t="s">
        <v>2011</v>
      </c>
      <c r="AA1554" s="44" t="s">
        <v>180</v>
      </c>
      <c r="AC1554" s="19" t="s">
        <v>2173</v>
      </c>
    </row>
    <row r="1555" spans="1:29" hidden="1" x14ac:dyDescent="0.25">
      <c r="A1555" s="26">
        <v>178</v>
      </c>
      <c r="B1555" s="19" t="s">
        <v>2190</v>
      </c>
      <c r="C1555" s="44" t="s">
        <v>273</v>
      </c>
      <c r="D1555" s="19" t="s">
        <v>803</v>
      </c>
      <c r="E1555" s="19">
        <v>12</v>
      </c>
      <c r="F1555" s="19">
        <v>135</v>
      </c>
      <c r="G1555" s="19">
        <v>488</v>
      </c>
      <c r="H1555" s="19">
        <v>16</v>
      </c>
      <c r="I1555" s="80">
        <v>6.19</v>
      </c>
      <c r="J1555" s="80">
        <v>99.04</v>
      </c>
      <c r="K1555" s="19" t="s">
        <v>184</v>
      </c>
      <c r="L1555" s="19" t="s">
        <v>2172</v>
      </c>
      <c r="Q1555" s="20">
        <v>23</v>
      </c>
      <c r="R1555" s="65" t="s">
        <v>2010</v>
      </c>
      <c r="T1555" s="19" t="s">
        <v>307</v>
      </c>
      <c r="V1555" s="19" t="s">
        <v>178</v>
      </c>
      <c r="W1555" s="19" t="s">
        <v>138</v>
      </c>
      <c r="Z1555" s="44" t="s">
        <v>2011</v>
      </c>
      <c r="AA1555" s="44" t="s">
        <v>180</v>
      </c>
      <c r="AC1555" s="19" t="s">
        <v>2173</v>
      </c>
    </row>
    <row r="1556" spans="1:29" hidden="1" x14ac:dyDescent="0.25">
      <c r="A1556" s="26">
        <v>179</v>
      </c>
      <c r="B1556" s="19" t="s">
        <v>2191</v>
      </c>
      <c r="C1556" s="44" t="s">
        <v>273</v>
      </c>
      <c r="D1556" s="19" t="s">
        <v>803</v>
      </c>
      <c r="E1556" s="19">
        <v>12</v>
      </c>
      <c r="F1556" s="19">
        <v>135</v>
      </c>
      <c r="G1556" s="19">
        <v>488</v>
      </c>
      <c r="H1556" s="19">
        <v>16</v>
      </c>
      <c r="I1556" s="80">
        <v>6.19</v>
      </c>
      <c r="J1556" s="80">
        <v>99.04</v>
      </c>
      <c r="K1556" s="19" t="s">
        <v>184</v>
      </c>
      <c r="L1556" s="19" t="s">
        <v>2172</v>
      </c>
      <c r="Q1556" s="20">
        <v>23</v>
      </c>
      <c r="R1556" s="65" t="s">
        <v>2010</v>
      </c>
      <c r="T1556" s="19" t="s">
        <v>307</v>
      </c>
      <c r="V1556" s="19" t="s">
        <v>178</v>
      </c>
      <c r="W1556" s="19" t="s">
        <v>138</v>
      </c>
      <c r="Z1556" s="44" t="s">
        <v>2011</v>
      </c>
      <c r="AA1556" s="44" t="s">
        <v>180</v>
      </c>
      <c r="AC1556" s="19" t="s">
        <v>2173</v>
      </c>
    </row>
    <row r="1557" spans="1:29" hidden="1" x14ac:dyDescent="0.25">
      <c r="A1557" s="26">
        <v>180</v>
      </c>
      <c r="B1557" s="19" t="s">
        <v>2192</v>
      </c>
      <c r="C1557" s="44" t="s">
        <v>273</v>
      </c>
      <c r="D1557" s="19" t="s">
        <v>803</v>
      </c>
      <c r="E1557" s="19">
        <v>12</v>
      </c>
      <c r="F1557" s="19">
        <v>135</v>
      </c>
      <c r="G1557" s="19">
        <v>488</v>
      </c>
      <c r="H1557" s="19">
        <v>4</v>
      </c>
      <c r="I1557" s="80">
        <v>6.19</v>
      </c>
      <c r="J1557" s="80">
        <v>24.76</v>
      </c>
      <c r="K1557" s="19" t="s">
        <v>184</v>
      </c>
      <c r="L1557" s="19" t="s">
        <v>2172</v>
      </c>
      <c r="Q1557" s="20">
        <v>23</v>
      </c>
      <c r="R1557" s="65" t="s">
        <v>2010</v>
      </c>
      <c r="T1557" s="19" t="s">
        <v>307</v>
      </c>
      <c r="V1557" s="19" t="s">
        <v>178</v>
      </c>
      <c r="W1557" s="19" t="s">
        <v>138</v>
      </c>
      <c r="Z1557" s="44" t="s">
        <v>2011</v>
      </c>
      <c r="AA1557" s="44" t="s">
        <v>180</v>
      </c>
      <c r="AC1557" s="19" t="s">
        <v>2173</v>
      </c>
    </row>
    <row r="1558" spans="1:29" hidden="1" x14ac:dyDescent="0.25">
      <c r="A1558" s="26">
        <v>181</v>
      </c>
      <c r="B1558" s="19" t="s">
        <v>2193</v>
      </c>
      <c r="C1558" s="44" t="s">
        <v>273</v>
      </c>
      <c r="D1558" s="19" t="s">
        <v>803</v>
      </c>
      <c r="E1558" s="19">
        <v>12</v>
      </c>
      <c r="F1558" s="19">
        <v>135</v>
      </c>
      <c r="G1558" s="19">
        <v>488</v>
      </c>
      <c r="H1558" s="19">
        <v>4</v>
      </c>
      <c r="I1558" s="80">
        <v>6.19</v>
      </c>
      <c r="J1558" s="80">
        <v>24.76</v>
      </c>
      <c r="K1558" s="19" t="s">
        <v>184</v>
      </c>
      <c r="L1558" s="19" t="s">
        <v>2172</v>
      </c>
      <c r="Q1558" s="20">
        <v>23</v>
      </c>
      <c r="R1558" s="65" t="s">
        <v>2010</v>
      </c>
      <c r="T1558" s="19" t="s">
        <v>307</v>
      </c>
      <c r="V1558" s="19" t="s">
        <v>178</v>
      </c>
      <c r="W1558" s="19" t="s">
        <v>138</v>
      </c>
      <c r="Z1558" s="44" t="s">
        <v>2011</v>
      </c>
      <c r="AA1558" s="44" t="s">
        <v>180</v>
      </c>
      <c r="AC1558" s="19" t="s">
        <v>2173</v>
      </c>
    </row>
    <row r="1559" spans="1:29" hidden="1" x14ac:dyDescent="0.25">
      <c r="A1559" s="26">
        <v>182</v>
      </c>
      <c r="B1559" s="19" t="s">
        <v>2194</v>
      </c>
      <c r="C1559" s="44" t="s">
        <v>273</v>
      </c>
      <c r="D1559" s="19" t="s">
        <v>874</v>
      </c>
      <c r="E1559" s="19">
        <v>12</v>
      </c>
      <c r="F1559" s="19">
        <v>100</v>
      </c>
      <c r="G1559" s="19">
        <v>150</v>
      </c>
      <c r="H1559" s="19">
        <v>1</v>
      </c>
      <c r="I1559" s="80">
        <v>1.41</v>
      </c>
      <c r="J1559" s="80">
        <v>1.41</v>
      </c>
      <c r="K1559" s="19" t="s">
        <v>184</v>
      </c>
      <c r="L1559" s="19" t="s">
        <v>2172</v>
      </c>
      <c r="Q1559" s="20">
        <v>23</v>
      </c>
      <c r="R1559" s="65" t="s">
        <v>2010</v>
      </c>
      <c r="T1559" s="19" t="s">
        <v>307</v>
      </c>
      <c r="V1559" s="19" t="s">
        <v>178</v>
      </c>
      <c r="W1559" s="19" t="s">
        <v>138</v>
      </c>
      <c r="Z1559" s="44" t="s">
        <v>2011</v>
      </c>
      <c r="AA1559" s="44" t="s">
        <v>180</v>
      </c>
      <c r="AC1559" s="19" t="s">
        <v>2173</v>
      </c>
    </row>
    <row r="1560" spans="1:29" hidden="1" x14ac:dyDescent="0.25">
      <c r="A1560" s="26">
        <v>183</v>
      </c>
      <c r="B1560" s="19" t="s">
        <v>2195</v>
      </c>
      <c r="C1560" s="44" t="s">
        <v>273</v>
      </c>
      <c r="D1560" s="19" t="s">
        <v>803</v>
      </c>
      <c r="E1560" s="19">
        <v>12</v>
      </c>
      <c r="F1560" s="19">
        <v>135</v>
      </c>
      <c r="G1560" s="19">
        <v>488</v>
      </c>
      <c r="H1560" s="19">
        <v>4</v>
      </c>
      <c r="I1560" s="80">
        <v>6.19</v>
      </c>
      <c r="J1560" s="80">
        <v>24.76</v>
      </c>
      <c r="K1560" s="19" t="s">
        <v>184</v>
      </c>
      <c r="L1560" s="19" t="s">
        <v>2172</v>
      </c>
      <c r="Q1560" s="20">
        <v>23</v>
      </c>
      <c r="R1560" s="65" t="s">
        <v>2010</v>
      </c>
      <c r="T1560" s="19" t="s">
        <v>307</v>
      </c>
      <c r="V1560" s="19" t="s">
        <v>178</v>
      </c>
      <c r="W1560" s="19" t="s">
        <v>138</v>
      </c>
      <c r="Z1560" s="44" t="s">
        <v>2011</v>
      </c>
      <c r="AA1560" s="44" t="s">
        <v>180</v>
      </c>
      <c r="AC1560" s="19" t="s">
        <v>2173</v>
      </c>
    </row>
    <row r="1561" spans="1:29" hidden="1" x14ac:dyDescent="0.25">
      <c r="A1561" s="26">
        <v>184</v>
      </c>
      <c r="B1561" s="19" t="s">
        <v>2196</v>
      </c>
      <c r="C1561" s="44" t="s">
        <v>273</v>
      </c>
      <c r="D1561" s="19" t="s">
        <v>874</v>
      </c>
      <c r="E1561" s="19">
        <v>12</v>
      </c>
      <c r="F1561" s="19">
        <v>100</v>
      </c>
      <c r="G1561" s="19">
        <v>150</v>
      </c>
      <c r="H1561" s="19">
        <v>1</v>
      </c>
      <c r="I1561" s="80">
        <v>1.41</v>
      </c>
      <c r="J1561" s="80">
        <v>1.41</v>
      </c>
      <c r="K1561" s="19" t="s">
        <v>184</v>
      </c>
      <c r="L1561" s="19" t="s">
        <v>2172</v>
      </c>
      <c r="Q1561" s="20">
        <v>23</v>
      </c>
      <c r="R1561" s="65" t="s">
        <v>2010</v>
      </c>
      <c r="T1561" s="19" t="s">
        <v>307</v>
      </c>
      <c r="V1561" s="19" t="s">
        <v>178</v>
      </c>
      <c r="W1561" s="19" t="s">
        <v>138</v>
      </c>
      <c r="Z1561" s="44" t="s">
        <v>2011</v>
      </c>
      <c r="AA1561" s="44" t="s">
        <v>180</v>
      </c>
      <c r="AC1561" s="19" t="s">
        <v>2173</v>
      </c>
    </row>
    <row r="1562" spans="1:29" hidden="1" x14ac:dyDescent="0.25">
      <c r="A1562" s="26">
        <v>185</v>
      </c>
      <c r="B1562" s="19" t="s">
        <v>2197</v>
      </c>
      <c r="C1562" s="44" t="s">
        <v>273</v>
      </c>
      <c r="D1562" s="19" t="s">
        <v>803</v>
      </c>
      <c r="E1562" s="19">
        <v>12</v>
      </c>
      <c r="F1562" s="19">
        <v>135</v>
      </c>
      <c r="G1562" s="19">
        <v>488</v>
      </c>
      <c r="H1562" s="19">
        <v>4</v>
      </c>
      <c r="I1562" s="80">
        <v>6.19</v>
      </c>
      <c r="J1562" s="80">
        <v>24.76</v>
      </c>
      <c r="K1562" s="19" t="s">
        <v>184</v>
      </c>
      <c r="L1562" s="19" t="s">
        <v>2172</v>
      </c>
      <c r="Q1562" s="20">
        <v>23</v>
      </c>
      <c r="R1562" s="65" t="s">
        <v>2010</v>
      </c>
      <c r="T1562" s="19" t="s">
        <v>307</v>
      </c>
      <c r="V1562" s="19" t="s">
        <v>178</v>
      </c>
      <c r="W1562" s="19" t="s">
        <v>138</v>
      </c>
      <c r="Z1562" s="44" t="s">
        <v>2011</v>
      </c>
      <c r="AA1562" s="44" t="s">
        <v>180</v>
      </c>
      <c r="AC1562" s="19" t="s">
        <v>2173</v>
      </c>
    </row>
    <row r="1563" spans="1:29" hidden="1" x14ac:dyDescent="0.25">
      <c r="A1563" s="26">
        <v>186</v>
      </c>
      <c r="B1563" s="19" t="s">
        <v>2198</v>
      </c>
      <c r="C1563" s="44" t="s">
        <v>273</v>
      </c>
      <c r="D1563" s="19" t="s">
        <v>874</v>
      </c>
      <c r="E1563" s="19">
        <v>12</v>
      </c>
      <c r="F1563" s="19">
        <v>100</v>
      </c>
      <c r="G1563" s="19">
        <v>150</v>
      </c>
      <c r="H1563" s="19">
        <v>1</v>
      </c>
      <c r="I1563" s="80">
        <v>1.41</v>
      </c>
      <c r="J1563" s="80">
        <v>1.41</v>
      </c>
      <c r="K1563" s="19" t="s">
        <v>184</v>
      </c>
      <c r="L1563" s="19" t="s">
        <v>2172</v>
      </c>
      <c r="Q1563" s="20">
        <v>23</v>
      </c>
      <c r="R1563" s="65" t="s">
        <v>2010</v>
      </c>
      <c r="T1563" s="19" t="s">
        <v>307</v>
      </c>
      <c r="V1563" s="19" t="s">
        <v>178</v>
      </c>
      <c r="W1563" s="19" t="s">
        <v>138</v>
      </c>
      <c r="Z1563" s="44" t="s">
        <v>2011</v>
      </c>
      <c r="AA1563" s="44" t="s">
        <v>180</v>
      </c>
      <c r="AC1563" s="19" t="s">
        <v>2173</v>
      </c>
    </row>
    <row r="1564" spans="1:29" hidden="1" x14ac:dyDescent="0.25">
      <c r="A1564" s="26">
        <v>187</v>
      </c>
      <c r="B1564" s="19" t="s">
        <v>2199</v>
      </c>
      <c r="C1564" s="44" t="s">
        <v>273</v>
      </c>
      <c r="D1564" s="19" t="s">
        <v>803</v>
      </c>
      <c r="E1564" s="19">
        <v>12</v>
      </c>
      <c r="F1564" s="19">
        <v>135</v>
      </c>
      <c r="G1564" s="19">
        <v>488</v>
      </c>
      <c r="H1564" s="19">
        <v>4</v>
      </c>
      <c r="I1564" s="80">
        <v>6.19</v>
      </c>
      <c r="J1564" s="80">
        <v>24.76</v>
      </c>
      <c r="K1564" s="19" t="s">
        <v>184</v>
      </c>
      <c r="L1564" s="19" t="s">
        <v>2172</v>
      </c>
      <c r="Q1564" s="20">
        <v>23</v>
      </c>
      <c r="R1564" s="65" t="s">
        <v>2010</v>
      </c>
      <c r="T1564" s="19" t="s">
        <v>307</v>
      </c>
      <c r="V1564" s="19" t="s">
        <v>178</v>
      </c>
      <c r="W1564" s="19" t="s">
        <v>138</v>
      </c>
      <c r="Z1564" s="44" t="s">
        <v>2011</v>
      </c>
      <c r="AA1564" s="44" t="s">
        <v>180</v>
      </c>
      <c r="AC1564" s="19" t="s">
        <v>2173</v>
      </c>
    </row>
    <row r="1565" spans="1:29" hidden="1" x14ac:dyDescent="0.25">
      <c r="A1565" s="26">
        <v>188</v>
      </c>
      <c r="B1565" s="19" t="s">
        <v>2200</v>
      </c>
      <c r="C1565" s="44" t="s">
        <v>273</v>
      </c>
      <c r="D1565" s="19" t="s">
        <v>874</v>
      </c>
      <c r="E1565" s="19">
        <v>12</v>
      </c>
      <c r="F1565" s="19">
        <v>100</v>
      </c>
      <c r="G1565" s="19">
        <v>150</v>
      </c>
      <c r="H1565" s="19">
        <v>1</v>
      </c>
      <c r="I1565" s="80">
        <v>1.41</v>
      </c>
      <c r="J1565" s="80">
        <v>1.41</v>
      </c>
      <c r="K1565" s="19" t="s">
        <v>184</v>
      </c>
      <c r="L1565" s="19" t="s">
        <v>2172</v>
      </c>
      <c r="Q1565" s="20">
        <v>23</v>
      </c>
      <c r="R1565" s="65" t="s">
        <v>2010</v>
      </c>
      <c r="T1565" s="19" t="s">
        <v>307</v>
      </c>
      <c r="V1565" s="19" t="s">
        <v>178</v>
      </c>
      <c r="W1565" s="19" t="s">
        <v>138</v>
      </c>
      <c r="Z1565" s="44" t="s">
        <v>2011</v>
      </c>
      <c r="AA1565" s="44" t="s">
        <v>180</v>
      </c>
      <c r="AC1565" s="19" t="s">
        <v>2173</v>
      </c>
    </row>
    <row r="1566" spans="1:29" hidden="1" x14ac:dyDescent="0.25">
      <c r="A1566" s="26">
        <v>189</v>
      </c>
      <c r="B1566" s="19" t="s">
        <v>2201</v>
      </c>
      <c r="C1566" s="44" t="s">
        <v>273</v>
      </c>
      <c r="D1566" s="19" t="s">
        <v>803</v>
      </c>
      <c r="E1566" s="19">
        <v>12</v>
      </c>
      <c r="F1566" s="19">
        <v>135</v>
      </c>
      <c r="G1566" s="19">
        <v>488</v>
      </c>
      <c r="H1566" s="19">
        <v>4</v>
      </c>
      <c r="I1566" s="80">
        <v>6.19</v>
      </c>
      <c r="J1566" s="80">
        <v>24.76</v>
      </c>
      <c r="K1566" s="19" t="s">
        <v>184</v>
      </c>
      <c r="L1566" s="19" t="s">
        <v>2172</v>
      </c>
      <c r="Q1566" s="20">
        <v>23</v>
      </c>
      <c r="R1566" s="65" t="s">
        <v>2010</v>
      </c>
      <c r="T1566" s="19" t="s">
        <v>307</v>
      </c>
      <c r="V1566" s="19" t="s">
        <v>178</v>
      </c>
      <c r="W1566" s="19" t="s">
        <v>138</v>
      </c>
      <c r="Z1566" s="44" t="s">
        <v>2011</v>
      </c>
      <c r="AA1566" s="44" t="s">
        <v>180</v>
      </c>
      <c r="AC1566" s="19" t="s">
        <v>2173</v>
      </c>
    </row>
    <row r="1567" spans="1:29" hidden="1" x14ac:dyDescent="0.25">
      <c r="A1567" s="26">
        <v>190</v>
      </c>
      <c r="B1567" s="19" t="s">
        <v>2202</v>
      </c>
      <c r="C1567" s="44" t="s">
        <v>273</v>
      </c>
      <c r="D1567" s="19" t="s">
        <v>874</v>
      </c>
      <c r="E1567" s="19">
        <v>12</v>
      </c>
      <c r="F1567" s="19">
        <v>100</v>
      </c>
      <c r="G1567" s="19">
        <v>150</v>
      </c>
      <c r="H1567" s="19">
        <v>1</v>
      </c>
      <c r="I1567" s="80">
        <v>1.41</v>
      </c>
      <c r="J1567" s="80">
        <v>1.41</v>
      </c>
      <c r="K1567" s="19" t="s">
        <v>184</v>
      </c>
      <c r="L1567" s="19" t="s">
        <v>2172</v>
      </c>
      <c r="Q1567" s="20">
        <v>23</v>
      </c>
      <c r="R1567" s="65" t="s">
        <v>2010</v>
      </c>
      <c r="T1567" s="19" t="s">
        <v>307</v>
      </c>
      <c r="V1567" s="19" t="s">
        <v>178</v>
      </c>
      <c r="W1567" s="19" t="s">
        <v>138</v>
      </c>
      <c r="Z1567" s="44" t="s">
        <v>2011</v>
      </c>
      <c r="AA1567" s="44" t="s">
        <v>180</v>
      </c>
      <c r="AC1567" s="19" t="s">
        <v>2173</v>
      </c>
    </row>
    <row r="1568" spans="1:29" hidden="1" x14ac:dyDescent="0.25">
      <c r="A1568" s="26">
        <v>191</v>
      </c>
      <c r="B1568" s="19" t="s">
        <v>2203</v>
      </c>
      <c r="C1568" s="44" t="s">
        <v>273</v>
      </c>
      <c r="D1568" s="19" t="s">
        <v>803</v>
      </c>
      <c r="E1568" s="19">
        <v>12</v>
      </c>
      <c r="F1568" s="19">
        <v>135</v>
      </c>
      <c r="G1568" s="19">
        <v>488</v>
      </c>
      <c r="H1568" s="19">
        <v>4</v>
      </c>
      <c r="I1568" s="80">
        <v>6.19</v>
      </c>
      <c r="J1568" s="80">
        <v>24.76</v>
      </c>
      <c r="K1568" s="19" t="s">
        <v>184</v>
      </c>
      <c r="L1568" s="19" t="s">
        <v>2172</v>
      </c>
      <c r="Q1568" s="20">
        <v>23</v>
      </c>
      <c r="R1568" s="65" t="s">
        <v>2010</v>
      </c>
      <c r="T1568" s="19" t="s">
        <v>307</v>
      </c>
      <c r="V1568" s="19" t="s">
        <v>178</v>
      </c>
      <c r="W1568" s="19" t="s">
        <v>138</v>
      </c>
      <c r="Z1568" s="44" t="s">
        <v>2011</v>
      </c>
      <c r="AA1568" s="44" t="s">
        <v>180</v>
      </c>
      <c r="AC1568" s="19" t="s">
        <v>2173</v>
      </c>
    </row>
    <row r="1569" spans="1:29" hidden="1" x14ac:dyDescent="0.25">
      <c r="A1569" s="26">
        <v>192</v>
      </c>
      <c r="B1569" s="19" t="s">
        <v>2204</v>
      </c>
      <c r="C1569" s="44" t="s">
        <v>273</v>
      </c>
      <c r="D1569" s="19" t="s">
        <v>803</v>
      </c>
      <c r="E1569" s="19">
        <v>12</v>
      </c>
      <c r="F1569" s="19">
        <v>135</v>
      </c>
      <c r="G1569" s="19">
        <v>488</v>
      </c>
      <c r="H1569" s="19">
        <v>4</v>
      </c>
      <c r="I1569" s="80">
        <v>6.19</v>
      </c>
      <c r="J1569" s="80">
        <v>24.76</v>
      </c>
      <c r="K1569" s="19" t="s">
        <v>184</v>
      </c>
      <c r="L1569" s="19" t="s">
        <v>2172</v>
      </c>
      <c r="Q1569" s="20">
        <v>23</v>
      </c>
      <c r="R1569" s="65" t="s">
        <v>2010</v>
      </c>
      <c r="T1569" s="19" t="s">
        <v>307</v>
      </c>
      <c r="V1569" s="19" t="s">
        <v>178</v>
      </c>
      <c r="W1569" s="19" t="s">
        <v>138</v>
      </c>
      <c r="Z1569" s="44" t="s">
        <v>2011</v>
      </c>
      <c r="AA1569" s="44" t="s">
        <v>180</v>
      </c>
      <c r="AC1569" s="19" t="s">
        <v>2173</v>
      </c>
    </row>
    <row r="1570" spans="1:29" hidden="1" x14ac:dyDescent="0.25">
      <c r="A1570" s="26">
        <v>193</v>
      </c>
      <c r="B1570" s="19" t="s">
        <v>2205</v>
      </c>
      <c r="C1570" s="44" t="s">
        <v>273</v>
      </c>
      <c r="D1570" s="19" t="s">
        <v>874</v>
      </c>
      <c r="E1570" s="19">
        <v>12</v>
      </c>
      <c r="F1570" s="19">
        <v>100</v>
      </c>
      <c r="G1570" s="19">
        <v>150</v>
      </c>
      <c r="H1570" s="19">
        <v>1</v>
      </c>
      <c r="I1570" s="80">
        <v>1.41</v>
      </c>
      <c r="J1570" s="80">
        <v>1.41</v>
      </c>
      <c r="K1570" s="19" t="s">
        <v>184</v>
      </c>
      <c r="L1570" s="19" t="s">
        <v>2172</v>
      </c>
      <c r="Q1570" s="20">
        <v>23</v>
      </c>
      <c r="R1570" s="65" t="s">
        <v>2010</v>
      </c>
      <c r="T1570" s="19" t="s">
        <v>307</v>
      </c>
      <c r="V1570" s="19" t="s">
        <v>178</v>
      </c>
      <c r="W1570" s="19" t="s">
        <v>138</v>
      </c>
      <c r="Z1570" s="44" t="s">
        <v>2011</v>
      </c>
      <c r="AA1570" s="44" t="s">
        <v>180</v>
      </c>
      <c r="AC1570" s="19" t="s">
        <v>2173</v>
      </c>
    </row>
    <row r="1571" spans="1:29" hidden="1" x14ac:dyDescent="0.25">
      <c r="A1571" s="26">
        <v>194</v>
      </c>
      <c r="B1571" s="19" t="s">
        <v>2206</v>
      </c>
      <c r="C1571" s="44" t="s">
        <v>273</v>
      </c>
      <c r="D1571" s="19" t="s">
        <v>814</v>
      </c>
      <c r="E1571" s="19">
        <v>12</v>
      </c>
      <c r="F1571" s="19">
        <v>1460</v>
      </c>
      <c r="G1571" s="19">
        <v>6688</v>
      </c>
      <c r="H1571" s="19">
        <v>1</v>
      </c>
      <c r="I1571" s="80">
        <v>917.29</v>
      </c>
      <c r="J1571" s="80">
        <v>917.29</v>
      </c>
      <c r="K1571" s="19" t="s">
        <v>184</v>
      </c>
      <c r="L1571" s="19" t="s">
        <v>2172</v>
      </c>
      <c r="P1571" s="19" t="s">
        <v>138</v>
      </c>
      <c r="Q1571" s="20">
        <v>23</v>
      </c>
      <c r="R1571" s="65" t="s">
        <v>2010</v>
      </c>
      <c r="T1571" s="19" t="s">
        <v>307</v>
      </c>
      <c r="V1571" s="19" t="s">
        <v>178</v>
      </c>
      <c r="Y1571" s="19" t="s">
        <v>138</v>
      </c>
      <c r="Z1571" s="44" t="s">
        <v>2011</v>
      </c>
      <c r="AA1571" s="44" t="s">
        <v>180</v>
      </c>
      <c r="AC1571" s="19" t="s">
        <v>2173</v>
      </c>
    </row>
    <row r="1572" spans="1:29" hidden="1" x14ac:dyDescent="0.25">
      <c r="A1572" s="26">
        <v>195</v>
      </c>
      <c r="B1572" s="19" t="s">
        <v>2179</v>
      </c>
      <c r="C1572" s="44" t="s">
        <v>273</v>
      </c>
      <c r="D1572" s="19" t="s">
        <v>839</v>
      </c>
      <c r="E1572" s="19">
        <v>12</v>
      </c>
      <c r="F1572" s="19">
        <v>120</v>
      </c>
      <c r="G1572" s="19">
        <v>129</v>
      </c>
      <c r="H1572" s="19">
        <v>3</v>
      </c>
      <c r="I1572" s="80">
        <v>1.32</v>
      </c>
      <c r="J1572" s="80">
        <v>3.97</v>
      </c>
      <c r="K1572" s="19" t="s">
        <v>184</v>
      </c>
      <c r="L1572" s="19" t="s">
        <v>2207</v>
      </c>
      <c r="Q1572" s="20">
        <v>23</v>
      </c>
      <c r="R1572" s="65" t="s">
        <v>2010</v>
      </c>
      <c r="T1572" s="19" t="s">
        <v>307</v>
      </c>
      <c r="V1572" s="19" t="s">
        <v>178</v>
      </c>
      <c r="W1572" s="19" t="s">
        <v>138</v>
      </c>
      <c r="Z1572" s="44" t="s">
        <v>2011</v>
      </c>
      <c r="AA1572" s="44" t="s">
        <v>180</v>
      </c>
      <c r="AC1572" s="19" t="s">
        <v>2208</v>
      </c>
    </row>
    <row r="1573" spans="1:29" hidden="1" x14ac:dyDescent="0.25">
      <c r="A1573" s="26">
        <v>196</v>
      </c>
      <c r="B1573" s="19" t="s">
        <v>2209</v>
      </c>
      <c r="C1573" s="44" t="s">
        <v>273</v>
      </c>
      <c r="D1573" s="19" t="s">
        <v>839</v>
      </c>
      <c r="E1573" s="19">
        <v>12</v>
      </c>
      <c r="F1573" s="19">
        <v>120</v>
      </c>
      <c r="G1573" s="19">
        <v>129</v>
      </c>
      <c r="H1573" s="19">
        <v>18</v>
      </c>
      <c r="I1573" s="80">
        <v>1.32</v>
      </c>
      <c r="J1573" s="80">
        <v>23.83</v>
      </c>
      <c r="K1573" s="19" t="s">
        <v>184</v>
      </c>
      <c r="L1573" s="19" t="s">
        <v>2207</v>
      </c>
      <c r="Q1573" s="20">
        <v>23</v>
      </c>
      <c r="R1573" s="65" t="s">
        <v>2010</v>
      </c>
      <c r="T1573" s="19" t="s">
        <v>307</v>
      </c>
      <c r="V1573" s="19" t="s">
        <v>178</v>
      </c>
      <c r="W1573" s="19" t="s">
        <v>138</v>
      </c>
      <c r="Z1573" s="44" t="s">
        <v>2011</v>
      </c>
      <c r="AA1573" s="44" t="s">
        <v>180</v>
      </c>
      <c r="AC1573" s="19" t="s">
        <v>2208</v>
      </c>
    </row>
    <row r="1574" spans="1:29" hidden="1" x14ac:dyDescent="0.25">
      <c r="A1574" s="26">
        <v>197</v>
      </c>
      <c r="B1574" s="19" t="s">
        <v>2210</v>
      </c>
      <c r="C1574" s="44" t="s">
        <v>273</v>
      </c>
      <c r="D1574" s="19" t="s">
        <v>839</v>
      </c>
      <c r="E1574" s="19">
        <v>12</v>
      </c>
      <c r="F1574" s="19">
        <v>120</v>
      </c>
      <c r="G1574" s="19">
        <v>129</v>
      </c>
      <c r="H1574" s="19">
        <v>18</v>
      </c>
      <c r="I1574" s="80">
        <v>1.32</v>
      </c>
      <c r="J1574" s="80">
        <v>23.83</v>
      </c>
      <c r="K1574" s="19" t="s">
        <v>184</v>
      </c>
      <c r="L1574" s="19" t="s">
        <v>2207</v>
      </c>
      <c r="Q1574" s="20">
        <v>23</v>
      </c>
      <c r="R1574" s="65" t="s">
        <v>2010</v>
      </c>
      <c r="T1574" s="19" t="s">
        <v>307</v>
      </c>
      <c r="V1574" s="19" t="s">
        <v>178</v>
      </c>
      <c r="W1574" s="19" t="s">
        <v>138</v>
      </c>
      <c r="Z1574" s="44" t="s">
        <v>2011</v>
      </c>
      <c r="AA1574" s="44" t="s">
        <v>180</v>
      </c>
      <c r="AC1574" s="19" t="s">
        <v>2208</v>
      </c>
    </row>
    <row r="1575" spans="1:29" hidden="1" x14ac:dyDescent="0.25">
      <c r="A1575" s="26">
        <v>198</v>
      </c>
      <c r="B1575" s="19" t="s">
        <v>2211</v>
      </c>
      <c r="C1575" s="44" t="s">
        <v>273</v>
      </c>
      <c r="D1575" s="19" t="s">
        <v>839</v>
      </c>
      <c r="E1575" s="19">
        <v>12</v>
      </c>
      <c r="F1575" s="19">
        <v>120</v>
      </c>
      <c r="G1575" s="19">
        <v>129</v>
      </c>
      <c r="H1575" s="19">
        <v>4</v>
      </c>
      <c r="I1575" s="80">
        <v>1.32</v>
      </c>
      <c r="J1575" s="80">
        <v>5.3</v>
      </c>
      <c r="K1575" s="19" t="s">
        <v>184</v>
      </c>
      <c r="L1575" s="19" t="s">
        <v>2207</v>
      </c>
      <c r="Q1575" s="20">
        <v>23</v>
      </c>
      <c r="R1575" s="65" t="s">
        <v>2010</v>
      </c>
      <c r="T1575" s="19" t="s">
        <v>307</v>
      </c>
      <c r="V1575" s="19" t="s">
        <v>178</v>
      </c>
      <c r="W1575" s="19" t="s">
        <v>138</v>
      </c>
      <c r="Z1575" s="44" t="s">
        <v>2011</v>
      </c>
      <c r="AA1575" s="44" t="s">
        <v>180</v>
      </c>
      <c r="AC1575" s="19" t="s">
        <v>2208</v>
      </c>
    </row>
    <row r="1576" spans="1:29" hidden="1" x14ac:dyDescent="0.25">
      <c r="A1576" s="26">
        <v>199</v>
      </c>
      <c r="B1576" s="19" t="s">
        <v>2212</v>
      </c>
      <c r="C1576" s="44" t="s">
        <v>273</v>
      </c>
      <c r="D1576" s="19" t="s">
        <v>839</v>
      </c>
      <c r="E1576" s="19">
        <v>12</v>
      </c>
      <c r="F1576" s="19">
        <v>120</v>
      </c>
      <c r="G1576" s="19">
        <v>129</v>
      </c>
      <c r="H1576" s="19">
        <v>4</v>
      </c>
      <c r="I1576" s="80">
        <v>1.32</v>
      </c>
      <c r="J1576" s="80">
        <v>5.3</v>
      </c>
      <c r="K1576" s="19" t="s">
        <v>184</v>
      </c>
      <c r="L1576" s="19" t="s">
        <v>2207</v>
      </c>
      <c r="Q1576" s="20">
        <v>23</v>
      </c>
      <c r="R1576" s="65" t="s">
        <v>2010</v>
      </c>
      <c r="T1576" s="19" t="s">
        <v>307</v>
      </c>
      <c r="V1576" s="19" t="s">
        <v>178</v>
      </c>
      <c r="W1576" s="19" t="s">
        <v>138</v>
      </c>
      <c r="Z1576" s="44" t="s">
        <v>2011</v>
      </c>
      <c r="AA1576" s="44" t="s">
        <v>180</v>
      </c>
      <c r="AC1576" s="19" t="s">
        <v>2208</v>
      </c>
    </row>
    <row r="1577" spans="1:29" hidden="1" x14ac:dyDescent="0.25">
      <c r="A1577" s="26">
        <v>200</v>
      </c>
      <c r="B1577" s="19" t="s">
        <v>2213</v>
      </c>
      <c r="C1577" s="44" t="s">
        <v>273</v>
      </c>
      <c r="D1577" s="19" t="s">
        <v>839</v>
      </c>
      <c r="E1577" s="19">
        <v>12</v>
      </c>
      <c r="F1577" s="19">
        <v>120</v>
      </c>
      <c r="G1577" s="19">
        <v>129</v>
      </c>
      <c r="H1577" s="19">
        <v>24</v>
      </c>
      <c r="I1577" s="80">
        <v>1.32</v>
      </c>
      <c r="J1577" s="80">
        <v>31.78</v>
      </c>
      <c r="K1577" s="19" t="s">
        <v>184</v>
      </c>
      <c r="L1577" s="19" t="s">
        <v>2207</v>
      </c>
      <c r="Q1577" s="20">
        <v>23</v>
      </c>
      <c r="R1577" s="65" t="s">
        <v>2010</v>
      </c>
      <c r="T1577" s="19" t="s">
        <v>307</v>
      </c>
      <c r="V1577" s="19" t="s">
        <v>178</v>
      </c>
      <c r="W1577" s="19" t="s">
        <v>138</v>
      </c>
      <c r="Z1577" s="44" t="s">
        <v>2011</v>
      </c>
      <c r="AA1577" s="44" t="s">
        <v>180</v>
      </c>
      <c r="AC1577" s="19" t="s">
        <v>2208</v>
      </c>
    </row>
    <row r="1578" spans="1:29" hidden="1" x14ac:dyDescent="0.25">
      <c r="A1578" s="26">
        <v>201</v>
      </c>
      <c r="B1578" s="19" t="s">
        <v>2214</v>
      </c>
      <c r="C1578" s="44" t="s">
        <v>273</v>
      </c>
      <c r="D1578" s="19" t="s">
        <v>839</v>
      </c>
      <c r="E1578" s="19">
        <v>12</v>
      </c>
      <c r="F1578" s="19">
        <v>120</v>
      </c>
      <c r="G1578" s="19">
        <v>129</v>
      </c>
      <c r="H1578" s="19">
        <v>24</v>
      </c>
      <c r="I1578" s="80">
        <v>1.32</v>
      </c>
      <c r="J1578" s="80">
        <v>31.78</v>
      </c>
      <c r="K1578" s="19" t="s">
        <v>184</v>
      </c>
      <c r="L1578" s="19" t="s">
        <v>2207</v>
      </c>
      <c r="Q1578" s="20">
        <v>23</v>
      </c>
      <c r="R1578" s="65" t="s">
        <v>2010</v>
      </c>
      <c r="T1578" s="19" t="s">
        <v>307</v>
      </c>
      <c r="V1578" s="19" t="s">
        <v>178</v>
      </c>
      <c r="W1578" s="19" t="s">
        <v>138</v>
      </c>
      <c r="Z1578" s="44" t="s">
        <v>2011</v>
      </c>
      <c r="AA1578" s="44" t="s">
        <v>180</v>
      </c>
      <c r="AC1578" s="19" t="s">
        <v>2208</v>
      </c>
    </row>
    <row r="1579" spans="1:29" hidden="1" x14ac:dyDescent="0.25">
      <c r="A1579" s="26">
        <v>202</v>
      </c>
      <c r="B1579" s="19" t="s">
        <v>2215</v>
      </c>
      <c r="C1579" s="44" t="s">
        <v>273</v>
      </c>
      <c r="D1579" s="19" t="s">
        <v>812</v>
      </c>
      <c r="E1579" s="19">
        <v>12</v>
      </c>
      <c r="F1579" s="19">
        <v>490</v>
      </c>
      <c r="G1579" s="19">
        <v>6464</v>
      </c>
      <c r="H1579" s="19">
        <v>1</v>
      </c>
      <c r="I1579" s="80">
        <v>298.26</v>
      </c>
      <c r="J1579" s="80">
        <v>298.26</v>
      </c>
      <c r="K1579" s="19" t="s">
        <v>184</v>
      </c>
      <c r="L1579" s="19" t="s">
        <v>2207</v>
      </c>
      <c r="Q1579" s="20">
        <v>23</v>
      </c>
      <c r="R1579" s="65" t="s">
        <v>2010</v>
      </c>
      <c r="T1579" s="19" t="s">
        <v>307</v>
      </c>
      <c r="V1579" s="19" t="s">
        <v>178</v>
      </c>
      <c r="Y1579" s="19" t="s">
        <v>138</v>
      </c>
      <c r="Z1579" s="44" t="s">
        <v>2011</v>
      </c>
      <c r="AA1579" s="44" t="s">
        <v>180</v>
      </c>
      <c r="AC1579" s="19" t="s">
        <v>2208</v>
      </c>
    </row>
    <row r="1580" spans="1:29" hidden="1" x14ac:dyDescent="0.25">
      <c r="A1580" s="26">
        <v>203</v>
      </c>
      <c r="B1580" s="19" t="s">
        <v>2216</v>
      </c>
      <c r="C1580" s="44" t="s">
        <v>273</v>
      </c>
      <c r="D1580" s="19" t="s">
        <v>839</v>
      </c>
      <c r="E1580" s="19">
        <v>12</v>
      </c>
      <c r="F1580" s="19">
        <v>120</v>
      </c>
      <c r="G1580" s="19">
        <v>129</v>
      </c>
      <c r="H1580" s="19">
        <v>24</v>
      </c>
      <c r="I1580" s="80">
        <v>1.32</v>
      </c>
      <c r="J1580" s="80">
        <v>31.78</v>
      </c>
      <c r="K1580" s="19" t="s">
        <v>184</v>
      </c>
      <c r="L1580" s="19" t="s">
        <v>2207</v>
      </c>
      <c r="Q1580" s="20">
        <v>23</v>
      </c>
      <c r="R1580" s="65" t="s">
        <v>2010</v>
      </c>
      <c r="T1580" s="19" t="s">
        <v>307</v>
      </c>
      <c r="V1580" s="19" t="s">
        <v>178</v>
      </c>
      <c r="W1580" s="19" t="s">
        <v>138</v>
      </c>
      <c r="Z1580" s="44" t="s">
        <v>2011</v>
      </c>
      <c r="AA1580" s="44" t="s">
        <v>180</v>
      </c>
      <c r="AC1580" s="19" t="s">
        <v>2208</v>
      </c>
    </row>
    <row r="1581" spans="1:29" hidden="1" x14ac:dyDescent="0.25">
      <c r="A1581" s="26">
        <v>204</v>
      </c>
      <c r="B1581" s="19" t="s">
        <v>2217</v>
      </c>
      <c r="C1581" s="44" t="s">
        <v>273</v>
      </c>
      <c r="D1581" s="19" t="s">
        <v>839</v>
      </c>
      <c r="E1581" s="19">
        <v>12</v>
      </c>
      <c r="F1581" s="19">
        <v>120</v>
      </c>
      <c r="G1581" s="19">
        <v>129</v>
      </c>
      <c r="H1581" s="19">
        <v>24</v>
      </c>
      <c r="I1581" s="80">
        <v>1.32</v>
      </c>
      <c r="J1581" s="80">
        <v>31.78</v>
      </c>
      <c r="K1581" s="19" t="s">
        <v>184</v>
      </c>
      <c r="L1581" s="19" t="s">
        <v>2207</v>
      </c>
      <c r="Q1581" s="20">
        <v>23</v>
      </c>
      <c r="R1581" s="65" t="s">
        <v>2010</v>
      </c>
      <c r="T1581" s="19" t="s">
        <v>307</v>
      </c>
      <c r="V1581" s="19" t="s">
        <v>178</v>
      </c>
      <c r="W1581" s="19" t="s">
        <v>138</v>
      </c>
      <c r="Z1581" s="44" t="s">
        <v>2011</v>
      </c>
      <c r="AA1581" s="44" t="s">
        <v>180</v>
      </c>
      <c r="AC1581" s="19" t="s">
        <v>2208</v>
      </c>
    </row>
    <row r="1582" spans="1:29" hidden="1" x14ac:dyDescent="0.25">
      <c r="A1582" s="26">
        <v>205</v>
      </c>
      <c r="B1582" s="19" t="s">
        <v>2218</v>
      </c>
      <c r="C1582" s="44" t="s">
        <v>273</v>
      </c>
      <c r="D1582" s="19" t="s">
        <v>839</v>
      </c>
      <c r="E1582" s="19">
        <v>12</v>
      </c>
      <c r="F1582" s="19">
        <v>120</v>
      </c>
      <c r="G1582" s="19">
        <v>129</v>
      </c>
      <c r="H1582" s="19">
        <v>24</v>
      </c>
      <c r="I1582" s="80">
        <v>1.32</v>
      </c>
      <c r="J1582" s="80">
        <v>31.78</v>
      </c>
      <c r="K1582" s="19" t="s">
        <v>184</v>
      </c>
      <c r="L1582" s="19" t="s">
        <v>2207</v>
      </c>
      <c r="Q1582" s="20">
        <v>23</v>
      </c>
      <c r="R1582" s="65" t="s">
        <v>2010</v>
      </c>
      <c r="T1582" s="19" t="s">
        <v>307</v>
      </c>
      <c r="V1582" s="19" t="s">
        <v>178</v>
      </c>
      <c r="W1582" s="19" t="s">
        <v>138</v>
      </c>
      <c r="Z1582" s="44" t="s">
        <v>2011</v>
      </c>
      <c r="AA1582" s="44" t="s">
        <v>180</v>
      </c>
      <c r="AC1582" s="19" t="s">
        <v>2208</v>
      </c>
    </row>
    <row r="1583" spans="1:29" hidden="1" x14ac:dyDescent="0.25">
      <c r="A1583" s="26">
        <v>206</v>
      </c>
      <c r="B1583" s="19" t="s">
        <v>2219</v>
      </c>
      <c r="C1583" s="44" t="s">
        <v>273</v>
      </c>
      <c r="D1583" s="19" t="s">
        <v>839</v>
      </c>
      <c r="E1583" s="19">
        <v>12</v>
      </c>
      <c r="F1583" s="19">
        <v>120</v>
      </c>
      <c r="G1583" s="19">
        <v>129</v>
      </c>
      <c r="H1583" s="19">
        <v>9</v>
      </c>
      <c r="I1583" s="80">
        <v>1.32</v>
      </c>
      <c r="J1583" s="80">
        <v>11.92</v>
      </c>
      <c r="K1583" s="19" t="s">
        <v>184</v>
      </c>
      <c r="L1583" s="19" t="s">
        <v>2207</v>
      </c>
      <c r="Q1583" s="20">
        <v>23</v>
      </c>
      <c r="R1583" s="65" t="s">
        <v>2010</v>
      </c>
      <c r="T1583" s="19" t="s">
        <v>307</v>
      </c>
      <c r="V1583" s="19" t="s">
        <v>178</v>
      </c>
      <c r="W1583" s="19" t="s">
        <v>138</v>
      </c>
      <c r="Z1583" s="44" t="s">
        <v>2011</v>
      </c>
      <c r="AA1583" s="44" t="s">
        <v>180</v>
      </c>
      <c r="AC1583" s="19" t="s">
        <v>2208</v>
      </c>
    </row>
    <row r="1584" spans="1:29" hidden="1" x14ac:dyDescent="0.25">
      <c r="A1584" s="26">
        <v>207</v>
      </c>
      <c r="B1584" s="19" t="s">
        <v>2220</v>
      </c>
      <c r="C1584" s="44" t="s">
        <v>273</v>
      </c>
      <c r="D1584" s="19" t="s">
        <v>839</v>
      </c>
      <c r="E1584" s="19">
        <v>12</v>
      </c>
      <c r="F1584" s="19">
        <v>120</v>
      </c>
      <c r="G1584" s="19">
        <v>129</v>
      </c>
      <c r="H1584" s="19">
        <v>4</v>
      </c>
      <c r="I1584" s="80">
        <v>1.32</v>
      </c>
      <c r="J1584" s="80">
        <v>5.3</v>
      </c>
      <c r="K1584" s="19" t="s">
        <v>184</v>
      </c>
      <c r="L1584" s="19" t="s">
        <v>2207</v>
      </c>
      <c r="Q1584" s="20">
        <v>23</v>
      </c>
      <c r="R1584" s="65" t="s">
        <v>2010</v>
      </c>
      <c r="T1584" s="19" t="s">
        <v>307</v>
      </c>
      <c r="V1584" s="19" t="s">
        <v>178</v>
      </c>
      <c r="W1584" s="19" t="s">
        <v>138</v>
      </c>
      <c r="Z1584" s="44" t="s">
        <v>2011</v>
      </c>
      <c r="AA1584" s="44" t="s">
        <v>180</v>
      </c>
      <c r="AC1584" s="19" t="s">
        <v>2208</v>
      </c>
    </row>
    <row r="1585" spans="1:29" hidden="1" x14ac:dyDescent="0.25">
      <c r="A1585" s="26">
        <v>208</v>
      </c>
      <c r="B1585" s="19" t="s">
        <v>2221</v>
      </c>
      <c r="C1585" s="44" t="s">
        <v>273</v>
      </c>
      <c r="D1585" s="19" t="s">
        <v>839</v>
      </c>
      <c r="E1585" s="19">
        <v>12</v>
      </c>
      <c r="F1585" s="19">
        <v>120</v>
      </c>
      <c r="G1585" s="19">
        <v>129</v>
      </c>
      <c r="H1585" s="19">
        <v>4</v>
      </c>
      <c r="I1585" s="80">
        <v>1.32</v>
      </c>
      <c r="J1585" s="80">
        <v>5.3</v>
      </c>
      <c r="K1585" s="19" t="s">
        <v>184</v>
      </c>
      <c r="L1585" s="19" t="s">
        <v>2207</v>
      </c>
      <c r="Q1585" s="20">
        <v>23</v>
      </c>
      <c r="R1585" s="65" t="s">
        <v>2010</v>
      </c>
      <c r="T1585" s="19" t="s">
        <v>307</v>
      </c>
      <c r="V1585" s="19" t="s">
        <v>178</v>
      </c>
      <c r="W1585" s="19" t="s">
        <v>138</v>
      </c>
      <c r="Z1585" s="44" t="s">
        <v>2011</v>
      </c>
      <c r="AA1585" s="44" t="s">
        <v>180</v>
      </c>
      <c r="AC1585" s="19" t="s">
        <v>2208</v>
      </c>
    </row>
    <row r="1586" spans="1:29" hidden="1" x14ac:dyDescent="0.25">
      <c r="A1586" s="26">
        <v>209</v>
      </c>
      <c r="B1586" s="19" t="s">
        <v>2222</v>
      </c>
      <c r="C1586" s="44" t="s">
        <v>273</v>
      </c>
      <c r="D1586" s="19" t="s">
        <v>839</v>
      </c>
      <c r="E1586" s="19">
        <v>12</v>
      </c>
      <c r="F1586" s="19">
        <v>120</v>
      </c>
      <c r="G1586" s="19">
        <v>129</v>
      </c>
      <c r="H1586" s="19">
        <v>4</v>
      </c>
      <c r="I1586" s="80">
        <v>1.32</v>
      </c>
      <c r="J1586" s="80">
        <v>5.3</v>
      </c>
      <c r="K1586" s="19" t="s">
        <v>184</v>
      </c>
      <c r="L1586" s="19" t="s">
        <v>2207</v>
      </c>
      <c r="Q1586" s="20">
        <v>23</v>
      </c>
      <c r="R1586" s="65" t="s">
        <v>2010</v>
      </c>
      <c r="T1586" s="19" t="s">
        <v>307</v>
      </c>
      <c r="V1586" s="19" t="s">
        <v>178</v>
      </c>
      <c r="W1586" s="19" t="s">
        <v>138</v>
      </c>
      <c r="Z1586" s="44" t="s">
        <v>2011</v>
      </c>
      <c r="AA1586" s="44" t="s">
        <v>180</v>
      </c>
      <c r="AC1586" s="19" t="s">
        <v>2208</v>
      </c>
    </row>
    <row r="1587" spans="1:29" hidden="1" x14ac:dyDescent="0.25">
      <c r="A1587" s="26">
        <v>210</v>
      </c>
      <c r="B1587" s="19" t="s">
        <v>2223</v>
      </c>
      <c r="C1587" s="44" t="s">
        <v>273</v>
      </c>
      <c r="D1587" s="19" t="s">
        <v>839</v>
      </c>
      <c r="E1587" s="19">
        <v>12</v>
      </c>
      <c r="F1587" s="19">
        <v>120</v>
      </c>
      <c r="G1587" s="19">
        <v>129</v>
      </c>
      <c r="H1587" s="19">
        <v>4</v>
      </c>
      <c r="I1587" s="80">
        <v>1.32</v>
      </c>
      <c r="J1587" s="80">
        <v>5.3</v>
      </c>
      <c r="K1587" s="19" t="s">
        <v>184</v>
      </c>
      <c r="L1587" s="19" t="s">
        <v>2207</v>
      </c>
      <c r="Q1587" s="20">
        <v>23</v>
      </c>
      <c r="R1587" s="65" t="s">
        <v>2010</v>
      </c>
      <c r="T1587" s="19" t="s">
        <v>307</v>
      </c>
      <c r="V1587" s="19" t="s">
        <v>178</v>
      </c>
      <c r="W1587" s="19" t="s">
        <v>138</v>
      </c>
      <c r="Z1587" s="44" t="s">
        <v>2011</v>
      </c>
      <c r="AA1587" s="44" t="s">
        <v>180</v>
      </c>
      <c r="AC1587" s="19" t="s">
        <v>2208</v>
      </c>
    </row>
    <row r="1588" spans="1:29" hidden="1" x14ac:dyDescent="0.25">
      <c r="A1588" s="26">
        <v>211</v>
      </c>
      <c r="B1588" s="19" t="s">
        <v>2224</v>
      </c>
      <c r="C1588" s="44" t="s">
        <v>273</v>
      </c>
      <c r="D1588" s="19" t="s">
        <v>814</v>
      </c>
      <c r="E1588" s="19">
        <v>12</v>
      </c>
      <c r="F1588" s="19">
        <v>1460</v>
      </c>
      <c r="G1588" s="19">
        <v>6688</v>
      </c>
      <c r="H1588" s="19">
        <v>1</v>
      </c>
      <c r="I1588" s="80">
        <v>917.29</v>
      </c>
      <c r="J1588" s="80">
        <v>917.29</v>
      </c>
      <c r="K1588" s="19" t="s">
        <v>184</v>
      </c>
      <c r="L1588" s="19" t="s">
        <v>2207</v>
      </c>
      <c r="P1588" s="19" t="s">
        <v>138</v>
      </c>
      <c r="Q1588" s="20">
        <v>23</v>
      </c>
      <c r="R1588" s="65" t="s">
        <v>2010</v>
      </c>
      <c r="T1588" s="19" t="s">
        <v>307</v>
      </c>
      <c r="V1588" s="19" t="s">
        <v>178</v>
      </c>
      <c r="Y1588" s="19" t="s">
        <v>138</v>
      </c>
      <c r="Z1588" s="44" t="s">
        <v>2011</v>
      </c>
      <c r="AA1588" s="44" t="s">
        <v>180</v>
      </c>
      <c r="AC1588" s="19" t="s">
        <v>2208</v>
      </c>
    </row>
    <row r="1589" spans="1:29" hidden="1" x14ac:dyDescent="0.25">
      <c r="A1589" s="26">
        <v>212</v>
      </c>
      <c r="B1589" s="19" t="s">
        <v>2225</v>
      </c>
      <c r="C1589" s="44" t="s">
        <v>273</v>
      </c>
      <c r="D1589" s="19" t="s">
        <v>812</v>
      </c>
      <c r="E1589" s="19">
        <v>12</v>
      </c>
      <c r="F1589" s="19">
        <v>490</v>
      </c>
      <c r="G1589" s="19">
        <v>6464</v>
      </c>
      <c r="H1589" s="19">
        <v>1</v>
      </c>
      <c r="I1589" s="80">
        <v>298.26</v>
      </c>
      <c r="J1589" s="80">
        <v>298.26</v>
      </c>
      <c r="K1589" s="19" t="s">
        <v>184</v>
      </c>
      <c r="L1589" s="19" t="s">
        <v>2226</v>
      </c>
      <c r="Q1589" s="20">
        <v>23</v>
      </c>
      <c r="R1589" s="65" t="s">
        <v>2010</v>
      </c>
      <c r="T1589" s="19" t="s">
        <v>307</v>
      </c>
      <c r="V1589" s="19" t="s">
        <v>178</v>
      </c>
      <c r="Y1589" s="19" t="s">
        <v>138</v>
      </c>
      <c r="Z1589" s="44" t="s">
        <v>2011</v>
      </c>
      <c r="AA1589" s="44" t="s">
        <v>180</v>
      </c>
      <c r="AC1589" s="19" t="s">
        <v>2227</v>
      </c>
    </row>
    <row r="1590" spans="1:29" hidden="1" x14ac:dyDescent="0.25">
      <c r="A1590" s="26">
        <v>213</v>
      </c>
      <c r="B1590" s="19" t="s">
        <v>2228</v>
      </c>
      <c r="C1590" s="44" t="s">
        <v>273</v>
      </c>
      <c r="D1590" s="19" t="s">
        <v>812</v>
      </c>
      <c r="E1590" s="19">
        <v>12</v>
      </c>
      <c r="F1590" s="19">
        <v>490</v>
      </c>
      <c r="G1590" s="19">
        <v>6464</v>
      </c>
      <c r="H1590" s="19">
        <v>1</v>
      </c>
      <c r="I1590" s="80">
        <v>298.26</v>
      </c>
      <c r="J1590" s="80">
        <v>298.26</v>
      </c>
      <c r="K1590" s="19" t="s">
        <v>184</v>
      </c>
      <c r="L1590" s="19" t="s">
        <v>2226</v>
      </c>
      <c r="Q1590" s="20">
        <v>23</v>
      </c>
      <c r="R1590" s="65" t="s">
        <v>2010</v>
      </c>
      <c r="T1590" s="19" t="s">
        <v>307</v>
      </c>
      <c r="V1590" s="19" t="s">
        <v>178</v>
      </c>
      <c r="Y1590" s="19" t="s">
        <v>138</v>
      </c>
      <c r="Z1590" s="44" t="s">
        <v>2011</v>
      </c>
      <c r="AA1590" s="44" t="s">
        <v>180</v>
      </c>
      <c r="AC1590" s="19" t="s">
        <v>2227</v>
      </c>
    </row>
    <row r="1591" spans="1:29" hidden="1" x14ac:dyDescent="0.25">
      <c r="A1591" s="26">
        <v>214</v>
      </c>
      <c r="B1591" s="19" t="s">
        <v>2219</v>
      </c>
      <c r="C1591" s="44" t="s">
        <v>273</v>
      </c>
      <c r="D1591" s="19" t="s">
        <v>839</v>
      </c>
      <c r="E1591" s="19">
        <v>12</v>
      </c>
      <c r="F1591" s="19">
        <v>120</v>
      </c>
      <c r="G1591" s="19">
        <v>129</v>
      </c>
      <c r="H1591" s="19">
        <v>15</v>
      </c>
      <c r="I1591" s="80">
        <v>1.32</v>
      </c>
      <c r="J1591" s="80">
        <v>19.86</v>
      </c>
      <c r="K1591" s="19" t="s">
        <v>184</v>
      </c>
      <c r="L1591" s="19" t="s">
        <v>2226</v>
      </c>
      <c r="Q1591" s="20">
        <v>23</v>
      </c>
      <c r="R1591" s="65" t="s">
        <v>2010</v>
      </c>
      <c r="T1591" s="19" t="s">
        <v>307</v>
      </c>
      <c r="V1591" s="19" t="s">
        <v>178</v>
      </c>
      <c r="W1591" s="19" t="s">
        <v>138</v>
      </c>
      <c r="Z1591" s="44" t="s">
        <v>2011</v>
      </c>
      <c r="AA1591" s="44" t="s">
        <v>180</v>
      </c>
      <c r="AC1591" s="19" t="s">
        <v>2227</v>
      </c>
    </row>
    <row r="1592" spans="1:29" hidden="1" x14ac:dyDescent="0.25">
      <c r="A1592" s="26">
        <v>215</v>
      </c>
      <c r="B1592" s="19" t="s">
        <v>2229</v>
      </c>
      <c r="C1592" s="44" t="s">
        <v>273</v>
      </c>
      <c r="D1592" s="19" t="s">
        <v>839</v>
      </c>
      <c r="E1592" s="19">
        <v>12</v>
      </c>
      <c r="F1592" s="19">
        <v>120</v>
      </c>
      <c r="G1592" s="19">
        <v>129</v>
      </c>
      <c r="H1592" s="19">
        <v>24</v>
      </c>
      <c r="I1592" s="80">
        <v>1.32</v>
      </c>
      <c r="J1592" s="80">
        <v>31.78</v>
      </c>
      <c r="K1592" s="19" t="s">
        <v>184</v>
      </c>
      <c r="L1592" s="19" t="s">
        <v>2226</v>
      </c>
      <c r="Q1592" s="20">
        <v>23</v>
      </c>
      <c r="R1592" s="65" t="s">
        <v>2010</v>
      </c>
      <c r="T1592" s="19" t="s">
        <v>307</v>
      </c>
      <c r="V1592" s="19" t="s">
        <v>178</v>
      </c>
      <c r="W1592" s="19" t="s">
        <v>138</v>
      </c>
      <c r="Z1592" s="44" t="s">
        <v>2011</v>
      </c>
      <c r="AA1592" s="44" t="s">
        <v>180</v>
      </c>
      <c r="AC1592" s="19" t="s">
        <v>2227</v>
      </c>
    </row>
    <row r="1593" spans="1:29" hidden="1" x14ac:dyDescent="0.25">
      <c r="A1593" s="26">
        <v>216</v>
      </c>
      <c r="B1593" s="19" t="s">
        <v>2230</v>
      </c>
      <c r="C1593" s="44" t="s">
        <v>273</v>
      </c>
      <c r="D1593" s="19" t="s">
        <v>812</v>
      </c>
      <c r="E1593" s="19">
        <v>12</v>
      </c>
      <c r="F1593" s="19">
        <v>490</v>
      </c>
      <c r="G1593" s="19">
        <v>6464</v>
      </c>
      <c r="H1593" s="19">
        <v>1</v>
      </c>
      <c r="I1593" s="80">
        <v>298.16000000000003</v>
      </c>
      <c r="J1593" s="80">
        <v>298.16000000000003</v>
      </c>
      <c r="K1593" s="19" t="s">
        <v>184</v>
      </c>
      <c r="L1593" s="19" t="s">
        <v>2226</v>
      </c>
      <c r="Q1593" s="20">
        <v>23</v>
      </c>
      <c r="R1593" s="65" t="s">
        <v>2010</v>
      </c>
      <c r="T1593" s="19" t="s">
        <v>307</v>
      </c>
      <c r="V1593" s="19" t="s">
        <v>178</v>
      </c>
      <c r="Y1593" s="19" t="s">
        <v>138</v>
      </c>
      <c r="Z1593" s="44" t="s">
        <v>2011</v>
      </c>
      <c r="AA1593" s="44" t="s">
        <v>180</v>
      </c>
      <c r="AC1593" s="19" t="s">
        <v>2227</v>
      </c>
    </row>
    <row r="1594" spans="1:29" hidden="1" x14ac:dyDescent="0.25">
      <c r="A1594" s="26">
        <v>217</v>
      </c>
      <c r="B1594" s="19" t="s">
        <v>2231</v>
      </c>
      <c r="C1594" s="44" t="s">
        <v>273</v>
      </c>
      <c r="D1594" s="19" t="s">
        <v>839</v>
      </c>
      <c r="E1594" s="19">
        <v>12</v>
      </c>
      <c r="F1594" s="19">
        <v>120</v>
      </c>
      <c r="G1594" s="19">
        <v>129</v>
      </c>
      <c r="H1594" s="19">
        <v>24</v>
      </c>
      <c r="I1594" s="80">
        <v>1.32</v>
      </c>
      <c r="J1594" s="80">
        <v>31.78</v>
      </c>
      <c r="K1594" s="19" t="s">
        <v>184</v>
      </c>
      <c r="L1594" s="19" t="s">
        <v>2226</v>
      </c>
      <c r="Q1594" s="20">
        <v>23</v>
      </c>
      <c r="R1594" s="65" t="s">
        <v>2010</v>
      </c>
      <c r="T1594" s="19" t="s">
        <v>307</v>
      </c>
      <c r="V1594" s="19" t="s">
        <v>178</v>
      </c>
      <c r="W1594" s="19" t="s">
        <v>138</v>
      </c>
      <c r="Z1594" s="44" t="s">
        <v>2011</v>
      </c>
      <c r="AA1594" s="44" t="s">
        <v>180</v>
      </c>
      <c r="AC1594" s="19" t="s">
        <v>2227</v>
      </c>
    </row>
    <row r="1595" spans="1:29" hidden="1" x14ac:dyDescent="0.25">
      <c r="A1595" s="26">
        <v>218</v>
      </c>
      <c r="B1595" s="19" t="s">
        <v>2232</v>
      </c>
      <c r="C1595" s="44" t="s">
        <v>273</v>
      </c>
      <c r="D1595" s="19" t="s">
        <v>812</v>
      </c>
      <c r="E1595" s="19">
        <v>12</v>
      </c>
      <c r="F1595" s="19">
        <v>490</v>
      </c>
      <c r="G1595" s="19">
        <v>6464</v>
      </c>
      <c r="H1595" s="19">
        <v>1</v>
      </c>
      <c r="I1595" s="80">
        <v>298.16000000000003</v>
      </c>
      <c r="J1595" s="80">
        <v>298.16000000000003</v>
      </c>
      <c r="K1595" s="19" t="s">
        <v>184</v>
      </c>
      <c r="L1595" s="19" t="s">
        <v>2226</v>
      </c>
      <c r="Q1595" s="20">
        <v>23</v>
      </c>
      <c r="R1595" s="65" t="s">
        <v>2010</v>
      </c>
      <c r="T1595" s="19" t="s">
        <v>307</v>
      </c>
      <c r="V1595" s="19" t="s">
        <v>178</v>
      </c>
      <c r="Y1595" s="19" t="s">
        <v>138</v>
      </c>
      <c r="Z1595" s="44" t="s">
        <v>2011</v>
      </c>
      <c r="AA1595" s="44" t="s">
        <v>180</v>
      </c>
      <c r="AC1595" s="19" t="s">
        <v>2227</v>
      </c>
    </row>
    <row r="1596" spans="1:29" hidden="1" x14ac:dyDescent="0.25">
      <c r="A1596" s="26">
        <v>219</v>
      </c>
      <c r="B1596" s="19" t="s">
        <v>2233</v>
      </c>
      <c r="C1596" s="44" t="s">
        <v>273</v>
      </c>
      <c r="D1596" s="19" t="s">
        <v>839</v>
      </c>
      <c r="E1596" s="19">
        <v>12</v>
      </c>
      <c r="F1596" s="19">
        <v>120</v>
      </c>
      <c r="G1596" s="19">
        <v>129</v>
      </c>
      <c r="H1596" s="19">
        <v>24</v>
      </c>
      <c r="I1596" s="80">
        <v>1.32</v>
      </c>
      <c r="J1596" s="80">
        <v>31.78</v>
      </c>
      <c r="K1596" s="19" t="s">
        <v>184</v>
      </c>
      <c r="L1596" s="19" t="s">
        <v>2226</v>
      </c>
      <c r="Q1596" s="20">
        <v>23</v>
      </c>
      <c r="R1596" s="65" t="s">
        <v>2010</v>
      </c>
      <c r="T1596" s="19" t="s">
        <v>307</v>
      </c>
      <c r="V1596" s="19" t="s">
        <v>178</v>
      </c>
      <c r="W1596" s="19" t="s">
        <v>138</v>
      </c>
      <c r="Z1596" s="44" t="s">
        <v>2011</v>
      </c>
      <c r="AA1596" s="44" t="s">
        <v>180</v>
      </c>
      <c r="AC1596" s="19" t="s">
        <v>2227</v>
      </c>
    </row>
    <row r="1597" spans="1:29" hidden="1" x14ac:dyDescent="0.25">
      <c r="A1597" s="26">
        <v>220</v>
      </c>
      <c r="B1597" s="19" t="s">
        <v>2234</v>
      </c>
      <c r="C1597" s="44" t="s">
        <v>273</v>
      </c>
      <c r="D1597" s="19" t="s">
        <v>839</v>
      </c>
      <c r="E1597" s="19">
        <v>12</v>
      </c>
      <c r="F1597" s="19">
        <v>120</v>
      </c>
      <c r="G1597" s="19">
        <v>129</v>
      </c>
      <c r="H1597" s="19">
        <v>24</v>
      </c>
      <c r="I1597" s="80">
        <v>1.32</v>
      </c>
      <c r="J1597" s="80">
        <v>31.78</v>
      </c>
      <c r="K1597" s="19" t="s">
        <v>184</v>
      </c>
      <c r="L1597" s="19" t="s">
        <v>2226</v>
      </c>
      <c r="Q1597" s="20">
        <v>23</v>
      </c>
      <c r="R1597" s="65" t="s">
        <v>2010</v>
      </c>
      <c r="T1597" s="19" t="s">
        <v>307</v>
      </c>
      <c r="V1597" s="19" t="s">
        <v>178</v>
      </c>
      <c r="W1597" s="19" t="s">
        <v>138</v>
      </c>
      <c r="Z1597" s="44" t="s">
        <v>2011</v>
      </c>
      <c r="AA1597" s="44" t="s">
        <v>180</v>
      </c>
      <c r="AC1597" s="19" t="s">
        <v>2227</v>
      </c>
    </row>
    <row r="1598" spans="1:29" hidden="1" x14ac:dyDescent="0.25">
      <c r="A1598" s="26">
        <v>221</v>
      </c>
      <c r="B1598" s="19" t="s">
        <v>2235</v>
      </c>
      <c r="C1598" s="44" t="s">
        <v>273</v>
      </c>
      <c r="D1598" s="19" t="s">
        <v>839</v>
      </c>
      <c r="E1598" s="19">
        <v>12</v>
      </c>
      <c r="F1598" s="19">
        <v>120</v>
      </c>
      <c r="G1598" s="19">
        <v>129</v>
      </c>
      <c r="H1598" s="19">
        <v>18</v>
      </c>
      <c r="I1598" s="80">
        <v>1.32</v>
      </c>
      <c r="J1598" s="80">
        <v>23.83</v>
      </c>
      <c r="K1598" s="19" t="s">
        <v>184</v>
      </c>
      <c r="L1598" s="19" t="s">
        <v>2226</v>
      </c>
      <c r="Q1598" s="20">
        <v>23</v>
      </c>
      <c r="R1598" s="65" t="s">
        <v>2010</v>
      </c>
      <c r="T1598" s="19" t="s">
        <v>307</v>
      </c>
      <c r="V1598" s="19" t="s">
        <v>178</v>
      </c>
      <c r="W1598" s="19" t="s">
        <v>138</v>
      </c>
      <c r="Z1598" s="44" t="s">
        <v>2011</v>
      </c>
      <c r="AA1598" s="44" t="s">
        <v>180</v>
      </c>
      <c r="AC1598" s="19" t="s">
        <v>2227</v>
      </c>
    </row>
    <row r="1599" spans="1:29" hidden="1" x14ac:dyDescent="0.25">
      <c r="A1599" s="26">
        <v>222</v>
      </c>
      <c r="B1599" s="19" t="s">
        <v>2236</v>
      </c>
      <c r="C1599" s="44" t="s">
        <v>273</v>
      </c>
      <c r="D1599" s="19" t="s">
        <v>839</v>
      </c>
      <c r="E1599" s="19">
        <v>12</v>
      </c>
      <c r="F1599" s="19">
        <v>120</v>
      </c>
      <c r="G1599" s="19">
        <v>129</v>
      </c>
      <c r="H1599" s="19">
        <v>15</v>
      </c>
      <c r="I1599" s="80">
        <v>1.32</v>
      </c>
      <c r="J1599" s="80">
        <v>19.86</v>
      </c>
      <c r="K1599" s="19" t="s">
        <v>184</v>
      </c>
      <c r="L1599" s="19" t="s">
        <v>2226</v>
      </c>
      <c r="Q1599" s="20">
        <v>23</v>
      </c>
      <c r="R1599" s="65" t="s">
        <v>2010</v>
      </c>
      <c r="T1599" s="19" t="s">
        <v>307</v>
      </c>
      <c r="V1599" s="19" t="s">
        <v>178</v>
      </c>
      <c r="W1599" s="19" t="s">
        <v>138</v>
      </c>
      <c r="Z1599" s="44" t="s">
        <v>2011</v>
      </c>
      <c r="AA1599" s="44" t="s">
        <v>180</v>
      </c>
      <c r="AC1599" s="19" t="s">
        <v>2227</v>
      </c>
    </row>
    <row r="1600" spans="1:29" hidden="1" x14ac:dyDescent="0.25">
      <c r="A1600" s="26">
        <v>223</v>
      </c>
      <c r="B1600" s="19" t="s">
        <v>2237</v>
      </c>
      <c r="C1600" s="44" t="s">
        <v>273</v>
      </c>
      <c r="D1600" s="19" t="s">
        <v>839</v>
      </c>
      <c r="E1600" s="19">
        <v>12</v>
      </c>
      <c r="F1600" s="19">
        <v>120</v>
      </c>
      <c r="G1600" s="19">
        <v>129</v>
      </c>
      <c r="H1600" s="19">
        <v>4</v>
      </c>
      <c r="I1600" s="80">
        <v>1.32</v>
      </c>
      <c r="J1600" s="80">
        <v>5.3</v>
      </c>
      <c r="K1600" s="19" t="s">
        <v>184</v>
      </c>
      <c r="L1600" s="19" t="s">
        <v>2238</v>
      </c>
      <c r="Q1600" s="20">
        <v>23</v>
      </c>
      <c r="R1600" s="65" t="s">
        <v>2010</v>
      </c>
      <c r="T1600" s="19" t="s">
        <v>307</v>
      </c>
      <c r="V1600" s="19" t="s">
        <v>178</v>
      </c>
      <c r="W1600" s="19" t="s">
        <v>138</v>
      </c>
      <c r="Z1600" s="44" t="s">
        <v>2011</v>
      </c>
      <c r="AA1600" s="44" t="s">
        <v>180</v>
      </c>
      <c r="AC1600" s="19" t="s">
        <v>2239</v>
      </c>
    </row>
    <row r="1601" spans="1:29" hidden="1" x14ac:dyDescent="0.25">
      <c r="A1601" s="26">
        <v>224</v>
      </c>
      <c r="B1601" s="19" t="s">
        <v>2240</v>
      </c>
      <c r="C1601" s="44" t="s">
        <v>273</v>
      </c>
      <c r="D1601" s="19" t="s">
        <v>812</v>
      </c>
      <c r="E1601" s="19">
        <v>12</v>
      </c>
      <c r="F1601" s="19">
        <v>490</v>
      </c>
      <c r="G1601" s="19">
        <v>6464</v>
      </c>
      <c r="H1601" s="19">
        <v>1</v>
      </c>
      <c r="I1601" s="80">
        <v>298.16000000000003</v>
      </c>
      <c r="J1601" s="80">
        <v>298.16000000000003</v>
      </c>
      <c r="K1601" s="19" t="s">
        <v>184</v>
      </c>
      <c r="L1601" s="19" t="s">
        <v>2238</v>
      </c>
      <c r="Q1601" s="20">
        <v>23</v>
      </c>
      <c r="R1601" s="65" t="s">
        <v>2010</v>
      </c>
      <c r="T1601" s="19" t="s">
        <v>307</v>
      </c>
      <c r="V1601" s="19" t="s">
        <v>178</v>
      </c>
      <c r="Y1601" s="19" t="s">
        <v>138</v>
      </c>
      <c r="Z1601" s="44" t="s">
        <v>2011</v>
      </c>
      <c r="AA1601" s="44" t="s">
        <v>180</v>
      </c>
      <c r="AC1601" s="19" t="s">
        <v>2239</v>
      </c>
    </row>
    <row r="1602" spans="1:29" hidden="1" x14ac:dyDescent="0.25">
      <c r="A1602" s="26">
        <v>225</v>
      </c>
      <c r="B1602" s="19" t="s">
        <v>2241</v>
      </c>
      <c r="C1602" s="44" t="s">
        <v>273</v>
      </c>
      <c r="D1602" s="19" t="s">
        <v>812</v>
      </c>
      <c r="E1602" s="19">
        <v>12</v>
      </c>
      <c r="F1602" s="19">
        <v>490</v>
      </c>
      <c r="G1602" s="19">
        <v>6464</v>
      </c>
      <c r="H1602" s="19">
        <v>1</v>
      </c>
      <c r="I1602" s="80">
        <v>298.16000000000003</v>
      </c>
      <c r="J1602" s="80">
        <v>298.16000000000003</v>
      </c>
      <c r="K1602" s="19" t="s">
        <v>184</v>
      </c>
      <c r="L1602" s="19" t="s">
        <v>2238</v>
      </c>
      <c r="Q1602" s="20">
        <v>23</v>
      </c>
      <c r="R1602" s="65" t="s">
        <v>2010</v>
      </c>
      <c r="T1602" s="19" t="s">
        <v>307</v>
      </c>
      <c r="V1602" s="19" t="s">
        <v>178</v>
      </c>
      <c r="Y1602" s="19" t="s">
        <v>138</v>
      </c>
      <c r="Z1602" s="44" t="s">
        <v>2011</v>
      </c>
      <c r="AA1602" s="44" t="s">
        <v>180</v>
      </c>
      <c r="AC1602" s="19" t="s">
        <v>2239</v>
      </c>
    </row>
    <row r="1603" spans="1:29" hidden="1" x14ac:dyDescent="0.25">
      <c r="A1603" s="26">
        <v>226</v>
      </c>
      <c r="B1603" s="19" t="s">
        <v>2242</v>
      </c>
      <c r="C1603" s="44" t="s">
        <v>273</v>
      </c>
      <c r="D1603" s="19" t="s">
        <v>812</v>
      </c>
      <c r="E1603" s="19">
        <v>12</v>
      </c>
      <c r="F1603" s="19">
        <v>490</v>
      </c>
      <c r="G1603" s="19">
        <v>6464</v>
      </c>
      <c r="H1603" s="19">
        <v>1</v>
      </c>
      <c r="I1603" s="80">
        <v>298.16000000000003</v>
      </c>
      <c r="J1603" s="80">
        <v>298.16000000000003</v>
      </c>
      <c r="K1603" s="19" t="s">
        <v>184</v>
      </c>
      <c r="L1603" s="19" t="s">
        <v>2238</v>
      </c>
      <c r="Q1603" s="20">
        <v>23</v>
      </c>
      <c r="R1603" s="65" t="s">
        <v>2010</v>
      </c>
      <c r="T1603" s="19" t="s">
        <v>307</v>
      </c>
      <c r="V1603" s="19" t="s">
        <v>178</v>
      </c>
      <c r="Y1603" s="19" t="s">
        <v>138</v>
      </c>
      <c r="Z1603" s="44" t="s">
        <v>2011</v>
      </c>
      <c r="AA1603" s="44" t="s">
        <v>180</v>
      </c>
      <c r="AC1603" s="19" t="s">
        <v>2239</v>
      </c>
    </row>
    <row r="1604" spans="1:29" hidden="1" x14ac:dyDescent="0.25">
      <c r="A1604" s="26">
        <v>227</v>
      </c>
      <c r="B1604" s="19" t="s">
        <v>2243</v>
      </c>
      <c r="C1604" s="44" t="s">
        <v>273</v>
      </c>
      <c r="D1604" s="19" t="s">
        <v>812</v>
      </c>
      <c r="E1604" s="19">
        <v>12</v>
      </c>
      <c r="F1604" s="19">
        <v>490</v>
      </c>
      <c r="G1604" s="19">
        <v>6464</v>
      </c>
      <c r="H1604" s="19">
        <v>1</v>
      </c>
      <c r="I1604" s="80">
        <v>298.16000000000003</v>
      </c>
      <c r="J1604" s="80">
        <v>298.16000000000003</v>
      </c>
      <c r="K1604" s="19" t="s">
        <v>184</v>
      </c>
      <c r="L1604" s="19" t="s">
        <v>2238</v>
      </c>
      <c r="Q1604" s="20">
        <v>23</v>
      </c>
      <c r="R1604" s="65" t="s">
        <v>2010</v>
      </c>
      <c r="T1604" s="19" t="s">
        <v>307</v>
      </c>
      <c r="V1604" s="19" t="s">
        <v>178</v>
      </c>
      <c r="Y1604" s="19" t="s">
        <v>138</v>
      </c>
      <c r="Z1604" s="44" t="s">
        <v>2011</v>
      </c>
      <c r="AA1604" s="44" t="s">
        <v>180</v>
      </c>
      <c r="AC1604" s="19" t="s">
        <v>2239</v>
      </c>
    </row>
    <row r="1605" spans="1:29" hidden="1" x14ac:dyDescent="0.25">
      <c r="A1605" s="26">
        <v>228</v>
      </c>
      <c r="B1605" s="19" t="s">
        <v>2236</v>
      </c>
      <c r="C1605" s="44" t="s">
        <v>273</v>
      </c>
      <c r="D1605" s="19" t="s">
        <v>839</v>
      </c>
      <c r="E1605" s="19">
        <v>12</v>
      </c>
      <c r="F1605" s="19">
        <v>120</v>
      </c>
      <c r="G1605" s="19">
        <v>129</v>
      </c>
      <c r="H1605" s="19">
        <v>3</v>
      </c>
      <c r="I1605" s="80">
        <v>1.32</v>
      </c>
      <c r="J1605" s="80">
        <v>3.97</v>
      </c>
      <c r="K1605" s="19" t="s">
        <v>184</v>
      </c>
      <c r="L1605" s="19" t="s">
        <v>2238</v>
      </c>
      <c r="Q1605" s="20">
        <v>23</v>
      </c>
      <c r="R1605" s="65" t="s">
        <v>2010</v>
      </c>
      <c r="T1605" s="19" t="s">
        <v>307</v>
      </c>
      <c r="V1605" s="19" t="s">
        <v>178</v>
      </c>
      <c r="W1605" s="19" t="s">
        <v>138</v>
      </c>
      <c r="Z1605" s="44" t="s">
        <v>2011</v>
      </c>
      <c r="AA1605" s="44" t="s">
        <v>180</v>
      </c>
      <c r="AC1605" s="19" t="s">
        <v>2239</v>
      </c>
    </row>
    <row r="1606" spans="1:29" hidden="1" x14ac:dyDescent="0.25">
      <c r="A1606" s="26">
        <v>229</v>
      </c>
      <c r="B1606" s="19" t="s">
        <v>2244</v>
      </c>
      <c r="C1606" s="44" t="s">
        <v>273</v>
      </c>
      <c r="D1606" s="19" t="s">
        <v>839</v>
      </c>
      <c r="E1606" s="19">
        <v>12</v>
      </c>
      <c r="F1606" s="19">
        <v>120</v>
      </c>
      <c r="G1606" s="19">
        <v>129</v>
      </c>
      <c r="H1606" s="19">
        <v>18</v>
      </c>
      <c r="I1606" s="80">
        <v>1.32</v>
      </c>
      <c r="J1606" s="80">
        <v>23.83</v>
      </c>
      <c r="K1606" s="19" t="s">
        <v>184</v>
      </c>
      <c r="L1606" s="19" t="s">
        <v>2238</v>
      </c>
      <c r="Q1606" s="20">
        <v>23</v>
      </c>
      <c r="R1606" s="65" t="s">
        <v>2010</v>
      </c>
      <c r="T1606" s="19" t="s">
        <v>307</v>
      </c>
      <c r="V1606" s="19" t="s">
        <v>178</v>
      </c>
      <c r="W1606" s="19" t="s">
        <v>138</v>
      </c>
      <c r="Z1606" s="44" t="s">
        <v>2011</v>
      </c>
      <c r="AA1606" s="44" t="s">
        <v>180</v>
      </c>
      <c r="AC1606" s="19" t="s">
        <v>2239</v>
      </c>
    </row>
    <row r="1607" spans="1:29" hidden="1" x14ac:dyDescent="0.25">
      <c r="A1607" s="26">
        <v>230</v>
      </c>
      <c r="B1607" s="19" t="s">
        <v>2245</v>
      </c>
      <c r="C1607" s="44" t="s">
        <v>273</v>
      </c>
      <c r="D1607" s="19" t="s">
        <v>839</v>
      </c>
      <c r="E1607" s="19">
        <v>12</v>
      </c>
      <c r="F1607" s="19">
        <v>120</v>
      </c>
      <c r="G1607" s="19">
        <v>129</v>
      </c>
      <c r="H1607" s="19">
        <v>18</v>
      </c>
      <c r="I1607" s="80">
        <v>1.32</v>
      </c>
      <c r="J1607" s="80">
        <v>23.83</v>
      </c>
      <c r="K1607" s="19" t="s">
        <v>184</v>
      </c>
      <c r="L1607" s="19" t="s">
        <v>2238</v>
      </c>
      <c r="Q1607" s="20">
        <v>23</v>
      </c>
      <c r="R1607" s="65" t="s">
        <v>2010</v>
      </c>
      <c r="T1607" s="19" t="s">
        <v>307</v>
      </c>
      <c r="V1607" s="19" t="s">
        <v>178</v>
      </c>
      <c r="W1607" s="19" t="s">
        <v>138</v>
      </c>
      <c r="Z1607" s="44" t="s">
        <v>2011</v>
      </c>
      <c r="AA1607" s="44" t="s">
        <v>180</v>
      </c>
      <c r="AC1607" s="19" t="s">
        <v>2239</v>
      </c>
    </row>
    <row r="1608" spans="1:29" hidden="1" x14ac:dyDescent="0.25">
      <c r="A1608" s="26">
        <v>231</v>
      </c>
      <c r="B1608" s="19" t="s">
        <v>2246</v>
      </c>
      <c r="C1608" s="44" t="s">
        <v>273</v>
      </c>
      <c r="D1608" s="19" t="s">
        <v>839</v>
      </c>
      <c r="E1608" s="19">
        <v>12</v>
      </c>
      <c r="F1608" s="19">
        <v>120</v>
      </c>
      <c r="G1608" s="19">
        <v>129</v>
      </c>
      <c r="H1608" s="19">
        <v>18</v>
      </c>
      <c r="I1608" s="80">
        <v>1.32</v>
      </c>
      <c r="J1608" s="80">
        <v>23.83</v>
      </c>
      <c r="K1608" s="19" t="s">
        <v>184</v>
      </c>
      <c r="L1608" s="19" t="s">
        <v>2238</v>
      </c>
      <c r="Q1608" s="20">
        <v>23</v>
      </c>
      <c r="R1608" s="65" t="s">
        <v>2010</v>
      </c>
      <c r="T1608" s="19" t="s">
        <v>307</v>
      </c>
      <c r="V1608" s="19" t="s">
        <v>178</v>
      </c>
      <c r="W1608" s="19" t="s">
        <v>138</v>
      </c>
      <c r="Z1608" s="44" t="s">
        <v>2011</v>
      </c>
      <c r="AA1608" s="44" t="s">
        <v>180</v>
      </c>
      <c r="AC1608" s="19" t="s">
        <v>2239</v>
      </c>
    </row>
    <row r="1609" spans="1:29" hidden="1" x14ac:dyDescent="0.25">
      <c r="A1609" s="26">
        <v>232</v>
      </c>
      <c r="B1609" s="19" t="s">
        <v>2247</v>
      </c>
      <c r="C1609" s="44" t="s">
        <v>273</v>
      </c>
      <c r="D1609" s="19" t="s">
        <v>839</v>
      </c>
      <c r="E1609" s="19">
        <v>12</v>
      </c>
      <c r="F1609" s="19">
        <v>120</v>
      </c>
      <c r="G1609" s="19">
        <v>129</v>
      </c>
      <c r="H1609" s="19">
        <v>4</v>
      </c>
      <c r="I1609" s="80">
        <v>1.32</v>
      </c>
      <c r="J1609" s="80">
        <v>5.3</v>
      </c>
      <c r="K1609" s="19" t="s">
        <v>184</v>
      </c>
      <c r="L1609" s="19" t="s">
        <v>2238</v>
      </c>
      <c r="Q1609" s="20">
        <v>23</v>
      </c>
      <c r="R1609" s="65" t="s">
        <v>2010</v>
      </c>
      <c r="T1609" s="19" t="s">
        <v>307</v>
      </c>
      <c r="V1609" s="19" t="s">
        <v>178</v>
      </c>
      <c r="W1609" s="19" t="s">
        <v>138</v>
      </c>
      <c r="Z1609" s="44" t="s">
        <v>2011</v>
      </c>
      <c r="AA1609" s="44" t="s">
        <v>180</v>
      </c>
      <c r="AC1609" s="19" t="s">
        <v>2239</v>
      </c>
    </row>
    <row r="1610" spans="1:29" hidden="1" x14ac:dyDescent="0.25">
      <c r="A1610" s="26">
        <v>233</v>
      </c>
      <c r="B1610" s="19" t="s">
        <v>2248</v>
      </c>
      <c r="C1610" s="44" t="s">
        <v>273</v>
      </c>
      <c r="D1610" s="19" t="s">
        <v>839</v>
      </c>
      <c r="E1610" s="19">
        <v>12</v>
      </c>
      <c r="F1610" s="19">
        <v>120</v>
      </c>
      <c r="G1610" s="19">
        <v>129</v>
      </c>
      <c r="H1610" s="19">
        <v>4</v>
      </c>
      <c r="I1610" s="80">
        <v>1.32</v>
      </c>
      <c r="J1610" s="80">
        <v>5.3</v>
      </c>
      <c r="K1610" s="19" t="s">
        <v>184</v>
      </c>
      <c r="L1610" s="19" t="s">
        <v>2238</v>
      </c>
      <c r="Q1610" s="20">
        <v>23</v>
      </c>
      <c r="R1610" s="65" t="s">
        <v>2010</v>
      </c>
      <c r="T1610" s="19" t="s">
        <v>307</v>
      </c>
      <c r="V1610" s="19" t="s">
        <v>178</v>
      </c>
      <c r="W1610" s="19" t="s">
        <v>138</v>
      </c>
      <c r="Z1610" s="44" t="s">
        <v>2011</v>
      </c>
      <c r="AA1610" s="44" t="s">
        <v>180</v>
      </c>
      <c r="AC1610" s="19" t="s">
        <v>2239</v>
      </c>
    </row>
    <row r="1611" spans="1:29" hidden="1" x14ac:dyDescent="0.25">
      <c r="A1611" s="26">
        <v>234</v>
      </c>
      <c r="B1611" s="19" t="s">
        <v>2249</v>
      </c>
      <c r="C1611" s="44" t="s">
        <v>273</v>
      </c>
      <c r="D1611" s="19" t="s">
        <v>839</v>
      </c>
      <c r="E1611" s="19">
        <v>12</v>
      </c>
      <c r="F1611" s="19">
        <v>120</v>
      </c>
      <c r="G1611" s="19">
        <v>129</v>
      </c>
      <c r="H1611" s="19">
        <v>4</v>
      </c>
      <c r="I1611" s="80">
        <v>1.32</v>
      </c>
      <c r="J1611" s="80">
        <v>5.3</v>
      </c>
      <c r="K1611" s="19" t="s">
        <v>184</v>
      </c>
      <c r="L1611" s="19" t="s">
        <v>2238</v>
      </c>
      <c r="Q1611" s="20">
        <v>23</v>
      </c>
      <c r="R1611" s="65" t="s">
        <v>2010</v>
      </c>
      <c r="T1611" s="19" t="s">
        <v>307</v>
      </c>
      <c r="V1611" s="19" t="s">
        <v>178</v>
      </c>
      <c r="W1611" s="19" t="s">
        <v>138</v>
      </c>
      <c r="Z1611" s="44" t="s">
        <v>2011</v>
      </c>
      <c r="AA1611" s="44" t="s">
        <v>180</v>
      </c>
      <c r="AC1611" s="19" t="s">
        <v>2239</v>
      </c>
    </row>
    <row r="1612" spans="1:29" hidden="1" x14ac:dyDescent="0.25">
      <c r="A1612" s="26">
        <v>235</v>
      </c>
      <c r="B1612" s="19" t="s">
        <v>2250</v>
      </c>
      <c r="C1612" s="44" t="s">
        <v>273</v>
      </c>
      <c r="D1612" s="19" t="s">
        <v>839</v>
      </c>
      <c r="E1612" s="19">
        <v>12</v>
      </c>
      <c r="F1612" s="19">
        <v>120</v>
      </c>
      <c r="G1612" s="19">
        <v>129</v>
      </c>
      <c r="H1612" s="19">
        <v>4</v>
      </c>
      <c r="I1612" s="80">
        <v>1.32</v>
      </c>
      <c r="J1612" s="80">
        <v>5.3</v>
      </c>
      <c r="K1612" s="19" t="s">
        <v>184</v>
      </c>
      <c r="L1612" s="19" t="s">
        <v>2238</v>
      </c>
      <c r="Q1612" s="20">
        <v>23</v>
      </c>
      <c r="R1612" s="65" t="s">
        <v>2010</v>
      </c>
      <c r="T1612" s="19" t="s">
        <v>307</v>
      </c>
      <c r="V1612" s="19" t="s">
        <v>178</v>
      </c>
      <c r="W1612" s="19" t="s">
        <v>138</v>
      </c>
      <c r="Z1612" s="44" t="s">
        <v>2011</v>
      </c>
      <c r="AA1612" s="44" t="s">
        <v>180</v>
      </c>
      <c r="AC1612" s="19" t="s">
        <v>2239</v>
      </c>
    </row>
    <row r="1613" spans="1:29" hidden="1" x14ac:dyDescent="0.25">
      <c r="A1613" s="26">
        <v>236</v>
      </c>
      <c r="B1613" s="19" t="s">
        <v>2251</v>
      </c>
      <c r="C1613" s="44" t="s">
        <v>273</v>
      </c>
      <c r="D1613" s="19" t="s">
        <v>1334</v>
      </c>
      <c r="E1613" s="19">
        <v>16</v>
      </c>
      <c r="F1613" s="19">
        <v>210</v>
      </c>
      <c r="G1613" s="19">
        <v>750</v>
      </c>
      <c r="H1613" s="19">
        <v>9</v>
      </c>
      <c r="I1613" s="80">
        <v>19.61</v>
      </c>
      <c r="J1613" s="80">
        <v>176.5</v>
      </c>
      <c r="K1613" s="19" t="s">
        <v>2252</v>
      </c>
      <c r="L1613" s="19" t="s">
        <v>2253</v>
      </c>
      <c r="Q1613" s="20">
        <v>23</v>
      </c>
      <c r="R1613" s="65" t="s">
        <v>2010</v>
      </c>
      <c r="T1613" s="19" t="s">
        <v>307</v>
      </c>
      <c r="V1613" s="19" t="s">
        <v>178</v>
      </c>
      <c r="W1613" s="19" t="s">
        <v>138</v>
      </c>
      <c r="Z1613" s="44" t="s">
        <v>2011</v>
      </c>
      <c r="AA1613" s="44" t="s">
        <v>2254</v>
      </c>
      <c r="AC1613" s="19" t="s">
        <v>2255</v>
      </c>
    </row>
    <row r="1614" spans="1:29" hidden="1" x14ac:dyDescent="0.25">
      <c r="A1614" s="26">
        <v>237</v>
      </c>
      <c r="B1614" s="19" t="s">
        <v>2256</v>
      </c>
      <c r="C1614" s="44" t="s">
        <v>273</v>
      </c>
      <c r="D1614" s="19" t="s">
        <v>1338</v>
      </c>
      <c r="E1614" s="19">
        <v>16</v>
      </c>
      <c r="F1614" s="19">
        <v>210</v>
      </c>
      <c r="G1614" s="19">
        <v>651</v>
      </c>
      <c r="H1614" s="19">
        <v>9</v>
      </c>
      <c r="I1614" s="80">
        <v>17.149999999999999</v>
      </c>
      <c r="J1614" s="80">
        <v>154.37</v>
      </c>
      <c r="K1614" s="19" t="s">
        <v>2252</v>
      </c>
      <c r="L1614" s="19" t="s">
        <v>2253</v>
      </c>
      <c r="Q1614" s="20">
        <v>23</v>
      </c>
      <c r="R1614" s="65" t="s">
        <v>2010</v>
      </c>
      <c r="T1614" s="19" t="s">
        <v>307</v>
      </c>
      <c r="V1614" s="19" t="s">
        <v>178</v>
      </c>
      <c r="W1614" s="19" t="s">
        <v>138</v>
      </c>
      <c r="Z1614" s="44" t="s">
        <v>2011</v>
      </c>
      <c r="AA1614" s="44" t="s">
        <v>2254</v>
      </c>
      <c r="AC1614" s="19" t="s">
        <v>2255</v>
      </c>
    </row>
    <row r="1615" spans="1:29" hidden="1" x14ac:dyDescent="0.25">
      <c r="A1615" s="26">
        <v>238</v>
      </c>
      <c r="B1615" s="19" t="s">
        <v>2257</v>
      </c>
      <c r="C1615" s="44" t="s">
        <v>273</v>
      </c>
      <c r="D1615" s="19" t="s">
        <v>1338</v>
      </c>
      <c r="E1615" s="19">
        <v>16</v>
      </c>
      <c r="F1615" s="19">
        <v>210</v>
      </c>
      <c r="G1615" s="19">
        <v>651</v>
      </c>
      <c r="H1615" s="19">
        <v>10</v>
      </c>
      <c r="I1615" s="80">
        <v>17.149999999999999</v>
      </c>
      <c r="J1615" s="80">
        <v>171.53</v>
      </c>
      <c r="K1615" s="19" t="s">
        <v>2252</v>
      </c>
      <c r="L1615" s="19" t="s">
        <v>2253</v>
      </c>
      <c r="Q1615" s="20">
        <v>23</v>
      </c>
      <c r="R1615" s="65" t="s">
        <v>2010</v>
      </c>
      <c r="T1615" s="19" t="s">
        <v>307</v>
      </c>
      <c r="V1615" s="19" t="s">
        <v>178</v>
      </c>
      <c r="W1615" s="19" t="s">
        <v>138</v>
      </c>
      <c r="Z1615" s="44" t="s">
        <v>2011</v>
      </c>
      <c r="AA1615" s="44" t="s">
        <v>2254</v>
      </c>
      <c r="AC1615" s="19" t="s">
        <v>2255</v>
      </c>
    </row>
    <row r="1616" spans="1:29" hidden="1" x14ac:dyDescent="0.25">
      <c r="A1616" s="26">
        <v>239</v>
      </c>
      <c r="B1616" s="19" t="s">
        <v>2258</v>
      </c>
      <c r="C1616" s="44" t="s">
        <v>273</v>
      </c>
      <c r="D1616" s="19" t="s">
        <v>1334</v>
      </c>
      <c r="E1616" s="19">
        <v>16</v>
      </c>
      <c r="F1616" s="19">
        <v>210</v>
      </c>
      <c r="G1616" s="19">
        <v>750</v>
      </c>
      <c r="H1616" s="19">
        <v>3</v>
      </c>
      <c r="I1616" s="80">
        <v>19.61</v>
      </c>
      <c r="J1616" s="80">
        <v>58.83</v>
      </c>
      <c r="K1616" s="19" t="s">
        <v>2252</v>
      </c>
      <c r="L1616" s="19" t="s">
        <v>2253</v>
      </c>
      <c r="Q1616" s="20">
        <v>23</v>
      </c>
      <c r="R1616" s="65" t="s">
        <v>2010</v>
      </c>
      <c r="T1616" s="19" t="s">
        <v>307</v>
      </c>
      <c r="V1616" s="19" t="s">
        <v>178</v>
      </c>
      <c r="W1616" s="19" t="s">
        <v>138</v>
      </c>
      <c r="Z1616" s="44" t="s">
        <v>2011</v>
      </c>
      <c r="AA1616" s="44" t="s">
        <v>2254</v>
      </c>
      <c r="AC1616" s="19" t="s">
        <v>2255</v>
      </c>
    </row>
    <row r="1617" spans="1:29" hidden="1" x14ac:dyDescent="0.25">
      <c r="A1617" s="26">
        <v>240</v>
      </c>
      <c r="B1617" s="19" t="s">
        <v>2259</v>
      </c>
      <c r="C1617" s="44" t="s">
        <v>273</v>
      </c>
      <c r="D1617" s="19" t="s">
        <v>1338</v>
      </c>
      <c r="E1617" s="19">
        <v>16</v>
      </c>
      <c r="F1617" s="19">
        <v>210</v>
      </c>
      <c r="G1617" s="19">
        <v>651</v>
      </c>
      <c r="H1617" s="19">
        <v>10</v>
      </c>
      <c r="I1617" s="80">
        <v>17.149999999999999</v>
      </c>
      <c r="J1617" s="80">
        <v>171.53</v>
      </c>
      <c r="K1617" s="19" t="s">
        <v>2252</v>
      </c>
      <c r="L1617" s="19" t="s">
        <v>2253</v>
      </c>
      <c r="Q1617" s="20">
        <v>23</v>
      </c>
      <c r="R1617" s="65" t="s">
        <v>2010</v>
      </c>
      <c r="T1617" s="19" t="s">
        <v>307</v>
      </c>
      <c r="V1617" s="19" t="s">
        <v>178</v>
      </c>
      <c r="W1617" s="19" t="s">
        <v>138</v>
      </c>
      <c r="Z1617" s="44" t="s">
        <v>2011</v>
      </c>
      <c r="AA1617" s="44" t="s">
        <v>2254</v>
      </c>
      <c r="AC1617" s="19" t="s">
        <v>2255</v>
      </c>
    </row>
    <row r="1618" spans="1:29" hidden="1" x14ac:dyDescent="0.25">
      <c r="A1618" s="26">
        <v>241</v>
      </c>
      <c r="B1618" s="19" t="s">
        <v>2260</v>
      </c>
      <c r="C1618" s="44" t="s">
        <v>273</v>
      </c>
      <c r="D1618" s="19" t="s">
        <v>1338</v>
      </c>
      <c r="E1618" s="19">
        <v>16</v>
      </c>
      <c r="F1618" s="19">
        <v>210</v>
      </c>
      <c r="G1618" s="19">
        <v>651</v>
      </c>
      <c r="H1618" s="19">
        <v>10</v>
      </c>
      <c r="I1618" s="80">
        <v>17.149999999999999</v>
      </c>
      <c r="J1618" s="80">
        <v>171.53</v>
      </c>
      <c r="K1618" s="19" t="s">
        <v>2252</v>
      </c>
      <c r="L1618" s="19" t="s">
        <v>2253</v>
      </c>
      <c r="Q1618" s="20">
        <v>23</v>
      </c>
      <c r="R1618" s="65" t="s">
        <v>2010</v>
      </c>
      <c r="T1618" s="19" t="s">
        <v>307</v>
      </c>
      <c r="V1618" s="19" t="s">
        <v>178</v>
      </c>
      <c r="W1618" s="19" t="s">
        <v>138</v>
      </c>
      <c r="Z1618" s="44" t="s">
        <v>2011</v>
      </c>
      <c r="AA1618" s="44" t="s">
        <v>2254</v>
      </c>
      <c r="AC1618" s="19" t="s">
        <v>2255</v>
      </c>
    </row>
    <row r="1619" spans="1:29" hidden="1" x14ac:dyDescent="0.25">
      <c r="A1619" s="26">
        <v>242</v>
      </c>
      <c r="B1619" s="19" t="s">
        <v>2251</v>
      </c>
      <c r="C1619" s="44" t="s">
        <v>273</v>
      </c>
      <c r="D1619" s="19" t="s">
        <v>1334</v>
      </c>
      <c r="E1619" s="19">
        <v>16</v>
      </c>
      <c r="F1619" s="19">
        <v>210</v>
      </c>
      <c r="G1619" s="19">
        <v>750</v>
      </c>
      <c r="H1619" s="19">
        <v>3</v>
      </c>
      <c r="I1619" s="80">
        <v>19.61</v>
      </c>
      <c r="J1619" s="80">
        <v>58.83</v>
      </c>
      <c r="K1619" s="19" t="s">
        <v>1000</v>
      </c>
      <c r="L1619" s="19" t="s">
        <v>2261</v>
      </c>
      <c r="Q1619" s="20">
        <v>23</v>
      </c>
      <c r="R1619" s="65" t="s">
        <v>2010</v>
      </c>
      <c r="T1619" s="19" t="s">
        <v>307</v>
      </c>
      <c r="V1619" s="19" t="s">
        <v>178</v>
      </c>
      <c r="W1619" s="19" t="s">
        <v>138</v>
      </c>
      <c r="Z1619" s="44" t="s">
        <v>2011</v>
      </c>
      <c r="AA1619" s="44" t="s">
        <v>180</v>
      </c>
      <c r="AC1619" s="19" t="s">
        <v>2262</v>
      </c>
    </row>
    <row r="1620" spans="1:29" hidden="1" x14ac:dyDescent="0.25">
      <c r="A1620" s="26">
        <v>243</v>
      </c>
      <c r="B1620" s="19" t="s">
        <v>2263</v>
      </c>
      <c r="C1620" s="44" t="s">
        <v>273</v>
      </c>
      <c r="D1620" s="19" t="s">
        <v>2252</v>
      </c>
      <c r="E1620" s="19">
        <v>16</v>
      </c>
      <c r="F1620" s="19">
        <v>2235</v>
      </c>
      <c r="G1620" s="19">
        <v>3592</v>
      </c>
      <c r="H1620" s="19">
        <v>6</v>
      </c>
      <c r="I1620" s="80">
        <v>5.96</v>
      </c>
      <c r="J1620" s="80">
        <v>35.79</v>
      </c>
      <c r="K1620" s="19" t="s">
        <v>1000</v>
      </c>
      <c r="L1620" s="19" t="s">
        <v>2261</v>
      </c>
      <c r="Q1620" s="20">
        <v>23</v>
      </c>
      <c r="R1620" s="65" t="s">
        <v>2010</v>
      </c>
      <c r="T1620" s="19" t="s">
        <v>307</v>
      </c>
      <c r="V1620" s="19" t="s">
        <v>178</v>
      </c>
      <c r="W1620" s="19" t="s">
        <v>138</v>
      </c>
      <c r="Z1620" s="44" t="s">
        <v>2011</v>
      </c>
      <c r="AA1620" s="44" t="s">
        <v>180</v>
      </c>
      <c r="AC1620" s="19" t="s">
        <v>2262</v>
      </c>
    </row>
    <row r="1621" spans="1:29" hidden="1" x14ac:dyDescent="0.25">
      <c r="A1621" s="26">
        <v>244</v>
      </c>
      <c r="B1621" s="19" t="s">
        <v>2256</v>
      </c>
      <c r="C1621" s="44" t="s">
        <v>273</v>
      </c>
      <c r="D1621" s="19" t="s">
        <v>1338</v>
      </c>
      <c r="E1621" s="19">
        <v>16</v>
      </c>
      <c r="F1621" s="19">
        <v>210</v>
      </c>
      <c r="G1621" s="19">
        <v>651</v>
      </c>
      <c r="H1621" s="19">
        <v>1</v>
      </c>
      <c r="I1621" s="80">
        <v>17.149999999999999</v>
      </c>
      <c r="J1621" s="80">
        <v>17.149999999999999</v>
      </c>
      <c r="K1621" s="19" t="s">
        <v>1000</v>
      </c>
      <c r="L1621" s="19" t="s">
        <v>2261</v>
      </c>
      <c r="Q1621" s="20">
        <v>23</v>
      </c>
      <c r="R1621" s="65" t="s">
        <v>2010</v>
      </c>
      <c r="T1621" s="19" t="s">
        <v>307</v>
      </c>
      <c r="V1621" s="19" t="s">
        <v>178</v>
      </c>
      <c r="W1621" s="19" t="s">
        <v>138</v>
      </c>
      <c r="Z1621" s="44" t="s">
        <v>2011</v>
      </c>
      <c r="AA1621" s="44" t="s">
        <v>180</v>
      </c>
      <c r="AC1621" s="19" t="s">
        <v>2262</v>
      </c>
    </row>
    <row r="1622" spans="1:29" hidden="1" x14ac:dyDescent="0.25">
      <c r="A1622" s="26">
        <v>245</v>
      </c>
      <c r="B1622" s="19" t="s">
        <v>2264</v>
      </c>
      <c r="C1622" s="44" t="s">
        <v>273</v>
      </c>
      <c r="D1622" s="19" t="s">
        <v>1334</v>
      </c>
      <c r="E1622" s="19">
        <v>16</v>
      </c>
      <c r="F1622" s="19">
        <v>210</v>
      </c>
      <c r="G1622" s="19">
        <v>750</v>
      </c>
      <c r="H1622" s="19">
        <v>12</v>
      </c>
      <c r="I1622" s="80">
        <v>19.61</v>
      </c>
      <c r="J1622" s="80">
        <v>235.33</v>
      </c>
      <c r="K1622" s="19" t="s">
        <v>1000</v>
      </c>
      <c r="L1622" s="19" t="s">
        <v>2261</v>
      </c>
      <c r="Q1622" s="20">
        <v>23</v>
      </c>
      <c r="R1622" s="65" t="s">
        <v>2010</v>
      </c>
      <c r="T1622" s="19" t="s">
        <v>307</v>
      </c>
      <c r="V1622" s="19" t="s">
        <v>178</v>
      </c>
      <c r="W1622" s="19" t="s">
        <v>138</v>
      </c>
      <c r="Z1622" s="44" t="s">
        <v>2011</v>
      </c>
      <c r="AA1622" s="44" t="s">
        <v>180</v>
      </c>
      <c r="AC1622" s="19" t="s">
        <v>2262</v>
      </c>
    </row>
    <row r="1623" spans="1:29" hidden="1" x14ac:dyDescent="0.25">
      <c r="A1623" s="26">
        <v>246</v>
      </c>
      <c r="B1623" s="19" t="s">
        <v>2265</v>
      </c>
      <c r="C1623" s="44" t="s">
        <v>273</v>
      </c>
      <c r="D1623" s="19" t="s">
        <v>2266</v>
      </c>
      <c r="E1623" s="19">
        <v>16</v>
      </c>
      <c r="F1623" s="19">
        <v>190</v>
      </c>
      <c r="G1623" s="19">
        <v>251</v>
      </c>
      <c r="H1623" s="19">
        <v>10</v>
      </c>
      <c r="I1623" s="80">
        <v>5.96</v>
      </c>
      <c r="J1623" s="80">
        <v>59.65</v>
      </c>
      <c r="K1623" s="19" t="s">
        <v>1000</v>
      </c>
      <c r="L1623" s="19" t="s">
        <v>2261</v>
      </c>
      <c r="Q1623" s="20">
        <v>23</v>
      </c>
      <c r="R1623" s="65" t="s">
        <v>2010</v>
      </c>
      <c r="T1623" s="19" t="s">
        <v>307</v>
      </c>
      <c r="V1623" s="19" t="s">
        <v>178</v>
      </c>
      <c r="W1623" s="19" t="s">
        <v>138</v>
      </c>
      <c r="Z1623" s="44" t="s">
        <v>2011</v>
      </c>
      <c r="AA1623" s="44" t="s">
        <v>180</v>
      </c>
      <c r="AC1623" s="19" t="s">
        <v>2262</v>
      </c>
    </row>
    <row r="1624" spans="1:29" hidden="1" x14ac:dyDescent="0.25">
      <c r="A1624" s="26">
        <v>247</v>
      </c>
      <c r="B1624" s="19" t="s">
        <v>2258</v>
      </c>
      <c r="C1624" s="44" t="s">
        <v>273</v>
      </c>
      <c r="D1624" s="19" t="s">
        <v>1334</v>
      </c>
      <c r="E1624" s="19">
        <v>16</v>
      </c>
      <c r="F1624" s="19">
        <v>210</v>
      </c>
      <c r="G1624" s="19">
        <v>750</v>
      </c>
      <c r="H1624" s="19">
        <v>9</v>
      </c>
      <c r="I1624" s="80">
        <v>19.61</v>
      </c>
      <c r="J1624" s="80">
        <v>176.5</v>
      </c>
      <c r="K1624" s="19" t="s">
        <v>1000</v>
      </c>
      <c r="L1624" s="19" t="s">
        <v>2261</v>
      </c>
      <c r="Q1624" s="20">
        <v>23</v>
      </c>
      <c r="R1624" s="65" t="s">
        <v>2010</v>
      </c>
      <c r="T1624" s="19" t="s">
        <v>307</v>
      </c>
      <c r="V1624" s="19" t="s">
        <v>178</v>
      </c>
      <c r="W1624" s="19" t="s">
        <v>138</v>
      </c>
      <c r="Z1624" s="44" t="s">
        <v>2011</v>
      </c>
      <c r="AA1624" s="44" t="s">
        <v>180</v>
      </c>
      <c r="AC1624" s="19" t="s">
        <v>2262</v>
      </c>
    </row>
    <row r="1625" spans="1:29" hidden="1" x14ac:dyDescent="0.25">
      <c r="A1625" s="26">
        <v>248</v>
      </c>
      <c r="B1625" s="19" t="s">
        <v>2267</v>
      </c>
      <c r="C1625" s="44" t="s">
        <v>273</v>
      </c>
      <c r="D1625" s="19" t="s">
        <v>2266</v>
      </c>
      <c r="E1625" s="19">
        <v>16</v>
      </c>
      <c r="F1625" s="19">
        <v>190</v>
      </c>
      <c r="G1625" s="19">
        <v>251</v>
      </c>
      <c r="H1625" s="19">
        <v>10</v>
      </c>
      <c r="I1625" s="80">
        <v>5.96</v>
      </c>
      <c r="J1625" s="80">
        <v>59.65</v>
      </c>
      <c r="K1625" s="19" t="s">
        <v>1000</v>
      </c>
      <c r="L1625" s="19" t="s">
        <v>2261</v>
      </c>
      <c r="Q1625" s="20">
        <v>23</v>
      </c>
      <c r="R1625" s="65" t="s">
        <v>2010</v>
      </c>
      <c r="T1625" s="19" t="s">
        <v>307</v>
      </c>
      <c r="V1625" s="19" t="s">
        <v>178</v>
      </c>
      <c r="W1625" s="19" t="s">
        <v>138</v>
      </c>
      <c r="Z1625" s="44" t="s">
        <v>2011</v>
      </c>
      <c r="AA1625" s="44" t="s">
        <v>180</v>
      </c>
      <c r="AC1625" s="19" t="s">
        <v>2262</v>
      </c>
    </row>
    <row r="1626" spans="1:29" hidden="1" x14ac:dyDescent="0.25">
      <c r="A1626" s="26">
        <v>249</v>
      </c>
      <c r="B1626" s="19" t="s">
        <v>2268</v>
      </c>
      <c r="C1626" s="44" t="s">
        <v>273</v>
      </c>
      <c r="D1626" s="19" t="s">
        <v>1334</v>
      </c>
      <c r="E1626" s="19">
        <v>16</v>
      </c>
      <c r="F1626" s="19">
        <v>210</v>
      </c>
      <c r="G1626" s="19">
        <v>750</v>
      </c>
      <c r="H1626" s="19">
        <v>12</v>
      </c>
      <c r="I1626" s="80">
        <v>19.61</v>
      </c>
      <c r="J1626" s="80">
        <v>235.33</v>
      </c>
      <c r="K1626" s="19" t="s">
        <v>1000</v>
      </c>
      <c r="L1626" s="19" t="s">
        <v>2261</v>
      </c>
      <c r="Q1626" s="20">
        <v>23</v>
      </c>
      <c r="R1626" s="65" t="s">
        <v>2010</v>
      </c>
      <c r="T1626" s="19" t="s">
        <v>307</v>
      </c>
      <c r="V1626" s="19" t="s">
        <v>178</v>
      </c>
      <c r="W1626" s="19" t="s">
        <v>138</v>
      </c>
      <c r="Z1626" s="44" t="s">
        <v>2011</v>
      </c>
      <c r="AA1626" s="44" t="s">
        <v>180</v>
      </c>
      <c r="AC1626" s="19" t="s">
        <v>2262</v>
      </c>
    </row>
    <row r="1627" spans="1:29" hidden="1" x14ac:dyDescent="0.25">
      <c r="A1627" s="26">
        <v>250</v>
      </c>
      <c r="B1627" s="19" t="s">
        <v>2269</v>
      </c>
      <c r="C1627" s="44" t="s">
        <v>273</v>
      </c>
      <c r="D1627" s="19" t="s">
        <v>2266</v>
      </c>
      <c r="E1627" s="19">
        <v>16</v>
      </c>
      <c r="F1627" s="19">
        <v>190</v>
      </c>
      <c r="G1627" s="19">
        <v>251</v>
      </c>
      <c r="H1627" s="19">
        <v>10</v>
      </c>
      <c r="I1627" s="80">
        <v>5.96</v>
      </c>
      <c r="J1627" s="80">
        <v>59.65</v>
      </c>
      <c r="K1627" s="19" t="s">
        <v>1000</v>
      </c>
      <c r="L1627" s="19" t="s">
        <v>2261</v>
      </c>
      <c r="Q1627" s="20">
        <v>23</v>
      </c>
      <c r="R1627" s="65" t="s">
        <v>2010</v>
      </c>
      <c r="T1627" s="19" t="s">
        <v>307</v>
      </c>
      <c r="V1627" s="19" t="s">
        <v>178</v>
      </c>
      <c r="W1627" s="19" t="s">
        <v>138</v>
      </c>
      <c r="Z1627" s="44" t="s">
        <v>2011</v>
      </c>
      <c r="AA1627" s="44" t="s">
        <v>180</v>
      </c>
      <c r="AC1627" s="19" t="s">
        <v>2262</v>
      </c>
    </row>
    <row r="1628" spans="1:29" hidden="1" x14ac:dyDescent="0.25">
      <c r="A1628" s="26">
        <v>251</v>
      </c>
      <c r="B1628" s="19" t="s">
        <v>2270</v>
      </c>
      <c r="C1628" s="44" t="s">
        <v>273</v>
      </c>
      <c r="D1628" s="19" t="s">
        <v>1363</v>
      </c>
      <c r="E1628" s="19">
        <v>20</v>
      </c>
      <c r="F1628" s="19">
        <v>270</v>
      </c>
      <c r="G1628" s="19">
        <v>300</v>
      </c>
      <c r="H1628" s="19">
        <v>2</v>
      </c>
      <c r="I1628" s="80">
        <v>12.72</v>
      </c>
      <c r="J1628" s="80">
        <v>25.43</v>
      </c>
      <c r="K1628" s="19" t="s">
        <v>2271</v>
      </c>
      <c r="L1628" s="19" t="s">
        <v>2272</v>
      </c>
      <c r="Q1628" s="20">
        <v>23</v>
      </c>
      <c r="R1628" s="65" t="s">
        <v>2010</v>
      </c>
      <c r="T1628" s="19" t="s">
        <v>307</v>
      </c>
      <c r="V1628" s="19" t="s">
        <v>178</v>
      </c>
      <c r="W1628" s="19" t="s">
        <v>138</v>
      </c>
      <c r="Z1628" s="44" t="s">
        <v>2011</v>
      </c>
      <c r="AA1628" s="44" t="s">
        <v>2273</v>
      </c>
      <c r="AC1628" s="19" t="s">
        <v>2274</v>
      </c>
    </row>
    <row r="1629" spans="1:29" hidden="1" x14ac:dyDescent="0.25">
      <c r="A1629" s="26">
        <v>252</v>
      </c>
      <c r="B1629" s="19" t="s">
        <v>2275</v>
      </c>
      <c r="C1629" s="44" t="s">
        <v>273</v>
      </c>
      <c r="D1629" s="19" t="s">
        <v>1370</v>
      </c>
      <c r="E1629" s="19">
        <v>20</v>
      </c>
      <c r="F1629" s="19">
        <v>300</v>
      </c>
      <c r="G1629" s="19">
        <v>480</v>
      </c>
      <c r="H1629" s="19">
        <v>1</v>
      </c>
      <c r="I1629" s="80">
        <v>22.61</v>
      </c>
      <c r="J1629" s="80">
        <v>22.61</v>
      </c>
      <c r="K1629" s="19" t="s">
        <v>2271</v>
      </c>
      <c r="L1629" s="19" t="s">
        <v>2272</v>
      </c>
      <c r="Q1629" s="20">
        <v>23</v>
      </c>
      <c r="R1629" s="65" t="s">
        <v>2010</v>
      </c>
      <c r="T1629" s="19" t="s">
        <v>307</v>
      </c>
      <c r="V1629" s="19" t="s">
        <v>178</v>
      </c>
      <c r="W1629" s="19" t="s">
        <v>138</v>
      </c>
      <c r="Z1629" s="44" t="s">
        <v>2011</v>
      </c>
      <c r="AA1629" s="44" t="s">
        <v>2273</v>
      </c>
      <c r="AC1629" s="19" t="s">
        <v>2274</v>
      </c>
    </row>
    <row r="1630" spans="1:29" hidden="1" x14ac:dyDescent="0.25">
      <c r="A1630" s="26">
        <v>253</v>
      </c>
      <c r="B1630" s="19" t="s">
        <v>2276</v>
      </c>
      <c r="C1630" s="44" t="s">
        <v>273</v>
      </c>
      <c r="D1630" s="19" t="s">
        <v>1363</v>
      </c>
      <c r="E1630" s="19">
        <v>20</v>
      </c>
      <c r="F1630" s="19">
        <v>270</v>
      </c>
      <c r="G1630" s="19">
        <v>300</v>
      </c>
      <c r="H1630" s="19">
        <v>1</v>
      </c>
      <c r="I1630" s="80">
        <v>12.72</v>
      </c>
      <c r="J1630" s="80">
        <v>12.72</v>
      </c>
      <c r="K1630" s="19" t="s">
        <v>2271</v>
      </c>
      <c r="L1630" s="19" t="s">
        <v>2272</v>
      </c>
      <c r="Q1630" s="20">
        <v>23</v>
      </c>
      <c r="R1630" s="65" t="s">
        <v>2010</v>
      </c>
      <c r="T1630" s="19" t="s">
        <v>307</v>
      </c>
      <c r="V1630" s="19" t="s">
        <v>178</v>
      </c>
      <c r="W1630" s="19" t="s">
        <v>138</v>
      </c>
      <c r="Z1630" s="44" t="s">
        <v>2011</v>
      </c>
      <c r="AA1630" s="44" t="s">
        <v>2273</v>
      </c>
      <c r="AC1630" s="19" t="s">
        <v>2274</v>
      </c>
    </row>
    <row r="1631" spans="1:29" hidden="1" x14ac:dyDescent="0.25">
      <c r="A1631" s="26">
        <v>254</v>
      </c>
      <c r="B1631" s="19" t="s">
        <v>2277</v>
      </c>
      <c r="C1631" s="44" t="s">
        <v>273</v>
      </c>
      <c r="D1631" s="19" t="s">
        <v>1363</v>
      </c>
      <c r="E1631" s="19">
        <v>20</v>
      </c>
      <c r="F1631" s="19">
        <v>270</v>
      </c>
      <c r="G1631" s="19">
        <v>300</v>
      </c>
      <c r="H1631" s="19">
        <v>1</v>
      </c>
      <c r="I1631" s="80">
        <v>12.72</v>
      </c>
      <c r="J1631" s="80">
        <v>12.72</v>
      </c>
      <c r="K1631" s="19" t="s">
        <v>2271</v>
      </c>
      <c r="L1631" s="19" t="s">
        <v>2272</v>
      </c>
      <c r="Q1631" s="20">
        <v>23</v>
      </c>
      <c r="R1631" s="65" t="s">
        <v>2010</v>
      </c>
      <c r="T1631" s="19" t="s">
        <v>307</v>
      </c>
      <c r="V1631" s="19" t="s">
        <v>178</v>
      </c>
      <c r="W1631" s="19" t="s">
        <v>138</v>
      </c>
      <c r="Z1631" s="44" t="s">
        <v>2011</v>
      </c>
      <c r="AA1631" s="44" t="s">
        <v>2273</v>
      </c>
      <c r="AC1631" s="19" t="s">
        <v>2274</v>
      </c>
    </row>
    <row r="1632" spans="1:29" hidden="1" x14ac:dyDescent="0.25">
      <c r="A1632" s="26">
        <v>255</v>
      </c>
      <c r="B1632" s="19" t="s">
        <v>2278</v>
      </c>
      <c r="C1632" s="44" t="s">
        <v>273</v>
      </c>
      <c r="D1632" s="19" t="s">
        <v>1363</v>
      </c>
      <c r="E1632" s="19">
        <v>20</v>
      </c>
      <c r="F1632" s="19">
        <v>270</v>
      </c>
      <c r="G1632" s="19">
        <v>300</v>
      </c>
      <c r="H1632" s="19">
        <v>1</v>
      </c>
      <c r="I1632" s="80">
        <v>12.72</v>
      </c>
      <c r="J1632" s="80">
        <v>12.72</v>
      </c>
      <c r="K1632" s="19" t="s">
        <v>2271</v>
      </c>
      <c r="L1632" s="19" t="s">
        <v>2272</v>
      </c>
      <c r="Q1632" s="20">
        <v>23</v>
      </c>
      <c r="R1632" s="65" t="s">
        <v>2010</v>
      </c>
      <c r="T1632" s="19" t="s">
        <v>307</v>
      </c>
      <c r="V1632" s="19" t="s">
        <v>178</v>
      </c>
      <c r="W1632" s="19" t="s">
        <v>138</v>
      </c>
      <c r="Z1632" s="44" t="s">
        <v>2011</v>
      </c>
      <c r="AA1632" s="44" t="s">
        <v>2273</v>
      </c>
      <c r="AC1632" s="19" t="s">
        <v>2274</v>
      </c>
    </row>
    <row r="1633" spans="1:29" hidden="1" x14ac:dyDescent="0.25">
      <c r="A1633" s="26">
        <v>256</v>
      </c>
      <c r="B1633" s="19" t="s">
        <v>2275</v>
      </c>
      <c r="C1633" s="44" t="s">
        <v>273</v>
      </c>
      <c r="D1633" s="19" t="s">
        <v>1370</v>
      </c>
      <c r="E1633" s="19">
        <v>20</v>
      </c>
      <c r="F1633" s="19">
        <v>300</v>
      </c>
      <c r="G1633" s="19">
        <v>480</v>
      </c>
      <c r="H1633" s="19">
        <v>1</v>
      </c>
      <c r="I1633" s="80">
        <v>22.61</v>
      </c>
      <c r="J1633" s="80">
        <v>22.61</v>
      </c>
      <c r="K1633" s="19" t="s">
        <v>2279</v>
      </c>
      <c r="L1633" s="19" t="s">
        <v>2280</v>
      </c>
      <c r="Q1633" s="20">
        <v>23</v>
      </c>
      <c r="R1633" s="65" t="s">
        <v>2010</v>
      </c>
      <c r="T1633" s="19" t="s">
        <v>307</v>
      </c>
      <c r="V1633" s="19" t="s">
        <v>178</v>
      </c>
      <c r="W1633" s="19" t="s">
        <v>138</v>
      </c>
      <c r="Z1633" s="44" t="s">
        <v>2011</v>
      </c>
      <c r="AA1633" s="44" t="s">
        <v>2281</v>
      </c>
      <c r="AC1633" s="19" t="s">
        <v>2282</v>
      </c>
    </row>
    <row r="1634" spans="1:29" hidden="1" x14ac:dyDescent="0.25">
      <c r="A1634" s="26">
        <v>257</v>
      </c>
      <c r="B1634" s="19" t="s">
        <v>2283</v>
      </c>
      <c r="C1634" s="44" t="s">
        <v>273</v>
      </c>
      <c r="D1634" s="19" t="s">
        <v>1370</v>
      </c>
      <c r="E1634" s="19">
        <v>20</v>
      </c>
      <c r="F1634" s="19">
        <v>300</v>
      </c>
      <c r="G1634" s="19">
        <v>480</v>
      </c>
      <c r="H1634" s="19">
        <v>1</v>
      </c>
      <c r="I1634" s="80">
        <v>22.61</v>
      </c>
      <c r="J1634" s="80">
        <v>22.61</v>
      </c>
      <c r="K1634" s="19" t="s">
        <v>2279</v>
      </c>
      <c r="L1634" s="19" t="s">
        <v>2280</v>
      </c>
      <c r="Q1634" s="20">
        <v>23</v>
      </c>
      <c r="R1634" s="65" t="s">
        <v>2010</v>
      </c>
      <c r="T1634" s="19" t="s">
        <v>307</v>
      </c>
      <c r="V1634" s="19" t="s">
        <v>178</v>
      </c>
      <c r="W1634" s="19" t="s">
        <v>138</v>
      </c>
      <c r="Z1634" s="44" t="s">
        <v>2011</v>
      </c>
      <c r="AA1634" s="44" t="s">
        <v>2281</v>
      </c>
      <c r="AC1634" s="19" t="s">
        <v>2282</v>
      </c>
    </row>
    <row r="1635" spans="1:29" hidden="1" x14ac:dyDescent="0.25">
      <c r="A1635" s="26">
        <v>258</v>
      </c>
      <c r="B1635" s="19" t="s">
        <v>2284</v>
      </c>
      <c r="C1635" s="44" t="s">
        <v>273</v>
      </c>
      <c r="D1635" s="19" t="s">
        <v>1370</v>
      </c>
      <c r="E1635" s="19">
        <v>20</v>
      </c>
      <c r="F1635" s="19">
        <v>300</v>
      </c>
      <c r="G1635" s="19">
        <v>480</v>
      </c>
      <c r="H1635" s="19">
        <v>3</v>
      </c>
      <c r="I1635" s="80">
        <v>22.61</v>
      </c>
      <c r="J1635" s="80">
        <v>67.819999999999993</v>
      </c>
      <c r="K1635" s="19" t="s">
        <v>2279</v>
      </c>
      <c r="L1635" s="19" t="s">
        <v>2280</v>
      </c>
      <c r="Q1635" s="20">
        <v>23</v>
      </c>
      <c r="R1635" s="65" t="s">
        <v>2010</v>
      </c>
      <c r="T1635" s="19" t="s">
        <v>307</v>
      </c>
      <c r="V1635" s="19" t="s">
        <v>178</v>
      </c>
      <c r="W1635" s="19" t="s">
        <v>138</v>
      </c>
      <c r="Z1635" s="44" t="s">
        <v>2011</v>
      </c>
      <c r="AA1635" s="44" t="s">
        <v>2281</v>
      </c>
      <c r="AC1635" s="19" t="s">
        <v>2282</v>
      </c>
    </row>
    <row r="1636" spans="1:29" hidden="1" x14ac:dyDescent="0.25">
      <c r="A1636" s="26">
        <v>259</v>
      </c>
      <c r="B1636" s="19" t="s">
        <v>2285</v>
      </c>
      <c r="C1636" s="44" t="s">
        <v>273</v>
      </c>
      <c r="D1636" s="19" t="s">
        <v>1025</v>
      </c>
      <c r="E1636" s="19">
        <v>20</v>
      </c>
      <c r="F1636" s="19">
        <v>300</v>
      </c>
      <c r="G1636" s="19">
        <v>1514</v>
      </c>
      <c r="H1636" s="19">
        <v>1</v>
      </c>
      <c r="I1636" s="80">
        <v>71.31</v>
      </c>
      <c r="J1636" s="80">
        <v>71.31</v>
      </c>
      <c r="K1636" s="19" t="s">
        <v>2286</v>
      </c>
      <c r="L1636" s="19" t="s">
        <v>2287</v>
      </c>
      <c r="Q1636" s="20">
        <v>23</v>
      </c>
      <c r="R1636" s="65" t="s">
        <v>2010</v>
      </c>
      <c r="T1636" s="19" t="s">
        <v>307</v>
      </c>
      <c r="V1636" s="19" t="s">
        <v>178</v>
      </c>
      <c r="Y1636" s="19" t="s">
        <v>138</v>
      </c>
      <c r="Z1636" s="44" t="s">
        <v>2011</v>
      </c>
      <c r="AA1636" s="44" t="s">
        <v>2288</v>
      </c>
      <c r="AC1636" s="19" t="s">
        <v>2289</v>
      </c>
    </row>
    <row r="1637" spans="1:29" hidden="1" x14ac:dyDescent="0.25">
      <c r="A1637" s="26">
        <v>260</v>
      </c>
      <c r="B1637" s="19" t="s">
        <v>2290</v>
      </c>
      <c r="C1637" s="44" t="s">
        <v>273</v>
      </c>
      <c r="D1637" s="19" t="s">
        <v>1025</v>
      </c>
      <c r="E1637" s="19">
        <v>20</v>
      </c>
      <c r="F1637" s="19">
        <v>300</v>
      </c>
      <c r="G1637" s="19">
        <v>1514</v>
      </c>
      <c r="H1637" s="19">
        <v>1</v>
      </c>
      <c r="I1637" s="80">
        <v>71.31</v>
      </c>
      <c r="J1637" s="80">
        <v>71.31</v>
      </c>
      <c r="K1637" s="19" t="s">
        <v>2286</v>
      </c>
      <c r="L1637" s="19" t="s">
        <v>2287</v>
      </c>
      <c r="Q1637" s="20">
        <v>23</v>
      </c>
      <c r="R1637" s="65" t="s">
        <v>2010</v>
      </c>
      <c r="T1637" s="19" t="s">
        <v>307</v>
      </c>
      <c r="V1637" s="19" t="s">
        <v>178</v>
      </c>
      <c r="Y1637" s="19" t="s">
        <v>138</v>
      </c>
      <c r="Z1637" s="44" t="s">
        <v>2011</v>
      </c>
      <c r="AA1637" s="44" t="s">
        <v>2288</v>
      </c>
      <c r="AC1637" s="19" t="s">
        <v>2289</v>
      </c>
    </row>
    <row r="1638" spans="1:29" hidden="1" x14ac:dyDescent="0.25">
      <c r="A1638" s="26">
        <v>261</v>
      </c>
      <c r="B1638" s="19" t="s">
        <v>2291</v>
      </c>
      <c r="C1638" s="44" t="s">
        <v>273</v>
      </c>
      <c r="D1638" s="19" t="s">
        <v>1028</v>
      </c>
      <c r="E1638" s="19">
        <v>20</v>
      </c>
      <c r="F1638" s="19">
        <v>300</v>
      </c>
      <c r="G1638" s="19">
        <v>9516</v>
      </c>
      <c r="H1638" s="19">
        <v>1</v>
      </c>
      <c r="I1638" s="80">
        <v>448.2</v>
      </c>
      <c r="J1638" s="80">
        <v>448.2</v>
      </c>
      <c r="K1638" s="19" t="s">
        <v>2286</v>
      </c>
      <c r="L1638" s="19" t="s">
        <v>2287</v>
      </c>
      <c r="P1638" s="19" t="s">
        <v>138</v>
      </c>
      <c r="Q1638" s="20">
        <v>23</v>
      </c>
      <c r="R1638" s="65" t="s">
        <v>2010</v>
      </c>
      <c r="T1638" s="19" t="s">
        <v>307</v>
      </c>
      <c r="V1638" s="19" t="s">
        <v>178</v>
      </c>
      <c r="Y1638" s="19" t="s">
        <v>138</v>
      </c>
      <c r="Z1638" s="44" t="s">
        <v>2011</v>
      </c>
      <c r="AA1638" s="44" t="s">
        <v>2288</v>
      </c>
      <c r="AC1638" s="19" t="s">
        <v>2289</v>
      </c>
    </row>
    <row r="1639" spans="1:29" hidden="1" x14ac:dyDescent="0.25">
      <c r="A1639" s="26">
        <v>262</v>
      </c>
      <c r="B1639" s="19" t="s">
        <v>2292</v>
      </c>
      <c r="C1639" s="44" t="s">
        <v>273</v>
      </c>
      <c r="D1639" s="19" t="s">
        <v>1028</v>
      </c>
      <c r="E1639" s="19">
        <v>20</v>
      </c>
      <c r="F1639" s="19">
        <v>300</v>
      </c>
      <c r="G1639" s="19">
        <v>9516</v>
      </c>
      <c r="H1639" s="19">
        <v>1</v>
      </c>
      <c r="I1639" s="80">
        <v>448.2</v>
      </c>
      <c r="J1639" s="80">
        <v>448.2</v>
      </c>
      <c r="K1639" s="19" t="s">
        <v>2286</v>
      </c>
      <c r="L1639" s="19" t="s">
        <v>2287</v>
      </c>
      <c r="P1639" s="19" t="s">
        <v>138</v>
      </c>
      <c r="Q1639" s="20">
        <v>23</v>
      </c>
      <c r="R1639" s="65" t="s">
        <v>2010</v>
      </c>
      <c r="T1639" s="19" t="s">
        <v>307</v>
      </c>
      <c r="V1639" s="19" t="s">
        <v>178</v>
      </c>
      <c r="Y1639" s="19" t="s">
        <v>138</v>
      </c>
      <c r="Z1639" s="44" t="s">
        <v>2011</v>
      </c>
      <c r="AA1639" s="44" t="s">
        <v>2288</v>
      </c>
      <c r="AC1639" s="19" t="s">
        <v>2289</v>
      </c>
    </row>
    <row r="1640" spans="1:29" hidden="1" x14ac:dyDescent="0.25">
      <c r="A1640" s="26">
        <v>263</v>
      </c>
      <c r="B1640" s="19" t="s">
        <v>2293</v>
      </c>
      <c r="C1640" s="44" t="s">
        <v>273</v>
      </c>
      <c r="D1640" s="19" t="s">
        <v>1028</v>
      </c>
      <c r="E1640" s="19">
        <v>20</v>
      </c>
      <c r="F1640" s="19">
        <v>300</v>
      </c>
      <c r="G1640" s="19">
        <v>9516</v>
      </c>
      <c r="H1640" s="19">
        <v>1</v>
      </c>
      <c r="I1640" s="80">
        <v>448.2</v>
      </c>
      <c r="J1640" s="80">
        <v>448.2</v>
      </c>
      <c r="K1640" s="19" t="s">
        <v>2286</v>
      </c>
      <c r="L1640" s="19" t="s">
        <v>2287</v>
      </c>
      <c r="P1640" s="19" t="s">
        <v>138</v>
      </c>
      <c r="Q1640" s="20">
        <v>23</v>
      </c>
      <c r="R1640" s="65" t="s">
        <v>2010</v>
      </c>
      <c r="T1640" s="19" t="s">
        <v>307</v>
      </c>
      <c r="V1640" s="19" t="s">
        <v>178</v>
      </c>
      <c r="Y1640" s="19" t="s">
        <v>138</v>
      </c>
      <c r="Z1640" s="44" t="s">
        <v>2011</v>
      </c>
      <c r="AA1640" s="44" t="s">
        <v>2288</v>
      </c>
      <c r="AC1640" s="19" t="s">
        <v>2289</v>
      </c>
    </row>
    <row r="1641" spans="1:29" hidden="1" x14ac:dyDescent="0.25">
      <c r="A1641" s="26">
        <v>264</v>
      </c>
      <c r="B1641" s="19" t="s">
        <v>2294</v>
      </c>
      <c r="C1641" s="44" t="s">
        <v>273</v>
      </c>
      <c r="D1641" s="19" t="s">
        <v>1025</v>
      </c>
      <c r="E1641" s="19">
        <v>20</v>
      </c>
      <c r="F1641" s="19">
        <v>300</v>
      </c>
      <c r="G1641" s="19">
        <v>1514</v>
      </c>
      <c r="H1641" s="19">
        <v>1</v>
      </c>
      <c r="I1641" s="80">
        <v>71.31</v>
      </c>
      <c r="J1641" s="80">
        <v>71.31</v>
      </c>
      <c r="K1641" s="19" t="s">
        <v>2286</v>
      </c>
      <c r="L1641" s="19" t="s">
        <v>2287</v>
      </c>
      <c r="Q1641" s="20">
        <v>23</v>
      </c>
      <c r="R1641" s="65" t="s">
        <v>2010</v>
      </c>
      <c r="T1641" s="19" t="s">
        <v>307</v>
      </c>
      <c r="V1641" s="19" t="s">
        <v>178</v>
      </c>
      <c r="Y1641" s="19" t="s">
        <v>138</v>
      </c>
      <c r="Z1641" s="44" t="s">
        <v>2011</v>
      </c>
      <c r="AA1641" s="44" t="s">
        <v>2288</v>
      </c>
      <c r="AC1641" s="19" t="s">
        <v>2289</v>
      </c>
    </row>
    <row r="1642" spans="1:29" hidden="1" x14ac:dyDescent="0.25">
      <c r="A1642" s="26">
        <v>265</v>
      </c>
      <c r="B1642" s="19" t="s">
        <v>2295</v>
      </c>
      <c r="C1642" s="44" t="s">
        <v>273</v>
      </c>
      <c r="D1642" s="19" t="s">
        <v>1061</v>
      </c>
      <c r="E1642" s="19">
        <v>20</v>
      </c>
      <c r="F1642" s="19">
        <v>300</v>
      </c>
      <c r="G1642" s="19">
        <v>7800</v>
      </c>
      <c r="H1642" s="19">
        <v>2</v>
      </c>
      <c r="I1642" s="80">
        <v>367.38</v>
      </c>
      <c r="J1642" s="80">
        <v>734.76</v>
      </c>
      <c r="K1642" s="19" t="s">
        <v>195</v>
      </c>
      <c r="L1642" s="19" t="s">
        <v>2296</v>
      </c>
      <c r="Q1642" s="20">
        <v>23</v>
      </c>
      <c r="R1642" s="65" t="s">
        <v>2010</v>
      </c>
      <c r="T1642" s="19" t="s">
        <v>307</v>
      </c>
      <c r="V1642" s="19" t="s">
        <v>178</v>
      </c>
      <c r="Y1642" s="19" t="s">
        <v>138</v>
      </c>
      <c r="Z1642" s="44" t="s">
        <v>2011</v>
      </c>
      <c r="AA1642" s="44" t="s">
        <v>2297</v>
      </c>
      <c r="AC1642" s="19" t="s">
        <v>2298</v>
      </c>
    </row>
    <row r="1643" spans="1:29" hidden="1" x14ac:dyDescent="0.25">
      <c r="A1643" s="26">
        <v>266</v>
      </c>
      <c r="B1643" s="19" t="s">
        <v>2299</v>
      </c>
      <c r="C1643" s="44" t="s">
        <v>273</v>
      </c>
      <c r="D1643" s="19" t="s">
        <v>1061</v>
      </c>
      <c r="E1643" s="19">
        <v>20</v>
      </c>
      <c r="F1643" s="19">
        <v>300</v>
      </c>
      <c r="G1643" s="19">
        <v>7800</v>
      </c>
      <c r="H1643" s="19">
        <v>2</v>
      </c>
      <c r="I1643" s="80">
        <v>367.38</v>
      </c>
      <c r="J1643" s="80">
        <v>734.76</v>
      </c>
      <c r="K1643" s="19" t="s">
        <v>195</v>
      </c>
      <c r="L1643" s="19" t="s">
        <v>2296</v>
      </c>
      <c r="Q1643" s="20">
        <v>23</v>
      </c>
      <c r="R1643" s="65" t="s">
        <v>2010</v>
      </c>
      <c r="T1643" s="19" t="s">
        <v>307</v>
      </c>
      <c r="V1643" s="19" t="s">
        <v>178</v>
      </c>
      <c r="Y1643" s="19" t="s">
        <v>138</v>
      </c>
      <c r="Z1643" s="44" t="s">
        <v>2011</v>
      </c>
      <c r="AA1643" s="44" t="s">
        <v>2297</v>
      </c>
      <c r="AC1643" s="19" t="s">
        <v>2298</v>
      </c>
    </row>
    <row r="1644" spans="1:29" hidden="1" x14ac:dyDescent="0.25">
      <c r="A1644" s="26">
        <v>267</v>
      </c>
      <c r="B1644" s="19" t="s">
        <v>2300</v>
      </c>
      <c r="C1644" s="44" t="s">
        <v>273</v>
      </c>
      <c r="D1644" s="19" t="s">
        <v>1050</v>
      </c>
      <c r="E1644" s="19">
        <v>20</v>
      </c>
      <c r="F1644" s="19">
        <v>300</v>
      </c>
      <c r="G1644" s="19">
        <v>1383</v>
      </c>
      <c r="H1644" s="19">
        <v>1</v>
      </c>
      <c r="I1644" s="80">
        <v>65.14</v>
      </c>
      <c r="J1644" s="80">
        <v>65.14</v>
      </c>
      <c r="K1644" s="19" t="s">
        <v>195</v>
      </c>
      <c r="L1644" s="19" t="s">
        <v>2301</v>
      </c>
      <c r="P1644" s="19" t="s">
        <v>138</v>
      </c>
      <c r="Q1644" s="20">
        <v>23</v>
      </c>
      <c r="R1644" s="65" t="s">
        <v>2010</v>
      </c>
      <c r="T1644" s="19" t="s">
        <v>307</v>
      </c>
      <c r="V1644" s="19" t="s">
        <v>178</v>
      </c>
      <c r="Y1644" s="19" t="s">
        <v>138</v>
      </c>
      <c r="Z1644" s="44" t="s">
        <v>2011</v>
      </c>
      <c r="AA1644" s="44" t="s">
        <v>2302</v>
      </c>
      <c r="AC1644" s="19" t="s">
        <v>2303</v>
      </c>
    </row>
    <row r="1645" spans="1:29" hidden="1" x14ac:dyDescent="0.25">
      <c r="A1645" s="26">
        <v>268</v>
      </c>
      <c r="B1645" s="19" t="s">
        <v>2304</v>
      </c>
      <c r="C1645" s="44" t="s">
        <v>273</v>
      </c>
      <c r="D1645" s="19" t="s">
        <v>1050</v>
      </c>
      <c r="E1645" s="19">
        <v>20</v>
      </c>
      <c r="F1645" s="19">
        <v>300</v>
      </c>
      <c r="G1645" s="19">
        <v>1383</v>
      </c>
      <c r="H1645" s="19">
        <v>1</v>
      </c>
      <c r="I1645" s="80">
        <v>65.14</v>
      </c>
      <c r="J1645" s="80">
        <v>65.14</v>
      </c>
      <c r="K1645" s="19" t="s">
        <v>195</v>
      </c>
      <c r="L1645" s="19" t="s">
        <v>2301</v>
      </c>
      <c r="P1645" s="19" t="s">
        <v>138</v>
      </c>
      <c r="Q1645" s="20">
        <v>23</v>
      </c>
      <c r="R1645" s="65" t="s">
        <v>2010</v>
      </c>
      <c r="T1645" s="19" t="s">
        <v>307</v>
      </c>
      <c r="V1645" s="19" t="s">
        <v>178</v>
      </c>
      <c r="Y1645" s="19" t="s">
        <v>138</v>
      </c>
      <c r="Z1645" s="44" t="s">
        <v>2011</v>
      </c>
      <c r="AA1645" s="44" t="s">
        <v>2302</v>
      </c>
      <c r="AC1645" s="19" t="s">
        <v>2303</v>
      </c>
    </row>
    <row r="1646" spans="1:29" hidden="1" x14ac:dyDescent="0.25">
      <c r="A1646" s="26">
        <v>269</v>
      </c>
      <c r="B1646" s="19" t="s">
        <v>2305</v>
      </c>
      <c r="C1646" s="44" t="s">
        <v>273</v>
      </c>
      <c r="D1646" s="19" t="s">
        <v>1370</v>
      </c>
      <c r="E1646" s="19">
        <v>20</v>
      </c>
      <c r="F1646" s="19">
        <v>300</v>
      </c>
      <c r="G1646" s="19">
        <v>480</v>
      </c>
      <c r="H1646" s="19">
        <v>1</v>
      </c>
      <c r="I1646" s="80">
        <v>22.61</v>
      </c>
      <c r="J1646" s="80">
        <v>22.61</v>
      </c>
      <c r="K1646" s="19" t="s">
        <v>195</v>
      </c>
      <c r="L1646" s="19" t="s">
        <v>2301</v>
      </c>
      <c r="Q1646" s="20">
        <v>23</v>
      </c>
      <c r="R1646" s="65" t="s">
        <v>2010</v>
      </c>
      <c r="T1646" s="19" t="s">
        <v>307</v>
      </c>
      <c r="V1646" s="19" t="s">
        <v>178</v>
      </c>
      <c r="W1646" s="19" t="s">
        <v>138</v>
      </c>
      <c r="Z1646" s="44" t="s">
        <v>2011</v>
      </c>
      <c r="AA1646" s="44" t="s">
        <v>2302</v>
      </c>
      <c r="AC1646" s="19" t="s">
        <v>2303</v>
      </c>
    </row>
    <row r="1647" spans="1:29" hidden="1" x14ac:dyDescent="0.25">
      <c r="A1647" s="26">
        <v>270</v>
      </c>
      <c r="B1647" s="19" t="s">
        <v>2275</v>
      </c>
      <c r="C1647" s="44" t="s">
        <v>273</v>
      </c>
      <c r="D1647" s="19" t="s">
        <v>1370</v>
      </c>
      <c r="E1647" s="19">
        <v>20</v>
      </c>
      <c r="F1647" s="19">
        <v>300</v>
      </c>
      <c r="G1647" s="19">
        <v>480</v>
      </c>
      <c r="H1647" s="19">
        <v>1</v>
      </c>
      <c r="I1647" s="80">
        <v>22.61</v>
      </c>
      <c r="J1647" s="80">
        <v>22.61</v>
      </c>
      <c r="K1647" s="19" t="s">
        <v>195</v>
      </c>
      <c r="L1647" s="19" t="s">
        <v>2301</v>
      </c>
      <c r="Q1647" s="20">
        <v>23</v>
      </c>
      <c r="R1647" s="65" t="s">
        <v>2010</v>
      </c>
      <c r="T1647" s="19" t="s">
        <v>307</v>
      </c>
      <c r="V1647" s="19" t="s">
        <v>178</v>
      </c>
      <c r="W1647" s="19" t="s">
        <v>138</v>
      </c>
      <c r="Z1647" s="44" t="s">
        <v>2011</v>
      </c>
      <c r="AA1647" s="44" t="s">
        <v>2302</v>
      </c>
      <c r="AC1647" s="19" t="s">
        <v>2303</v>
      </c>
    </row>
    <row r="1648" spans="1:29" hidden="1" x14ac:dyDescent="0.25">
      <c r="A1648" s="26">
        <v>271</v>
      </c>
      <c r="B1648" s="19" t="s">
        <v>2306</v>
      </c>
      <c r="C1648" s="44" t="s">
        <v>273</v>
      </c>
      <c r="D1648" s="19" t="s">
        <v>1022</v>
      </c>
      <c r="E1648" s="19">
        <v>20</v>
      </c>
      <c r="F1648" s="19">
        <v>300</v>
      </c>
      <c r="G1648" s="19">
        <v>1096</v>
      </c>
      <c r="H1648" s="19">
        <v>2</v>
      </c>
      <c r="I1648" s="80">
        <v>51.62</v>
      </c>
      <c r="J1648" s="80">
        <v>103.24</v>
      </c>
      <c r="K1648" s="19" t="s">
        <v>195</v>
      </c>
      <c r="L1648" s="19" t="s">
        <v>2301</v>
      </c>
      <c r="P1648" s="19" t="s">
        <v>138</v>
      </c>
      <c r="Q1648" s="20">
        <v>23</v>
      </c>
      <c r="R1648" s="65" t="s">
        <v>2010</v>
      </c>
      <c r="T1648" s="19" t="s">
        <v>307</v>
      </c>
      <c r="V1648" s="19" t="s">
        <v>178</v>
      </c>
      <c r="Y1648" s="19" t="s">
        <v>138</v>
      </c>
      <c r="Z1648" s="44" t="s">
        <v>2011</v>
      </c>
      <c r="AA1648" s="44" t="s">
        <v>2302</v>
      </c>
      <c r="AC1648" s="19" t="s">
        <v>2303</v>
      </c>
    </row>
    <row r="1649" spans="1:29" hidden="1" x14ac:dyDescent="0.25">
      <c r="A1649" s="26">
        <v>272</v>
      </c>
      <c r="B1649" s="19" t="s">
        <v>2307</v>
      </c>
      <c r="C1649" s="44" t="s">
        <v>273</v>
      </c>
      <c r="D1649" s="19" t="s">
        <v>1022</v>
      </c>
      <c r="E1649" s="19">
        <v>20</v>
      </c>
      <c r="F1649" s="19">
        <v>300</v>
      </c>
      <c r="G1649" s="19">
        <v>1096</v>
      </c>
      <c r="H1649" s="19">
        <v>2</v>
      </c>
      <c r="I1649" s="80">
        <v>51.62</v>
      </c>
      <c r="J1649" s="80">
        <v>103.24</v>
      </c>
      <c r="K1649" s="19" t="s">
        <v>195</v>
      </c>
      <c r="L1649" s="19" t="s">
        <v>2301</v>
      </c>
      <c r="P1649" s="19" t="s">
        <v>138</v>
      </c>
      <c r="Q1649" s="20">
        <v>23</v>
      </c>
      <c r="R1649" s="65" t="s">
        <v>2010</v>
      </c>
      <c r="T1649" s="19" t="s">
        <v>307</v>
      </c>
      <c r="V1649" s="19" t="s">
        <v>178</v>
      </c>
      <c r="Y1649" s="19" t="s">
        <v>138</v>
      </c>
      <c r="Z1649" s="44" t="s">
        <v>2011</v>
      </c>
      <c r="AA1649" s="44" t="s">
        <v>2302</v>
      </c>
      <c r="AC1649" s="19" t="s">
        <v>2303</v>
      </c>
    </row>
    <row r="1650" spans="1:29" hidden="1" x14ac:dyDescent="0.25">
      <c r="A1650" s="26">
        <v>273</v>
      </c>
      <c r="B1650" s="19" t="s">
        <v>2308</v>
      </c>
      <c r="C1650" s="44" t="s">
        <v>273</v>
      </c>
      <c r="D1650" s="19" t="s">
        <v>1022</v>
      </c>
      <c r="E1650" s="19">
        <v>20</v>
      </c>
      <c r="F1650" s="19">
        <v>300</v>
      </c>
      <c r="G1650" s="19">
        <v>1096</v>
      </c>
      <c r="H1650" s="19">
        <v>2</v>
      </c>
      <c r="I1650" s="80">
        <v>51.62</v>
      </c>
      <c r="J1650" s="80">
        <v>103.24</v>
      </c>
      <c r="K1650" s="19" t="s">
        <v>195</v>
      </c>
      <c r="L1650" s="19" t="s">
        <v>2301</v>
      </c>
      <c r="P1650" s="19" t="s">
        <v>138</v>
      </c>
      <c r="Q1650" s="20">
        <v>23</v>
      </c>
      <c r="R1650" s="65" t="s">
        <v>2010</v>
      </c>
      <c r="T1650" s="19" t="s">
        <v>307</v>
      </c>
      <c r="V1650" s="19" t="s">
        <v>178</v>
      </c>
      <c r="Y1650" s="19" t="s">
        <v>138</v>
      </c>
      <c r="Z1650" s="44" t="s">
        <v>2011</v>
      </c>
      <c r="AA1650" s="44" t="s">
        <v>2302</v>
      </c>
      <c r="AC1650" s="19" t="s">
        <v>2303</v>
      </c>
    </row>
    <row r="1651" spans="1:29" hidden="1" x14ac:dyDescent="0.25">
      <c r="A1651" s="26">
        <v>274</v>
      </c>
      <c r="B1651" s="19" t="s">
        <v>2309</v>
      </c>
      <c r="C1651" s="44" t="s">
        <v>273</v>
      </c>
      <c r="D1651" s="19" t="s">
        <v>1022</v>
      </c>
      <c r="E1651" s="19">
        <v>20</v>
      </c>
      <c r="F1651" s="19">
        <v>300</v>
      </c>
      <c r="G1651" s="19">
        <v>1096</v>
      </c>
      <c r="H1651" s="19">
        <v>2</v>
      </c>
      <c r="I1651" s="80">
        <v>51.62</v>
      </c>
      <c r="J1651" s="80">
        <v>103.24</v>
      </c>
      <c r="K1651" s="19" t="s">
        <v>195</v>
      </c>
      <c r="L1651" s="19" t="s">
        <v>2301</v>
      </c>
      <c r="P1651" s="19" t="s">
        <v>138</v>
      </c>
      <c r="Q1651" s="20">
        <v>23</v>
      </c>
      <c r="R1651" s="65" t="s">
        <v>2010</v>
      </c>
      <c r="T1651" s="19" t="s">
        <v>307</v>
      </c>
      <c r="V1651" s="19" t="s">
        <v>178</v>
      </c>
      <c r="Y1651" s="19" t="s">
        <v>138</v>
      </c>
      <c r="Z1651" s="44" t="s">
        <v>2011</v>
      </c>
      <c r="AA1651" s="44" t="s">
        <v>2302</v>
      </c>
      <c r="AC1651" s="19" t="s">
        <v>2303</v>
      </c>
    </row>
    <row r="1652" spans="1:29" hidden="1" x14ac:dyDescent="0.25">
      <c r="A1652" s="26">
        <v>275</v>
      </c>
      <c r="B1652" s="19" t="s">
        <v>2310</v>
      </c>
      <c r="C1652" s="44" t="s">
        <v>273</v>
      </c>
      <c r="D1652" s="19" t="s">
        <v>1050</v>
      </c>
      <c r="E1652" s="19">
        <v>20</v>
      </c>
      <c r="F1652" s="19">
        <v>300</v>
      </c>
      <c r="G1652" s="19">
        <v>1383</v>
      </c>
      <c r="H1652" s="19">
        <v>1</v>
      </c>
      <c r="I1652" s="80">
        <v>65.14</v>
      </c>
      <c r="J1652" s="80">
        <v>65.14</v>
      </c>
      <c r="K1652" s="19" t="s">
        <v>195</v>
      </c>
      <c r="L1652" s="19" t="s">
        <v>2301</v>
      </c>
      <c r="P1652" s="19" t="s">
        <v>138</v>
      </c>
      <c r="Q1652" s="20">
        <v>23</v>
      </c>
      <c r="R1652" s="65" t="s">
        <v>2010</v>
      </c>
      <c r="T1652" s="19" t="s">
        <v>307</v>
      </c>
      <c r="V1652" s="19" t="s">
        <v>178</v>
      </c>
      <c r="Y1652" s="19" t="s">
        <v>138</v>
      </c>
      <c r="Z1652" s="44" t="s">
        <v>2011</v>
      </c>
      <c r="AA1652" s="44" t="s">
        <v>2302</v>
      </c>
      <c r="AC1652" s="19" t="s">
        <v>2303</v>
      </c>
    </row>
    <row r="1653" spans="1:29" hidden="1" x14ac:dyDescent="0.25">
      <c r="A1653" s="26">
        <v>276</v>
      </c>
      <c r="B1653" s="19" t="s">
        <v>2311</v>
      </c>
      <c r="C1653" s="44" t="s">
        <v>273</v>
      </c>
      <c r="D1653" s="19" t="s">
        <v>1022</v>
      </c>
      <c r="E1653" s="19">
        <v>20</v>
      </c>
      <c r="F1653" s="19">
        <v>300</v>
      </c>
      <c r="G1653" s="19">
        <v>1096</v>
      </c>
      <c r="H1653" s="19">
        <v>2</v>
      </c>
      <c r="I1653" s="80">
        <v>51.62</v>
      </c>
      <c r="J1653" s="80">
        <v>103.24</v>
      </c>
      <c r="K1653" s="19" t="s">
        <v>195</v>
      </c>
      <c r="L1653" s="19" t="s">
        <v>2301</v>
      </c>
      <c r="P1653" s="19" t="s">
        <v>138</v>
      </c>
      <c r="Q1653" s="20">
        <v>23</v>
      </c>
      <c r="R1653" s="65" t="s">
        <v>2010</v>
      </c>
      <c r="T1653" s="19" t="s">
        <v>307</v>
      </c>
      <c r="V1653" s="19" t="s">
        <v>178</v>
      </c>
      <c r="Y1653" s="19" t="s">
        <v>138</v>
      </c>
      <c r="Z1653" s="44" t="s">
        <v>2011</v>
      </c>
      <c r="AA1653" s="44" t="s">
        <v>2302</v>
      </c>
      <c r="AC1653" s="19" t="s">
        <v>2303</v>
      </c>
    </row>
    <row r="1654" spans="1:29" hidden="1" x14ac:dyDescent="0.25">
      <c r="A1654" s="26">
        <v>277</v>
      </c>
      <c r="B1654" s="19" t="s">
        <v>2312</v>
      </c>
      <c r="C1654" s="44" t="s">
        <v>273</v>
      </c>
      <c r="D1654" s="19" t="s">
        <v>1022</v>
      </c>
      <c r="E1654" s="19">
        <v>20</v>
      </c>
      <c r="F1654" s="19">
        <v>300</v>
      </c>
      <c r="G1654" s="19">
        <v>1096</v>
      </c>
      <c r="H1654" s="19">
        <v>2</v>
      </c>
      <c r="I1654" s="80">
        <v>51.62</v>
      </c>
      <c r="J1654" s="80">
        <v>103.24</v>
      </c>
      <c r="K1654" s="19" t="s">
        <v>195</v>
      </c>
      <c r="L1654" s="19" t="s">
        <v>2301</v>
      </c>
      <c r="P1654" s="19" t="s">
        <v>138</v>
      </c>
      <c r="Q1654" s="20">
        <v>23</v>
      </c>
      <c r="R1654" s="65" t="s">
        <v>2010</v>
      </c>
      <c r="T1654" s="19" t="s">
        <v>307</v>
      </c>
      <c r="V1654" s="19" t="s">
        <v>178</v>
      </c>
      <c r="Y1654" s="19" t="s">
        <v>138</v>
      </c>
      <c r="Z1654" s="44" t="s">
        <v>2011</v>
      </c>
      <c r="AA1654" s="44" t="s">
        <v>2302</v>
      </c>
      <c r="AC1654" s="19" t="s">
        <v>2303</v>
      </c>
    </row>
    <row r="1655" spans="1:29" hidden="1" x14ac:dyDescent="0.25">
      <c r="A1655" s="26">
        <v>278</v>
      </c>
      <c r="B1655" s="19" t="s">
        <v>2313</v>
      </c>
      <c r="C1655" s="44" t="s">
        <v>273</v>
      </c>
      <c r="D1655" s="19" t="s">
        <v>1050</v>
      </c>
      <c r="E1655" s="19">
        <v>20</v>
      </c>
      <c r="F1655" s="19">
        <v>300</v>
      </c>
      <c r="G1655" s="19">
        <v>1383</v>
      </c>
      <c r="H1655" s="19">
        <v>1</v>
      </c>
      <c r="I1655" s="80">
        <v>65.14</v>
      </c>
      <c r="J1655" s="80">
        <v>65.14</v>
      </c>
      <c r="K1655" s="19" t="s">
        <v>195</v>
      </c>
      <c r="L1655" s="19" t="s">
        <v>2314</v>
      </c>
      <c r="P1655" s="19" t="s">
        <v>138</v>
      </c>
      <c r="Q1655" s="20">
        <v>23</v>
      </c>
      <c r="R1655" s="65" t="s">
        <v>2010</v>
      </c>
      <c r="T1655" s="19" t="s">
        <v>307</v>
      </c>
      <c r="V1655" s="19" t="s">
        <v>178</v>
      </c>
      <c r="Y1655" s="19" t="s">
        <v>138</v>
      </c>
      <c r="Z1655" s="44" t="s">
        <v>2011</v>
      </c>
      <c r="AA1655" s="44" t="s">
        <v>2315</v>
      </c>
      <c r="AC1655" s="19" t="s">
        <v>2316</v>
      </c>
    </row>
    <row r="1656" spans="1:29" hidden="1" x14ac:dyDescent="0.25">
      <c r="A1656" s="26">
        <v>279</v>
      </c>
      <c r="B1656" s="19" t="s">
        <v>2317</v>
      </c>
      <c r="C1656" s="44" t="s">
        <v>273</v>
      </c>
      <c r="D1656" s="19" t="s">
        <v>1050</v>
      </c>
      <c r="E1656" s="19">
        <v>20</v>
      </c>
      <c r="F1656" s="19">
        <v>300</v>
      </c>
      <c r="G1656" s="19">
        <v>1383</v>
      </c>
      <c r="H1656" s="19">
        <v>1</v>
      </c>
      <c r="I1656" s="80">
        <v>65.14</v>
      </c>
      <c r="J1656" s="80">
        <v>65.14</v>
      </c>
      <c r="K1656" s="19" t="s">
        <v>195</v>
      </c>
      <c r="L1656" s="19" t="s">
        <v>2314</v>
      </c>
      <c r="P1656" s="19" t="s">
        <v>138</v>
      </c>
      <c r="Q1656" s="20">
        <v>23</v>
      </c>
      <c r="R1656" s="65" t="s">
        <v>2010</v>
      </c>
      <c r="T1656" s="19" t="s">
        <v>307</v>
      </c>
      <c r="V1656" s="19" t="s">
        <v>178</v>
      </c>
      <c r="Y1656" s="19" t="s">
        <v>138</v>
      </c>
      <c r="Z1656" s="44" t="s">
        <v>2011</v>
      </c>
      <c r="AA1656" s="44" t="s">
        <v>2315</v>
      </c>
      <c r="AC1656" s="19" t="s">
        <v>2316</v>
      </c>
    </row>
    <row r="1657" spans="1:29" hidden="1" x14ac:dyDescent="0.25">
      <c r="A1657" s="26">
        <v>280</v>
      </c>
      <c r="B1657" s="19" t="s">
        <v>2318</v>
      </c>
      <c r="C1657" s="44" t="s">
        <v>273</v>
      </c>
      <c r="D1657" s="19" t="s">
        <v>1050</v>
      </c>
      <c r="E1657" s="19">
        <v>20</v>
      </c>
      <c r="F1657" s="19">
        <v>300</v>
      </c>
      <c r="G1657" s="19">
        <v>1383</v>
      </c>
      <c r="H1657" s="19">
        <v>1</v>
      </c>
      <c r="I1657" s="80">
        <v>65.14</v>
      </c>
      <c r="J1657" s="80">
        <v>65.14</v>
      </c>
      <c r="K1657" s="19" t="s">
        <v>195</v>
      </c>
      <c r="L1657" s="19" t="s">
        <v>2314</v>
      </c>
      <c r="P1657" s="19" t="s">
        <v>138</v>
      </c>
      <c r="Q1657" s="20">
        <v>23</v>
      </c>
      <c r="R1657" s="65" t="s">
        <v>2010</v>
      </c>
      <c r="T1657" s="19" t="s">
        <v>307</v>
      </c>
      <c r="V1657" s="19" t="s">
        <v>178</v>
      </c>
      <c r="Y1657" s="19" t="s">
        <v>138</v>
      </c>
      <c r="Z1657" s="44" t="s">
        <v>2011</v>
      </c>
      <c r="AA1657" s="44" t="s">
        <v>2315</v>
      </c>
      <c r="AC1657" s="19" t="s">
        <v>2316</v>
      </c>
    </row>
    <row r="1658" spans="1:29" hidden="1" x14ac:dyDescent="0.25">
      <c r="A1658" s="26">
        <v>281</v>
      </c>
      <c r="B1658" s="19" t="s">
        <v>2319</v>
      </c>
      <c r="C1658" s="44" t="s">
        <v>273</v>
      </c>
      <c r="D1658" s="19" t="s">
        <v>1022</v>
      </c>
      <c r="E1658" s="19">
        <v>20</v>
      </c>
      <c r="F1658" s="19">
        <v>300</v>
      </c>
      <c r="G1658" s="19">
        <v>1096</v>
      </c>
      <c r="H1658" s="19">
        <v>2</v>
      </c>
      <c r="I1658" s="80">
        <v>51.62</v>
      </c>
      <c r="J1658" s="80">
        <v>103.24</v>
      </c>
      <c r="K1658" s="19" t="s">
        <v>195</v>
      </c>
      <c r="L1658" s="19" t="s">
        <v>2314</v>
      </c>
      <c r="P1658" s="19" t="s">
        <v>138</v>
      </c>
      <c r="Q1658" s="20">
        <v>23</v>
      </c>
      <c r="R1658" s="65" t="s">
        <v>2010</v>
      </c>
      <c r="T1658" s="19" t="s">
        <v>307</v>
      </c>
      <c r="V1658" s="19" t="s">
        <v>178</v>
      </c>
      <c r="Y1658" s="19" t="s">
        <v>138</v>
      </c>
      <c r="Z1658" s="44" t="s">
        <v>2011</v>
      </c>
      <c r="AA1658" s="44" t="s">
        <v>2315</v>
      </c>
      <c r="AC1658" s="19" t="s">
        <v>2316</v>
      </c>
    </row>
    <row r="1659" spans="1:29" hidden="1" x14ac:dyDescent="0.25">
      <c r="A1659" s="26">
        <v>282</v>
      </c>
      <c r="B1659" s="19" t="s">
        <v>2320</v>
      </c>
      <c r="C1659" s="44" t="s">
        <v>273</v>
      </c>
      <c r="D1659" s="19" t="s">
        <v>1022</v>
      </c>
      <c r="E1659" s="19">
        <v>20</v>
      </c>
      <c r="F1659" s="19">
        <v>300</v>
      </c>
      <c r="G1659" s="19">
        <v>1096</v>
      </c>
      <c r="H1659" s="19">
        <v>2</v>
      </c>
      <c r="I1659" s="80">
        <v>51.62</v>
      </c>
      <c r="J1659" s="80">
        <v>103.24</v>
      </c>
      <c r="K1659" s="19" t="s">
        <v>195</v>
      </c>
      <c r="L1659" s="19" t="s">
        <v>2314</v>
      </c>
      <c r="P1659" s="19" t="s">
        <v>138</v>
      </c>
      <c r="Q1659" s="20">
        <v>23</v>
      </c>
      <c r="R1659" s="65" t="s">
        <v>2010</v>
      </c>
      <c r="T1659" s="19" t="s">
        <v>307</v>
      </c>
      <c r="V1659" s="19" t="s">
        <v>178</v>
      </c>
      <c r="Y1659" s="19" t="s">
        <v>138</v>
      </c>
      <c r="Z1659" s="44" t="s">
        <v>2011</v>
      </c>
      <c r="AA1659" s="44" t="s">
        <v>2315</v>
      </c>
      <c r="AC1659" s="19" t="s">
        <v>2316</v>
      </c>
    </row>
    <row r="1660" spans="1:29" hidden="1" x14ac:dyDescent="0.25">
      <c r="A1660" s="26">
        <v>283</v>
      </c>
      <c r="B1660" s="19" t="s">
        <v>2321</v>
      </c>
      <c r="C1660" s="44" t="s">
        <v>273</v>
      </c>
      <c r="D1660" s="19" t="s">
        <v>1066</v>
      </c>
      <c r="E1660" s="19">
        <v>20</v>
      </c>
      <c r="F1660" s="19">
        <v>300</v>
      </c>
      <c r="G1660" s="19">
        <v>6464</v>
      </c>
      <c r="H1660" s="19">
        <v>1</v>
      </c>
      <c r="I1660" s="80">
        <v>304.45</v>
      </c>
      <c r="J1660" s="80">
        <v>304.45</v>
      </c>
      <c r="K1660" s="19" t="s">
        <v>1067</v>
      </c>
      <c r="L1660" s="19" t="s">
        <v>2322</v>
      </c>
      <c r="Q1660" s="20">
        <v>23</v>
      </c>
      <c r="R1660" s="65" t="s">
        <v>2010</v>
      </c>
      <c r="T1660" s="19" t="s">
        <v>307</v>
      </c>
      <c r="V1660" s="19" t="s">
        <v>178</v>
      </c>
      <c r="Y1660" s="19" t="s">
        <v>138</v>
      </c>
      <c r="Z1660" s="44" t="s">
        <v>2011</v>
      </c>
      <c r="AA1660" s="44" t="s">
        <v>180</v>
      </c>
      <c r="AC1660" s="19" t="s">
        <v>2323</v>
      </c>
    </row>
    <row r="1661" spans="1:29" hidden="1" x14ac:dyDescent="0.25">
      <c r="A1661" s="26">
        <v>284</v>
      </c>
      <c r="B1661" s="19" t="s">
        <v>2324</v>
      </c>
      <c r="C1661" s="44" t="s">
        <v>273</v>
      </c>
      <c r="D1661" s="19" t="s">
        <v>1066</v>
      </c>
      <c r="E1661" s="19">
        <v>20</v>
      </c>
      <c r="F1661" s="19">
        <v>300</v>
      </c>
      <c r="G1661" s="19">
        <v>6464</v>
      </c>
      <c r="H1661" s="19">
        <v>1</v>
      </c>
      <c r="I1661" s="80">
        <v>304.45</v>
      </c>
      <c r="J1661" s="80">
        <v>304.45</v>
      </c>
      <c r="K1661" s="19" t="s">
        <v>1067</v>
      </c>
      <c r="L1661" s="19" t="s">
        <v>2322</v>
      </c>
      <c r="Q1661" s="20">
        <v>23</v>
      </c>
      <c r="R1661" s="65" t="s">
        <v>2010</v>
      </c>
      <c r="T1661" s="19" t="s">
        <v>307</v>
      </c>
      <c r="V1661" s="19" t="s">
        <v>178</v>
      </c>
      <c r="Y1661" s="19" t="s">
        <v>138</v>
      </c>
      <c r="Z1661" s="44" t="s">
        <v>2011</v>
      </c>
      <c r="AA1661" s="44" t="s">
        <v>180</v>
      </c>
      <c r="AC1661" s="19" t="s">
        <v>2323</v>
      </c>
    </row>
    <row r="1662" spans="1:29" hidden="1" x14ac:dyDescent="0.25">
      <c r="A1662" s="26">
        <v>285</v>
      </c>
      <c r="B1662" s="19" t="s">
        <v>2325</v>
      </c>
      <c r="C1662" s="44" t="s">
        <v>273</v>
      </c>
      <c r="D1662" s="19" t="s">
        <v>1066</v>
      </c>
      <c r="E1662" s="19">
        <v>20</v>
      </c>
      <c r="F1662" s="19">
        <v>300</v>
      </c>
      <c r="G1662" s="19">
        <v>6464</v>
      </c>
      <c r="H1662" s="19">
        <v>1</v>
      </c>
      <c r="I1662" s="80">
        <v>304.45</v>
      </c>
      <c r="J1662" s="80">
        <v>304.45</v>
      </c>
      <c r="K1662" s="19" t="s">
        <v>1067</v>
      </c>
      <c r="L1662" s="19" t="s">
        <v>2322</v>
      </c>
      <c r="Q1662" s="20">
        <v>23</v>
      </c>
      <c r="R1662" s="65" t="s">
        <v>2010</v>
      </c>
      <c r="T1662" s="19" t="s">
        <v>307</v>
      </c>
      <c r="V1662" s="19" t="s">
        <v>178</v>
      </c>
      <c r="Y1662" s="19" t="s">
        <v>138</v>
      </c>
      <c r="Z1662" s="44" t="s">
        <v>2011</v>
      </c>
      <c r="AA1662" s="44" t="s">
        <v>180</v>
      </c>
      <c r="AC1662" s="19" t="s">
        <v>2323</v>
      </c>
    </row>
    <row r="1663" spans="1:29" hidden="1" x14ac:dyDescent="0.25">
      <c r="A1663" s="26">
        <v>286</v>
      </c>
      <c r="B1663" s="19" t="s">
        <v>2326</v>
      </c>
      <c r="C1663" s="44" t="s">
        <v>273</v>
      </c>
      <c r="D1663" s="19" t="s">
        <v>1066</v>
      </c>
      <c r="E1663" s="19">
        <v>20</v>
      </c>
      <c r="F1663" s="19">
        <v>300</v>
      </c>
      <c r="G1663" s="19">
        <v>6464</v>
      </c>
      <c r="H1663" s="19">
        <v>1</v>
      </c>
      <c r="I1663" s="80">
        <v>304.45</v>
      </c>
      <c r="J1663" s="80">
        <v>304.45</v>
      </c>
      <c r="K1663" s="19" t="s">
        <v>1067</v>
      </c>
      <c r="L1663" s="19" t="s">
        <v>2322</v>
      </c>
      <c r="Q1663" s="20">
        <v>23</v>
      </c>
      <c r="R1663" s="65" t="s">
        <v>2010</v>
      </c>
      <c r="T1663" s="19" t="s">
        <v>307</v>
      </c>
      <c r="V1663" s="19" t="s">
        <v>178</v>
      </c>
      <c r="Y1663" s="19" t="s">
        <v>138</v>
      </c>
      <c r="Z1663" s="44" t="s">
        <v>2011</v>
      </c>
      <c r="AA1663" s="44" t="s">
        <v>180</v>
      </c>
      <c r="AC1663" s="19" t="s">
        <v>2323</v>
      </c>
    </row>
    <row r="1664" spans="1:29" hidden="1" x14ac:dyDescent="0.25">
      <c r="A1664" s="26">
        <v>287</v>
      </c>
      <c r="B1664" s="19" t="s">
        <v>2327</v>
      </c>
      <c r="C1664" s="44" t="s">
        <v>273</v>
      </c>
      <c r="D1664" s="19" t="s">
        <v>1066</v>
      </c>
      <c r="E1664" s="19">
        <v>20</v>
      </c>
      <c r="F1664" s="19">
        <v>300</v>
      </c>
      <c r="G1664" s="19">
        <v>6464</v>
      </c>
      <c r="H1664" s="19">
        <v>1</v>
      </c>
      <c r="I1664" s="80">
        <v>304.45</v>
      </c>
      <c r="J1664" s="80">
        <v>304.45</v>
      </c>
      <c r="K1664" s="19" t="s">
        <v>1067</v>
      </c>
      <c r="L1664" s="19" t="s">
        <v>2328</v>
      </c>
      <c r="Q1664" s="20">
        <v>23</v>
      </c>
      <c r="R1664" s="65" t="s">
        <v>2010</v>
      </c>
      <c r="T1664" s="19" t="s">
        <v>307</v>
      </c>
      <c r="V1664" s="19" t="s">
        <v>178</v>
      </c>
      <c r="Y1664" s="19" t="s">
        <v>138</v>
      </c>
      <c r="Z1664" s="44" t="s">
        <v>2011</v>
      </c>
      <c r="AA1664" s="44" t="s">
        <v>180</v>
      </c>
      <c r="AC1664" s="19" t="s">
        <v>2329</v>
      </c>
    </row>
    <row r="1665" spans="1:29" hidden="1" x14ac:dyDescent="0.25">
      <c r="A1665" s="26">
        <v>288</v>
      </c>
      <c r="B1665" s="19" t="s">
        <v>2330</v>
      </c>
      <c r="C1665" s="44" t="s">
        <v>273</v>
      </c>
      <c r="D1665" s="19" t="s">
        <v>1066</v>
      </c>
      <c r="E1665" s="19">
        <v>20</v>
      </c>
      <c r="F1665" s="19">
        <v>300</v>
      </c>
      <c r="G1665" s="19">
        <v>6464</v>
      </c>
      <c r="H1665" s="19">
        <v>1</v>
      </c>
      <c r="I1665" s="80">
        <v>304.45</v>
      </c>
      <c r="J1665" s="80">
        <v>304.45</v>
      </c>
      <c r="K1665" s="19" t="s">
        <v>1067</v>
      </c>
      <c r="L1665" s="19" t="s">
        <v>2328</v>
      </c>
      <c r="Q1665" s="20">
        <v>23</v>
      </c>
      <c r="R1665" s="65" t="s">
        <v>2010</v>
      </c>
      <c r="T1665" s="19" t="s">
        <v>307</v>
      </c>
      <c r="V1665" s="19" t="s">
        <v>178</v>
      </c>
      <c r="Y1665" s="19" t="s">
        <v>138</v>
      </c>
      <c r="Z1665" s="44" t="s">
        <v>2011</v>
      </c>
      <c r="AA1665" s="44" t="s">
        <v>180</v>
      </c>
      <c r="AC1665" s="19" t="s">
        <v>2329</v>
      </c>
    </row>
    <row r="1666" spans="1:29" hidden="1" x14ac:dyDescent="0.25">
      <c r="A1666" s="26">
        <v>289</v>
      </c>
      <c r="B1666" s="19" t="s">
        <v>2331</v>
      </c>
      <c r="C1666" s="44" t="s">
        <v>273</v>
      </c>
      <c r="D1666" s="19" t="s">
        <v>1066</v>
      </c>
      <c r="E1666" s="19">
        <v>20</v>
      </c>
      <c r="F1666" s="19">
        <v>300</v>
      </c>
      <c r="G1666" s="19">
        <v>6464</v>
      </c>
      <c r="H1666" s="19">
        <v>1</v>
      </c>
      <c r="I1666" s="80">
        <v>304.45</v>
      </c>
      <c r="J1666" s="80">
        <v>304.45</v>
      </c>
      <c r="K1666" s="19" t="s">
        <v>1067</v>
      </c>
      <c r="L1666" s="19" t="s">
        <v>2328</v>
      </c>
      <c r="Q1666" s="20">
        <v>23</v>
      </c>
      <c r="R1666" s="65" t="s">
        <v>2010</v>
      </c>
      <c r="T1666" s="19" t="s">
        <v>307</v>
      </c>
      <c r="V1666" s="19" t="s">
        <v>178</v>
      </c>
      <c r="Y1666" s="19" t="s">
        <v>138</v>
      </c>
      <c r="Z1666" s="44" t="s">
        <v>2011</v>
      </c>
      <c r="AA1666" s="44" t="s">
        <v>180</v>
      </c>
      <c r="AC1666" s="19" t="s">
        <v>2329</v>
      </c>
    </row>
    <row r="1667" spans="1:29" hidden="1" x14ac:dyDescent="0.25">
      <c r="A1667" s="26">
        <v>290</v>
      </c>
      <c r="B1667" s="19" t="s">
        <v>2332</v>
      </c>
      <c r="C1667" s="44" t="s">
        <v>273</v>
      </c>
      <c r="D1667" s="19" t="s">
        <v>1066</v>
      </c>
      <c r="E1667" s="19">
        <v>20</v>
      </c>
      <c r="F1667" s="19">
        <v>300</v>
      </c>
      <c r="G1667" s="19">
        <v>6464</v>
      </c>
      <c r="H1667" s="19">
        <v>1</v>
      </c>
      <c r="I1667" s="80">
        <v>304.45</v>
      </c>
      <c r="J1667" s="80">
        <v>304.45</v>
      </c>
      <c r="K1667" s="19" t="s">
        <v>1067</v>
      </c>
      <c r="L1667" s="19" t="s">
        <v>2328</v>
      </c>
      <c r="Q1667" s="20">
        <v>23</v>
      </c>
      <c r="R1667" s="65" t="s">
        <v>2010</v>
      </c>
      <c r="T1667" s="19" t="s">
        <v>307</v>
      </c>
      <c r="V1667" s="19" t="s">
        <v>178</v>
      </c>
      <c r="Y1667" s="19" t="s">
        <v>138</v>
      </c>
      <c r="Z1667" s="44" t="s">
        <v>2011</v>
      </c>
      <c r="AA1667" s="44" t="s">
        <v>180</v>
      </c>
      <c r="AC1667" s="19" t="s">
        <v>2329</v>
      </c>
    </row>
    <row r="1668" spans="1:29" hidden="1" x14ac:dyDescent="0.25">
      <c r="A1668" s="26">
        <v>291</v>
      </c>
      <c r="B1668" s="19" t="s">
        <v>2333</v>
      </c>
      <c r="C1668" s="44" t="s">
        <v>273</v>
      </c>
      <c r="D1668" s="19" t="s">
        <v>1066</v>
      </c>
      <c r="E1668" s="19">
        <v>20</v>
      </c>
      <c r="F1668" s="19">
        <v>300</v>
      </c>
      <c r="G1668" s="19">
        <v>6464</v>
      </c>
      <c r="H1668" s="19">
        <v>1</v>
      </c>
      <c r="I1668" s="80">
        <v>304.45</v>
      </c>
      <c r="J1668" s="80">
        <v>304.45</v>
      </c>
      <c r="K1668" s="19" t="s">
        <v>1067</v>
      </c>
      <c r="L1668" s="19" t="s">
        <v>2328</v>
      </c>
      <c r="Q1668" s="20">
        <v>23</v>
      </c>
      <c r="R1668" s="65" t="s">
        <v>2010</v>
      </c>
      <c r="T1668" s="19" t="s">
        <v>307</v>
      </c>
      <c r="V1668" s="19" t="s">
        <v>178</v>
      </c>
      <c r="Y1668" s="19" t="s">
        <v>138</v>
      </c>
      <c r="Z1668" s="44" t="s">
        <v>2011</v>
      </c>
      <c r="AA1668" s="44" t="s">
        <v>180</v>
      </c>
      <c r="AC1668" s="19" t="s">
        <v>2329</v>
      </c>
    </row>
    <row r="1669" spans="1:29" hidden="1" x14ac:dyDescent="0.25">
      <c r="A1669" s="26">
        <v>292</v>
      </c>
      <c r="B1669" s="19" t="s">
        <v>2334</v>
      </c>
      <c r="C1669" s="44" t="s">
        <v>273</v>
      </c>
      <c r="D1669" s="19" t="s">
        <v>1066</v>
      </c>
      <c r="E1669" s="19">
        <v>20</v>
      </c>
      <c r="F1669" s="19">
        <v>300</v>
      </c>
      <c r="G1669" s="19">
        <v>6464</v>
      </c>
      <c r="H1669" s="19">
        <v>1</v>
      </c>
      <c r="I1669" s="80">
        <v>304.45</v>
      </c>
      <c r="J1669" s="80">
        <v>304.45</v>
      </c>
      <c r="K1669" s="19" t="s">
        <v>1067</v>
      </c>
      <c r="L1669" s="19" t="s">
        <v>2328</v>
      </c>
      <c r="Q1669" s="20">
        <v>23</v>
      </c>
      <c r="R1669" s="65" t="s">
        <v>2010</v>
      </c>
      <c r="T1669" s="19" t="s">
        <v>307</v>
      </c>
      <c r="V1669" s="19" t="s">
        <v>178</v>
      </c>
      <c r="Y1669" s="19" t="s">
        <v>138</v>
      </c>
      <c r="Z1669" s="44" t="s">
        <v>2011</v>
      </c>
      <c r="AA1669" s="44" t="s">
        <v>180</v>
      </c>
      <c r="AC1669" s="19" t="s">
        <v>2329</v>
      </c>
    </row>
    <row r="1670" spans="1:29" hidden="1" x14ac:dyDescent="0.25">
      <c r="A1670" s="26">
        <v>293</v>
      </c>
      <c r="B1670" s="19" t="s">
        <v>2335</v>
      </c>
      <c r="C1670" s="44" t="s">
        <v>273</v>
      </c>
      <c r="D1670" s="19" t="s">
        <v>1066</v>
      </c>
      <c r="E1670" s="19">
        <v>20</v>
      </c>
      <c r="F1670" s="19">
        <v>300</v>
      </c>
      <c r="G1670" s="19">
        <v>6464</v>
      </c>
      <c r="H1670" s="19">
        <v>1</v>
      </c>
      <c r="I1670" s="80">
        <v>304.45</v>
      </c>
      <c r="J1670" s="80">
        <v>304.45</v>
      </c>
      <c r="K1670" s="19" t="s">
        <v>1067</v>
      </c>
      <c r="L1670" s="19" t="s">
        <v>2328</v>
      </c>
      <c r="Q1670" s="20">
        <v>23</v>
      </c>
      <c r="R1670" s="65" t="s">
        <v>2010</v>
      </c>
      <c r="T1670" s="19" t="s">
        <v>307</v>
      </c>
      <c r="V1670" s="19" t="s">
        <v>178</v>
      </c>
      <c r="Y1670" s="19" t="s">
        <v>138</v>
      </c>
      <c r="Z1670" s="44" t="s">
        <v>2011</v>
      </c>
      <c r="AA1670" s="44" t="s">
        <v>180</v>
      </c>
      <c r="AC1670" s="19" t="s">
        <v>2329</v>
      </c>
    </row>
    <row r="1671" spans="1:29" hidden="1" x14ac:dyDescent="0.25">
      <c r="A1671" s="26">
        <v>294</v>
      </c>
      <c r="B1671" s="19" t="s">
        <v>2336</v>
      </c>
      <c r="C1671" s="44" t="s">
        <v>273</v>
      </c>
      <c r="D1671" s="19" t="s">
        <v>1066</v>
      </c>
      <c r="E1671" s="19">
        <v>20</v>
      </c>
      <c r="F1671" s="19">
        <v>300</v>
      </c>
      <c r="G1671" s="19">
        <v>6464</v>
      </c>
      <c r="H1671" s="19">
        <v>1</v>
      </c>
      <c r="I1671" s="80">
        <v>304.45</v>
      </c>
      <c r="J1671" s="80">
        <v>304.45</v>
      </c>
      <c r="K1671" s="19" t="s">
        <v>1067</v>
      </c>
      <c r="L1671" s="19" t="s">
        <v>2328</v>
      </c>
      <c r="Q1671" s="20">
        <v>23</v>
      </c>
      <c r="R1671" s="65" t="s">
        <v>2010</v>
      </c>
      <c r="T1671" s="19" t="s">
        <v>307</v>
      </c>
      <c r="V1671" s="19" t="s">
        <v>178</v>
      </c>
      <c r="Y1671" s="19" t="s">
        <v>138</v>
      </c>
      <c r="Z1671" s="44" t="s">
        <v>2011</v>
      </c>
      <c r="AA1671" s="44" t="s">
        <v>180</v>
      </c>
      <c r="AC1671" s="19" t="s">
        <v>2329</v>
      </c>
    </row>
    <row r="1672" spans="1:29" hidden="1" x14ac:dyDescent="0.25">
      <c r="A1672" s="26">
        <v>295</v>
      </c>
      <c r="B1672" s="19" t="s">
        <v>2337</v>
      </c>
      <c r="C1672" s="44" t="s">
        <v>273</v>
      </c>
      <c r="D1672" s="19" t="s">
        <v>1066</v>
      </c>
      <c r="E1672" s="19">
        <v>20</v>
      </c>
      <c r="F1672" s="19">
        <v>300</v>
      </c>
      <c r="G1672" s="19">
        <v>6464</v>
      </c>
      <c r="H1672" s="19">
        <v>1</v>
      </c>
      <c r="I1672" s="80">
        <v>304.45</v>
      </c>
      <c r="J1672" s="80">
        <v>304.45</v>
      </c>
      <c r="K1672" s="19" t="s">
        <v>1067</v>
      </c>
      <c r="L1672" s="19" t="s">
        <v>2328</v>
      </c>
      <c r="Q1672" s="20">
        <v>23</v>
      </c>
      <c r="R1672" s="65" t="s">
        <v>2010</v>
      </c>
      <c r="T1672" s="19" t="s">
        <v>307</v>
      </c>
      <c r="V1672" s="19" t="s">
        <v>178</v>
      </c>
      <c r="Y1672" s="19" t="s">
        <v>138</v>
      </c>
      <c r="Z1672" s="44" t="s">
        <v>2011</v>
      </c>
      <c r="AA1672" s="44" t="s">
        <v>180</v>
      </c>
      <c r="AC1672" s="19" t="s">
        <v>2329</v>
      </c>
    </row>
    <row r="1673" spans="1:29" hidden="1" x14ac:dyDescent="0.25">
      <c r="A1673" s="26">
        <v>296</v>
      </c>
      <c r="B1673" s="19" t="s">
        <v>2338</v>
      </c>
      <c r="C1673" s="44" t="s">
        <v>273</v>
      </c>
      <c r="D1673" s="19" t="s">
        <v>1066</v>
      </c>
      <c r="E1673" s="19">
        <v>20</v>
      </c>
      <c r="F1673" s="19">
        <v>300</v>
      </c>
      <c r="G1673" s="19">
        <v>6464</v>
      </c>
      <c r="H1673" s="19">
        <v>1</v>
      </c>
      <c r="I1673" s="80">
        <v>304.45</v>
      </c>
      <c r="J1673" s="80">
        <v>304.45</v>
      </c>
      <c r="K1673" s="19" t="s">
        <v>1067</v>
      </c>
      <c r="L1673" s="19" t="s">
        <v>2328</v>
      </c>
      <c r="Q1673" s="20">
        <v>23</v>
      </c>
      <c r="R1673" s="65" t="s">
        <v>2010</v>
      </c>
      <c r="T1673" s="19" t="s">
        <v>307</v>
      </c>
      <c r="V1673" s="19" t="s">
        <v>178</v>
      </c>
      <c r="Y1673" s="19" t="s">
        <v>138</v>
      </c>
      <c r="Z1673" s="44" t="s">
        <v>2011</v>
      </c>
      <c r="AA1673" s="44" t="s">
        <v>180</v>
      </c>
      <c r="AC1673" s="19" t="s">
        <v>2329</v>
      </c>
    </row>
    <row r="1674" spans="1:29" hidden="1" x14ac:dyDescent="0.25">
      <c r="A1674" s="26">
        <v>297</v>
      </c>
      <c r="B1674" s="19" t="s">
        <v>2339</v>
      </c>
      <c r="C1674" s="44" t="s">
        <v>273</v>
      </c>
      <c r="D1674" s="19" t="s">
        <v>1066</v>
      </c>
      <c r="E1674" s="19">
        <v>20</v>
      </c>
      <c r="F1674" s="19">
        <v>300</v>
      </c>
      <c r="G1674" s="19">
        <v>6464</v>
      </c>
      <c r="H1674" s="19">
        <v>1</v>
      </c>
      <c r="I1674" s="80">
        <v>304.45</v>
      </c>
      <c r="J1674" s="80">
        <v>304.45</v>
      </c>
      <c r="K1674" s="19" t="s">
        <v>1067</v>
      </c>
      <c r="L1674" s="19" t="s">
        <v>2328</v>
      </c>
      <c r="Q1674" s="20">
        <v>23</v>
      </c>
      <c r="R1674" s="65" t="s">
        <v>2010</v>
      </c>
      <c r="T1674" s="19" t="s">
        <v>307</v>
      </c>
      <c r="V1674" s="19" t="s">
        <v>178</v>
      </c>
      <c r="Y1674" s="19" t="s">
        <v>138</v>
      </c>
      <c r="Z1674" s="44" t="s">
        <v>2011</v>
      </c>
      <c r="AA1674" s="44" t="s">
        <v>180</v>
      </c>
      <c r="AC1674" s="19" t="s">
        <v>2329</v>
      </c>
    </row>
    <row r="1675" spans="1:29" hidden="1" x14ac:dyDescent="0.25">
      <c r="A1675" s="26">
        <v>298</v>
      </c>
      <c r="B1675" s="19" t="s">
        <v>2340</v>
      </c>
      <c r="C1675" s="44" t="s">
        <v>273</v>
      </c>
      <c r="D1675" s="19" t="s">
        <v>1066</v>
      </c>
      <c r="E1675" s="19">
        <v>20</v>
      </c>
      <c r="F1675" s="19">
        <v>300</v>
      </c>
      <c r="G1675" s="19">
        <v>6464</v>
      </c>
      <c r="H1675" s="19">
        <v>1</v>
      </c>
      <c r="I1675" s="80">
        <v>304.45</v>
      </c>
      <c r="J1675" s="80">
        <v>304.45</v>
      </c>
      <c r="K1675" s="19" t="s">
        <v>1067</v>
      </c>
      <c r="L1675" s="19" t="s">
        <v>2328</v>
      </c>
      <c r="Q1675" s="20">
        <v>23</v>
      </c>
      <c r="R1675" s="65" t="s">
        <v>2010</v>
      </c>
      <c r="T1675" s="19" t="s">
        <v>307</v>
      </c>
      <c r="V1675" s="19" t="s">
        <v>178</v>
      </c>
      <c r="Y1675" s="19" t="s">
        <v>138</v>
      </c>
      <c r="Z1675" s="44" t="s">
        <v>2011</v>
      </c>
      <c r="AA1675" s="44" t="s">
        <v>180</v>
      </c>
      <c r="AC1675" s="19" t="s">
        <v>2329</v>
      </c>
    </row>
    <row r="1676" spans="1:29" hidden="1" x14ac:dyDescent="0.25">
      <c r="A1676" s="26">
        <v>299</v>
      </c>
      <c r="B1676" s="19" t="s">
        <v>2341</v>
      </c>
      <c r="C1676" s="44" t="s">
        <v>273</v>
      </c>
      <c r="D1676" s="19" t="s">
        <v>1066</v>
      </c>
      <c r="E1676" s="19">
        <v>20</v>
      </c>
      <c r="F1676" s="19">
        <v>300</v>
      </c>
      <c r="G1676" s="19">
        <v>6464</v>
      </c>
      <c r="H1676" s="19">
        <v>1</v>
      </c>
      <c r="I1676" s="80">
        <v>304.45</v>
      </c>
      <c r="J1676" s="80">
        <v>304.45</v>
      </c>
      <c r="K1676" s="19" t="s">
        <v>1067</v>
      </c>
      <c r="L1676" s="19" t="s">
        <v>2328</v>
      </c>
      <c r="Q1676" s="20">
        <v>23</v>
      </c>
      <c r="R1676" s="65" t="s">
        <v>2010</v>
      </c>
      <c r="T1676" s="19" t="s">
        <v>307</v>
      </c>
      <c r="V1676" s="19" t="s">
        <v>178</v>
      </c>
      <c r="Y1676" s="19" t="s">
        <v>138</v>
      </c>
      <c r="Z1676" s="44" t="s">
        <v>2011</v>
      </c>
      <c r="AA1676" s="44" t="s">
        <v>180</v>
      </c>
      <c r="AC1676" s="19" t="s">
        <v>2329</v>
      </c>
    </row>
    <row r="1677" spans="1:29" hidden="1" x14ac:dyDescent="0.25">
      <c r="A1677" s="26">
        <v>300</v>
      </c>
      <c r="B1677" s="19" t="s">
        <v>2342</v>
      </c>
      <c r="C1677" s="44" t="s">
        <v>273</v>
      </c>
      <c r="D1677" s="19" t="s">
        <v>1066</v>
      </c>
      <c r="E1677" s="19">
        <v>20</v>
      </c>
      <c r="F1677" s="19">
        <v>300</v>
      </c>
      <c r="G1677" s="19">
        <v>6464</v>
      </c>
      <c r="H1677" s="19">
        <v>1</v>
      </c>
      <c r="I1677" s="80">
        <v>304.45</v>
      </c>
      <c r="J1677" s="80">
        <v>304.45</v>
      </c>
      <c r="K1677" s="19" t="s">
        <v>1067</v>
      </c>
      <c r="L1677" s="19" t="s">
        <v>2328</v>
      </c>
      <c r="Q1677" s="20">
        <v>23</v>
      </c>
      <c r="R1677" s="65" t="s">
        <v>2010</v>
      </c>
      <c r="T1677" s="19" t="s">
        <v>307</v>
      </c>
      <c r="V1677" s="19" t="s">
        <v>178</v>
      </c>
      <c r="Y1677" s="19" t="s">
        <v>138</v>
      </c>
      <c r="Z1677" s="44" t="s">
        <v>2011</v>
      </c>
      <c r="AA1677" s="44" t="s">
        <v>180</v>
      </c>
      <c r="AC1677" s="19" t="s">
        <v>2329</v>
      </c>
    </row>
    <row r="1678" spans="1:29" hidden="1" x14ac:dyDescent="0.25">
      <c r="A1678" s="26">
        <v>301</v>
      </c>
      <c r="B1678" s="19" t="s">
        <v>2343</v>
      </c>
      <c r="C1678" s="44" t="s">
        <v>273</v>
      </c>
      <c r="D1678" s="19" t="s">
        <v>1066</v>
      </c>
      <c r="E1678" s="19">
        <v>20</v>
      </c>
      <c r="F1678" s="19">
        <v>300</v>
      </c>
      <c r="G1678" s="19">
        <v>6464</v>
      </c>
      <c r="H1678" s="19">
        <v>1</v>
      </c>
      <c r="I1678" s="80">
        <v>304.45</v>
      </c>
      <c r="J1678" s="80">
        <v>304.45</v>
      </c>
      <c r="K1678" s="19" t="s">
        <v>1067</v>
      </c>
      <c r="L1678" s="19" t="s">
        <v>2328</v>
      </c>
      <c r="Q1678" s="20">
        <v>23</v>
      </c>
      <c r="R1678" s="65" t="s">
        <v>2010</v>
      </c>
      <c r="T1678" s="19" t="s">
        <v>307</v>
      </c>
      <c r="V1678" s="19" t="s">
        <v>178</v>
      </c>
      <c r="Y1678" s="19" t="s">
        <v>138</v>
      </c>
      <c r="Z1678" s="44" t="s">
        <v>2011</v>
      </c>
      <c r="AA1678" s="44" t="s">
        <v>180</v>
      </c>
      <c r="AC1678" s="19" t="s">
        <v>2329</v>
      </c>
    </row>
    <row r="1679" spans="1:29" hidden="1" x14ac:dyDescent="0.25">
      <c r="A1679" s="26">
        <v>302</v>
      </c>
      <c r="B1679" s="19" t="s">
        <v>2344</v>
      </c>
      <c r="C1679" s="44" t="s">
        <v>273</v>
      </c>
      <c r="D1679" s="19" t="s">
        <v>1066</v>
      </c>
      <c r="E1679" s="19">
        <v>20</v>
      </c>
      <c r="F1679" s="19">
        <v>300</v>
      </c>
      <c r="G1679" s="19">
        <v>6464</v>
      </c>
      <c r="H1679" s="19">
        <v>1</v>
      </c>
      <c r="I1679" s="80">
        <v>304.45</v>
      </c>
      <c r="J1679" s="80">
        <v>304.45</v>
      </c>
      <c r="K1679" s="19" t="s">
        <v>1067</v>
      </c>
      <c r="L1679" s="19" t="s">
        <v>2328</v>
      </c>
      <c r="Q1679" s="20">
        <v>23</v>
      </c>
      <c r="R1679" s="65" t="s">
        <v>2010</v>
      </c>
      <c r="T1679" s="19" t="s">
        <v>307</v>
      </c>
      <c r="V1679" s="19" t="s">
        <v>178</v>
      </c>
      <c r="Y1679" s="19" t="s">
        <v>138</v>
      </c>
      <c r="Z1679" s="44" t="s">
        <v>2011</v>
      </c>
      <c r="AA1679" s="44" t="s">
        <v>180</v>
      </c>
      <c r="AC1679" s="19" t="s">
        <v>2329</v>
      </c>
    </row>
    <row r="1680" spans="1:29" hidden="1" x14ac:dyDescent="0.25">
      <c r="A1680" s="26">
        <v>303</v>
      </c>
      <c r="B1680" s="19" t="s">
        <v>2345</v>
      </c>
      <c r="C1680" s="44" t="s">
        <v>273</v>
      </c>
      <c r="D1680" s="19" t="s">
        <v>1011</v>
      </c>
      <c r="E1680" s="19">
        <v>20</v>
      </c>
      <c r="F1680" s="19">
        <v>300</v>
      </c>
      <c r="G1680" s="19">
        <v>9980</v>
      </c>
      <c r="H1680" s="19">
        <v>1</v>
      </c>
      <c r="I1680" s="80">
        <v>470.06</v>
      </c>
      <c r="J1680" s="80">
        <v>470.06</v>
      </c>
      <c r="K1680" s="19" t="s">
        <v>195</v>
      </c>
      <c r="L1680" s="19" t="s">
        <v>2346</v>
      </c>
      <c r="Q1680" s="20">
        <v>23</v>
      </c>
      <c r="R1680" s="65" t="s">
        <v>2010</v>
      </c>
      <c r="T1680" s="19" t="s">
        <v>307</v>
      </c>
      <c r="V1680" s="19" t="s">
        <v>178</v>
      </c>
      <c r="Y1680" s="19" t="s">
        <v>138</v>
      </c>
      <c r="Z1680" s="44" t="s">
        <v>2011</v>
      </c>
      <c r="AA1680" s="44" t="s">
        <v>180</v>
      </c>
      <c r="AC1680" s="19" t="s">
        <v>2347</v>
      </c>
    </row>
    <row r="1681" spans="1:29" hidden="1" x14ac:dyDescent="0.25">
      <c r="A1681" s="26">
        <v>304</v>
      </c>
      <c r="B1681" s="19" t="s">
        <v>2348</v>
      </c>
      <c r="C1681" s="44" t="s">
        <v>273</v>
      </c>
      <c r="D1681" s="19" t="s">
        <v>1011</v>
      </c>
      <c r="E1681" s="19">
        <v>20</v>
      </c>
      <c r="F1681" s="19">
        <v>300</v>
      </c>
      <c r="G1681" s="19">
        <v>9980</v>
      </c>
      <c r="H1681" s="19">
        <v>1</v>
      </c>
      <c r="I1681" s="80">
        <v>470.06</v>
      </c>
      <c r="J1681" s="80">
        <v>470.06</v>
      </c>
      <c r="K1681" s="19" t="s">
        <v>195</v>
      </c>
      <c r="L1681" s="19" t="s">
        <v>2346</v>
      </c>
      <c r="Q1681" s="20">
        <v>23</v>
      </c>
      <c r="R1681" s="65" t="s">
        <v>2010</v>
      </c>
      <c r="T1681" s="19" t="s">
        <v>307</v>
      </c>
      <c r="V1681" s="19" t="s">
        <v>178</v>
      </c>
      <c r="Y1681" s="19" t="s">
        <v>138</v>
      </c>
      <c r="Z1681" s="44" t="s">
        <v>2011</v>
      </c>
      <c r="AA1681" s="44" t="s">
        <v>180</v>
      </c>
      <c r="AC1681" s="19" t="s">
        <v>2347</v>
      </c>
    </row>
    <row r="1682" spans="1:29" hidden="1" x14ac:dyDescent="0.25">
      <c r="A1682" s="26">
        <v>305</v>
      </c>
      <c r="B1682" s="19" t="s">
        <v>2349</v>
      </c>
      <c r="C1682" s="44" t="s">
        <v>273</v>
      </c>
      <c r="D1682" s="19" t="s">
        <v>1025</v>
      </c>
      <c r="E1682" s="19">
        <v>20</v>
      </c>
      <c r="F1682" s="19">
        <v>300</v>
      </c>
      <c r="G1682" s="19">
        <v>1514</v>
      </c>
      <c r="H1682" s="19">
        <v>1</v>
      </c>
      <c r="I1682" s="80">
        <v>71.31</v>
      </c>
      <c r="J1682" s="80">
        <v>71.31</v>
      </c>
      <c r="K1682" s="19" t="s">
        <v>195</v>
      </c>
      <c r="L1682" s="19" t="s">
        <v>2346</v>
      </c>
      <c r="Q1682" s="20">
        <v>23</v>
      </c>
      <c r="R1682" s="65" t="s">
        <v>2010</v>
      </c>
      <c r="T1682" s="19" t="s">
        <v>307</v>
      </c>
      <c r="V1682" s="19" t="s">
        <v>178</v>
      </c>
      <c r="Y1682" s="19" t="s">
        <v>138</v>
      </c>
      <c r="Z1682" s="44" t="s">
        <v>2011</v>
      </c>
      <c r="AA1682" s="44" t="s">
        <v>180</v>
      </c>
      <c r="AC1682" s="19" t="s">
        <v>2347</v>
      </c>
    </row>
    <row r="1683" spans="1:29" hidden="1" x14ac:dyDescent="0.25">
      <c r="A1683" s="26">
        <v>306</v>
      </c>
      <c r="B1683" s="19" t="s">
        <v>2305</v>
      </c>
      <c r="C1683" s="44" t="s">
        <v>273</v>
      </c>
      <c r="D1683" s="19" t="s">
        <v>1370</v>
      </c>
      <c r="E1683" s="19">
        <v>20</v>
      </c>
      <c r="F1683" s="19">
        <v>300</v>
      </c>
      <c r="G1683" s="19">
        <v>480</v>
      </c>
      <c r="H1683" s="19">
        <v>2</v>
      </c>
      <c r="I1683" s="80">
        <v>22.61</v>
      </c>
      <c r="J1683" s="80">
        <v>45.22</v>
      </c>
      <c r="K1683" s="19" t="s">
        <v>195</v>
      </c>
      <c r="L1683" s="19" t="s">
        <v>2346</v>
      </c>
      <c r="Q1683" s="20">
        <v>23</v>
      </c>
      <c r="R1683" s="65" t="s">
        <v>2010</v>
      </c>
      <c r="T1683" s="19" t="s">
        <v>307</v>
      </c>
      <c r="V1683" s="19" t="s">
        <v>178</v>
      </c>
      <c r="W1683" s="19" t="s">
        <v>138</v>
      </c>
      <c r="Z1683" s="44" t="s">
        <v>2011</v>
      </c>
      <c r="AA1683" s="44" t="s">
        <v>180</v>
      </c>
      <c r="AC1683" s="19" t="s">
        <v>2347</v>
      </c>
    </row>
    <row r="1684" spans="1:29" hidden="1" x14ac:dyDescent="0.25">
      <c r="A1684" s="26">
        <v>307</v>
      </c>
      <c r="B1684" s="19" t="s">
        <v>2350</v>
      </c>
      <c r="C1684" s="44" t="s">
        <v>273</v>
      </c>
      <c r="D1684" s="19" t="s">
        <v>1020</v>
      </c>
      <c r="E1684" s="19">
        <v>20</v>
      </c>
      <c r="F1684" s="19">
        <v>1436</v>
      </c>
      <c r="G1684" s="19">
        <v>9068</v>
      </c>
      <c r="H1684" s="19">
        <v>1</v>
      </c>
      <c r="I1684" s="80">
        <v>2029.94</v>
      </c>
      <c r="J1684" s="80">
        <v>2029.94</v>
      </c>
      <c r="K1684" s="19" t="s">
        <v>195</v>
      </c>
      <c r="L1684" s="19" t="s">
        <v>2346</v>
      </c>
      <c r="Q1684" s="20">
        <v>23</v>
      </c>
      <c r="R1684" s="65" t="s">
        <v>2010</v>
      </c>
      <c r="T1684" s="19" t="s">
        <v>307</v>
      </c>
      <c r="V1684" s="19" t="s">
        <v>178</v>
      </c>
      <c r="Y1684" s="19" t="s">
        <v>138</v>
      </c>
      <c r="Z1684" s="44" t="s">
        <v>2011</v>
      </c>
      <c r="AA1684" s="44" t="s">
        <v>180</v>
      </c>
      <c r="AC1684" s="19" t="s">
        <v>2347</v>
      </c>
    </row>
    <row r="1685" spans="1:29" hidden="1" x14ac:dyDescent="0.25">
      <c r="A1685" s="26">
        <v>308</v>
      </c>
      <c r="B1685" s="19" t="s">
        <v>2275</v>
      </c>
      <c r="C1685" s="44" t="s">
        <v>273</v>
      </c>
      <c r="D1685" s="19" t="s">
        <v>1370</v>
      </c>
      <c r="E1685" s="19">
        <v>20</v>
      </c>
      <c r="F1685" s="19">
        <v>300</v>
      </c>
      <c r="G1685" s="19">
        <v>480</v>
      </c>
      <c r="H1685" s="19">
        <v>2</v>
      </c>
      <c r="I1685" s="80">
        <v>22.61</v>
      </c>
      <c r="J1685" s="80">
        <v>45.22</v>
      </c>
      <c r="K1685" s="19" t="s">
        <v>195</v>
      </c>
      <c r="L1685" s="19" t="s">
        <v>2346</v>
      </c>
      <c r="Q1685" s="20">
        <v>23</v>
      </c>
      <c r="R1685" s="65" t="s">
        <v>2010</v>
      </c>
      <c r="T1685" s="19" t="s">
        <v>307</v>
      </c>
      <c r="V1685" s="19" t="s">
        <v>178</v>
      </c>
      <c r="W1685" s="19" t="s">
        <v>138</v>
      </c>
      <c r="Z1685" s="44" t="s">
        <v>2011</v>
      </c>
      <c r="AA1685" s="44" t="s">
        <v>180</v>
      </c>
      <c r="AC1685" s="19" t="s">
        <v>2347</v>
      </c>
    </row>
    <row r="1686" spans="1:29" hidden="1" x14ac:dyDescent="0.25">
      <c r="A1686" s="26">
        <v>309</v>
      </c>
      <c r="B1686" s="19" t="s">
        <v>2351</v>
      </c>
      <c r="C1686" s="44" t="s">
        <v>273</v>
      </c>
      <c r="D1686" s="19" t="s">
        <v>1011</v>
      </c>
      <c r="E1686" s="19">
        <v>20</v>
      </c>
      <c r="F1686" s="19">
        <v>300</v>
      </c>
      <c r="G1686" s="19">
        <v>9980</v>
      </c>
      <c r="H1686" s="19">
        <v>1</v>
      </c>
      <c r="I1686" s="80">
        <v>470.06</v>
      </c>
      <c r="J1686" s="80">
        <v>470.06</v>
      </c>
      <c r="K1686" s="19" t="s">
        <v>195</v>
      </c>
      <c r="L1686" s="19" t="s">
        <v>2346</v>
      </c>
      <c r="Q1686" s="20">
        <v>23</v>
      </c>
      <c r="R1686" s="65" t="s">
        <v>2010</v>
      </c>
      <c r="T1686" s="19" t="s">
        <v>307</v>
      </c>
      <c r="V1686" s="19" t="s">
        <v>178</v>
      </c>
      <c r="Y1686" s="19" t="s">
        <v>138</v>
      </c>
      <c r="Z1686" s="44" t="s">
        <v>2011</v>
      </c>
      <c r="AA1686" s="44" t="s">
        <v>180</v>
      </c>
      <c r="AC1686" s="19" t="s">
        <v>2347</v>
      </c>
    </row>
    <row r="1687" spans="1:29" hidden="1" x14ac:dyDescent="0.25">
      <c r="A1687" s="26">
        <v>310</v>
      </c>
      <c r="B1687" s="19" t="s">
        <v>2352</v>
      </c>
      <c r="C1687" s="44" t="s">
        <v>273</v>
      </c>
      <c r="D1687" s="19" t="s">
        <v>1025</v>
      </c>
      <c r="E1687" s="19">
        <v>20</v>
      </c>
      <c r="F1687" s="19">
        <v>300</v>
      </c>
      <c r="G1687" s="19">
        <v>1514</v>
      </c>
      <c r="H1687" s="19">
        <v>1</v>
      </c>
      <c r="I1687" s="80">
        <v>71.31</v>
      </c>
      <c r="J1687" s="80">
        <v>71.31</v>
      </c>
      <c r="K1687" s="19" t="s">
        <v>195</v>
      </c>
      <c r="L1687" s="19" t="s">
        <v>2346</v>
      </c>
      <c r="Q1687" s="20">
        <v>23</v>
      </c>
      <c r="R1687" s="65" t="s">
        <v>2010</v>
      </c>
      <c r="T1687" s="19" t="s">
        <v>307</v>
      </c>
      <c r="V1687" s="19" t="s">
        <v>178</v>
      </c>
      <c r="Y1687" s="19" t="s">
        <v>138</v>
      </c>
      <c r="Z1687" s="44" t="s">
        <v>2011</v>
      </c>
      <c r="AA1687" s="44" t="s">
        <v>180</v>
      </c>
      <c r="AC1687" s="19" t="s">
        <v>2347</v>
      </c>
    </row>
    <row r="1688" spans="1:29" hidden="1" x14ac:dyDescent="0.25">
      <c r="A1688" s="26">
        <v>311</v>
      </c>
      <c r="B1688" s="19" t="s">
        <v>2353</v>
      </c>
      <c r="C1688" s="44" t="s">
        <v>273</v>
      </c>
      <c r="D1688" s="19" t="s">
        <v>1025</v>
      </c>
      <c r="E1688" s="19">
        <v>20</v>
      </c>
      <c r="F1688" s="19">
        <v>300</v>
      </c>
      <c r="G1688" s="19">
        <v>1514</v>
      </c>
      <c r="H1688" s="19">
        <v>1</v>
      </c>
      <c r="I1688" s="80">
        <v>71.31</v>
      </c>
      <c r="J1688" s="80">
        <v>71.31</v>
      </c>
      <c r="K1688" s="19" t="s">
        <v>195</v>
      </c>
      <c r="L1688" s="19" t="s">
        <v>2346</v>
      </c>
      <c r="Q1688" s="20">
        <v>23</v>
      </c>
      <c r="R1688" s="65" t="s">
        <v>2010</v>
      </c>
      <c r="T1688" s="19" t="s">
        <v>307</v>
      </c>
      <c r="V1688" s="19" t="s">
        <v>178</v>
      </c>
      <c r="Y1688" s="19" t="s">
        <v>138</v>
      </c>
      <c r="Z1688" s="44" t="s">
        <v>2011</v>
      </c>
      <c r="AA1688" s="44" t="s">
        <v>180</v>
      </c>
      <c r="AC1688" s="19" t="s">
        <v>2347</v>
      </c>
    </row>
    <row r="1689" spans="1:29" hidden="1" x14ac:dyDescent="0.25">
      <c r="A1689" s="26">
        <v>312</v>
      </c>
      <c r="B1689" s="19" t="s">
        <v>2354</v>
      </c>
      <c r="C1689" s="44" t="s">
        <v>273</v>
      </c>
      <c r="D1689" s="19" t="s">
        <v>1025</v>
      </c>
      <c r="E1689" s="19">
        <v>20</v>
      </c>
      <c r="F1689" s="19">
        <v>300</v>
      </c>
      <c r="G1689" s="19">
        <v>1514</v>
      </c>
      <c r="H1689" s="19">
        <v>1</v>
      </c>
      <c r="I1689" s="80">
        <v>71.31</v>
      </c>
      <c r="J1689" s="80">
        <v>71.31</v>
      </c>
      <c r="K1689" s="19" t="s">
        <v>195</v>
      </c>
      <c r="L1689" s="19" t="s">
        <v>2346</v>
      </c>
      <c r="Q1689" s="20">
        <v>23</v>
      </c>
      <c r="R1689" s="65" t="s">
        <v>2010</v>
      </c>
      <c r="T1689" s="19" t="s">
        <v>307</v>
      </c>
      <c r="V1689" s="19" t="s">
        <v>178</v>
      </c>
      <c r="Y1689" s="19" t="s">
        <v>138</v>
      </c>
      <c r="Z1689" s="44" t="s">
        <v>2011</v>
      </c>
      <c r="AA1689" s="44" t="s">
        <v>180</v>
      </c>
      <c r="AC1689" s="19" t="s">
        <v>2347</v>
      </c>
    </row>
    <row r="1690" spans="1:29" hidden="1" x14ac:dyDescent="0.25">
      <c r="A1690" s="26">
        <v>313</v>
      </c>
      <c r="B1690" s="19" t="s">
        <v>2355</v>
      </c>
      <c r="C1690" s="44" t="s">
        <v>273</v>
      </c>
      <c r="D1690" s="19" t="s">
        <v>1025</v>
      </c>
      <c r="E1690" s="19">
        <v>20</v>
      </c>
      <c r="F1690" s="19">
        <v>300</v>
      </c>
      <c r="G1690" s="19">
        <v>1514</v>
      </c>
      <c r="H1690" s="19">
        <v>1</v>
      </c>
      <c r="I1690" s="80">
        <v>71.31</v>
      </c>
      <c r="J1690" s="80">
        <v>71.31</v>
      </c>
      <c r="K1690" s="19" t="s">
        <v>195</v>
      </c>
      <c r="L1690" s="19" t="s">
        <v>2346</v>
      </c>
      <c r="Q1690" s="20">
        <v>23</v>
      </c>
      <c r="R1690" s="65" t="s">
        <v>2010</v>
      </c>
      <c r="T1690" s="19" t="s">
        <v>307</v>
      </c>
      <c r="V1690" s="19" t="s">
        <v>178</v>
      </c>
      <c r="Y1690" s="19" t="s">
        <v>138</v>
      </c>
      <c r="Z1690" s="44" t="s">
        <v>2011</v>
      </c>
      <c r="AA1690" s="44" t="s">
        <v>180</v>
      </c>
      <c r="AC1690" s="19" t="s">
        <v>2347</v>
      </c>
    </row>
    <row r="1691" spans="1:29" hidden="1" x14ac:dyDescent="0.25">
      <c r="A1691" s="26">
        <v>314</v>
      </c>
      <c r="B1691" s="19" t="s">
        <v>2356</v>
      </c>
      <c r="C1691" s="44" t="s">
        <v>273</v>
      </c>
      <c r="D1691" s="19" t="s">
        <v>1025</v>
      </c>
      <c r="E1691" s="19">
        <v>20</v>
      </c>
      <c r="F1691" s="19">
        <v>300</v>
      </c>
      <c r="G1691" s="19">
        <v>1514</v>
      </c>
      <c r="H1691" s="19">
        <v>1</v>
      </c>
      <c r="I1691" s="80">
        <v>71.31</v>
      </c>
      <c r="J1691" s="80">
        <v>71.31</v>
      </c>
      <c r="K1691" s="19" t="s">
        <v>195</v>
      </c>
      <c r="L1691" s="19" t="s">
        <v>2346</v>
      </c>
      <c r="Q1691" s="20">
        <v>23</v>
      </c>
      <c r="R1691" s="65" t="s">
        <v>2010</v>
      </c>
      <c r="T1691" s="19" t="s">
        <v>307</v>
      </c>
      <c r="V1691" s="19" t="s">
        <v>178</v>
      </c>
      <c r="Y1691" s="19" t="s">
        <v>138</v>
      </c>
      <c r="Z1691" s="44" t="s">
        <v>2011</v>
      </c>
      <c r="AA1691" s="44" t="s">
        <v>180</v>
      </c>
      <c r="AC1691" s="19" t="s">
        <v>2347</v>
      </c>
    </row>
    <row r="1692" spans="1:29" hidden="1" x14ac:dyDescent="0.25">
      <c r="A1692" s="26">
        <v>315</v>
      </c>
      <c r="B1692" s="19" t="s">
        <v>2283</v>
      </c>
      <c r="C1692" s="44" t="s">
        <v>273</v>
      </c>
      <c r="D1692" s="19" t="s">
        <v>1370</v>
      </c>
      <c r="E1692" s="19">
        <v>20</v>
      </c>
      <c r="F1692" s="19">
        <v>300</v>
      </c>
      <c r="G1692" s="19">
        <v>480</v>
      </c>
      <c r="H1692" s="19">
        <v>2</v>
      </c>
      <c r="I1692" s="80">
        <v>22.61</v>
      </c>
      <c r="J1692" s="80">
        <v>45.22</v>
      </c>
      <c r="K1692" s="19" t="s">
        <v>195</v>
      </c>
      <c r="L1692" s="19" t="s">
        <v>2346</v>
      </c>
      <c r="Q1692" s="20">
        <v>23</v>
      </c>
      <c r="R1692" s="65" t="s">
        <v>2010</v>
      </c>
      <c r="T1692" s="19" t="s">
        <v>307</v>
      </c>
      <c r="V1692" s="19" t="s">
        <v>178</v>
      </c>
      <c r="W1692" s="19" t="s">
        <v>138</v>
      </c>
      <c r="Z1692" s="44" t="s">
        <v>2011</v>
      </c>
      <c r="AA1692" s="44" t="s">
        <v>180</v>
      </c>
      <c r="AC1692" s="19" t="s">
        <v>2347</v>
      </c>
    </row>
    <row r="1693" spans="1:29" hidden="1" x14ac:dyDescent="0.25">
      <c r="A1693" s="26">
        <v>316</v>
      </c>
      <c r="B1693" s="19" t="s">
        <v>2357</v>
      </c>
      <c r="C1693" s="44" t="s">
        <v>273</v>
      </c>
      <c r="D1693" s="19" t="s">
        <v>1025</v>
      </c>
      <c r="E1693" s="19">
        <v>20</v>
      </c>
      <c r="F1693" s="19">
        <v>300</v>
      </c>
      <c r="G1693" s="19">
        <v>1514</v>
      </c>
      <c r="H1693" s="19">
        <v>1</v>
      </c>
      <c r="I1693" s="80">
        <v>71.31</v>
      </c>
      <c r="J1693" s="80">
        <v>71.31</v>
      </c>
      <c r="K1693" s="19" t="s">
        <v>195</v>
      </c>
      <c r="L1693" s="19" t="s">
        <v>2358</v>
      </c>
      <c r="Q1693" s="20">
        <v>23</v>
      </c>
      <c r="R1693" s="65" t="s">
        <v>2010</v>
      </c>
      <c r="T1693" s="19" t="s">
        <v>307</v>
      </c>
      <c r="V1693" s="19" t="s">
        <v>178</v>
      </c>
      <c r="Y1693" s="19" t="s">
        <v>138</v>
      </c>
      <c r="Z1693" s="44" t="s">
        <v>2011</v>
      </c>
      <c r="AA1693" s="44" t="s">
        <v>180</v>
      </c>
      <c r="AC1693" s="19" t="s">
        <v>2359</v>
      </c>
    </row>
    <row r="1694" spans="1:29" hidden="1" x14ac:dyDescent="0.25">
      <c r="A1694" s="26">
        <v>317</v>
      </c>
      <c r="B1694" s="19" t="s">
        <v>2360</v>
      </c>
      <c r="C1694" s="44" t="s">
        <v>273</v>
      </c>
      <c r="D1694" s="19" t="s">
        <v>1025</v>
      </c>
      <c r="E1694" s="19">
        <v>20</v>
      </c>
      <c r="F1694" s="19">
        <v>300</v>
      </c>
      <c r="G1694" s="19">
        <v>1514</v>
      </c>
      <c r="H1694" s="19">
        <v>1</v>
      </c>
      <c r="I1694" s="80">
        <v>71.31</v>
      </c>
      <c r="J1694" s="80">
        <v>71.31</v>
      </c>
      <c r="K1694" s="19" t="s">
        <v>195</v>
      </c>
      <c r="L1694" s="19" t="s">
        <v>2358</v>
      </c>
      <c r="Q1694" s="20">
        <v>23</v>
      </c>
      <c r="R1694" s="65" t="s">
        <v>2010</v>
      </c>
      <c r="T1694" s="19" t="s">
        <v>307</v>
      </c>
      <c r="V1694" s="19" t="s">
        <v>178</v>
      </c>
      <c r="Y1694" s="19" t="s">
        <v>138</v>
      </c>
      <c r="Z1694" s="44" t="s">
        <v>2011</v>
      </c>
      <c r="AA1694" s="44" t="s">
        <v>180</v>
      </c>
      <c r="AC1694" s="19" t="s">
        <v>2359</v>
      </c>
    </row>
    <row r="1695" spans="1:29" hidden="1" x14ac:dyDescent="0.25">
      <c r="A1695" s="26">
        <v>318</v>
      </c>
      <c r="B1695" s="19" t="s">
        <v>2361</v>
      </c>
      <c r="C1695" s="44" t="s">
        <v>273</v>
      </c>
      <c r="D1695" s="19" t="s">
        <v>1025</v>
      </c>
      <c r="E1695" s="19">
        <v>20</v>
      </c>
      <c r="F1695" s="19">
        <v>300</v>
      </c>
      <c r="G1695" s="19">
        <v>1514</v>
      </c>
      <c r="H1695" s="19">
        <v>1</v>
      </c>
      <c r="I1695" s="80">
        <v>71.31</v>
      </c>
      <c r="J1695" s="80">
        <v>71.31</v>
      </c>
      <c r="K1695" s="19" t="s">
        <v>195</v>
      </c>
      <c r="L1695" s="19" t="s">
        <v>2358</v>
      </c>
      <c r="Q1695" s="20">
        <v>23</v>
      </c>
      <c r="R1695" s="65" t="s">
        <v>2010</v>
      </c>
      <c r="T1695" s="19" t="s">
        <v>307</v>
      </c>
      <c r="V1695" s="19" t="s">
        <v>178</v>
      </c>
      <c r="Y1695" s="19" t="s">
        <v>138</v>
      </c>
      <c r="Z1695" s="44" t="s">
        <v>2011</v>
      </c>
      <c r="AA1695" s="44" t="s">
        <v>180</v>
      </c>
      <c r="AC1695" s="19" t="s">
        <v>2359</v>
      </c>
    </row>
    <row r="1696" spans="1:29" hidden="1" x14ac:dyDescent="0.25">
      <c r="A1696" s="26">
        <v>319</v>
      </c>
      <c r="B1696" s="19" t="s">
        <v>2362</v>
      </c>
      <c r="C1696" s="44" t="s">
        <v>273</v>
      </c>
      <c r="D1696" s="19" t="s">
        <v>1025</v>
      </c>
      <c r="E1696" s="19">
        <v>20</v>
      </c>
      <c r="F1696" s="19">
        <v>300</v>
      </c>
      <c r="G1696" s="19">
        <v>1514</v>
      </c>
      <c r="H1696" s="19">
        <v>1</v>
      </c>
      <c r="I1696" s="80">
        <v>71.31</v>
      </c>
      <c r="J1696" s="80">
        <v>71.31</v>
      </c>
      <c r="K1696" s="19" t="s">
        <v>195</v>
      </c>
      <c r="L1696" s="19" t="s">
        <v>2358</v>
      </c>
      <c r="Q1696" s="20">
        <v>23</v>
      </c>
      <c r="R1696" s="65" t="s">
        <v>2010</v>
      </c>
      <c r="T1696" s="19" t="s">
        <v>307</v>
      </c>
      <c r="V1696" s="19" t="s">
        <v>178</v>
      </c>
      <c r="Y1696" s="19" t="s">
        <v>138</v>
      </c>
      <c r="Z1696" s="44" t="s">
        <v>2011</v>
      </c>
      <c r="AA1696" s="44" t="s">
        <v>180</v>
      </c>
      <c r="AC1696" s="19" t="s">
        <v>2359</v>
      </c>
    </row>
    <row r="1697" spans="1:29" hidden="1" x14ac:dyDescent="0.25">
      <c r="A1697" s="26">
        <v>320</v>
      </c>
      <c r="B1697" s="19" t="s">
        <v>2305</v>
      </c>
      <c r="C1697" s="44" t="s">
        <v>273</v>
      </c>
      <c r="D1697" s="19" t="s">
        <v>1370</v>
      </c>
      <c r="E1697" s="19">
        <v>20</v>
      </c>
      <c r="F1697" s="19">
        <v>300</v>
      </c>
      <c r="G1697" s="19">
        <v>480</v>
      </c>
      <c r="H1697" s="19">
        <v>2</v>
      </c>
      <c r="I1697" s="80">
        <v>22.61</v>
      </c>
      <c r="J1697" s="80">
        <v>45.22</v>
      </c>
      <c r="K1697" s="19" t="s">
        <v>195</v>
      </c>
      <c r="L1697" s="19" t="s">
        <v>2358</v>
      </c>
      <c r="Q1697" s="20">
        <v>23</v>
      </c>
      <c r="R1697" s="65" t="s">
        <v>2010</v>
      </c>
      <c r="T1697" s="19" t="s">
        <v>307</v>
      </c>
      <c r="V1697" s="19" t="s">
        <v>178</v>
      </c>
      <c r="W1697" s="19" t="s">
        <v>138</v>
      </c>
      <c r="Z1697" s="44" t="s">
        <v>2011</v>
      </c>
      <c r="AA1697" s="44" t="s">
        <v>180</v>
      </c>
      <c r="AC1697" s="19" t="s">
        <v>2359</v>
      </c>
    </row>
    <row r="1698" spans="1:29" hidden="1" x14ac:dyDescent="0.25">
      <c r="A1698" s="26">
        <v>321</v>
      </c>
      <c r="B1698" s="19" t="s">
        <v>2363</v>
      </c>
      <c r="C1698" s="44" t="s">
        <v>273</v>
      </c>
      <c r="D1698" s="19" t="s">
        <v>1020</v>
      </c>
      <c r="E1698" s="19">
        <v>20</v>
      </c>
      <c r="F1698" s="19">
        <v>1436</v>
      </c>
      <c r="G1698" s="19">
        <v>9068</v>
      </c>
      <c r="H1698" s="19">
        <v>1</v>
      </c>
      <c r="I1698" s="80">
        <v>2029.94</v>
      </c>
      <c r="J1698" s="80">
        <v>2029.94</v>
      </c>
      <c r="K1698" s="19" t="s">
        <v>195</v>
      </c>
      <c r="L1698" s="19" t="s">
        <v>2358</v>
      </c>
      <c r="Q1698" s="20">
        <v>23</v>
      </c>
      <c r="R1698" s="65" t="s">
        <v>2010</v>
      </c>
      <c r="T1698" s="19" t="s">
        <v>307</v>
      </c>
      <c r="V1698" s="19" t="s">
        <v>178</v>
      </c>
      <c r="Y1698" s="19" t="s">
        <v>138</v>
      </c>
      <c r="Z1698" s="44" t="s">
        <v>2011</v>
      </c>
      <c r="AA1698" s="44" t="s">
        <v>180</v>
      </c>
      <c r="AC1698" s="19" t="s">
        <v>2359</v>
      </c>
    </row>
    <row r="1699" spans="1:29" hidden="1" x14ac:dyDescent="0.25">
      <c r="A1699" s="26">
        <v>322</v>
      </c>
      <c r="B1699" s="19" t="s">
        <v>2364</v>
      </c>
      <c r="C1699" s="44" t="s">
        <v>273</v>
      </c>
      <c r="D1699" s="19" t="s">
        <v>1011</v>
      </c>
      <c r="E1699" s="19">
        <v>20</v>
      </c>
      <c r="F1699" s="19">
        <v>300</v>
      </c>
      <c r="G1699" s="19">
        <v>9980</v>
      </c>
      <c r="H1699" s="19">
        <v>1</v>
      </c>
      <c r="I1699" s="80">
        <v>470.06</v>
      </c>
      <c r="J1699" s="80">
        <v>470.06</v>
      </c>
      <c r="K1699" s="19" t="s">
        <v>195</v>
      </c>
      <c r="L1699" s="19" t="s">
        <v>2358</v>
      </c>
      <c r="Q1699" s="20">
        <v>23</v>
      </c>
      <c r="R1699" s="65" t="s">
        <v>2010</v>
      </c>
      <c r="T1699" s="19" t="s">
        <v>307</v>
      </c>
      <c r="V1699" s="19" t="s">
        <v>178</v>
      </c>
      <c r="Y1699" s="19" t="s">
        <v>138</v>
      </c>
      <c r="Z1699" s="44" t="s">
        <v>2011</v>
      </c>
      <c r="AA1699" s="44" t="s">
        <v>180</v>
      </c>
      <c r="AC1699" s="19" t="s">
        <v>2359</v>
      </c>
    </row>
    <row r="1700" spans="1:29" hidden="1" x14ac:dyDescent="0.25">
      <c r="A1700" s="26">
        <v>323</v>
      </c>
      <c r="B1700" s="19" t="s">
        <v>2365</v>
      </c>
      <c r="C1700" s="44" t="s">
        <v>273</v>
      </c>
      <c r="D1700" s="19" t="s">
        <v>1011</v>
      </c>
      <c r="E1700" s="19">
        <v>20</v>
      </c>
      <c r="F1700" s="19">
        <v>300</v>
      </c>
      <c r="G1700" s="19">
        <v>9980</v>
      </c>
      <c r="H1700" s="19">
        <v>1</v>
      </c>
      <c r="I1700" s="80">
        <v>470.06</v>
      </c>
      <c r="J1700" s="80">
        <v>470.06</v>
      </c>
      <c r="K1700" s="19" t="s">
        <v>195</v>
      </c>
      <c r="L1700" s="19" t="s">
        <v>2358</v>
      </c>
      <c r="Q1700" s="20">
        <v>23</v>
      </c>
      <c r="R1700" s="65" t="s">
        <v>2010</v>
      </c>
      <c r="T1700" s="19" t="s">
        <v>307</v>
      </c>
      <c r="V1700" s="19" t="s">
        <v>178</v>
      </c>
      <c r="Y1700" s="19" t="s">
        <v>138</v>
      </c>
      <c r="Z1700" s="44" t="s">
        <v>2011</v>
      </c>
      <c r="AA1700" s="44" t="s">
        <v>180</v>
      </c>
      <c r="AC1700" s="19" t="s">
        <v>2359</v>
      </c>
    </row>
    <row r="1701" spans="1:29" hidden="1" x14ac:dyDescent="0.25">
      <c r="A1701" s="26">
        <v>324</v>
      </c>
      <c r="B1701" s="19" t="s">
        <v>2366</v>
      </c>
      <c r="C1701" s="44" t="s">
        <v>273</v>
      </c>
      <c r="D1701" s="19" t="s">
        <v>1011</v>
      </c>
      <c r="E1701" s="19">
        <v>20</v>
      </c>
      <c r="F1701" s="19">
        <v>300</v>
      </c>
      <c r="G1701" s="19">
        <v>9980</v>
      </c>
      <c r="H1701" s="19">
        <v>1</v>
      </c>
      <c r="I1701" s="80">
        <v>470.06</v>
      </c>
      <c r="J1701" s="80">
        <v>470.06</v>
      </c>
      <c r="K1701" s="19" t="s">
        <v>195</v>
      </c>
      <c r="L1701" s="19" t="s">
        <v>2358</v>
      </c>
      <c r="Q1701" s="20">
        <v>23</v>
      </c>
      <c r="R1701" s="65" t="s">
        <v>2010</v>
      </c>
      <c r="T1701" s="19" t="s">
        <v>307</v>
      </c>
      <c r="V1701" s="19" t="s">
        <v>178</v>
      </c>
      <c r="Y1701" s="19" t="s">
        <v>138</v>
      </c>
      <c r="Z1701" s="44" t="s">
        <v>2011</v>
      </c>
      <c r="AA1701" s="44" t="s">
        <v>180</v>
      </c>
      <c r="AC1701" s="19" t="s">
        <v>2359</v>
      </c>
    </row>
    <row r="1702" spans="1:29" hidden="1" x14ac:dyDescent="0.25">
      <c r="A1702" s="26">
        <v>325</v>
      </c>
      <c r="B1702" s="19" t="s">
        <v>2367</v>
      </c>
      <c r="C1702" s="44" t="s">
        <v>273</v>
      </c>
      <c r="D1702" s="19" t="s">
        <v>1025</v>
      </c>
      <c r="E1702" s="19">
        <v>20</v>
      </c>
      <c r="F1702" s="19">
        <v>300</v>
      </c>
      <c r="G1702" s="19">
        <v>1514</v>
      </c>
      <c r="H1702" s="19">
        <v>1</v>
      </c>
      <c r="I1702" s="80">
        <v>71.31</v>
      </c>
      <c r="J1702" s="80">
        <v>71.31</v>
      </c>
      <c r="K1702" s="19" t="s">
        <v>195</v>
      </c>
      <c r="L1702" s="19" t="s">
        <v>2358</v>
      </c>
      <c r="Q1702" s="20">
        <v>23</v>
      </c>
      <c r="R1702" s="65" t="s">
        <v>2010</v>
      </c>
      <c r="T1702" s="19" t="s">
        <v>307</v>
      </c>
      <c r="V1702" s="19" t="s">
        <v>178</v>
      </c>
      <c r="Y1702" s="19" t="s">
        <v>138</v>
      </c>
      <c r="Z1702" s="44" t="s">
        <v>2011</v>
      </c>
      <c r="AA1702" s="44" t="s">
        <v>180</v>
      </c>
      <c r="AC1702" s="19" t="s">
        <v>2359</v>
      </c>
    </row>
    <row r="1703" spans="1:29" hidden="1" x14ac:dyDescent="0.25">
      <c r="A1703" s="26">
        <v>326</v>
      </c>
      <c r="B1703" s="19" t="s">
        <v>2368</v>
      </c>
      <c r="C1703" s="44" t="s">
        <v>273</v>
      </c>
      <c r="D1703" s="19" t="s">
        <v>1025</v>
      </c>
      <c r="E1703" s="19">
        <v>20</v>
      </c>
      <c r="F1703" s="19">
        <v>300</v>
      </c>
      <c r="G1703" s="19">
        <v>1514</v>
      </c>
      <c r="H1703" s="19">
        <v>1</v>
      </c>
      <c r="I1703" s="80">
        <v>71.31</v>
      </c>
      <c r="J1703" s="80">
        <v>71.31</v>
      </c>
      <c r="K1703" s="19" t="s">
        <v>195</v>
      </c>
      <c r="L1703" s="19" t="s">
        <v>2358</v>
      </c>
      <c r="Q1703" s="20">
        <v>23</v>
      </c>
      <c r="R1703" s="65" t="s">
        <v>2010</v>
      </c>
      <c r="T1703" s="19" t="s">
        <v>307</v>
      </c>
      <c r="V1703" s="19" t="s">
        <v>178</v>
      </c>
      <c r="Y1703" s="19" t="s">
        <v>138</v>
      </c>
      <c r="Z1703" s="44" t="s">
        <v>2011</v>
      </c>
      <c r="AA1703" s="44" t="s">
        <v>180</v>
      </c>
      <c r="AC1703" s="19" t="s">
        <v>2359</v>
      </c>
    </row>
    <row r="1704" spans="1:29" hidden="1" x14ac:dyDescent="0.25">
      <c r="A1704" s="26">
        <v>327</v>
      </c>
      <c r="B1704" s="19" t="s">
        <v>2283</v>
      </c>
      <c r="C1704" s="44" t="s">
        <v>273</v>
      </c>
      <c r="D1704" s="19" t="s">
        <v>1370</v>
      </c>
      <c r="E1704" s="19">
        <v>20</v>
      </c>
      <c r="F1704" s="19">
        <v>300</v>
      </c>
      <c r="G1704" s="19">
        <v>480</v>
      </c>
      <c r="H1704" s="19">
        <v>2</v>
      </c>
      <c r="I1704" s="80">
        <v>22.61</v>
      </c>
      <c r="J1704" s="80">
        <v>45.22</v>
      </c>
      <c r="K1704" s="19" t="s">
        <v>195</v>
      </c>
      <c r="L1704" s="19" t="s">
        <v>2358</v>
      </c>
      <c r="Q1704" s="20">
        <v>23</v>
      </c>
      <c r="R1704" s="65" t="s">
        <v>2010</v>
      </c>
      <c r="T1704" s="19" t="s">
        <v>307</v>
      </c>
      <c r="V1704" s="19" t="s">
        <v>178</v>
      </c>
      <c r="W1704" s="19" t="s">
        <v>138</v>
      </c>
      <c r="Z1704" s="44" t="s">
        <v>2011</v>
      </c>
      <c r="AA1704" s="44" t="s">
        <v>180</v>
      </c>
      <c r="AC1704" s="19" t="s">
        <v>2359</v>
      </c>
    </row>
    <row r="1705" spans="1:29" hidden="1" x14ac:dyDescent="0.25">
      <c r="A1705" s="26">
        <v>328</v>
      </c>
      <c r="B1705" s="19" t="s">
        <v>2284</v>
      </c>
      <c r="C1705" s="44" t="s">
        <v>273</v>
      </c>
      <c r="D1705" s="19" t="s">
        <v>1370</v>
      </c>
      <c r="E1705" s="19">
        <v>20</v>
      </c>
      <c r="F1705" s="19">
        <v>300</v>
      </c>
      <c r="G1705" s="19">
        <v>480</v>
      </c>
      <c r="H1705" s="19">
        <v>2</v>
      </c>
      <c r="I1705" s="80">
        <v>22.61</v>
      </c>
      <c r="J1705" s="80">
        <v>45.22</v>
      </c>
      <c r="K1705" s="19" t="s">
        <v>195</v>
      </c>
      <c r="L1705" s="19" t="s">
        <v>2358</v>
      </c>
      <c r="Q1705" s="20">
        <v>23</v>
      </c>
      <c r="R1705" s="65" t="s">
        <v>2010</v>
      </c>
      <c r="T1705" s="19" t="s">
        <v>307</v>
      </c>
      <c r="V1705" s="19" t="s">
        <v>178</v>
      </c>
      <c r="W1705" s="19" t="s">
        <v>138</v>
      </c>
      <c r="Z1705" s="44" t="s">
        <v>2011</v>
      </c>
      <c r="AA1705" s="44" t="s">
        <v>180</v>
      </c>
      <c r="AC1705" s="19" t="s">
        <v>2359</v>
      </c>
    </row>
    <row r="1706" spans="1:29" hidden="1" x14ac:dyDescent="0.25">
      <c r="A1706" s="26">
        <v>329</v>
      </c>
      <c r="B1706" s="19" t="s">
        <v>2369</v>
      </c>
      <c r="C1706" s="44" t="s">
        <v>273</v>
      </c>
      <c r="D1706" s="19" t="s">
        <v>1011</v>
      </c>
      <c r="E1706" s="19">
        <v>20</v>
      </c>
      <c r="F1706" s="19">
        <v>300</v>
      </c>
      <c r="G1706" s="19">
        <v>9980</v>
      </c>
      <c r="H1706" s="19">
        <v>1</v>
      </c>
      <c r="I1706" s="80">
        <v>470.06</v>
      </c>
      <c r="J1706" s="80">
        <v>470.06</v>
      </c>
      <c r="K1706" s="19" t="s">
        <v>195</v>
      </c>
      <c r="L1706" s="19" t="s">
        <v>2370</v>
      </c>
      <c r="Q1706" s="20">
        <v>23</v>
      </c>
      <c r="R1706" s="65" t="s">
        <v>2010</v>
      </c>
      <c r="T1706" s="19" t="s">
        <v>307</v>
      </c>
      <c r="V1706" s="19" t="s">
        <v>178</v>
      </c>
      <c r="Y1706" s="19" t="s">
        <v>138</v>
      </c>
      <c r="Z1706" s="44" t="s">
        <v>2011</v>
      </c>
      <c r="AA1706" s="44" t="s">
        <v>180</v>
      </c>
      <c r="AC1706" s="19" t="s">
        <v>2371</v>
      </c>
    </row>
    <row r="1707" spans="1:29" hidden="1" x14ac:dyDescent="0.25">
      <c r="A1707" s="26">
        <v>330</v>
      </c>
      <c r="B1707" s="19" t="s">
        <v>2372</v>
      </c>
      <c r="C1707" s="44" t="s">
        <v>273</v>
      </c>
      <c r="D1707" s="19" t="s">
        <v>1011</v>
      </c>
      <c r="E1707" s="19">
        <v>20</v>
      </c>
      <c r="F1707" s="19">
        <v>300</v>
      </c>
      <c r="G1707" s="19">
        <v>9980</v>
      </c>
      <c r="H1707" s="19">
        <v>1</v>
      </c>
      <c r="I1707" s="80">
        <v>470.06</v>
      </c>
      <c r="J1707" s="80">
        <v>470.06</v>
      </c>
      <c r="K1707" s="19" t="s">
        <v>195</v>
      </c>
      <c r="L1707" s="19" t="s">
        <v>2370</v>
      </c>
      <c r="Q1707" s="20">
        <v>23</v>
      </c>
      <c r="R1707" s="65" t="s">
        <v>2010</v>
      </c>
      <c r="T1707" s="19" t="s">
        <v>307</v>
      </c>
      <c r="V1707" s="19" t="s">
        <v>178</v>
      </c>
      <c r="Y1707" s="19" t="s">
        <v>138</v>
      </c>
      <c r="Z1707" s="44" t="s">
        <v>2011</v>
      </c>
      <c r="AA1707" s="44" t="s">
        <v>180</v>
      </c>
      <c r="AC1707" s="19" t="s">
        <v>2371</v>
      </c>
    </row>
    <row r="1708" spans="1:29" hidden="1" x14ac:dyDescent="0.25">
      <c r="A1708" s="26">
        <v>331</v>
      </c>
      <c r="B1708" s="19" t="s">
        <v>2373</v>
      </c>
      <c r="C1708" s="44" t="s">
        <v>273</v>
      </c>
      <c r="D1708" s="19" t="s">
        <v>1011</v>
      </c>
      <c r="E1708" s="19">
        <v>20</v>
      </c>
      <c r="F1708" s="19">
        <v>300</v>
      </c>
      <c r="G1708" s="19">
        <v>9980</v>
      </c>
      <c r="H1708" s="19">
        <v>1</v>
      </c>
      <c r="I1708" s="80">
        <v>470.06</v>
      </c>
      <c r="J1708" s="80">
        <v>470.06</v>
      </c>
      <c r="K1708" s="19" t="s">
        <v>195</v>
      </c>
      <c r="L1708" s="19" t="s">
        <v>2370</v>
      </c>
      <c r="Q1708" s="20">
        <v>23</v>
      </c>
      <c r="R1708" s="65" t="s">
        <v>2010</v>
      </c>
      <c r="T1708" s="19" t="s">
        <v>307</v>
      </c>
      <c r="V1708" s="19" t="s">
        <v>178</v>
      </c>
      <c r="Y1708" s="19" t="s">
        <v>138</v>
      </c>
      <c r="Z1708" s="44" t="s">
        <v>2011</v>
      </c>
      <c r="AA1708" s="44" t="s">
        <v>180</v>
      </c>
      <c r="AC1708" s="19" t="s">
        <v>2371</v>
      </c>
    </row>
    <row r="1709" spans="1:29" hidden="1" x14ac:dyDescent="0.25">
      <c r="A1709" s="26">
        <v>332</v>
      </c>
      <c r="B1709" s="19" t="s">
        <v>2374</v>
      </c>
      <c r="C1709" s="44" t="s">
        <v>273</v>
      </c>
      <c r="D1709" s="19" t="s">
        <v>1011</v>
      </c>
      <c r="E1709" s="19">
        <v>20</v>
      </c>
      <c r="F1709" s="19">
        <v>300</v>
      </c>
      <c r="G1709" s="19">
        <v>9980</v>
      </c>
      <c r="H1709" s="19">
        <v>1</v>
      </c>
      <c r="I1709" s="80">
        <v>470.06</v>
      </c>
      <c r="J1709" s="80">
        <v>470.06</v>
      </c>
      <c r="K1709" s="19" t="s">
        <v>195</v>
      </c>
      <c r="L1709" s="19" t="s">
        <v>2370</v>
      </c>
      <c r="Q1709" s="20">
        <v>23</v>
      </c>
      <c r="R1709" s="65" t="s">
        <v>2010</v>
      </c>
      <c r="T1709" s="19" t="s">
        <v>307</v>
      </c>
      <c r="V1709" s="19" t="s">
        <v>178</v>
      </c>
      <c r="Y1709" s="19" t="s">
        <v>138</v>
      </c>
      <c r="Z1709" s="44" t="s">
        <v>2011</v>
      </c>
      <c r="AA1709" s="44" t="s">
        <v>180</v>
      </c>
      <c r="AC1709" s="19" t="s">
        <v>2371</v>
      </c>
    </row>
    <row r="1710" spans="1:29" hidden="1" x14ac:dyDescent="0.25">
      <c r="A1710" s="26">
        <v>333</v>
      </c>
      <c r="B1710" s="19" t="s">
        <v>2375</v>
      </c>
      <c r="C1710" s="44" t="s">
        <v>273</v>
      </c>
      <c r="D1710" s="19" t="s">
        <v>1028</v>
      </c>
      <c r="E1710" s="19">
        <v>20</v>
      </c>
      <c r="F1710" s="19">
        <v>300</v>
      </c>
      <c r="G1710" s="19">
        <v>9516</v>
      </c>
      <c r="H1710" s="19">
        <v>1</v>
      </c>
      <c r="I1710" s="80">
        <v>448.2</v>
      </c>
      <c r="J1710" s="80">
        <v>448.2</v>
      </c>
      <c r="K1710" s="19" t="s">
        <v>195</v>
      </c>
      <c r="L1710" s="19" t="s">
        <v>2376</v>
      </c>
      <c r="P1710" s="19" t="s">
        <v>138</v>
      </c>
      <c r="Q1710" s="20">
        <v>23</v>
      </c>
      <c r="R1710" s="65" t="s">
        <v>2010</v>
      </c>
      <c r="T1710" s="19" t="s">
        <v>307</v>
      </c>
      <c r="V1710" s="19" t="s">
        <v>178</v>
      </c>
      <c r="Y1710" s="19" t="s">
        <v>138</v>
      </c>
      <c r="Z1710" s="44" t="s">
        <v>2011</v>
      </c>
      <c r="AA1710" s="44" t="s">
        <v>180</v>
      </c>
      <c r="AC1710" s="19" t="s">
        <v>2377</v>
      </c>
    </row>
    <row r="1711" spans="1:29" hidden="1" x14ac:dyDescent="0.25">
      <c r="A1711" s="26">
        <v>334</v>
      </c>
      <c r="B1711" s="19" t="s">
        <v>2378</v>
      </c>
      <c r="C1711" s="44" t="s">
        <v>273</v>
      </c>
      <c r="D1711" s="19" t="s">
        <v>1050</v>
      </c>
      <c r="E1711" s="19">
        <v>20</v>
      </c>
      <c r="F1711" s="19">
        <v>300</v>
      </c>
      <c r="G1711" s="19">
        <v>1383</v>
      </c>
      <c r="H1711" s="19">
        <v>1</v>
      </c>
      <c r="I1711" s="80">
        <v>65.14</v>
      </c>
      <c r="J1711" s="80">
        <v>65.14</v>
      </c>
      <c r="K1711" s="19" t="s">
        <v>195</v>
      </c>
      <c r="L1711" s="19" t="s">
        <v>2376</v>
      </c>
      <c r="P1711" s="19" t="s">
        <v>138</v>
      </c>
      <c r="Q1711" s="20">
        <v>23</v>
      </c>
      <c r="R1711" s="65" t="s">
        <v>2010</v>
      </c>
      <c r="T1711" s="19" t="s">
        <v>307</v>
      </c>
      <c r="V1711" s="19" t="s">
        <v>178</v>
      </c>
      <c r="Y1711" s="19" t="s">
        <v>138</v>
      </c>
      <c r="Z1711" s="44" t="s">
        <v>2011</v>
      </c>
      <c r="AA1711" s="44" t="s">
        <v>180</v>
      </c>
      <c r="AC1711" s="19" t="s">
        <v>2377</v>
      </c>
    </row>
    <row r="1712" spans="1:29" hidden="1" x14ac:dyDescent="0.25">
      <c r="A1712" s="26">
        <v>335</v>
      </c>
      <c r="B1712" s="19" t="s">
        <v>2379</v>
      </c>
      <c r="C1712" s="44" t="s">
        <v>273</v>
      </c>
      <c r="D1712" s="19" t="s">
        <v>1050</v>
      </c>
      <c r="E1712" s="19">
        <v>20</v>
      </c>
      <c r="F1712" s="19">
        <v>300</v>
      </c>
      <c r="G1712" s="19">
        <v>1383</v>
      </c>
      <c r="H1712" s="19">
        <v>1</v>
      </c>
      <c r="I1712" s="80">
        <v>65.14</v>
      </c>
      <c r="J1712" s="80">
        <v>65.14</v>
      </c>
      <c r="K1712" s="19" t="s">
        <v>195</v>
      </c>
      <c r="L1712" s="19" t="s">
        <v>2376</v>
      </c>
      <c r="P1712" s="19" t="s">
        <v>138</v>
      </c>
      <c r="Q1712" s="20">
        <v>23</v>
      </c>
      <c r="R1712" s="65" t="s">
        <v>2010</v>
      </c>
      <c r="T1712" s="19" t="s">
        <v>307</v>
      </c>
      <c r="V1712" s="19" t="s">
        <v>178</v>
      </c>
      <c r="Y1712" s="19" t="s">
        <v>138</v>
      </c>
      <c r="Z1712" s="44" t="s">
        <v>2011</v>
      </c>
      <c r="AA1712" s="44" t="s">
        <v>180</v>
      </c>
      <c r="AC1712" s="19" t="s">
        <v>2377</v>
      </c>
    </row>
    <row r="1713" spans="1:29" hidden="1" x14ac:dyDescent="0.25">
      <c r="A1713" s="26">
        <v>336</v>
      </c>
      <c r="B1713" s="19" t="s">
        <v>2380</v>
      </c>
      <c r="C1713" s="44" t="s">
        <v>273</v>
      </c>
      <c r="D1713" s="19" t="s">
        <v>1050</v>
      </c>
      <c r="E1713" s="19">
        <v>20</v>
      </c>
      <c r="F1713" s="19">
        <v>300</v>
      </c>
      <c r="G1713" s="19">
        <v>1383</v>
      </c>
      <c r="H1713" s="19">
        <v>1</v>
      </c>
      <c r="I1713" s="80">
        <v>65.14</v>
      </c>
      <c r="J1713" s="80">
        <v>65.14</v>
      </c>
      <c r="K1713" s="19" t="s">
        <v>195</v>
      </c>
      <c r="L1713" s="19" t="s">
        <v>2376</v>
      </c>
      <c r="P1713" s="19" t="s">
        <v>138</v>
      </c>
      <c r="Q1713" s="20">
        <v>23</v>
      </c>
      <c r="R1713" s="65" t="s">
        <v>2010</v>
      </c>
      <c r="T1713" s="19" t="s">
        <v>307</v>
      </c>
      <c r="V1713" s="19" t="s">
        <v>178</v>
      </c>
      <c r="Y1713" s="19" t="s">
        <v>138</v>
      </c>
      <c r="Z1713" s="44" t="s">
        <v>2011</v>
      </c>
      <c r="AA1713" s="44" t="s">
        <v>180</v>
      </c>
      <c r="AC1713" s="19" t="s">
        <v>2377</v>
      </c>
    </row>
    <row r="1714" spans="1:29" hidden="1" x14ac:dyDescent="0.25">
      <c r="A1714" s="26">
        <v>337</v>
      </c>
      <c r="B1714" s="19" t="s">
        <v>2381</v>
      </c>
      <c r="C1714" s="44" t="s">
        <v>273</v>
      </c>
      <c r="D1714" s="19" t="s">
        <v>1028</v>
      </c>
      <c r="E1714" s="19">
        <v>20</v>
      </c>
      <c r="F1714" s="19">
        <v>300</v>
      </c>
      <c r="G1714" s="19">
        <v>9516</v>
      </c>
      <c r="H1714" s="19">
        <v>1</v>
      </c>
      <c r="I1714" s="80">
        <v>448.2</v>
      </c>
      <c r="J1714" s="80">
        <v>448.2</v>
      </c>
      <c r="K1714" s="19" t="s">
        <v>195</v>
      </c>
      <c r="L1714" s="19" t="s">
        <v>2376</v>
      </c>
      <c r="P1714" s="19" t="s">
        <v>138</v>
      </c>
      <c r="Q1714" s="20">
        <v>23</v>
      </c>
      <c r="R1714" s="65" t="s">
        <v>2010</v>
      </c>
      <c r="T1714" s="19" t="s">
        <v>307</v>
      </c>
      <c r="V1714" s="19" t="s">
        <v>178</v>
      </c>
      <c r="Y1714" s="19" t="s">
        <v>138</v>
      </c>
      <c r="Z1714" s="44" t="s">
        <v>2011</v>
      </c>
      <c r="AA1714" s="44" t="s">
        <v>180</v>
      </c>
      <c r="AC1714" s="19" t="s">
        <v>2377</v>
      </c>
    </row>
    <row r="1715" spans="1:29" hidden="1" x14ac:dyDescent="0.25">
      <c r="A1715" s="26">
        <v>338</v>
      </c>
      <c r="B1715" s="19" t="s">
        <v>2382</v>
      </c>
      <c r="C1715" s="44" t="s">
        <v>273</v>
      </c>
      <c r="D1715" s="19" t="s">
        <v>1028</v>
      </c>
      <c r="E1715" s="19">
        <v>20</v>
      </c>
      <c r="F1715" s="19">
        <v>300</v>
      </c>
      <c r="G1715" s="19">
        <v>9516</v>
      </c>
      <c r="H1715" s="19">
        <v>1</v>
      </c>
      <c r="I1715" s="80">
        <v>448.2</v>
      </c>
      <c r="J1715" s="80">
        <v>448.2</v>
      </c>
      <c r="K1715" s="19" t="s">
        <v>195</v>
      </c>
      <c r="L1715" s="19" t="s">
        <v>2376</v>
      </c>
      <c r="P1715" s="19" t="s">
        <v>138</v>
      </c>
      <c r="Q1715" s="20">
        <v>23</v>
      </c>
      <c r="R1715" s="65" t="s">
        <v>2010</v>
      </c>
      <c r="T1715" s="19" t="s">
        <v>307</v>
      </c>
      <c r="V1715" s="19" t="s">
        <v>178</v>
      </c>
      <c r="Y1715" s="19" t="s">
        <v>138</v>
      </c>
      <c r="Z1715" s="44" t="s">
        <v>2011</v>
      </c>
      <c r="AA1715" s="44" t="s">
        <v>180</v>
      </c>
      <c r="AC1715" s="19" t="s">
        <v>2377</v>
      </c>
    </row>
    <row r="1716" spans="1:29" hidden="1" x14ac:dyDescent="0.25">
      <c r="A1716" s="26">
        <v>339</v>
      </c>
      <c r="B1716" s="19" t="s">
        <v>2383</v>
      </c>
      <c r="C1716" s="44" t="s">
        <v>273</v>
      </c>
      <c r="D1716" s="19" t="s">
        <v>1050</v>
      </c>
      <c r="E1716" s="19">
        <v>20</v>
      </c>
      <c r="F1716" s="19">
        <v>300</v>
      </c>
      <c r="G1716" s="19">
        <v>1383</v>
      </c>
      <c r="H1716" s="19">
        <v>1</v>
      </c>
      <c r="I1716" s="80">
        <v>65.14</v>
      </c>
      <c r="J1716" s="80">
        <v>65.14</v>
      </c>
      <c r="K1716" s="19" t="s">
        <v>195</v>
      </c>
      <c r="L1716" s="19" t="s">
        <v>2376</v>
      </c>
      <c r="P1716" s="19" t="s">
        <v>138</v>
      </c>
      <c r="Q1716" s="20">
        <v>23</v>
      </c>
      <c r="R1716" s="65" t="s">
        <v>2010</v>
      </c>
      <c r="T1716" s="19" t="s">
        <v>307</v>
      </c>
      <c r="V1716" s="19" t="s">
        <v>178</v>
      </c>
      <c r="Y1716" s="19" t="s">
        <v>138</v>
      </c>
      <c r="Z1716" s="44" t="s">
        <v>2011</v>
      </c>
      <c r="AA1716" s="44" t="s">
        <v>180</v>
      </c>
      <c r="AC1716" s="19" t="s">
        <v>2377</v>
      </c>
    </row>
    <row r="1717" spans="1:29" hidden="1" x14ac:dyDescent="0.25">
      <c r="A1717" s="26">
        <v>340</v>
      </c>
      <c r="B1717" s="19" t="s">
        <v>2384</v>
      </c>
      <c r="C1717" s="44" t="s">
        <v>273</v>
      </c>
      <c r="D1717" s="19" t="s">
        <v>1050</v>
      </c>
      <c r="E1717" s="19">
        <v>20</v>
      </c>
      <c r="F1717" s="19">
        <v>300</v>
      </c>
      <c r="G1717" s="19">
        <v>1383</v>
      </c>
      <c r="H1717" s="19">
        <v>1</v>
      </c>
      <c r="I1717" s="80">
        <v>65.14</v>
      </c>
      <c r="J1717" s="80">
        <v>65.14</v>
      </c>
      <c r="K1717" s="19" t="s">
        <v>195</v>
      </c>
      <c r="L1717" s="19" t="s">
        <v>2376</v>
      </c>
      <c r="P1717" s="19" t="s">
        <v>138</v>
      </c>
      <c r="Q1717" s="20">
        <v>23</v>
      </c>
      <c r="R1717" s="65" t="s">
        <v>2010</v>
      </c>
      <c r="T1717" s="19" t="s">
        <v>307</v>
      </c>
      <c r="V1717" s="19" t="s">
        <v>178</v>
      </c>
      <c r="Y1717" s="19" t="s">
        <v>138</v>
      </c>
      <c r="Z1717" s="44" t="s">
        <v>2011</v>
      </c>
      <c r="AA1717" s="44" t="s">
        <v>180</v>
      </c>
      <c r="AC1717" s="19" t="s">
        <v>2377</v>
      </c>
    </row>
    <row r="1718" spans="1:29" hidden="1" x14ac:dyDescent="0.25">
      <c r="A1718" s="26">
        <v>341</v>
      </c>
      <c r="B1718" s="19" t="s">
        <v>2385</v>
      </c>
      <c r="C1718" s="44" t="s">
        <v>273</v>
      </c>
      <c r="D1718" s="19" t="s">
        <v>1079</v>
      </c>
      <c r="E1718" s="19">
        <v>20</v>
      </c>
      <c r="F1718" s="19">
        <v>1436</v>
      </c>
      <c r="G1718" s="19">
        <v>6298</v>
      </c>
      <c r="H1718" s="19">
        <v>1</v>
      </c>
      <c r="I1718" s="80">
        <v>1414.64</v>
      </c>
      <c r="J1718" s="80">
        <v>1414.64</v>
      </c>
      <c r="K1718" s="19" t="s">
        <v>195</v>
      </c>
      <c r="L1718" s="19" t="s">
        <v>2376</v>
      </c>
      <c r="P1718" s="19" t="s">
        <v>138</v>
      </c>
      <c r="Q1718" s="20">
        <v>23</v>
      </c>
      <c r="R1718" s="65" t="s">
        <v>2010</v>
      </c>
      <c r="T1718" s="19" t="s">
        <v>307</v>
      </c>
      <c r="V1718" s="19" t="s">
        <v>178</v>
      </c>
      <c r="Y1718" s="19" t="s">
        <v>138</v>
      </c>
      <c r="Z1718" s="44" t="s">
        <v>2011</v>
      </c>
      <c r="AA1718" s="44" t="s">
        <v>180</v>
      </c>
      <c r="AC1718" s="19" t="s">
        <v>2377</v>
      </c>
    </row>
    <row r="1719" spans="1:29" hidden="1" x14ac:dyDescent="0.25">
      <c r="A1719" s="26">
        <v>342</v>
      </c>
      <c r="B1719" s="19" t="s">
        <v>2386</v>
      </c>
      <c r="C1719" s="44" t="s">
        <v>273</v>
      </c>
      <c r="D1719" s="19" t="s">
        <v>1028</v>
      </c>
      <c r="E1719" s="19">
        <v>20</v>
      </c>
      <c r="F1719" s="19">
        <v>300</v>
      </c>
      <c r="G1719" s="19">
        <v>9516</v>
      </c>
      <c r="H1719" s="19">
        <v>1</v>
      </c>
      <c r="I1719" s="80">
        <v>448.2</v>
      </c>
      <c r="J1719" s="80">
        <v>448.2</v>
      </c>
      <c r="K1719" s="19" t="s">
        <v>195</v>
      </c>
      <c r="L1719" s="19" t="s">
        <v>2387</v>
      </c>
      <c r="P1719" s="19" t="s">
        <v>138</v>
      </c>
      <c r="Q1719" s="20">
        <v>23</v>
      </c>
      <c r="R1719" s="65" t="s">
        <v>2010</v>
      </c>
      <c r="T1719" s="19" t="s">
        <v>307</v>
      </c>
      <c r="V1719" s="19" t="s">
        <v>178</v>
      </c>
      <c r="Y1719" s="19" t="s">
        <v>138</v>
      </c>
      <c r="Z1719" s="44" t="s">
        <v>2011</v>
      </c>
      <c r="AA1719" s="44" t="s">
        <v>180</v>
      </c>
      <c r="AC1719" s="19" t="s">
        <v>2388</v>
      </c>
    </row>
    <row r="1720" spans="1:29" hidden="1" x14ac:dyDescent="0.25">
      <c r="A1720" s="26">
        <v>343</v>
      </c>
      <c r="B1720" s="19" t="s">
        <v>2389</v>
      </c>
      <c r="C1720" s="44" t="s">
        <v>273</v>
      </c>
      <c r="D1720" s="19" t="s">
        <v>1028</v>
      </c>
      <c r="E1720" s="19">
        <v>20</v>
      </c>
      <c r="F1720" s="19">
        <v>300</v>
      </c>
      <c r="G1720" s="19">
        <v>9516</v>
      </c>
      <c r="H1720" s="19">
        <v>1</v>
      </c>
      <c r="I1720" s="80">
        <v>448.2</v>
      </c>
      <c r="J1720" s="80">
        <v>448.2</v>
      </c>
      <c r="K1720" s="19" t="s">
        <v>195</v>
      </c>
      <c r="L1720" s="19" t="s">
        <v>2387</v>
      </c>
      <c r="P1720" s="19" t="s">
        <v>138</v>
      </c>
      <c r="Q1720" s="20">
        <v>23</v>
      </c>
      <c r="R1720" s="65" t="s">
        <v>2010</v>
      </c>
      <c r="T1720" s="19" t="s">
        <v>307</v>
      </c>
      <c r="V1720" s="19" t="s">
        <v>178</v>
      </c>
      <c r="Y1720" s="19" t="s">
        <v>138</v>
      </c>
      <c r="Z1720" s="44" t="s">
        <v>2011</v>
      </c>
      <c r="AA1720" s="44" t="s">
        <v>180</v>
      </c>
      <c r="AC1720" s="19" t="s">
        <v>2388</v>
      </c>
    </row>
    <row r="1721" spans="1:29" hidden="1" x14ac:dyDescent="0.25">
      <c r="A1721" s="26">
        <v>344</v>
      </c>
      <c r="B1721" s="19" t="s">
        <v>2390</v>
      </c>
      <c r="C1721" s="44" t="s">
        <v>273</v>
      </c>
      <c r="D1721" s="19" t="s">
        <v>1028</v>
      </c>
      <c r="E1721" s="19">
        <v>20</v>
      </c>
      <c r="F1721" s="19">
        <v>300</v>
      </c>
      <c r="G1721" s="19">
        <v>9516</v>
      </c>
      <c r="H1721" s="19">
        <v>1</v>
      </c>
      <c r="I1721" s="80">
        <v>448.2</v>
      </c>
      <c r="J1721" s="80">
        <v>448.2</v>
      </c>
      <c r="K1721" s="19" t="s">
        <v>195</v>
      </c>
      <c r="L1721" s="19" t="s">
        <v>2387</v>
      </c>
      <c r="P1721" s="19" t="s">
        <v>138</v>
      </c>
      <c r="Q1721" s="20">
        <v>23</v>
      </c>
      <c r="R1721" s="65" t="s">
        <v>2010</v>
      </c>
      <c r="T1721" s="19" t="s">
        <v>307</v>
      </c>
      <c r="V1721" s="19" t="s">
        <v>178</v>
      </c>
      <c r="Y1721" s="19" t="s">
        <v>138</v>
      </c>
      <c r="Z1721" s="44" t="s">
        <v>2011</v>
      </c>
      <c r="AA1721" s="44" t="s">
        <v>180</v>
      </c>
      <c r="AC1721" s="19" t="s">
        <v>2388</v>
      </c>
    </row>
    <row r="1722" spans="1:29" hidden="1" x14ac:dyDescent="0.25">
      <c r="A1722" s="26">
        <v>345</v>
      </c>
      <c r="B1722" s="19" t="s">
        <v>2391</v>
      </c>
      <c r="C1722" s="44" t="s">
        <v>273</v>
      </c>
      <c r="D1722" s="19" t="s">
        <v>1025</v>
      </c>
      <c r="E1722" s="19">
        <v>20</v>
      </c>
      <c r="F1722" s="19">
        <v>300</v>
      </c>
      <c r="G1722" s="19">
        <v>1514</v>
      </c>
      <c r="H1722" s="19">
        <v>1</v>
      </c>
      <c r="I1722" s="80">
        <v>71.31</v>
      </c>
      <c r="J1722" s="80">
        <v>71.31</v>
      </c>
      <c r="K1722" s="19" t="s">
        <v>195</v>
      </c>
      <c r="L1722" s="19" t="s">
        <v>2387</v>
      </c>
      <c r="Q1722" s="20">
        <v>23</v>
      </c>
      <c r="R1722" s="65" t="s">
        <v>2010</v>
      </c>
      <c r="T1722" s="19" t="s">
        <v>307</v>
      </c>
      <c r="V1722" s="19" t="s">
        <v>178</v>
      </c>
      <c r="Y1722" s="19" t="s">
        <v>138</v>
      </c>
      <c r="Z1722" s="44" t="s">
        <v>2011</v>
      </c>
      <c r="AA1722" s="44" t="s">
        <v>180</v>
      </c>
      <c r="AC1722" s="19" t="s">
        <v>2388</v>
      </c>
    </row>
    <row r="1723" spans="1:29" hidden="1" x14ac:dyDescent="0.25">
      <c r="A1723" s="26">
        <v>346</v>
      </c>
      <c r="B1723" s="19" t="s">
        <v>2392</v>
      </c>
      <c r="C1723" s="44" t="s">
        <v>273</v>
      </c>
      <c r="D1723" s="19" t="s">
        <v>1050</v>
      </c>
      <c r="E1723" s="19">
        <v>20</v>
      </c>
      <c r="F1723" s="19">
        <v>300</v>
      </c>
      <c r="G1723" s="19">
        <v>1383</v>
      </c>
      <c r="H1723" s="19">
        <v>1</v>
      </c>
      <c r="I1723" s="80">
        <v>65.14</v>
      </c>
      <c r="J1723" s="80">
        <v>65.14</v>
      </c>
      <c r="K1723" s="19" t="s">
        <v>195</v>
      </c>
      <c r="L1723" s="19" t="s">
        <v>2387</v>
      </c>
      <c r="P1723" s="19" t="s">
        <v>138</v>
      </c>
      <c r="Q1723" s="20">
        <v>23</v>
      </c>
      <c r="R1723" s="65" t="s">
        <v>2010</v>
      </c>
      <c r="T1723" s="19" t="s">
        <v>307</v>
      </c>
      <c r="V1723" s="19" t="s">
        <v>178</v>
      </c>
      <c r="Y1723" s="19" t="s">
        <v>138</v>
      </c>
      <c r="Z1723" s="44" t="s">
        <v>2011</v>
      </c>
      <c r="AA1723" s="44" t="s">
        <v>180</v>
      </c>
      <c r="AC1723" s="19" t="s">
        <v>2388</v>
      </c>
    </row>
    <row r="1724" spans="1:29" hidden="1" x14ac:dyDescent="0.25">
      <c r="A1724" s="26">
        <v>347</v>
      </c>
      <c r="B1724" s="19" t="s">
        <v>2270</v>
      </c>
      <c r="C1724" s="44" t="s">
        <v>273</v>
      </c>
      <c r="D1724" s="19" t="s">
        <v>1363</v>
      </c>
      <c r="E1724" s="19">
        <v>20</v>
      </c>
      <c r="F1724" s="19">
        <v>270</v>
      </c>
      <c r="G1724" s="19">
        <v>300</v>
      </c>
      <c r="H1724" s="19">
        <v>2</v>
      </c>
      <c r="I1724" s="80">
        <v>12.72</v>
      </c>
      <c r="J1724" s="80">
        <v>25.43</v>
      </c>
      <c r="K1724" s="19" t="s">
        <v>195</v>
      </c>
      <c r="L1724" s="19" t="s">
        <v>2387</v>
      </c>
      <c r="Q1724" s="20">
        <v>23</v>
      </c>
      <c r="R1724" s="65" t="s">
        <v>2010</v>
      </c>
      <c r="T1724" s="19" t="s">
        <v>307</v>
      </c>
      <c r="V1724" s="19" t="s">
        <v>178</v>
      </c>
      <c r="W1724" s="19" t="s">
        <v>138</v>
      </c>
      <c r="Z1724" s="44" t="s">
        <v>2011</v>
      </c>
      <c r="AA1724" s="44" t="s">
        <v>180</v>
      </c>
      <c r="AC1724" s="19" t="s">
        <v>2388</v>
      </c>
    </row>
    <row r="1725" spans="1:29" hidden="1" x14ac:dyDescent="0.25">
      <c r="A1725" s="26">
        <v>348</v>
      </c>
      <c r="B1725" s="19" t="s">
        <v>2276</v>
      </c>
      <c r="C1725" s="44" t="s">
        <v>273</v>
      </c>
      <c r="D1725" s="19" t="s">
        <v>1363</v>
      </c>
      <c r="E1725" s="19">
        <v>20</v>
      </c>
      <c r="F1725" s="19">
        <v>270</v>
      </c>
      <c r="G1725" s="19">
        <v>300</v>
      </c>
      <c r="H1725" s="19">
        <v>3</v>
      </c>
      <c r="I1725" s="80">
        <v>12.72</v>
      </c>
      <c r="J1725" s="80">
        <v>38.15</v>
      </c>
      <c r="K1725" s="19" t="s">
        <v>195</v>
      </c>
      <c r="L1725" s="19" t="s">
        <v>2387</v>
      </c>
      <c r="Q1725" s="20">
        <v>23</v>
      </c>
      <c r="R1725" s="65" t="s">
        <v>2010</v>
      </c>
      <c r="T1725" s="19" t="s">
        <v>307</v>
      </c>
      <c r="V1725" s="19" t="s">
        <v>178</v>
      </c>
      <c r="W1725" s="19" t="s">
        <v>138</v>
      </c>
      <c r="Z1725" s="44" t="s">
        <v>2011</v>
      </c>
      <c r="AA1725" s="44" t="s">
        <v>180</v>
      </c>
      <c r="AC1725" s="19" t="s">
        <v>2388</v>
      </c>
    </row>
    <row r="1726" spans="1:29" hidden="1" x14ac:dyDescent="0.25">
      <c r="A1726" s="26">
        <v>349</v>
      </c>
      <c r="B1726" s="19" t="s">
        <v>2393</v>
      </c>
      <c r="C1726" s="44" t="s">
        <v>273</v>
      </c>
      <c r="D1726" s="19" t="s">
        <v>1050</v>
      </c>
      <c r="E1726" s="19">
        <v>20</v>
      </c>
      <c r="F1726" s="19">
        <v>300</v>
      </c>
      <c r="G1726" s="19">
        <v>1383</v>
      </c>
      <c r="H1726" s="19">
        <v>1</v>
      </c>
      <c r="I1726" s="80">
        <v>65.14</v>
      </c>
      <c r="J1726" s="80">
        <v>65.14</v>
      </c>
      <c r="K1726" s="19" t="s">
        <v>195</v>
      </c>
      <c r="L1726" s="19" t="s">
        <v>2387</v>
      </c>
      <c r="P1726" s="19" t="s">
        <v>138</v>
      </c>
      <c r="Q1726" s="20">
        <v>23</v>
      </c>
      <c r="R1726" s="65" t="s">
        <v>2010</v>
      </c>
      <c r="T1726" s="19" t="s">
        <v>307</v>
      </c>
      <c r="V1726" s="19" t="s">
        <v>178</v>
      </c>
      <c r="Y1726" s="19" t="s">
        <v>138</v>
      </c>
      <c r="Z1726" s="44" t="s">
        <v>2011</v>
      </c>
      <c r="AA1726" s="44" t="s">
        <v>180</v>
      </c>
      <c r="AC1726" s="19" t="s">
        <v>2388</v>
      </c>
    </row>
    <row r="1727" spans="1:29" hidden="1" x14ac:dyDescent="0.25">
      <c r="A1727" s="26">
        <v>350</v>
      </c>
      <c r="B1727" s="19" t="s">
        <v>2394</v>
      </c>
      <c r="C1727" s="44" t="s">
        <v>273</v>
      </c>
      <c r="D1727" s="19" t="s">
        <v>1050</v>
      </c>
      <c r="E1727" s="19">
        <v>20</v>
      </c>
      <c r="F1727" s="19">
        <v>300</v>
      </c>
      <c r="G1727" s="19">
        <v>1383</v>
      </c>
      <c r="H1727" s="19">
        <v>1</v>
      </c>
      <c r="I1727" s="80">
        <v>65.14</v>
      </c>
      <c r="J1727" s="80">
        <v>65.14</v>
      </c>
      <c r="K1727" s="19" t="s">
        <v>195</v>
      </c>
      <c r="L1727" s="19" t="s">
        <v>2387</v>
      </c>
      <c r="P1727" s="19" t="s">
        <v>138</v>
      </c>
      <c r="Q1727" s="20">
        <v>23</v>
      </c>
      <c r="R1727" s="65" t="s">
        <v>2010</v>
      </c>
      <c r="T1727" s="19" t="s">
        <v>307</v>
      </c>
      <c r="V1727" s="19" t="s">
        <v>178</v>
      </c>
      <c r="Y1727" s="19" t="s">
        <v>138</v>
      </c>
      <c r="Z1727" s="44" t="s">
        <v>2011</v>
      </c>
      <c r="AA1727" s="44" t="s">
        <v>180</v>
      </c>
      <c r="AC1727" s="19" t="s">
        <v>2388</v>
      </c>
    </row>
    <row r="1728" spans="1:29" hidden="1" x14ac:dyDescent="0.25">
      <c r="A1728" s="26">
        <v>351</v>
      </c>
      <c r="B1728" s="19" t="s">
        <v>2395</v>
      </c>
      <c r="C1728" s="44" t="s">
        <v>273</v>
      </c>
      <c r="D1728" s="19" t="s">
        <v>1050</v>
      </c>
      <c r="E1728" s="19">
        <v>20</v>
      </c>
      <c r="F1728" s="19">
        <v>300</v>
      </c>
      <c r="G1728" s="19">
        <v>1383</v>
      </c>
      <c r="H1728" s="19">
        <v>1</v>
      </c>
      <c r="I1728" s="80">
        <v>65.14</v>
      </c>
      <c r="J1728" s="80">
        <v>65.14</v>
      </c>
      <c r="K1728" s="19" t="s">
        <v>195</v>
      </c>
      <c r="L1728" s="19" t="s">
        <v>2387</v>
      </c>
      <c r="P1728" s="19" t="s">
        <v>138</v>
      </c>
      <c r="Q1728" s="20">
        <v>23</v>
      </c>
      <c r="R1728" s="65" t="s">
        <v>2010</v>
      </c>
      <c r="T1728" s="19" t="s">
        <v>307</v>
      </c>
      <c r="V1728" s="19" t="s">
        <v>178</v>
      </c>
      <c r="Y1728" s="19" t="s">
        <v>138</v>
      </c>
      <c r="Z1728" s="44" t="s">
        <v>2011</v>
      </c>
      <c r="AA1728" s="44" t="s">
        <v>180</v>
      </c>
      <c r="AC1728" s="19" t="s">
        <v>2388</v>
      </c>
    </row>
    <row r="1729" spans="1:29" hidden="1" x14ac:dyDescent="0.25">
      <c r="A1729" s="26">
        <v>352</v>
      </c>
      <c r="B1729" s="19" t="s">
        <v>2396</v>
      </c>
      <c r="C1729" s="44" t="s">
        <v>273</v>
      </c>
      <c r="D1729" s="19" t="s">
        <v>1050</v>
      </c>
      <c r="E1729" s="19">
        <v>20</v>
      </c>
      <c r="F1729" s="19">
        <v>300</v>
      </c>
      <c r="G1729" s="19">
        <v>1383</v>
      </c>
      <c r="H1729" s="19">
        <v>1</v>
      </c>
      <c r="I1729" s="80">
        <v>65.14</v>
      </c>
      <c r="J1729" s="80">
        <v>65.14</v>
      </c>
      <c r="K1729" s="19" t="s">
        <v>195</v>
      </c>
      <c r="L1729" s="19" t="s">
        <v>2387</v>
      </c>
      <c r="P1729" s="19" t="s">
        <v>138</v>
      </c>
      <c r="Q1729" s="20">
        <v>23</v>
      </c>
      <c r="R1729" s="65" t="s">
        <v>2010</v>
      </c>
      <c r="T1729" s="19" t="s">
        <v>307</v>
      </c>
      <c r="V1729" s="19" t="s">
        <v>178</v>
      </c>
      <c r="Y1729" s="19" t="s">
        <v>138</v>
      </c>
      <c r="Z1729" s="44" t="s">
        <v>2011</v>
      </c>
      <c r="AA1729" s="44" t="s">
        <v>180</v>
      </c>
      <c r="AC1729" s="19" t="s">
        <v>2388</v>
      </c>
    </row>
    <row r="1730" spans="1:29" hidden="1" x14ac:dyDescent="0.25">
      <c r="A1730" s="26">
        <v>353</v>
      </c>
      <c r="B1730" s="19" t="s">
        <v>2397</v>
      </c>
      <c r="C1730" s="44" t="s">
        <v>273</v>
      </c>
      <c r="D1730" s="19" t="s">
        <v>1079</v>
      </c>
      <c r="E1730" s="19">
        <v>20</v>
      </c>
      <c r="F1730" s="19">
        <v>1436</v>
      </c>
      <c r="G1730" s="19">
        <v>6298</v>
      </c>
      <c r="H1730" s="19">
        <v>1</v>
      </c>
      <c r="I1730" s="80">
        <v>1414.64</v>
      </c>
      <c r="J1730" s="80">
        <v>1414.64</v>
      </c>
      <c r="K1730" s="19" t="s">
        <v>195</v>
      </c>
      <c r="L1730" s="19" t="s">
        <v>2387</v>
      </c>
      <c r="P1730" s="19" t="s">
        <v>138</v>
      </c>
      <c r="Q1730" s="20">
        <v>23</v>
      </c>
      <c r="R1730" s="65" t="s">
        <v>2010</v>
      </c>
      <c r="T1730" s="19" t="s">
        <v>307</v>
      </c>
      <c r="V1730" s="19" t="s">
        <v>178</v>
      </c>
      <c r="Y1730" s="19" t="s">
        <v>138</v>
      </c>
      <c r="Z1730" s="44" t="s">
        <v>2011</v>
      </c>
      <c r="AA1730" s="44" t="s">
        <v>180</v>
      </c>
      <c r="AC1730" s="19" t="s">
        <v>2388</v>
      </c>
    </row>
    <row r="1731" spans="1:29" hidden="1" x14ac:dyDescent="0.25">
      <c r="A1731" s="26">
        <v>354</v>
      </c>
      <c r="B1731" s="19" t="s">
        <v>2398</v>
      </c>
      <c r="C1731" s="44" t="s">
        <v>273</v>
      </c>
      <c r="D1731" s="19" t="s">
        <v>1086</v>
      </c>
      <c r="E1731" s="19">
        <v>20</v>
      </c>
      <c r="F1731" s="19">
        <v>300</v>
      </c>
      <c r="G1731" s="19">
        <v>6232</v>
      </c>
      <c r="H1731" s="19">
        <v>1</v>
      </c>
      <c r="I1731" s="80">
        <v>293.52999999999997</v>
      </c>
      <c r="J1731" s="80">
        <v>293.52999999999997</v>
      </c>
      <c r="K1731" s="19" t="s">
        <v>195</v>
      </c>
      <c r="L1731" s="19" t="s">
        <v>2399</v>
      </c>
      <c r="Q1731" s="20">
        <v>23</v>
      </c>
      <c r="R1731" s="65" t="s">
        <v>2010</v>
      </c>
      <c r="T1731" s="19" t="s">
        <v>307</v>
      </c>
      <c r="V1731" s="19" t="s">
        <v>178</v>
      </c>
      <c r="Y1731" s="19" t="s">
        <v>138</v>
      </c>
      <c r="Z1731" s="44" t="s">
        <v>2011</v>
      </c>
      <c r="AA1731" s="44" t="s">
        <v>180</v>
      </c>
      <c r="AC1731" s="19" t="s">
        <v>2400</v>
      </c>
    </row>
    <row r="1732" spans="1:29" hidden="1" x14ac:dyDescent="0.25">
      <c r="A1732" s="26">
        <v>355</v>
      </c>
      <c r="B1732" s="19" t="s">
        <v>2401</v>
      </c>
      <c r="C1732" s="44" t="s">
        <v>273</v>
      </c>
      <c r="D1732" s="19" t="s">
        <v>1086</v>
      </c>
      <c r="E1732" s="19">
        <v>20</v>
      </c>
      <c r="F1732" s="19">
        <v>300</v>
      </c>
      <c r="G1732" s="19">
        <v>6232</v>
      </c>
      <c r="H1732" s="19">
        <v>1</v>
      </c>
      <c r="I1732" s="80">
        <v>293.52999999999997</v>
      </c>
      <c r="J1732" s="80">
        <v>293.52999999999997</v>
      </c>
      <c r="K1732" s="19" t="s">
        <v>195</v>
      </c>
      <c r="L1732" s="19" t="s">
        <v>2399</v>
      </c>
      <c r="Q1732" s="20">
        <v>23</v>
      </c>
      <c r="R1732" s="65" t="s">
        <v>2010</v>
      </c>
      <c r="T1732" s="19" t="s">
        <v>307</v>
      </c>
      <c r="V1732" s="19" t="s">
        <v>178</v>
      </c>
      <c r="Y1732" s="19" t="s">
        <v>138</v>
      </c>
      <c r="Z1732" s="44" t="s">
        <v>2011</v>
      </c>
      <c r="AA1732" s="44" t="s">
        <v>180</v>
      </c>
      <c r="AC1732" s="19" t="s">
        <v>2400</v>
      </c>
    </row>
    <row r="1733" spans="1:29" hidden="1" x14ac:dyDescent="0.25">
      <c r="A1733" s="26">
        <v>356</v>
      </c>
      <c r="B1733" s="19" t="s">
        <v>2402</v>
      </c>
      <c r="C1733" s="44" t="s">
        <v>273</v>
      </c>
      <c r="D1733" s="19" t="s">
        <v>1028</v>
      </c>
      <c r="E1733" s="19">
        <v>20</v>
      </c>
      <c r="F1733" s="19">
        <v>300</v>
      </c>
      <c r="G1733" s="19">
        <v>9516</v>
      </c>
      <c r="H1733" s="19">
        <v>1</v>
      </c>
      <c r="I1733" s="80">
        <v>448.2</v>
      </c>
      <c r="J1733" s="80">
        <v>448.2</v>
      </c>
      <c r="K1733" s="19" t="s">
        <v>195</v>
      </c>
      <c r="L1733" s="19" t="s">
        <v>2399</v>
      </c>
      <c r="P1733" s="19" t="s">
        <v>138</v>
      </c>
      <c r="Q1733" s="20">
        <v>23</v>
      </c>
      <c r="R1733" s="65" t="s">
        <v>2010</v>
      </c>
      <c r="T1733" s="19" t="s">
        <v>307</v>
      </c>
      <c r="V1733" s="19" t="s">
        <v>178</v>
      </c>
      <c r="Y1733" s="19" t="s">
        <v>138</v>
      </c>
      <c r="Z1733" s="44" t="s">
        <v>2011</v>
      </c>
      <c r="AA1733" s="44" t="s">
        <v>180</v>
      </c>
      <c r="AC1733" s="19" t="s">
        <v>2400</v>
      </c>
    </row>
    <row r="1734" spans="1:29" hidden="1" x14ac:dyDescent="0.25">
      <c r="A1734" s="26">
        <v>357</v>
      </c>
      <c r="B1734" s="19" t="s">
        <v>2403</v>
      </c>
      <c r="C1734" s="44" t="s">
        <v>273</v>
      </c>
      <c r="D1734" s="19" t="s">
        <v>1044</v>
      </c>
      <c r="E1734" s="19">
        <v>20</v>
      </c>
      <c r="F1734" s="19">
        <v>300</v>
      </c>
      <c r="G1734" s="19">
        <v>8016</v>
      </c>
      <c r="H1734" s="19">
        <v>1</v>
      </c>
      <c r="I1734" s="80">
        <v>377.55</v>
      </c>
      <c r="J1734" s="80">
        <v>377.55</v>
      </c>
      <c r="K1734" s="19" t="s">
        <v>195</v>
      </c>
      <c r="L1734" s="19" t="s">
        <v>2399</v>
      </c>
      <c r="P1734" s="19" t="s">
        <v>138</v>
      </c>
      <c r="Q1734" s="20">
        <v>23</v>
      </c>
      <c r="R1734" s="65" t="s">
        <v>2010</v>
      </c>
      <c r="T1734" s="19" t="s">
        <v>307</v>
      </c>
      <c r="V1734" s="19" t="s">
        <v>178</v>
      </c>
      <c r="Y1734" s="19" t="s">
        <v>138</v>
      </c>
      <c r="Z1734" s="44" t="s">
        <v>2011</v>
      </c>
      <c r="AA1734" s="44" t="s">
        <v>180</v>
      </c>
      <c r="AC1734" s="19" t="s">
        <v>2400</v>
      </c>
    </row>
    <row r="1735" spans="1:29" hidden="1" x14ac:dyDescent="0.25">
      <c r="A1735" s="26">
        <v>358</v>
      </c>
      <c r="B1735" s="19" t="s">
        <v>2404</v>
      </c>
      <c r="C1735" s="44" t="s">
        <v>273</v>
      </c>
      <c r="D1735" s="19" t="s">
        <v>1106</v>
      </c>
      <c r="E1735" s="19">
        <v>20</v>
      </c>
      <c r="F1735" s="19">
        <v>300</v>
      </c>
      <c r="G1735" s="19">
        <v>9068</v>
      </c>
      <c r="H1735" s="19">
        <v>1</v>
      </c>
      <c r="I1735" s="80">
        <v>427.1</v>
      </c>
      <c r="J1735" s="80">
        <v>427.1</v>
      </c>
      <c r="K1735" s="19" t="s">
        <v>195</v>
      </c>
      <c r="L1735" s="19" t="s">
        <v>2399</v>
      </c>
      <c r="Q1735" s="20">
        <v>23</v>
      </c>
      <c r="R1735" s="65" t="s">
        <v>2010</v>
      </c>
      <c r="T1735" s="19" t="s">
        <v>307</v>
      </c>
      <c r="V1735" s="19" t="s">
        <v>178</v>
      </c>
      <c r="Y1735" s="19" t="s">
        <v>138</v>
      </c>
      <c r="Z1735" s="44" t="s">
        <v>2011</v>
      </c>
      <c r="AA1735" s="44" t="s">
        <v>180</v>
      </c>
      <c r="AC1735" s="19" t="s">
        <v>2400</v>
      </c>
    </row>
    <row r="1736" spans="1:29" hidden="1" x14ac:dyDescent="0.25">
      <c r="A1736" s="26">
        <v>359</v>
      </c>
      <c r="B1736" s="19" t="s">
        <v>2405</v>
      </c>
      <c r="C1736" s="44" t="s">
        <v>273</v>
      </c>
      <c r="D1736" s="19" t="s">
        <v>1044</v>
      </c>
      <c r="E1736" s="19">
        <v>20</v>
      </c>
      <c r="F1736" s="19">
        <v>300</v>
      </c>
      <c r="G1736" s="19">
        <v>8016</v>
      </c>
      <c r="H1736" s="19">
        <v>1</v>
      </c>
      <c r="I1736" s="80">
        <v>377.55</v>
      </c>
      <c r="J1736" s="80">
        <v>377.55</v>
      </c>
      <c r="K1736" s="19" t="s">
        <v>195</v>
      </c>
      <c r="L1736" s="19" t="s">
        <v>2399</v>
      </c>
      <c r="P1736" s="19" t="s">
        <v>138</v>
      </c>
      <c r="Q1736" s="20">
        <v>23</v>
      </c>
      <c r="R1736" s="65" t="s">
        <v>2010</v>
      </c>
      <c r="T1736" s="19" t="s">
        <v>307</v>
      </c>
      <c r="V1736" s="19" t="s">
        <v>178</v>
      </c>
      <c r="Y1736" s="19" t="s">
        <v>138</v>
      </c>
      <c r="Z1736" s="44" t="s">
        <v>2011</v>
      </c>
      <c r="AA1736" s="44" t="s">
        <v>180</v>
      </c>
      <c r="AC1736" s="19" t="s">
        <v>2400</v>
      </c>
    </row>
    <row r="1737" spans="1:29" hidden="1" x14ac:dyDescent="0.25">
      <c r="A1737" s="26">
        <v>360</v>
      </c>
      <c r="B1737" s="19" t="s">
        <v>2406</v>
      </c>
      <c r="C1737" s="44" t="s">
        <v>273</v>
      </c>
      <c r="D1737" s="19" t="s">
        <v>1106</v>
      </c>
      <c r="E1737" s="19">
        <v>20</v>
      </c>
      <c r="F1737" s="19">
        <v>300</v>
      </c>
      <c r="G1737" s="19">
        <v>9068</v>
      </c>
      <c r="H1737" s="19">
        <v>1</v>
      </c>
      <c r="I1737" s="80">
        <v>427.1</v>
      </c>
      <c r="J1737" s="80">
        <v>427.1</v>
      </c>
      <c r="K1737" s="19" t="s">
        <v>195</v>
      </c>
      <c r="L1737" s="19" t="s">
        <v>2399</v>
      </c>
      <c r="Q1737" s="20">
        <v>23</v>
      </c>
      <c r="R1737" s="65" t="s">
        <v>2010</v>
      </c>
      <c r="T1737" s="19" t="s">
        <v>307</v>
      </c>
      <c r="V1737" s="19" t="s">
        <v>178</v>
      </c>
      <c r="Y1737" s="19" t="s">
        <v>138</v>
      </c>
      <c r="Z1737" s="44" t="s">
        <v>2011</v>
      </c>
      <c r="AA1737" s="44" t="s">
        <v>180</v>
      </c>
      <c r="AC1737" s="19" t="s">
        <v>2400</v>
      </c>
    </row>
    <row r="1738" spans="1:29" hidden="1" x14ac:dyDescent="0.25">
      <c r="A1738" s="26">
        <v>361</v>
      </c>
      <c r="B1738" s="19" t="s">
        <v>2407</v>
      </c>
      <c r="C1738" s="44" t="s">
        <v>273</v>
      </c>
      <c r="D1738" s="19" t="s">
        <v>1086</v>
      </c>
      <c r="E1738" s="19">
        <v>20</v>
      </c>
      <c r="F1738" s="19">
        <v>300</v>
      </c>
      <c r="G1738" s="19">
        <v>6232</v>
      </c>
      <c r="H1738" s="19">
        <v>1</v>
      </c>
      <c r="I1738" s="80">
        <v>293.52999999999997</v>
      </c>
      <c r="J1738" s="80">
        <v>293.52999999999997</v>
      </c>
      <c r="K1738" s="19" t="s">
        <v>195</v>
      </c>
      <c r="L1738" s="19" t="s">
        <v>2399</v>
      </c>
      <c r="Q1738" s="20">
        <v>23</v>
      </c>
      <c r="R1738" s="65" t="s">
        <v>2010</v>
      </c>
      <c r="T1738" s="19" t="s">
        <v>307</v>
      </c>
      <c r="V1738" s="19" t="s">
        <v>178</v>
      </c>
      <c r="Y1738" s="19" t="s">
        <v>138</v>
      </c>
      <c r="Z1738" s="44" t="s">
        <v>2011</v>
      </c>
      <c r="AA1738" s="44" t="s">
        <v>180</v>
      </c>
      <c r="AC1738" s="19" t="s">
        <v>2400</v>
      </c>
    </row>
    <row r="1739" spans="1:29" hidden="1" x14ac:dyDescent="0.25">
      <c r="A1739" s="26">
        <v>362</v>
      </c>
      <c r="B1739" s="19" t="s">
        <v>2277</v>
      </c>
      <c r="C1739" s="44" t="s">
        <v>273</v>
      </c>
      <c r="D1739" s="19" t="s">
        <v>1363</v>
      </c>
      <c r="E1739" s="19">
        <v>20</v>
      </c>
      <c r="F1739" s="19">
        <v>270</v>
      </c>
      <c r="G1739" s="19">
        <v>300</v>
      </c>
      <c r="H1739" s="19">
        <v>3</v>
      </c>
      <c r="I1739" s="80">
        <v>12.72</v>
      </c>
      <c r="J1739" s="80">
        <v>38.15</v>
      </c>
      <c r="K1739" s="19" t="s">
        <v>195</v>
      </c>
      <c r="L1739" s="19" t="s">
        <v>2399</v>
      </c>
      <c r="Q1739" s="20">
        <v>23</v>
      </c>
      <c r="R1739" s="65" t="s">
        <v>2010</v>
      </c>
      <c r="T1739" s="19" t="s">
        <v>307</v>
      </c>
      <c r="V1739" s="19" t="s">
        <v>178</v>
      </c>
      <c r="W1739" s="19" t="s">
        <v>138</v>
      </c>
      <c r="Z1739" s="44" t="s">
        <v>2011</v>
      </c>
      <c r="AA1739" s="44" t="s">
        <v>180</v>
      </c>
      <c r="AC1739" s="19" t="s">
        <v>2400</v>
      </c>
    </row>
    <row r="1740" spans="1:29" hidden="1" x14ac:dyDescent="0.25">
      <c r="A1740" s="26">
        <v>363</v>
      </c>
      <c r="B1740" s="19" t="s">
        <v>2278</v>
      </c>
      <c r="C1740" s="44" t="s">
        <v>273</v>
      </c>
      <c r="D1740" s="19" t="s">
        <v>1363</v>
      </c>
      <c r="E1740" s="19">
        <v>20</v>
      </c>
      <c r="F1740" s="19">
        <v>270</v>
      </c>
      <c r="G1740" s="19">
        <v>300</v>
      </c>
      <c r="H1740" s="19">
        <v>3</v>
      </c>
      <c r="I1740" s="80">
        <v>12.72</v>
      </c>
      <c r="J1740" s="80">
        <v>38.15</v>
      </c>
      <c r="K1740" s="19" t="s">
        <v>195</v>
      </c>
      <c r="L1740" s="19" t="s">
        <v>2399</v>
      </c>
      <c r="Q1740" s="20">
        <v>23</v>
      </c>
      <c r="R1740" s="65" t="s">
        <v>2010</v>
      </c>
      <c r="T1740" s="19" t="s">
        <v>307</v>
      </c>
      <c r="V1740" s="19" t="s">
        <v>178</v>
      </c>
      <c r="W1740" s="19" t="s">
        <v>138</v>
      </c>
      <c r="Z1740" s="44" t="s">
        <v>2011</v>
      </c>
      <c r="AA1740" s="44" t="s">
        <v>180</v>
      </c>
      <c r="AC1740" s="19" t="s">
        <v>2400</v>
      </c>
    </row>
    <row r="1741" spans="1:29" hidden="1" x14ac:dyDescent="0.25">
      <c r="A1741" s="26">
        <v>364</v>
      </c>
      <c r="B1741" s="19" t="s">
        <v>2408</v>
      </c>
      <c r="C1741" s="44" t="s">
        <v>273</v>
      </c>
      <c r="D1741" s="19" t="s">
        <v>1041</v>
      </c>
      <c r="E1741" s="19">
        <v>20</v>
      </c>
      <c r="F1741" s="19">
        <v>300</v>
      </c>
      <c r="G1741" s="19">
        <v>6101</v>
      </c>
      <c r="H1741" s="19">
        <v>1</v>
      </c>
      <c r="I1741" s="80">
        <v>287.36</v>
      </c>
      <c r="J1741" s="80">
        <v>287.36</v>
      </c>
      <c r="K1741" s="19" t="s">
        <v>195</v>
      </c>
      <c r="L1741" s="19" t="s">
        <v>2409</v>
      </c>
      <c r="P1741" s="19" t="s">
        <v>138</v>
      </c>
      <c r="Q1741" s="20">
        <v>23</v>
      </c>
      <c r="R1741" s="65" t="s">
        <v>2010</v>
      </c>
      <c r="T1741" s="19" t="s">
        <v>307</v>
      </c>
      <c r="V1741" s="19" t="s">
        <v>178</v>
      </c>
      <c r="Y1741" s="19" t="s">
        <v>138</v>
      </c>
      <c r="Z1741" s="44" t="s">
        <v>2011</v>
      </c>
      <c r="AA1741" s="44" t="s">
        <v>180</v>
      </c>
      <c r="AC1741" s="19" t="s">
        <v>2410</v>
      </c>
    </row>
    <row r="1742" spans="1:29" hidden="1" x14ac:dyDescent="0.25">
      <c r="A1742" s="26">
        <v>365</v>
      </c>
      <c r="B1742" s="19" t="s">
        <v>2411</v>
      </c>
      <c r="C1742" s="44" t="s">
        <v>273</v>
      </c>
      <c r="D1742" s="19" t="s">
        <v>1041</v>
      </c>
      <c r="E1742" s="19">
        <v>20</v>
      </c>
      <c r="F1742" s="19">
        <v>300</v>
      </c>
      <c r="G1742" s="19">
        <v>6101</v>
      </c>
      <c r="H1742" s="19">
        <v>1</v>
      </c>
      <c r="I1742" s="80">
        <v>287.36</v>
      </c>
      <c r="J1742" s="80">
        <v>287.36</v>
      </c>
      <c r="K1742" s="19" t="s">
        <v>195</v>
      </c>
      <c r="L1742" s="19" t="s">
        <v>2409</v>
      </c>
      <c r="P1742" s="19" t="s">
        <v>138</v>
      </c>
      <c r="Q1742" s="20">
        <v>23</v>
      </c>
      <c r="R1742" s="65" t="s">
        <v>2010</v>
      </c>
      <c r="T1742" s="19" t="s">
        <v>307</v>
      </c>
      <c r="V1742" s="19" t="s">
        <v>178</v>
      </c>
      <c r="Y1742" s="19" t="s">
        <v>138</v>
      </c>
      <c r="Z1742" s="44" t="s">
        <v>2011</v>
      </c>
      <c r="AA1742" s="44" t="s">
        <v>180</v>
      </c>
      <c r="AC1742" s="19" t="s">
        <v>2410</v>
      </c>
    </row>
    <row r="1743" spans="1:29" hidden="1" x14ac:dyDescent="0.25">
      <c r="A1743" s="26">
        <v>366</v>
      </c>
      <c r="B1743" s="19" t="s">
        <v>2412</v>
      </c>
      <c r="C1743" s="44" t="s">
        <v>273</v>
      </c>
      <c r="D1743" s="19" t="s">
        <v>1041</v>
      </c>
      <c r="E1743" s="19">
        <v>20</v>
      </c>
      <c r="F1743" s="19">
        <v>300</v>
      </c>
      <c r="G1743" s="19">
        <v>6101</v>
      </c>
      <c r="H1743" s="19">
        <v>1</v>
      </c>
      <c r="I1743" s="80">
        <v>287.36</v>
      </c>
      <c r="J1743" s="80">
        <v>287.36</v>
      </c>
      <c r="K1743" s="19" t="s">
        <v>195</v>
      </c>
      <c r="L1743" s="19" t="s">
        <v>2409</v>
      </c>
      <c r="P1743" s="19" t="s">
        <v>138</v>
      </c>
      <c r="Q1743" s="20">
        <v>23</v>
      </c>
      <c r="R1743" s="65" t="s">
        <v>2010</v>
      </c>
      <c r="T1743" s="19" t="s">
        <v>307</v>
      </c>
      <c r="V1743" s="19" t="s">
        <v>178</v>
      </c>
      <c r="Y1743" s="19" t="s">
        <v>138</v>
      </c>
      <c r="Z1743" s="44" t="s">
        <v>2011</v>
      </c>
      <c r="AA1743" s="44" t="s">
        <v>180</v>
      </c>
      <c r="AC1743" s="19" t="s">
        <v>2410</v>
      </c>
    </row>
    <row r="1744" spans="1:29" hidden="1" x14ac:dyDescent="0.25">
      <c r="A1744" s="26">
        <v>367</v>
      </c>
      <c r="B1744" s="19" t="s">
        <v>2413</v>
      </c>
      <c r="C1744" s="44" t="s">
        <v>273</v>
      </c>
      <c r="D1744" s="19" t="s">
        <v>1041</v>
      </c>
      <c r="E1744" s="19">
        <v>20</v>
      </c>
      <c r="F1744" s="19">
        <v>300</v>
      </c>
      <c r="G1744" s="19">
        <v>6101</v>
      </c>
      <c r="H1744" s="19">
        <v>1</v>
      </c>
      <c r="I1744" s="80">
        <v>287.36</v>
      </c>
      <c r="J1744" s="80">
        <v>287.36</v>
      </c>
      <c r="K1744" s="19" t="s">
        <v>195</v>
      </c>
      <c r="L1744" s="19" t="s">
        <v>2409</v>
      </c>
      <c r="P1744" s="19" t="s">
        <v>138</v>
      </c>
      <c r="Q1744" s="20">
        <v>23</v>
      </c>
      <c r="R1744" s="65" t="s">
        <v>2010</v>
      </c>
      <c r="T1744" s="19" t="s">
        <v>307</v>
      </c>
      <c r="V1744" s="19" t="s">
        <v>178</v>
      </c>
      <c r="Y1744" s="19" t="s">
        <v>138</v>
      </c>
      <c r="Z1744" s="44" t="s">
        <v>2011</v>
      </c>
      <c r="AA1744" s="44" t="s">
        <v>180</v>
      </c>
      <c r="AC1744" s="19" t="s">
        <v>2410</v>
      </c>
    </row>
    <row r="1745" spans="1:29" hidden="1" x14ac:dyDescent="0.25">
      <c r="A1745" s="26">
        <v>368</v>
      </c>
      <c r="B1745" s="19" t="s">
        <v>2414</v>
      </c>
      <c r="C1745" s="44" t="s">
        <v>273</v>
      </c>
      <c r="D1745" s="19" t="s">
        <v>1041</v>
      </c>
      <c r="E1745" s="19">
        <v>20</v>
      </c>
      <c r="F1745" s="19">
        <v>300</v>
      </c>
      <c r="G1745" s="19">
        <v>6101</v>
      </c>
      <c r="H1745" s="19">
        <v>1</v>
      </c>
      <c r="I1745" s="80">
        <v>287.36</v>
      </c>
      <c r="J1745" s="80">
        <v>287.36</v>
      </c>
      <c r="K1745" s="19" t="s">
        <v>195</v>
      </c>
      <c r="L1745" s="19" t="s">
        <v>2409</v>
      </c>
      <c r="P1745" s="19" t="s">
        <v>138</v>
      </c>
      <c r="Q1745" s="20">
        <v>23</v>
      </c>
      <c r="R1745" s="65" t="s">
        <v>2010</v>
      </c>
      <c r="T1745" s="19" t="s">
        <v>307</v>
      </c>
      <c r="V1745" s="19" t="s">
        <v>178</v>
      </c>
      <c r="Y1745" s="19" t="s">
        <v>138</v>
      </c>
      <c r="Z1745" s="44" t="s">
        <v>2011</v>
      </c>
      <c r="AA1745" s="44" t="s">
        <v>180</v>
      </c>
      <c r="AC1745" s="19" t="s">
        <v>2410</v>
      </c>
    </row>
    <row r="1746" spans="1:29" hidden="1" x14ac:dyDescent="0.25">
      <c r="A1746" s="26">
        <v>369</v>
      </c>
      <c r="B1746" s="19" t="s">
        <v>2415</v>
      </c>
      <c r="C1746" s="44" t="s">
        <v>273</v>
      </c>
      <c r="D1746" s="19" t="s">
        <v>1041</v>
      </c>
      <c r="E1746" s="19">
        <v>20</v>
      </c>
      <c r="F1746" s="19">
        <v>300</v>
      </c>
      <c r="G1746" s="19">
        <v>6101</v>
      </c>
      <c r="H1746" s="19">
        <v>1</v>
      </c>
      <c r="I1746" s="80">
        <v>287.36</v>
      </c>
      <c r="J1746" s="80">
        <v>287.36</v>
      </c>
      <c r="K1746" s="19" t="s">
        <v>195</v>
      </c>
      <c r="L1746" s="19" t="s">
        <v>2409</v>
      </c>
      <c r="P1746" s="19" t="s">
        <v>138</v>
      </c>
      <c r="Q1746" s="20">
        <v>23</v>
      </c>
      <c r="R1746" s="65" t="s">
        <v>2010</v>
      </c>
      <c r="T1746" s="19" t="s">
        <v>307</v>
      </c>
      <c r="V1746" s="19" t="s">
        <v>178</v>
      </c>
      <c r="Y1746" s="19" t="s">
        <v>138</v>
      </c>
      <c r="Z1746" s="44" t="s">
        <v>2011</v>
      </c>
      <c r="AA1746" s="44" t="s">
        <v>180</v>
      </c>
      <c r="AC1746" s="19" t="s">
        <v>2410</v>
      </c>
    </row>
    <row r="1747" spans="1:29" hidden="1" x14ac:dyDescent="0.25">
      <c r="A1747" s="26">
        <v>370</v>
      </c>
      <c r="B1747" s="19" t="s">
        <v>2416</v>
      </c>
      <c r="C1747" s="44" t="s">
        <v>273</v>
      </c>
      <c r="D1747" s="19" t="s">
        <v>1041</v>
      </c>
      <c r="E1747" s="19">
        <v>20</v>
      </c>
      <c r="F1747" s="19">
        <v>300</v>
      </c>
      <c r="G1747" s="19">
        <v>6101</v>
      </c>
      <c r="H1747" s="19">
        <v>1</v>
      </c>
      <c r="I1747" s="80">
        <v>287.36</v>
      </c>
      <c r="J1747" s="80">
        <v>287.36</v>
      </c>
      <c r="K1747" s="19" t="s">
        <v>195</v>
      </c>
      <c r="L1747" s="19" t="s">
        <v>2409</v>
      </c>
      <c r="P1747" s="19" t="s">
        <v>138</v>
      </c>
      <c r="Q1747" s="20">
        <v>23</v>
      </c>
      <c r="R1747" s="65" t="s">
        <v>2010</v>
      </c>
      <c r="T1747" s="19" t="s">
        <v>307</v>
      </c>
      <c r="V1747" s="19" t="s">
        <v>178</v>
      </c>
      <c r="Y1747" s="19" t="s">
        <v>138</v>
      </c>
      <c r="Z1747" s="44" t="s">
        <v>2011</v>
      </c>
      <c r="AA1747" s="44" t="s">
        <v>180</v>
      </c>
      <c r="AC1747" s="19" t="s">
        <v>2410</v>
      </c>
    </row>
    <row r="1748" spans="1:29" hidden="1" x14ac:dyDescent="0.25">
      <c r="A1748" s="26">
        <v>371</v>
      </c>
      <c r="B1748" s="19" t="s">
        <v>2417</v>
      </c>
      <c r="C1748" s="44" t="s">
        <v>273</v>
      </c>
      <c r="D1748" s="19" t="s">
        <v>1086</v>
      </c>
      <c r="E1748" s="19">
        <v>20</v>
      </c>
      <c r="F1748" s="19">
        <v>300</v>
      </c>
      <c r="G1748" s="19">
        <v>6232</v>
      </c>
      <c r="H1748" s="19">
        <v>1</v>
      </c>
      <c r="I1748" s="80">
        <v>293.52999999999997</v>
      </c>
      <c r="J1748" s="80">
        <v>293.52999999999997</v>
      </c>
      <c r="K1748" s="19" t="s">
        <v>195</v>
      </c>
      <c r="L1748" s="19" t="s">
        <v>2409</v>
      </c>
      <c r="Q1748" s="20">
        <v>23</v>
      </c>
      <c r="R1748" s="65" t="s">
        <v>2010</v>
      </c>
      <c r="T1748" s="19" t="s">
        <v>307</v>
      </c>
      <c r="V1748" s="19" t="s">
        <v>178</v>
      </c>
      <c r="Y1748" s="19" t="s">
        <v>138</v>
      </c>
      <c r="Z1748" s="44" t="s">
        <v>2011</v>
      </c>
      <c r="AA1748" s="44" t="s">
        <v>180</v>
      </c>
      <c r="AC1748" s="19" t="s">
        <v>2410</v>
      </c>
    </row>
    <row r="1749" spans="1:29" hidden="1" x14ac:dyDescent="0.25">
      <c r="A1749" s="26">
        <v>372</v>
      </c>
      <c r="B1749" s="19" t="s">
        <v>2418</v>
      </c>
      <c r="C1749" s="44" t="s">
        <v>273</v>
      </c>
      <c r="D1749" s="19" t="s">
        <v>1041</v>
      </c>
      <c r="E1749" s="19">
        <v>20</v>
      </c>
      <c r="F1749" s="19">
        <v>300</v>
      </c>
      <c r="G1749" s="19">
        <v>6101</v>
      </c>
      <c r="H1749" s="19">
        <v>1</v>
      </c>
      <c r="I1749" s="80">
        <v>287.36</v>
      </c>
      <c r="J1749" s="80">
        <v>287.36</v>
      </c>
      <c r="K1749" s="19" t="s">
        <v>195</v>
      </c>
      <c r="L1749" s="19" t="s">
        <v>2419</v>
      </c>
      <c r="P1749" s="19" t="s">
        <v>138</v>
      </c>
      <c r="Q1749" s="20">
        <v>23</v>
      </c>
      <c r="R1749" s="65" t="s">
        <v>2010</v>
      </c>
      <c r="T1749" s="19" t="s">
        <v>307</v>
      </c>
      <c r="V1749" s="19" t="s">
        <v>178</v>
      </c>
      <c r="Y1749" s="19" t="s">
        <v>138</v>
      </c>
      <c r="Z1749" s="44" t="s">
        <v>2011</v>
      </c>
      <c r="AA1749" s="44" t="s">
        <v>180</v>
      </c>
      <c r="AC1749" s="19" t="s">
        <v>2420</v>
      </c>
    </row>
    <row r="1750" spans="1:29" hidden="1" x14ac:dyDescent="0.25">
      <c r="A1750" s="26">
        <v>373</v>
      </c>
      <c r="B1750" s="19" t="s">
        <v>2421</v>
      </c>
      <c r="C1750" s="44" t="s">
        <v>273</v>
      </c>
      <c r="D1750" s="19" t="s">
        <v>1041</v>
      </c>
      <c r="E1750" s="19">
        <v>20</v>
      </c>
      <c r="F1750" s="19">
        <v>300</v>
      </c>
      <c r="G1750" s="19">
        <v>6101</v>
      </c>
      <c r="H1750" s="19">
        <v>1</v>
      </c>
      <c r="I1750" s="80">
        <v>287.36</v>
      </c>
      <c r="J1750" s="80">
        <v>287.36</v>
      </c>
      <c r="K1750" s="19" t="s">
        <v>195</v>
      </c>
      <c r="L1750" s="19" t="s">
        <v>2419</v>
      </c>
      <c r="P1750" s="19" t="s">
        <v>138</v>
      </c>
      <c r="Q1750" s="20">
        <v>23</v>
      </c>
      <c r="R1750" s="65" t="s">
        <v>2010</v>
      </c>
      <c r="T1750" s="19" t="s">
        <v>307</v>
      </c>
      <c r="V1750" s="19" t="s">
        <v>178</v>
      </c>
      <c r="Y1750" s="19" t="s">
        <v>138</v>
      </c>
      <c r="Z1750" s="44" t="s">
        <v>2011</v>
      </c>
      <c r="AA1750" s="44" t="s">
        <v>180</v>
      </c>
      <c r="AC1750" s="19" t="s">
        <v>2420</v>
      </c>
    </row>
    <row r="1751" spans="1:29" hidden="1" x14ac:dyDescent="0.25">
      <c r="A1751" s="26">
        <v>374</v>
      </c>
      <c r="B1751" s="19" t="s">
        <v>2422</v>
      </c>
      <c r="C1751" s="44" t="s">
        <v>273</v>
      </c>
      <c r="D1751" s="19" t="s">
        <v>1041</v>
      </c>
      <c r="E1751" s="19">
        <v>20</v>
      </c>
      <c r="F1751" s="19">
        <v>300</v>
      </c>
      <c r="G1751" s="19">
        <v>6101</v>
      </c>
      <c r="H1751" s="19">
        <v>1</v>
      </c>
      <c r="I1751" s="80">
        <v>287.36</v>
      </c>
      <c r="J1751" s="80">
        <v>287.36</v>
      </c>
      <c r="K1751" s="19" t="s">
        <v>195</v>
      </c>
      <c r="L1751" s="19" t="s">
        <v>2419</v>
      </c>
      <c r="P1751" s="19" t="s">
        <v>138</v>
      </c>
      <c r="Q1751" s="20">
        <v>23</v>
      </c>
      <c r="R1751" s="65" t="s">
        <v>2010</v>
      </c>
      <c r="T1751" s="19" t="s">
        <v>307</v>
      </c>
      <c r="V1751" s="19" t="s">
        <v>178</v>
      </c>
      <c r="Y1751" s="19" t="s">
        <v>138</v>
      </c>
      <c r="Z1751" s="44" t="s">
        <v>2011</v>
      </c>
      <c r="AA1751" s="44" t="s">
        <v>180</v>
      </c>
      <c r="AC1751" s="19" t="s">
        <v>2420</v>
      </c>
    </row>
    <row r="1752" spans="1:29" hidden="1" x14ac:dyDescent="0.25">
      <c r="A1752" s="26">
        <v>375</v>
      </c>
      <c r="B1752" s="19" t="s">
        <v>2423</v>
      </c>
      <c r="C1752" s="44" t="s">
        <v>273</v>
      </c>
      <c r="D1752" s="19" t="s">
        <v>1041</v>
      </c>
      <c r="E1752" s="19">
        <v>20</v>
      </c>
      <c r="F1752" s="19">
        <v>300</v>
      </c>
      <c r="G1752" s="19">
        <v>6101</v>
      </c>
      <c r="H1752" s="19">
        <v>1</v>
      </c>
      <c r="I1752" s="80">
        <v>287.36</v>
      </c>
      <c r="J1752" s="80">
        <v>287.36</v>
      </c>
      <c r="K1752" s="19" t="s">
        <v>195</v>
      </c>
      <c r="L1752" s="19" t="s">
        <v>2419</v>
      </c>
      <c r="P1752" s="19" t="s">
        <v>138</v>
      </c>
      <c r="Q1752" s="20">
        <v>23</v>
      </c>
      <c r="R1752" s="65" t="s">
        <v>2010</v>
      </c>
      <c r="T1752" s="19" t="s">
        <v>307</v>
      </c>
      <c r="V1752" s="19" t="s">
        <v>178</v>
      </c>
      <c r="Y1752" s="19" t="s">
        <v>138</v>
      </c>
      <c r="Z1752" s="44" t="s">
        <v>2011</v>
      </c>
      <c r="AA1752" s="44" t="s">
        <v>180</v>
      </c>
      <c r="AC1752" s="19" t="s">
        <v>2420</v>
      </c>
    </row>
    <row r="1753" spans="1:29" hidden="1" x14ac:dyDescent="0.25">
      <c r="A1753" s="26">
        <v>376</v>
      </c>
      <c r="B1753" s="19" t="s">
        <v>2424</v>
      </c>
      <c r="C1753" s="44" t="s">
        <v>273</v>
      </c>
      <c r="D1753" s="19" t="s">
        <v>1041</v>
      </c>
      <c r="E1753" s="19">
        <v>20</v>
      </c>
      <c r="F1753" s="19">
        <v>300</v>
      </c>
      <c r="G1753" s="19">
        <v>6101</v>
      </c>
      <c r="H1753" s="19">
        <v>1</v>
      </c>
      <c r="I1753" s="80">
        <v>287.36</v>
      </c>
      <c r="J1753" s="80">
        <v>287.36</v>
      </c>
      <c r="K1753" s="19" t="s">
        <v>195</v>
      </c>
      <c r="L1753" s="19" t="s">
        <v>2419</v>
      </c>
      <c r="P1753" s="19" t="s">
        <v>138</v>
      </c>
      <c r="Q1753" s="20">
        <v>23</v>
      </c>
      <c r="R1753" s="65" t="s">
        <v>2010</v>
      </c>
      <c r="T1753" s="19" t="s">
        <v>307</v>
      </c>
      <c r="V1753" s="19" t="s">
        <v>178</v>
      </c>
      <c r="Y1753" s="19" t="s">
        <v>138</v>
      </c>
      <c r="Z1753" s="44" t="s">
        <v>2011</v>
      </c>
      <c r="AA1753" s="44" t="s">
        <v>180</v>
      </c>
      <c r="AC1753" s="19" t="s">
        <v>2420</v>
      </c>
    </row>
    <row r="1754" spans="1:29" hidden="1" x14ac:dyDescent="0.25">
      <c r="A1754" s="26">
        <v>377</v>
      </c>
      <c r="B1754" s="19" t="s">
        <v>2425</v>
      </c>
      <c r="C1754" s="44" t="s">
        <v>273</v>
      </c>
      <c r="D1754" s="19" t="s">
        <v>1041</v>
      </c>
      <c r="E1754" s="19">
        <v>20</v>
      </c>
      <c r="F1754" s="19">
        <v>300</v>
      </c>
      <c r="G1754" s="19">
        <v>6101</v>
      </c>
      <c r="H1754" s="19">
        <v>1</v>
      </c>
      <c r="I1754" s="80">
        <v>287.36</v>
      </c>
      <c r="J1754" s="80">
        <v>287.36</v>
      </c>
      <c r="K1754" s="19" t="s">
        <v>195</v>
      </c>
      <c r="L1754" s="19" t="s">
        <v>2419</v>
      </c>
      <c r="P1754" s="19" t="s">
        <v>138</v>
      </c>
      <c r="Q1754" s="20">
        <v>23</v>
      </c>
      <c r="R1754" s="65" t="s">
        <v>2010</v>
      </c>
      <c r="T1754" s="19" t="s">
        <v>307</v>
      </c>
      <c r="V1754" s="19" t="s">
        <v>178</v>
      </c>
      <c r="Y1754" s="19" t="s">
        <v>138</v>
      </c>
      <c r="Z1754" s="44" t="s">
        <v>2011</v>
      </c>
      <c r="AA1754" s="44" t="s">
        <v>180</v>
      </c>
      <c r="AC1754" s="19" t="s">
        <v>2420</v>
      </c>
    </row>
    <row r="1755" spans="1:29" hidden="1" x14ac:dyDescent="0.25">
      <c r="A1755" s="26">
        <v>378</v>
      </c>
      <c r="B1755" s="19" t="s">
        <v>2426</v>
      </c>
      <c r="C1755" s="44" t="s">
        <v>273</v>
      </c>
      <c r="D1755" s="19" t="s">
        <v>1041</v>
      </c>
      <c r="E1755" s="19">
        <v>20</v>
      </c>
      <c r="F1755" s="19">
        <v>300</v>
      </c>
      <c r="G1755" s="19">
        <v>6101</v>
      </c>
      <c r="H1755" s="19">
        <v>1</v>
      </c>
      <c r="I1755" s="80">
        <v>287.36</v>
      </c>
      <c r="J1755" s="80">
        <v>287.36</v>
      </c>
      <c r="K1755" s="19" t="s">
        <v>195</v>
      </c>
      <c r="L1755" s="19" t="s">
        <v>2419</v>
      </c>
      <c r="P1755" s="19" t="s">
        <v>138</v>
      </c>
      <c r="Q1755" s="20">
        <v>23</v>
      </c>
      <c r="R1755" s="65" t="s">
        <v>2010</v>
      </c>
      <c r="T1755" s="19" t="s">
        <v>307</v>
      </c>
      <c r="V1755" s="19" t="s">
        <v>178</v>
      </c>
      <c r="Y1755" s="19" t="s">
        <v>138</v>
      </c>
      <c r="Z1755" s="44" t="s">
        <v>2011</v>
      </c>
      <c r="AA1755" s="44" t="s">
        <v>180</v>
      </c>
      <c r="AC1755" s="19" t="s">
        <v>2420</v>
      </c>
    </row>
    <row r="1756" spans="1:29" hidden="1" x14ac:dyDescent="0.25">
      <c r="A1756" s="26">
        <v>379</v>
      </c>
      <c r="B1756" s="19" t="s">
        <v>2427</v>
      </c>
      <c r="C1756" s="44" t="s">
        <v>273</v>
      </c>
      <c r="D1756" s="19" t="s">
        <v>1041</v>
      </c>
      <c r="E1756" s="19">
        <v>20</v>
      </c>
      <c r="F1756" s="19">
        <v>300</v>
      </c>
      <c r="G1756" s="19">
        <v>6101</v>
      </c>
      <c r="H1756" s="19">
        <v>1</v>
      </c>
      <c r="I1756" s="80">
        <v>287.36</v>
      </c>
      <c r="J1756" s="80">
        <v>287.36</v>
      </c>
      <c r="K1756" s="19" t="s">
        <v>195</v>
      </c>
      <c r="L1756" s="19" t="s">
        <v>2419</v>
      </c>
      <c r="P1756" s="19" t="s">
        <v>138</v>
      </c>
      <c r="Q1756" s="20">
        <v>23</v>
      </c>
      <c r="R1756" s="65" t="s">
        <v>2010</v>
      </c>
      <c r="T1756" s="19" t="s">
        <v>307</v>
      </c>
      <c r="V1756" s="19" t="s">
        <v>178</v>
      </c>
      <c r="Y1756" s="19" t="s">
        <v>138</v>
      </c>
      <c r="Z1756" s="44" t="s">
        <v>2011</v>
      </c>
      <c r="AA1756" s="44" t="s">
        <v>180</v>
      </c>
      <c r="AC1756" s="19" t="s">
        <v>2420</v>
      </c>
    </row>
    <row r="1757" spans="1:29" hidden="1" x14ac:dyDescent="0.25">
      <c r="A1757" s="26">
        <v>380</v>
      </c>
      <c r="B1757" s="19" t="s">
        <v>2428</v>
      </c>
      <c r="C1757" s="44" t="s">
        <v>273</v>
      </c>
      <c r="D1757" s="19" t="s">
        <v>1041</v>
      </c>
      <c r="E1757" s="19">
        <v>20</v>
      </c>
      <c r="F1757" s="19">
        <v>300</v>
      </c>
      <c r="G1757" s="19">
        <v>6101</v>
      </c>
      <c r="H1757" s="19">
        <v>1</v>
      </c>
      <c r="I1757" s="80">
        <v>287.36</v>
      </c>
      <c r="J1757" s="80">
        <v>287.36</v>
      </c>
      <c r="K1757" s="19" t="s">
        <v>195</v>
      </c>
      <c r="L1757" s="19" t="s">
        <v>2429</v>
      </c>
      <c r="P1757" s="19" t="s">
        <v>138</v>
      </c>
      <c r="Q1757" s="20">
        <v>23</v>
      </c>
      <c r="R1757" s="65" t="s">
        <v>2010</v>
      </c>
      <c r="T1757" s="19" t="s">
        <v>307</v>
      </c>
      <c r="V1757" s="19" t="s">
        <v>178</v>
      </c>
      <c r="Y1757" s="19" t="s">
        <v>138</v>
      </c>
      <c r="Z1757" s="44" t="s">
        <v>2011</v>
      </c>
      <c r="AA1757" s="44" t="s">
        <v>180</v>
      </c>
      <c r="AC1757" s="19" t="s">
        <v>2430</v>
      </c>
    </row>
    <row r="1758" spans="1:29" hidden="1" x14ac:dyDescent="0.25">
      <c r="A1758" s="26">
        <v>381</v>
      </c>
      <c r="B1758" s="19" t="s">
        <v>2431</v>
      </c>
      <c r="C1758" s="44" t="s">
        <v>273</v>
      </c>
      <c r="D1758" s="19" t="s">
        <v>1117</v>
      </c>
      <c r="E1758" s="19">
        <v>32</v>
      </c>
      <c r="F1758" s="19">
        <v>550</v>
      </c>
      <c r="G1758" s="19">
        <v>7896</v>
      </c>
      <c r="H1758" s="19">
        <v>1</v>
      </c>
      <c r="I1758" s="80">
        <v>1090.9100000000001</v>
      </c>
      <c r="J1758" s="80">
        <v>1090.9100000000001</v>
      </c>
      <c r="K1758" s="19" t="s">
        <v>1111</v>
      </c>
      <c r="L1758" s="19" t="s">
        <v>2432</v>
      </c>
      <c r="P1758" s="19" t="s">
        <v>138</v>
      </c>
      <c r="Q1758" s="20">
        <v>23</v>
      </c>
      <c r="R1758" s="65" t="s">
        <v>2010</v>
      </c>
      <c r="T1758" s="19" t="s">
        <v>307</v>
      </c>
      <c r="V1758" s="19" t="s">
        <v>178</v>
      </c>
      <c r="Y1758" s="19" t="s">
        <v>138</v>
      </c>
      <c r="Z1758" s="44" t="s">
        <v>2011</v>
      </c>
      <c r="AA1758" s="44" t="s">
        <v>2433</v>
      </c>
      <c r="AC1758" s="19" t="s">
        <v>2434</v>
      </c>
    </row>
    <row r="1759" spans="1:29" hidden="1" x14ac:dyDescent="0.25">
      <c r="A1759" s="26">
        <v>382</v>
      </c>
      <c r="B1759" s="19" t="s">
        <v>2435</v>
      </c>
      <c r="C1759" s="44" t="s">
        <v>273</v>
      </c>
      <c r="D1759" s="19" t="s">
        <v>1117</v>
      </c>
      <c r="E1759" s="19">
        <v>32</v>
      </c>
      <c r="F1759" s="19">
        <v>550</v>
      </c>
      <c r="G1759" s="19">
        <v>7896</v>
      </c>
      <c r="H1759" s="19">
        <v>1</v>
      </c>
      <c r="I1759" s="80">
        <v>1090.9100000000001</v>
      </c>
      <c r="J1759" s="80">
        <v>1090.9100000000001</v>
      </c>
      <c r="K1759" s="19" t="s">
        <v>1111</v>
      </c>
      <c r="L1759" s="19" t="s">
        <v>2432</v>
      </c>
      <c r="P1759" s="19" t="s">
        <v>138</v>
      </c>
      <c r="Q1759" s="20">
        <v>23</v>
      </c>
      <c r="R1759" s="65" t="s">
        <v>2010</v>
      </c>
      <c r="T1759" s="19" t="s">
        <v>307</v>
      </c>
      <c r="V1759" s="19" t="s">
        <v>178</v>
      </c>
      <c r="Y1759" s="19" t="s">
        <v>138</v>
      </c>
      <c r="Z1759" s="44" t="s">
        <v>2011</v>
      </c>
      <c r="AA1759" s="44" t="s">
        <v>2433</v>
      </c>
      <c r="AC1759" s="19" t="s">
        <v>2434</v>
      </c>
    </row>
    <row r="1760" spans="1:29" hidden="1" x14ac:dyDescent="0.25">
      <c r="A1760" s="26">
        <v>383</v>
      </c>
      <c r="B1760" s="19" t="s">
        <v>2436</v>
      </c>
      <c r="C1760" s="44" t="s">
        <v>273</v>
      </c>
      <c r="D1760" s="19" t="s">
        <v>1122</v>
      </c>
      <c r="E1760" s="19">
        <v>32</v>
      </c>
      <c r="F1760" s="19">
        <v>550</v>
      </c>
      <c r="G1760" s="19">
        <v>7660</v>
      </c>
      <c r="H1760" s="19">
        <v>2</v>
      </c>
      <c r="I1760" s="80">
        <v>1058.3</v>
      </c>
      <c r="J1760" s="80">
        <v>2116.61</v>
      </c>
      <c r="K1760" s="19" t="s">
        <v>1123</v>
      </c>
      <c r="L1760" s="19" t="s">
        <v>2437</v>
      </c>
      <c r="Q1760" s="20">
        <v>23</v>
      </c>
      <c r="R1760" s="65" t="s">
        <v>2010</v>
      </c>
      <c r="T1760" s="19" t="s">
        <v>307</v>
      </c>
      <c r="V1760" s="19" t="s">
        <v>178</v>
      </c>
      <c r="Y1760" s="19" t="s">
        <v>138</v>
      </c>
      <c r="Z1760" s="44" t="s">
        <v>2011</v>
      </c>
      <c r="AA1760" s="44" t="s">
        <v>180</v>
      </c>
      <c r="AC1760" s="19" t="s">
        <v>2438</v>
      </c>
    </row>
    <row r="1761" spans="1:29" hidden="1" x14ac:dyDescent="0.25">
      <c r="A1761" s="26">
        <v>384</v>
      </c>
      <c r="B1761" s="19" t="s">
        <v>2439</v>
      </c>
      <c r="C1761" s="44" t="s">
        <v>273</v>
      </c>
      <c r="D1761" s="19" t="s">
        <v>1122</v>
      </c>
      <c r="E1761" s="19">
        <v>32</v>
      </c>
      <c r="F1761" s="19">
        <v>550</v>
      </c>
      <c r="G1761" s="19">
        <v>7660</v>
      </c>
      <c r="H1761" s="19">
        <v>2</v>
      </c>
      <c r="I1761" s="80">
        <v>1058.3</v>
      </c>
      <c r="J1761" s="80">
        <v>2116.61</v>
      </c>
      <c r="K1761" s="19" t="s">
        <v>1123</v>
      </c>
      <c r="L1761" s="19" t="s">
        <v>2437</v>
      </c>
      <c r="Q1761" s="20">
        <v>23</v>
      </c>
      <c r="R1761" s="65" t="s">
        <v>2010</v>
      </c>
      <c r="T1761" s="19" t="s">
        <v>307</v>
      </c>
      <c r="V1761" s="19" t="s">
        <v>178</v>
      </c>
      <c r="Y1761" s="19" t="s">
        <v>138</v>
      </c>
      <c r="Z1761" s="44" t="s">
        <v>2011</v>
      </c>
      <c r="AA1761" s="44" t="s">
        <v>180</v>
      </c>
      <c r="AC1761" s="19" t="s">
        <v>2438</v>
      </c>
    </row>
    <row r="1762" spans="1:29" x14ac:dyDescent="0.25">
      <c r="A1762" s="26">
        <v>1</v>
      </c>
      <c r="B1762" s="19" t="s">
        <v>2446</v>
      </c>
      <c r="C1762" s="44" t="s">
        <v>273</v>
      </c>
      <c r="D1762" s="19" t="s">
        <v>803</v>
      </c>
      <c r="E1762" s="19">
        <v>12</v>
      </c>
      <c r="F1762" s="19">
        <v>135</v>
      </c>
      <c r="G1762" s="19">
        <v>488</v>
      </c>
      <c r="H1762" s="19">
        <v>3</v>
      </c>
      <c r="I1762" s="80">
        <v>6.19</v>
      </c>
      <c r="J1762" s="80">
        <v>18.57</v>
      </c>
      <c r="K1762" s="19" t="s">
        <v>2447</v>
      </c>
      <c r="L1762" s="19" t="s">
        <v>2448</v>
      </c>
      <c r="Q1762" s="20">
        <v>24</v>
      </c>
      <c r="R1762" s="65" t="s">
        <v>2010</v>
      </c>
      <c r="T1762" s="19" t="s">
        <v>307</v>
      </c>
      <c r="V1762" s="19" t="s">
        <v>178</v>
      </c>
      <c r="W1762" s="19" t="s">
        <v>138</v>
      </c>
      <c r="Z1762" s="44" t="s">
        <v>2449</v>
      </c>
      <c r="AA1762" s="44" t="s">
        <v>2450</v>
      </c>
      <c r="AC1762" s="19" t="s">
        <v>2451</v>
      </c>
    </row>
    <row r="1763" spans="1:29" x14ac:dyDescent="0.25">
      <c r="A1763" s="26">
        <v>2</v>
      </c>
      <c r="B1763" s="19" t="s">
        <v>2452</v>
      </c>
      <c r="C1763" s="44" t="s">
        <v>273</v>
      </c>
      <c r="D1763" s="19" t="s">
        <v>839</v>
      </c>
      <c r="E1763" s="19">
        <v>12</v>
      </c>
      <c r="F1763" s="19">
        <v>120</v>
      </c>
      <c r="G1763" s="19">
        <v>129</v>
      </c>
      <c r="H1763" s="19">
        <v>1</v>
      </c>
      <c r="I1763" s="80">
        <v>1.32</v>
      </c>
      <c r="J1763" s="80">
        <v>1.32</v>
      </c>
      <c r="K1763" s="19" t="s">
        <v>2447</v>
      </c>
      <c r="L1763" s="19" t="s">
        <v>2448</v>
      </c>
      <c r="Q1763" s="20">
        <v>24</v>
      </c>
      <c r="R1763" s="65" t="s">
        <v>2010</v>
      </c>
      <c r="T1763" s="19" t="s">
        <v>307</v>
      </c>
      <c r="V1763" s="19" t="s">
        <v>178</v>
      </c>
      <c r="W1763" s="19" t="s">
        <v>138</v>
      </c>
      <c r="Z1763" s="44" t="s">
        <v>2449</v>
      </c>
      <c r="AA1763" s="44" t="s">
        <v>2450</v>
      </c>
      <c r="AC1763" s="19" t="s">
        <v>2451</v>
      </c>
    </row>
    <row r="1764" spans="1:29" x14ac:dyDescent="0.25">
      <c r="A1764" s="26">
        <v>3</v>
      </c>
      <c r="B1764" s="19" t="s">
        <v>2453</v>
      </c>
      <c r="C1764" s="44" t="s">
        <v>273</v>
      </c>
      <c r="D1764" s="19" t="s">
        <v>869</v>
      </c>
      <c r="E1764" s="19">
        <v>12</v>
      </c>
      <c r="F1764" s="19">
        <v>490</v>
      </c>
      <c r="G1764" s="19">
        <v>1514</v>
      </c>
      <c r="H1764" s="19">
        <v>1</v>
      </c>
      <c r="I1764" s="80">
        <v>69.78</v>
      </c>
      <c r="J1764" s="80">
        <v>69.78</v>
      </c>
      <c r="K1764" s="19" t="s">
        <v>2447</v>
      </c>
      <c r="L1764" s="19" t="s">
        <v>2448</v>
      </c>
      <c r="Q1764" s="20">
        <v>24</v>
      </c>
      <c r="R1764" s="65" t="s">
        <v>2010</v>
      </c>
      <c r="T1764" s="19" t="s">
        <v>307</v>
      </c>
      <c r="V1764" s="19" t="s">
        <v>178</v>
      </c>
      <c r="Y1764" s="19" t="s">
        <v>138</v>
      </c>
      <c r="Z1764" s="44" t="s">
        <v>2449</v>
      </c>
      <c r="AA1764" s="44" t="s">
        <v>2450</v>
      </c>
      <c r="AC1764" s="19" t="s">
        <v>2451</v>
      </c>
    </row>
    <row r="1765" spans="1:29" x14ac:dyDescent="0.25">
      <c r="A1765" s="26">
        <v>4</v>
      </c>
      <c r="B1765" s="19" t="s">
        <v>2454</v>
      </c>
      <c r="C1765" s="44" t="s">
        <v>273</v>
      </c>
      <c r="D1765" s="19" t="s">
        <v>869</v>
      </c>
      <c r="E1765" s="19">
        <v>12</v>
      </c>
      <c r="F1765" s="19">
        <v>490</v>
      </c>
      <c r="G1765" s="19">
        <v>1514</v>
      </c>
      <c r="H1765" s="19">
        <v>1</v>
      </c>
      <c r="I1765" s="80">
        <v>69.78</v>
      </c>
      <c r="J1765" s="80">
        <v>69.78</v>
      </c>
      <c r="K1765" s="19" t="s">
        <v>2447</v>
      </c>
      <c r="L1765" s="19" t="s">
        <v>2448</v>
      </c>
      <c r="Q1765" s="20">
        <v>24</v>
      </c>
      <c r="R1765" s="65" t="s">
        <v>2010</v>
      </c>
      <c r="T1765" s="19" t="s">
        <v>307</v>
      </c>
      <c r="V1765" s="19" t="s">
        <v>178</v>
      </c>
      <c r="Y1765" s="19" t="s">
        <v>138</v>
      </c>
      <c r="Z1765" s="44" t="s">
        <v>2449</v>
      </c>
      <c r="AA1765" s="44" t="s">
        <v>2450</v>
      </c>
      <c r="AC1765" s="19" t="s">
        <v>2451</v>
      </c>
    </row>
    <row r="1766" spans="1:29" x14ac:dyDescent="0.25">
      <c r="A1766" s="26">
        <v>5</v>
      </c>
      <c r="B1766" s="19" t="s">
        <v>2455</v>
      </c>
      <c r="C1766" s="44" t="s">
        <v>273</v>
      </c>
      <c r="D1766" s="19" t="s">
        <v>914</v>
      </c>
      <c r="E1766" s="19">
        <v>12</v>
      </c>
      <c r="F1766" s="19">
        <v>95</v>
      </c>
      <c r="G1766" s="19">
        <v>263</v>
      </c>
      <c r="H1766" s="19">
        <v>1</v>
      </c>
      <c r="I1766" s="80">
        <v>2.34</v>
      </c>
      <c r="J1766" s="80">
        <v>2.34</v>
      </c>
      <c r="K1766" s="19" t="s">
        <v>2447</v>
      </c>
      <c r="L1766" s="19" t="s">
        <v>2448</v>
      </c>
      <c r="Q1766" s="20">
        <v>24</v>
      </c>
      <c r="R1766" s="65" t="s">
        <v>2010</v>
      </c>
      <c r="T1766" s="19" t="s">
        <v>307</v>
      </c>
      <c r="V1766" s="19" t="s">
        <v>178</v>
      </c>
      <c r="W1766" s="19" t="s">
        <v>138</v>
      </c>
      <c r="Z1766" s="44" t="s">
        <v>2449</v>
      </c>
      <c r="AA1766" s="44" t="s">
        <v>2450</v>
      </c>
      <c r="AC1766" s="19" t="s">
        <v>2451</v>
      </c>
    </row>
    <row r="1767" spans="1:29" x14ac:dyDescent="0.25">
      <c r="A1767" s="26">
        <v>6</v>
      </c>
      <c r="B1767" s="19" t="s">
        <v>2456</v>
      </c>
      <c r="C1767" s="44" t="s">
        <v>273</v>
      </c>
      <c r="D1767" s="19" t="s">
        <v>1239</v>
      </c>
      <c r="E1767" s="19">
        <v>12</v>
      </c>
      <c r="F1767" s="19">
        <v>130</v>
      </c>
      <c r="G1767" s="19">
        <v>663</v>
      </c>
      <c r="H1767" s="19">
        <v>7</v>
      </c>
      <c r="I1767" s="80">
        <v>8.11</v>
      </c>
      <c r="J1767" s="80">
        <v>56.77</v>
      </c>
      <c r="K1767" s="19" t="s">
        <v>2447</v>
      </c>
      <c r="L1767" s="19" t="s">
        <v>2448</v>
      </c>
      <c r="Q1767" s="20">
        <v>24</v>
      </c>
      <c r="R1767" s="65" t="s">
        <v>2010</v>
      </c>
      <c r="T1767" s="19" t="s">
        <v>307</v>
      </c>
      <c r="V1767" s="19" t="s">
        <v>178</v>
      </c>
      <c r="W1767" s="19" t="s">
        <v>138</v>
      </c>
      <c r="Z1767" s="44" t="s">
        <v>2449</v>
      </c>
      <c r="AA1767" s="44" t="s">
        <v>2450</v>
      </c>
      <c r="AC1767" s="19" t="s">
        <v>2451</v>
      </c>
    </row>
    <row r="1768" spans="1:29" x14ac:dyDescent="0.25">
      <c r="A1768" s="26">
        <v>7</v>
      </c>
      <c r="B1768" s="19" t="s">
        <v>2457</v>
      </c>
      <c r="C1768" s="44" t="s">
        <v>273</v>
      </c>
      <c r="D1768" s="19" t="s">
        <v>1493</v>
      </c>
      <c r="E1768" s="19">
        <v>12</v>
      </c>
      <c r="F1768" s="19">
        <v>238</v>
      </c>
      <c r="G1768" s="19">
        <v>1280</v>
      </c>
      <c r="H1768" s="19">
        <v>1</v>
      </c>
      <c r="I1768" s="80">
        <v>28.7</v>
      </c>
      <c r="J1768" s="80">
        <v>28.7</v>
      </c>
      <c r="K1768" s="19" t="s">
        <v>2447</v>
      </c>
      <c r="L1768" s="19" t="s">
        <v>2448</v>
      </c>
      <c r="O1768" s="19" t="s">
        <v>138</v>
      </c>
      <c r="Q1768" s="20">
        <v>24</v>
      </c>
      <c r="R1768" s="65" t="s">
        <v>2010</v>
      </c>
      <c r="T1768" s="19" t="s">
        <v>307</v>
      </c>
      <c r="V1768" s="19" t="s">
        <v>178</v>
      </c>
      <c r="Z1768" s="44" t="s">
        <v>2449</v>
      </c>
      <c r="AA1768" s="44" t="s">
        <v>2450</v>
      </c>
      <c r="AC1768" s="19" t="s">
        <v>2451</v>
      </c>
    </row>
    <row r="1769" spans="1:29" x14ac:dyDescent="0.25">
      <c r="A1769" s="26">
        <v>8</v>
      </c>
      <c r="B1769" s="19" t="s">
        <v>2458</v>
      </c>
      <c r="C1769" s="44" t="s">
        <v>273</v>
      </c>
      <c r="D1769" s="19" t="s">
        <v>1493</v>
      </c>
      <c r="E1769" s="19">
        <v>12</v>
      </c>
      <c r="F1769" s="19">
        <v>238</v>
      </c>
      <c r="G1769" s="19">
        <v>1280</v>
      </c>
      <c r="H1769" s="19">
        <v>1</v>
      </c>
      <c r="I1769" s="80">
        <v>28.7</v>
      </c>
      <c r="J1769" s="80">
        <v>28.7</v>
      </c>
      <c r="K1769" s="19" t="s">
        <v>2447</v>
      </c>
      <c r="L1769" s="19" t="s">
        <v>2448</v>
      </c>
      <c r="O1769" s="19" t="s">
        <v>138</v>
      </c>
      <c r="Q1769" s="20">
        <v>24</v>
      </c>
      <c r="R1769" s="65" t="s">
        <v>2010</v>
      </c>
      <c r="T1769" s="19" t="s">
        <v>307</v>
      </c>
      <c r="V1769" s="19" t="s">
        <v>178</v>
      </c>
      <c r="Z1769" s="44" t="s">
        <v>2449</v>
      </c>
      <c r="AA1769" s="44" t="s">
        <v>2450</v>
      </c>
      <c r="AC1769" s="19" t="s">
        <v>2451</v>
      </c>
    </row>
    <row r="1770" spans="1:29" x14ac:dyDescent="0.25">
      <c r="A1770" s="26">
        <v>9</v>
      </c>
      <c r="B1770" s="19" t="s">
        <v>2459</v>
      </c>
      <c r="C1770" s="44" t="s">
        <v>273</v>
      </c>
      <c r="D1770" s="19" t="s">
        <v>869</v>
      </c>
      <c r="E1770" s="19">
        <v>12</v>
      </c>
      <c r="F1770" s="19">
        <v>490</v>
      </c>
      <c r="G1770" s="19">
        <v>1514</v>
      </c>
      <c r="H1770" s="19">
        <v>1</v>
      </c>
      <c r="I1770" s="80">
        <v>69.78</v>
      </c>
      <c r="J1770" s="80">
        <v>69.78</v>
      </c>
      <c r="K1770" s="19" t="s">
        <v>2447</v>
      </c>
      <c r="L1770" s="19" t="s">
        <v>2448</v>
      </c>
      <c r="Q1770" s="20">
        <v>24</v>
      </c>
      <c r="R1770" s="65" t="s">
        <v>2010</v>
      </c>
      <c r="T1770" s="19" t="s">
        <v>307</v>
      </c>
      <c r="V1770" s="19" t="s">
        <v>178</v>
      </c>
      <c r="Y1770" s="19" t="s">
        <v>138</v>
      </c>
      <c r="Z1770" s="44" t="s">
        <v>2449</v>
      </c>
      <c r="AA1770" s="44" t="s">
        <v>2450</v>
      </c>
      <c r="AC1770" s="19" t="s">
        <v>2451</v>
      </c>
    </row>
    <row r="1771" spans="1:29" x14ac:dyDescent="0.25">
      <c r="A1771" s="26">
        <v>10</v>
      </c>
      <c r="B1771" s="19" t="s">
        <v>2460</v>
      </c>
      <c r="C1771" s="44" t="s">
        <v>273</v>
      </c>
      <c r="D1771" s="19" t="s">
        <v>869</v>
      </c>
      <c r="E1771" s="19">
        <v>12</v>
      </c>
      <c r="F1771" s="19">
        <v>490</v>
      </c>
      <c r="G1771" s="19">
        <v>1514</v>
      </c>
      <c r="H1771" s="19">
        <v>1</v>
      </c>
      <c r="I1771" s="80">
        <v>69.78</v>
      </c>
      <c r="J1771" s="80">
        <v>69.78</v>
      </c>
      <c r="K1771" s="19" t="s">
        <v>2447</v>
      </c>
      <c r="L1771" s="19" t="s">
        <v>2448</v>
      </c>
      <c r="Q1771" s="20">
        <v>24</v>
      </c>
      <c r="R1771" s="65" t="s">
        <v>2010</v>
      </c>
      <c r="T1771" s="19" t="s">
        <v>307</v>
      </c>
      <c r="V1771" s="19" t="s">
        <v>178</v>
      </c>
      <c r="Y1771" s="19" t="s">
        <v>138</v>
      </c>
      <c r="Z1771" s="44" t="s">
        <v>2449</v>
      </c>
      <c r="AA1771" s="44" t="s">
        <v>2450</v>
      </c>
      <c r="AC1771" s="19" t="s">
        <v>2451</v>
      </c>
    </row>
    <row r="1772" spans="1:29" x14ac:dyDescent="0.25">
      <c r="A1772" s="26">
        <v>11</v>
      </c>
      <c r="B1772" s="19" t="s">
        <v>2461</v>
      </c>
      <c r="C1772" s="44" t="s">
        <v>273</v>
      </c>
      <c r="D1772" s="19" t="s">
        <v>869</v>
      </c>
      <c r="E1772" s="19">
        <v>12</v>
      </c>
      <c r="F1772" s="19">
        <v>490</v>
      </c>
      <c r="G1772" s="19">
        <v>1514</v>
      </c>
      <c r="H1772" s="19">
        <v>1</v>
      </c>
      <c r="I1772" s="80">
        <v>69.78</v>
      </c>
      <c r="J1772" s="80">
        <v>69.78</v>
      </c>
      <c r="K1772" s="19" t="s">
        <v>2447</v>
      </c>
      <c r="L1772" s="19" t="s">
        <v>2448</v>
      </c>
      <c r="Q1772" s="20">
        <v>24</v>
      </c>
      <c r="R1772" s="65" t="s">
        <v>2010</v>
      </c>
      <c r="T1772" s="19" t="s">
        <v>307</v>
      </c>
      <c r="V1772" s="19" t="s">
        <v>178</v>
      </c>
      <c r="Y1772" s="19" t="s">
        <v>138</v>
      </c>
      <c r="Z1772" s="44" t="s">
        <v>2449</v>
      </c>
      <c r="AA1772" s="44" t="s">
        <v>2450</v>
      </c>
      <c r="AC1772" s="19" t="s">
        <v>2451</v>
      </c>
    </row>
    <row r="1773" spans="1:29" x14ac:dyDescent="0.25">
      <c r="A1773" s="26">
        <v>12</v>
      </c>
      <c r="B1773" s="19" t="s">
        <v>2462</v>
      </c>
      <c r="C1773" s="44" t="s">
        <v>273</v>
      </c>
      <c r="D1773" s="19" t="s">
        <v>869</v>
      </c>
      <c r="E1773" s="19">
        <v>12</v>
      </c>
      <c r="F1773" s="19">
        <v>490</v>
      </c>
      <c r="G1773" s="19">
        <v>1514</v>
      </c>
      <c r="H1773" s="19">
        <v>1</v>
      </c>
      <c r="I1773" s="80">
        <v>69.78</v>
      </c>
      <c r="J1773" s="80">
        <v>69.78</v>
      </c>
      <c r="K1773" s="19" t="s">
        <v>2447</v>
      </c>
      <c r="L1773" s="19" t="s">
        <v>2448</v>
      </c>
      <c r="Q1773" s="20">
        <v>24</v>
      </c>
      <c r="R1773" s="65" t="s">
        <v>2010</v>
      </c>
      <c r="T1773" s="19" t="s">
        <v>307</v>
      </c>
      <c r="V1773" s="19" t="s">
        <v>178</v>
      </c>
      <c r="Y1773" s="19" t="s">
        <v>138</v>
      </c>
      <c r="Z1773" s="44" t="s">
        <v>2449</v>
      </c>
      <c r="AA1773" s="44" t="s">
        <v>2450</v>
      </c>
      <c r="AC1773" s="19" t="s">
        <v>2451</v>
      </c>
    </row>
    <row r="1774" spans="1:29" x14ac:dyDescent="0.25">
      <c r="A1774" s="26">
        <v>13</v>
      </c>
      <c r="B1774" s="19" t="s">
        <v>2463</v>
      </c>
      <c r="C1774" s="44" t="s">
        <v>273</v>
      </c>
      <c r="D1774" s="19" t="s">
        <v>869</v>
      </c>
      <c r="E1774" s="19">
        <v>12</v>
      </c>
      <c r="F1774" s="19">
        <v>490</v>
      </c>
      <c r="G1774" s="19">
        <v>1514</v>
      </c>
      <c r="H1774" s="19">
        <v>1</v>
      </c>
      <c r="I1774" s="80">
        <v>69.78</v>
      </c>
      <c r="J1774" s="80">
        <v>69.78</v>
      </c>
      <c r="K1774" s="19" t="s">
        <v>2447</v>
      </c>
      <c r="L1774" s="19" t="s">
        <v>2448</v>
      </c>
      <c r="Q1774" s="20">
        <v>24</v>
      </c>
      <c r="R1774" s="65" t="s">
        <v>2010</v>
      </c>
      <c r="T1774" s="19" t="s">
        <v>307</v>
      </c>
      <c r="V1774" s="19" t="s">
        <v>178</v>
      </c>
      <c r="Y1774" s="19" t="s">
        <v>138</v>
      </c>
      <c r="Z1774" s="44" t="s">
        <v>2449</v>
      </c>
      <c r="AA1774" s="44" t="s">
        <v>2450</v>
      </c>
      <c r="AC1774" s="19" t="s">
        <v>2451</v>
      </c>
    </row>
    <row r="1775" spans="1:29" x14ac:dyDescent="0.25">
      <c r="A1775" s="26">
        <v>14</v>
      </c>
      <c r="B1775" s="19" t="s">
        <v>2464</v>
      </c>
      <c r="C1775" s="44" t="s">
        <v>273</v>
      </c>
      <c r="D1775" s="19" t="s">
        <v>879</v>
      </c>
      <c r="E1775" s="19">
        <v>12</v>
      </c>
      <c r="F1775" s="19">
        <v>130</v>
      </c>
      <c r="G1775" s="19">
        <v>263</v>
      </c>
      <c r="H1775" s="19">
        <v>1</v>
      </c>
      <c r="I1775" s="80">
        <v>3.21</v>
      </c>
      <c r="J1775" s="80">
        <v>3.21</v>
      </c>
      <c r="K1775" s="19" t="s">
        <v>2447</v>
      </c>
      <c r="L1775" s="19" t="s">
        <v>2448</v>
      </c>
      <c r="Q1775" s="20">
        <v>24</v>
      </c>
      <c r="R1775" s="65" t="s">
        <v>2010</v>
      </c>
      <c r="T1775" s="19" t="s">
        <v>307</v>
      </c>
      <c r="V1775" s="19" t="s">
        <v>178</v>
      </c>
      <c r="W1775" s="19" t="s">
        <v>138</v>
      </c>
      <c r="Z1775" s="44" t="s">
        <v>2449</v>
      </c>
      <c r="AA1775" s="44" t="s">
        <v>2450</v>
      </c>
      <c r="AC1775" s="19" t="s">
        <v>2451</v>
      </c>
    </row>
    <row r="1776" spans="1:29" x14ac:dyDescent="0.25">
      <c r="A1776" s="26">
        <v>15</v>
      </c>
      <c r="B1776" s="19" t="s">
        <v>2465</v>
      </c>
      <c r="C1776" s="44" t="s">
        <v>273</v>
      </c>
      <c r="D1776" s="19" t="s">
        <v>869</v>
      </c>
      <c r="E1776" s="19">
        <v>12</v>
      </c>
      <c r="F1776" s="19">
        <v>490</v>
      </c>
      <c r="G1776" s="19">
        <v>1514</v>
      </c>
      <c r="H1776" s="19">
        <v>1</v>
      </c>
      <c r="I1776" s="80">
        <v>69.78</v>
      </c>
      <c r="J1776" s="80">
        <v>69.78</v>
      </c>
      <c r="K1776" s="19" t="s">
        <v>2447</v>
      </c>
      <c r="L1776" s="19" t="s">
        <v>2448</v>
      </c>
      <c r="Q1776" s="20">
        <v>24</v>
      </c>
      <c r="R1776" s="65" t="s">
        <v>2010</v>
      </c>
      <c r="T1776" s="19" t="s">
        <v>307</v>
      </c>
      <c r="V1776" s="19" t="s">
        <v>178</v>
      </c>
      <c r="Y1776" s="19" t="s">
        <v>138</v>
      </c>
      <c r="Z1776" s="44" t="s">
        <v>2449</v>
      </c>
      <c r="AA1776" s="44" t="s">
        <v>2450</v>
      </c>
      <c r="AC1776" s="19" t="s">
        <v>2451</v>
      </c>
    </row>
    <row r="1777" spans="1:29" x14ac:dyDescent="0.25">
      <c r="A1777" s="26">
        <v>16</v>
      </c>
      <c r="B1777" s="19" t="s">
        <v>2466</v>
      </c>
      <c r="C1777" s="44" t="s">
        <v>273</v>
      </c>
      <c r="D1777" s="19" t="s">
        <v>869</v>
      </c>
      <c r="E1777" s="19">
        <v>12</v>
      </c>
      <c r="F1777" s="19">
        <v>490</v>
      </c>
      <c r="G1777" s="19">
        <v>1514</v>
      </c>
      <c r="H1777" s="19">
        <v>1</v>
      </c>
      <c r="I1777" s="80">
        <v>69.78</v>
      </c>
      <c r="J1777" s="80">
        <v>69.78</v>
      </c>
      <c r="K1777" s="19" t="s">
        <v>2447</v>
      </c>
      <c r="L1777" s="19" t="s">
        <v>2448</v>
      </c>
      <c r="Q1777" s="20">
        <v>24</v>
      </c>
      <c r="R1777" s="65" t="s">
        <v>2010</v>
      </c>
      <c r="T1777" s="19" t="s">
        <v>307</v>
      </c>
      <c r="V1777" s="19" t="s">
        <v>178</v>
      </c>
      <c r="Y1777" s="19" t="s">
        <v>138</v>
      </c>
      <c r="Z1777" s="44" t="s">
        <v>2449</v>
      </c>
      <c r="AA1777" s="44" t="s">
        <v>2450</v>
      </c>
      <c r="AC1777" s="19" t="s">
        <v>2451</v>
      </c>
    </row>
    <row r="1778" spans="1:29" x14ac:dyDescent="0.25">
      <c r="A1778" s="26">
        <v>17</v>
      </c>
      <c r="B1778" s="19" t="s">
        <v>2446</v>
      </c>
      <c r="C1778" s="44" t="s">
        <v>273</v>
      </c>
      <c r="D1778" s="19" t="s">
        <v>803</v>
      </c>
      <c r="E1778" s="19">
        <v>12</v>
      </c>
      <c r="F1778" s="19">
        <v>135</v>
      </c>
      <c r="G1778" s="19">
        <v>488</v>
      </c>
      <c r="H1778" s="19">
        <v>2</v>
      </c>
      <c r="I1778" s="80">
        <v>6.19</v>
      </c>
      <c r="J1778" s="80">
        <v>12.38</v>
      </c>
      <c r="K1778" s="19" t="s">
        <v>2467</v>
      </c>
      <c r="L1778" s="19" t="s">
        <v>2468</v>
      </c>
      <c r="Q1778" s="20">
        <v>24</v>
      </c>
      <c r="R1778" s="65" t="s">
        <v>2010</v>
      </c>
      <c r="T1778" s="19" t="s">
        <v>307</v>
      </c>
      <c r="V1778" s="19" t="s">
        <v>178</v>
      </c>
      <c r="W1778" s="19" t="s">
        <v>138</v>
      </c>
      <c r="Z1778" s="44" t="s">
        <v>2449</v>
      </c>
      <c r="AA1778" s="44" t="s">
        <v>2469</v>
      </c>
      <c r="AC1778" s="19" t="s">
        <v>2470</v>
      </c>
    </row>
    <row r="1779" spans="1:29" x14ac:dyDescent="0.25">
      <c r="A1779" s="26">
        <v>18</v>
      </c>
      <c r="B1779" s="19" t="s">
        <v>2471</v>
      </c>
      <c r="C1779" s="44" t="s">
        <v>273</v>
      </c>
      <c r="D1779" s="19" t="s">
        <v>869</v>
      </c>
      <c r="E1779" s="19">
        <v>12</v>
      </c>
      <c r="F1779" s="19">
        <v>490</v>
      </c>
      <c r="G1779" s="19">
        <v>1514</v>
      </c>
      <c r="H1779" s="19">
        <v>1</v>
      </c>
      <c r="I1779" s="80">
        <v>69.78</v>
      </c>
      <c r="J1779" s="80">
        <v>69.78</v>
      </c>
      <c r="K1779" s="19" t="s">
        <v>2467</v>
      </c>
      <c r="L1779" s="19" t="s">
        <v>2468</v>
      </c>
      <c r="Q1779" s="20">
        <v>24</v>
      </c>
      <c r="R1779" s="65" t="s">
        <v>2010</v>
      </c>
      <c r="T1779" s="19" t="s">
        <v>307</v>
      </c>
      <c r="V1779" s="19" t="s">
        <v>178</v>
      </c>
      <c r="Y1779" s="19" t="s">
        <v>138</v>
      </c>
      <c r="Z1779" s="44" t="s">
        <v>2449</v>
      </c>
      <c r="AA1779" s="44" t="s">
        <v>2469</v>
      </c>
      <c r="AC1779" s="19" t="s">
        <v>2470</v>
      </c>
    </row>
    <row r="1780" spans="1:29" x14ac:dyDescent="0.25">
      <c r="A1780" s="26">
        <v>19</v>
      </c>
      <c r="B1780" s="19" t="s">
        <v>2472</v>
      </c>
      <c r="C1780" s="44" t="s">
        <v>273</v>
      </c>
      <c r="D1780" s="19" t="s">
        <v>869</v>
      </c>
      <c r="E1780" s="19">
        <v>12</v>
      </c>
      <c r="F1780" s="19">
        <v>490</v>
      </c>
      <c r="G1780" s="19">
        <v>1514</v>
      </c>
      <c r="H1780" s="19">
        <v>1</v>
      </c>
      <c r="I1780" s="80">
        <v>69.78</v>
      </c>
      <c r="J1780" s="80">
        <v>69.78</v>
      </c>
      <c r="K1780" s="19" t="s">
        <v>2467</v>
      </c>
      <c r="L1780" s="19" t="s">
        <v>2468</v>
      </c>
      <c r="Q1780" s="20">
        <v>24</v>
      </c>
      <c r="R1780" s="65" t="s">
        <v>2010</v>
      </c>
      <c r="T1780" s="19" t="s">
        <v>307</v>
      </c>
      <c r="V1780" s="19" t="s">
        <v>178</v>
      </c>
      <c r="Y1780" s="19" t="s">
        <v>138</v>
      </c>
      <c r="Z1780" s="44" t="s">
        <v>2449</v>
      </c>
      <c r="AA1780" s="44" t="s">
        <v>2469</v>
      </c>
      <c r="AC1780" s="19" t="s">
        <v>2470</v>
      </c>
    </row>
    <row r="1781" spans="1:29" x14ac:dyDescent="0.25">
      <c r="A1781" s="26">
        <v>20</v>
      </c>
      <c r="B1781" s="19" t="s">
        <v>2473</v>
      </c>
      <c r="C1781" s="44" t="s">
        <v>273</v>
      </c>
      <c r="D1781" s="19" t="s">
        <v>869</v>
      </c>
      <c r="E1781" s="19">
        <v>12</v>
      </c>
      <c r="F1781" s="19">
        <v>490</v>
      </c>
      <c r="G1781" s="19">
        <v>1514</v>
      </c>
      <c r="H1781" s="19">
        <v>1</v>
      </c>
      <c r="I1781" s="80">
        <v>69.78</v>
      </c>
      <c r="J1781" s="80">
        <v>69.78</v>
      </c>
      <c r="K1781" s="19" t="s">
        <v>2467</v>
      </c>
      <c r="L1781" s="19" t="s">
        <v>2468</v>
      </c>
      <c r="Q1781" s="20">
        <v>24</v>
      </c>
      <c r="R1781" s="65" t="s">
        <v>2010</v>
      </c>
      <c r="T1781" s="19" t="s">
        <v>307</v>
      </c>
      <c r="V1781" s="19" t="s">
        <v>178</v>
      </c>
      <c r="Y1781" s="19" t="s">
        <v>138</v>
      </c>
      <c r="Z1781" s="44" t="s">
        <v>2449</v>
      </c>
      <c r="AA1781" s="44" t="s">
        <v>2469</v>
      </c>
      <c r="AC1781" s="19" t="s">
        <v>2470</v>
      </c>
    </row>
    <row r="1782" spans="1:29" x14ac:dyDescent="0.25">
      <c r="A1782" s="26">
        <v>21</v>
      </c>
      <c r="B1782" s="19" t="s">
        <v>2474</v>
      </c>
      <c r="C1782" s="44" t="s">
        <v>273</v>
      </c>
      <c r="D1782" s="19" t="s">
        <v>869</v>
      </c>
      <c r="E1782" s="19">
        <v>12</v>
      </c>
      <c r="F1782" s="19">
        <v>490</v>
      </c>
      <c r="G1782" s="19">
        <v>1514</v>
      </c>
      <c r="H1782" s="19">
        <v>1</v>
      </c>
      <c r="I1782" s="80">
        <v>69.78</v>
      </c>
      <c r="J1782" s="80">
        <v>69.78</v>
      </c>
      <c r="K1782" s="19" t="s">
        <v>2467</v>
      </c>
      <c r="L1782" s="19" t="s">
        <v>2468</v>
      </c>
      <c r="Q1782" s="20">
        <v>24</v>
      </c>
      <c r="R1782" s="65" t="s">
        <v>2010</v>
      </c>
      <c r="T1782" s="19" t="s">
        <v>307</v>
      </c>
      <c r="V1782" s="19" t="s">
        <v>178</v>
      </c>
      <c r="Y1782" s="19" t="s">
        <v>138</v>
      </c>
      <c r="Z1782" s="44" t="s">
        <v>2449</v>
      </c>
      <c r="AA1782" s="44" t="s">
        <v>2469</v>
      </c>
      <c r="AC1782" s="19" t="s">
        <v>2470</v>
      </c>
    </row>
    <row r="1783" spans="1:29" x14ac:dyDescent="0.25">
      <c r="A1783" s="26">
        <v>22</v>
      </c>
      <c r="B1783" s="19" t="s">
        <v>2475</v>
      </c>
      <c r="C1783" s="44" t="s">
        <v>273</v>
      </c>
      <c r="D1783" s="19" t="s">
        <v>869</v>
      </c>
      <c r="E1783" s="19">
        <v>12</v>
      </c>
      <c r="F1783" s="19">
        <v>490</v>
      </c>
      <c r="G1783" s="19">
        <v>1514</v>
      </c>
      <c r="H1783" s="19">
        <v>1</v>
      </c>
      <c r="I1783" s="80">
        <v>69.78</v>
      </c>
      <c r="J1783" s="80">
        <v>69.78</v>
      </c>
      <c r="K1783" s="19" t="s">
        <v>2467</v>
      </c>
      <c r="L1783" s="19" t="s">
        <v>2468</v>
      </c>
      <c r="Q1783" s="20">
        <v>24</v>
      </c>
      <c r="R1783" s="65" t="s">
        <v>2010</v>
      </c>
      <c r="T1783" s="19" t="s">
        <v>307</v>
      </c>
      <c r="V1783" s="19" t="s">
        <v>178</v>
      </c>
      <c r="Y1783" s="19" t="s">
        <v>138</v>
      </c>
      <c r="Z1783" s="44" t="s">
        <v>2449</v>
      </c>
      <c r="AA1783" s="44" t="s">
        <v>2469</v>
      </c>
      <c r="AC1783" s="19" t="s">
        <v>2470</v>
      </c>
    </row>
    <row r="1784" spans="1:29" x14ac:dyDescent="0.25">
      <c r="A1784" s="26">
        <v>23</v>
      </c>
      <c r="B1784" s="19" t="s">
        <v>2476</v>
      </c>
      <c r="C1784" s="44" t="s">
        <v>273</v>
      </c>
      <c r="D1784" s="19" t="s">
        <v>874</v>
      </c>
      <c r="E1784" s="19">
        <v>12</v>
      </c>
      <c r="F1784" s="19">
        <v>100</v>
      </c>
      <c r="G1784" s="19">
        <v>150</v>
      </c>
      <c r="H1784" s="19">
        <v>1</v>
      </c>
      <c r="I1784" s="80">
        <v>1.41</v>
      </c>
      <c r="J1784" s="80">
        <v>1.41</v>
      </c>
      <c r="K1784" s="19" t="s">
        <v>2467</v>
      </c>
      <c r="L1784" s="19" t="s">
        <v>2468</v>
      </c>
      <c r="Q1784" s="20">
        <v>24</v>
      </c>
      <c r="R1784" s="65" t="s">
        <v>2010</v>
      </c>
      <c r="T1784" s="19" t="s">
        <v>307</v>
      </c>
      <c r="V1784" s="19" t="s">
        <v>178</v>
      </c>
      <c r="W1784" s="19" t="s">
        <v>138</v>
      </c>
      <c r="Z1784" s="44" t="s">
        <v>2449</v>
      </c>
      <c r="AA1784" s="44" t="s">
        <v>2469</v>
      </c>
      <c r="AC1784" s="19" t="s">
        <v>2470</v>
      </c>
    </row>
    <row r="1785" spans="1:29" x14ac:dyDescent="0.25">
      <c r="A1785" s="26">
        <v>24</v>
      </c>
      <c r="B1785" s="19" t="s">
        <v>2455</v>
      </c>
      <c r="C1785" s="44" t="s">
        <v>273</v>
      </c>
      <c r="D1785" s="19" t="s">
        <v>914</v>
      </c>
      <c r="E1785" s="19">
        <v>12</v>
      </c>
      <c r="F1785" s="19">
        <v>95</v>
      </c>
      <c r="G1785" s="19">
        <v>263</v>
      </c>
      <c r="H1785" s="19">
        <v>2</v>
      </c>
      <c r="I1785" s="80">
        <v>2.34</v>
      </c>
      <c r="J1785" s="80">
        <v>4.68</v>
      </c>
      <c r="K1785" s="19" t="s">
        <v>2467</v>
      </c>
      <c r="L1785" s="19" t="s">
        <v>2468</v>
      </c>
      <c r="Q1785" s="20">
        <v>24</v>
      </c>
      <c r="R1785" s="65" t="s">
        <v>2010</v>
      </c>
      <c r="T1785" s="19" t="s">
        <v>307</v>
      </c>
      <c r="V1785" s="19" t="s">
        <v>178</v>
      </c>
      <c r="W1785" s="19" t="s">
        <v>138</v>
      </c>
      <c r="Z1785" s="44" t="s">
        <v>2449</v>
      </c>
      <c r="AA1785" s="44" t="s">
        <v>2469</v>
      </c>
      <c r="AC1785" s="19" t="s">
        <v>2470</v>
      </c>
    </row>
    <row r="1786" spans="1:29" x14ac:dyDescent="0.25">
      <c r="A1786" s="26">
        <v>25</v>
      </c>
      <c r="B1786" s="19" t="s">
        <v>2456</v>
      </c>
      <c r="C1786" s="44" t="s">
        <v>273</v>
      </c>
      <c r="D1786" s="19" t="s">
        <v>1239</v>
      </c>
      <c r="E1786" s="19">
        <v>12</v>
      </c>
      <c r="F1786" s="19">
        <v>130</v>
      </c>
      <c r="G1786" s="19">
        <v>663</v>
      </c>
      <c r="H1786" s="19">
        <v>2</v>
      </c>
      <c r="I1786" s="80">
        <v>8.11</v>
      </c>
      <c r="J1786" s="80">
        <v>16.22</v>
      </c>
      <c r="K1786" s="19" t="s">
        <v>2467</v>
      </c>
      <c r="L1786" s="19" t="s">
        <v>2468</v>
      </c>
      <c r="Q1786" s="20">
        <v>24</v>
      </c>
      <c r="R1786" s="65" t="s">
        <v>2010</v>
      </c>
      <c r="T1786" s="19" t="s">
        <v>307</v>
      </c>
      <c r="V1786" s="19" t="s">
        <v>178</v>
      </c>
      <c r="W1786" s="19" t="s">
        <v>138</v>
      </c>
      <c r="Z1786" s="44" t="s">
        <v>2449</v>
      </c>
      <c r="AA1786" s="44" t="s">
        <v>2469</v>
      </c>
      <c r="AC1786" s="19" t="s">
        <v>2470</v>
      </c>
    </row>
    <row r="1787" spans="1:29" x14ac:dyDescent="0.25">
      <c r="A1787" s="26">
        <v>26</v>
      </c>
      <c r="B1787" s="19" t="s">
        <v>2477</v>
      </c>
      <c r="C1787" s="44" t="s">
        <v>273</v>
      </c>
      <c r="D1787" s="19" t="s">
        <v>1493</v>
      </c>
      <c r="E1787" s="19">
        <v>12</v>
      </c>
      <c r="F1787" s="19">
        <v>238</v>
      </c>
      <c r="G1787" s="19">
        <v>1280</v>
      </c>
      <c r="H1787" s="19">
        <v>1</v>
      </c>
      <c r="I1787" s="80">
        <v>28.7</v>
      </c>
      <c r="J1787" s="80">
        <v>28.7</v>
      </c>
      <c r="K1787" s="19" t="s">
        <v>2467</v>
      </c>
      <c r="L1787" s="19" t="s">
        <v>2468</v>
      </c>
      <c r="O1787" s="19" t="s">
        <v>138</v>
      </c>
      <c r="Q1787" s="20">
        <v>24</v>
      </c>
      <c r="R1787" s="65" t="s">
        <v>2010</v>
      </c>
      <c r="T1787" s="19" t="s">
        <v>307</v>
      </c>
      <c r="V1787" s="19" t="s">
        <v>178</v>
      </c>
      <c r="Z1787" s="44" t="s">
        <v>2449</v>
      </c>
      <c r="AA1787" s="44" t="s">
        <v>2469</v>
      </c>
      <c r="AC1787" s="19" t="s">
        <v>2470</v>
      </c>
    </row>
    <row r="1788" spans="1:29" x14ac:dyDescent="0.25">
      <c r="A1788" s="26">
        <v>27</v>
      </c>
      <c r="B1788" s="19" t="s">
        <v>2478</v>
      </c>
      <c r="C1788" s="44" t="s">
        <v>273</v>
      </c>
      <c r="D1788" s="19" t="s">
        <v>1493</v>
      </c>
      <c r="E1788" s="19">
        <v>12</v>
      </c>
      <c r="F1788" s="19">
        <v>238</v>
      </c>
      <c r="G1788" s="19">
        <v>1280</v>
      </c>
      <c r="H1788" s="19">
        <v>1</v>
      </c>
      <c r="I1788" s="80">
        <v>28.7</v>
      </c>
      <c r="J1788" s="80">
        <v>28.7</v>
      </c>
      <c r="K1788" s="19" t="s">
        <v>2467</v>
      </c>
      <c r="L1788" s="19" t="s">
        <v>2468</v>
      </c>
      <c r="O1788" s="19" t="s">
        <v>138</v>
      </c>
      <c r="Q1788" s="20">
        <v>24</v>
      </c>
      <c r="R1788" s="65" t="s">
        <v>2010</v>
      </c>
      <c r="T1788" s="19" t="s">
        <v>307</v>
      </c>
      <c r="V1788" s="19" t="s">
        <v>178</v>
      </c>
      <c r="Z1788" s="44" t="s">
        <v>2449</v>
      </c>
      <c r="AA1788" s="44" t="s">
        <v>2469</v>
      </c>
      <c r="AC1788" s="19" t="s">
        <v>2470</v>
      </c>
    </row>
    <row r="1789" spans="1:29" x14ac:dyDescent="0.25">
      <c r="A1789" s="26">
        <v>28</v>
      </c>
      <c r="B1789" s="19" t="s">
        <v>2479</v>
      </c>
      <c r="C1789" s="44" t="s">
        <v>273</v>
      </c>
      <c r="D1789" s="19" t="s">
        <v>1493</v>
      </c>
      <c r="E1789" s="19">
        <v>12</v>
      </c>
      <c r="F1789" s="19">
        <v>238</v>
      </c>
      <c r="G1789" s="19">
        <v>1280</v>
      </c>
      <c r="H1789" s="19">
        <v>1</v>
      </c>
      <c r="I1789" s="80">
        <v>28.7</v>
      </c>
      <c r="J1789" s="80">
        <v>28.7</v>
      </c>
      <c r="K1789" s="19" t="s">
        <v>2467</v>
      </c>
      <c r="L1789" s="19" t="s">
        <v>2468</v>
      </c>
      <c r="O1789" s="19" t="s">
        <v>138</v>
      </c>
      <c r="Q1789" s="20">
        <v>24</v>
      </c>
      <c r="R1789" s="65" t="s">
        <v>2010</v>
      </c>
      <c r="T1789" s="19" t="s">
        <v>307</v>
      </c>
      <c r="V1789" s="19" t="s">
        <v>178</v>
      </c>
      <c r="Z1789" s="44" t="s">
        <v>2449</v>
      </c>
      <c r="AA1789" s="44" t="s">
        <v>2469</v>
      </c>
      <c r="AC1789" s="19" t="s">
        <v>2470</v>
      </c>
    </row>
    <row r="1790" spans="1:29" x14ac:dyDescent="0.25">
      <c r="A1790" s="26">
        <v>29</v>
      </c>
      <c r="B1790" s="19" t="s">
        <v>2480</v>
      </c>
      <c r="C1790" s="44" t="s">
        <v>273</v>
      </c>
      <c r="D1790" s="19" t="s">
        <v>932</v>
      </c>
      <c r="E1790" s="19">
        <v>12</v>
      </c>
      <c r="F1790" s="19">
        <v>130</v>
      </c>
      <c r="G1790" s="19">
        <v>1315</v>
      </c>
      <c r="H1790" s="19">
        <v>1</v>
      </c>
      <c r="I1790" s="80">
        <v>16.100000000000001</v>
      </c>
      <c r="J1790" s="80">
        <v>16.100000000000001</v>
      </c>
      <c r="K1790" s="19" t="s">
        <v>2467</v>
      </c>
      <c r="L1790" s="19" t="s">
        <v>2468</v>
      </c>
      <c r="Q1790" s="20">
        <v>24</v>
      </c>
      <c r="R1790" s="65" t="s">
        <v>2010</v>
      </c>
      <c r="T1790" s="19" t="s">
        <v>307</v>
      </c>
      <c r="V1790" s="19" t="s">
        <v>178</v>
      </c>
      <c r="W1790" s="19" t="s">
        <v>138</v>
      </c>
      <c r="Z1790" s="44" t="s">
        <v>2449</v>
      </c>
      <c r="AA1790" s="44" t="s">
        <v>2469</v>
      </c>
      <c r="AC1790" s="19" t="s">
        <v>2470</v>
      </c>
    </row>
    <row r="1791" spans="1:29" x14ac:dyDescent="0.25">
      <c r="A1791" s="26">
        <v>30</v>
      </c>
      <c r="B1791" s="19" t="s">
        <v>2481</v>
      </c>
      <c r="C1791" s="44" t="s">
        <v>273</v>
      </c>
      <c r="D1791" s="19" t="s">
        <v>930</v>
      </c>
      <c r="E1791" s="19">
        <v>12</v>
      </c>
      <c r="F1791" s="19">
        <v>128</v>
      </c>
      <c r="G1791" s="19">
        <v>145</v>
      </c>
      <c r="H1791" s="19">
        <v>1</v>
      </c>
      <c r="I1791" s="80">
        <v>1.67</v>
      </c>
      <c r="J1791" s="80">
        <v>1.67</v>
      </c>
      <c r="K1791" s="19" t="s">
        <v>2467</v>
      </c>
      <c r="L1791" s="19" t="s">
        <v>2468</v>
      </c>
      <c r="Q1791" s="20">
        <v>24</v>
      </c>
      <c r="R1791" s="65" t="s">
        <v>2010</v>
      </c>
      <c r="T1791" s="19" t="s">
        <v>307</v>
      </c>
      <c r="V1791" s="19" t="s">
        <v>178</v>
      </c>
      <c r="W1791" s="19" t="s">
        <v>138</v>
      </c>
      <c r="Z1791" s="44" t="s">
        <v>2449</v>
      </c>
      <c r="AA1791" s="44" t="s">
        <v>2469</v>
      </c>
      <c r="AC1791" s="19" t="s">
        <v>2470</v>
      </c>
    </row>
    <row r="1792" spans="1:29" x14ac:dyDescent="0.25">
      <c r="A1792" s="26">
        <v>31</v>
      </c>
      <c r="B1792" s="19" t="s">
        <v>2482</v>
      </c>
      <c r="C1792" s="44" t="s">
        <v>273</v>
      </c>
      <c r="D1792" s="19" t="s">
        <v>932</v>
      </c>
      <c r="E1792" s="19">
        <v>12</v>
      </c>
      <c r="F1792" s="19">
        <v>130</v>
      </c>
      <c r="G1792" s="19">
        <v>1315</v>
      </c>
      <c r="H1792" s="19">
        <v>1</v>
      </c>
      <c r="I1792" s="80">
        <v>16.100000000000001</v>
      </c>
      <c r="J1792" s="80">
        <v>16.100000000000001</v>
      </c>
      <c r="K1792" s="19" t="s">
        <v>2467</v>
      </c>
      <c r="L1792" s="19" t="s">
        <v>2468</v>
      </c>
      <c r="Q1792" s="20">
        <v>24</v>
      </c>
      <c r="R1792" s="65" t="s">
        <v>2010</v>
      </c>
      <c r="T1792" s="19" t="s">
        <v>307</v>
      </c>
      <c r="V1792" s="19" t="s">
        <v>178</v>
      </c>
      <c r="W1792" s="19" t="s">
        <v>138</v>
      </c>
      <c r="Z1792" s="44" t="s">
        <v>2449</v>
      </c>
      <c r="AA1792" s="44" t="s">
        <v>2469</v>
      </c>
      <c r="AC1792" s="19" t="s">
        <v>2470</v>
      </c>
    </row>
    <row r="1793" spans="1:29" x14ac:dyDescent="0.25">
      <c r="A1793" s="26">
        <v>32</v>
      </c>
      <c r="B1793" s="19" t="s">
        <v>2483</v>
      </c>
      <c r="C1793" s="44" t="s">
        <v>273</v>
      </c>
      <c r="D1793" s="19" t="s">
        <v>1239</v>
      </c>
      <c r="E1793" s="19">
        <v>12</v>
      </c>
      <c r="F1793" s="19">
        <v>130</v>
      </c>
      <c r="G1793" s="19">
        <v>663</v>
      </c>
      <c r="H1793" s="19">
        <v>2</v>
      </c>
      <c r="I1793" s="80">
        <v>8.11</v>
      </c>
      <c r="J1793" s="80">
        <v>16.22</v>
      </c>
      <c r="K1793" s="19" t="s">
        <v>2467</v>
      </c>
      <c r="L1793" s="19" t="s">
        <v>2468</v>
      </c>
      <c r="Q1793" s="20">
        <v>24</v>
      </c>
      <c r="R1793" s="65" t="s">
        <v>2010</v>
      </c>
      <c r="T1793" s="19" t="s">
        <v>307</v>
      </c>
      <c r="V1793" s="19" t="s">
        <v>178</v>
      </c>
      <c r="W1793" s="19" t="s">
        <v>138</v>
      </c>
      <c r="Z1793" s="44" t="s">
        <v>2449</v>
      </c>
      <c r="AA1793" s="44" t="s">
        <v>2469</v>
      </c>
      <c r="AC1793" s="19" t="s">
        <v>2470</v>
      </c>
    </row>
    <row r="1794" spans="1:29" x14ac:dyDescent="0.25">
      <c r="A1794" s="26">
        <v>33</v>
      </c>
      <c r="B1794" s="19" t="s">
        <v>2484</v>
      </c>
      <c r="C1794" s="44" t="s">
        <v>273</v>
      </c>
      <c r="D1794" s="19" t="s">
        <v>869</v>
      </c>
      <c r="E1794" s="19">
        <v>12</v>
      </c>
      <c r="F1794" s="19">
        <v>490</v>
      </c>
      <c r="G1794" s="19">
        <v>1514</v>
      </c>
      <c r="H1794" s="19">
        <v>1</v>
      </c>
      <c r="I1794" s="80">
        <v>69.78</v>
      </c>
      <c r="J1794" s="80">
        <v>69.78</v>
      </c>
      <c r="K1794" s="19" t="s">
        <v>2467</v>
      </c>
      <c r="L1794" s="19" t="s">
        <v>2468</v>
      </c>
      <c r="Q1794" s="20">
        <v>24</v>
      </c>
      <c r="R1794" s="65" t="s">
        <v>2010</v>
      </c>
      <c r="T1794" s="19" t="s">
        <v>307</v>
      </c>
      <c r="V1794" s="19" t="s">
        <v>178</v>
      </c>
      <c r="Y1794" s="19" t="s">
        <v>138</v>
      </c>
      <c r="Z1794" s="44" t="s">
        <v>2449</v>
      </c>
      <c r="AA1794" s="44" t="s">
        <v>2469</v>
      </c>
      <c r="AC1794" s="19" t="s">
        <v>2470</v>
      </c>
    </row>
    <row r="1795" spans="1:29" x14ac:dyDescent="0.25">
      <c r="A1795" s="26">
        <v>34</v>
      </c>
      <c r="B1795" s="19" t="s">
        <v>2485</v>
      </c>
      <c r="C1795" s="44" t="s">
        <v>273</v>
      </c>
      <c r="D1795" s="19" t="s">
        <v>869</v>
      </c>
      <c r="E1795" s="19">
        <v>12</v>
      </c>
      <c r="F1795" s="19">
        <v>490</v>
      </c>
      <c r="G1795" s="19">
        <v>1514</v>
      </c>
      <c r="H1795" s="19">
        <v>1</v>
      </c>
      <c r="I1795" s="80">
        <v>69.78</v>
      </c>
      <c r="J1795" s="80">
        <v>69.78</v>
      </c>
      <c r="K1795" s="19" t="s">
        <v>2467</v>
      </c>
      <c r="L1795" s="19" t="s">
        <v>2468</v>
      </c>
      <c r="Q1795" s="20">
        <v>24</v>
      </c>
      <c r="R1795" s="65" t="s">
        <v>2010</v>
      </c>
      <c r="T1795" s="19" t="s">
        <v>307</v>
      </c>
      <c r="V1795" s="19" t="s">
        <v>178</v>
      </c>
      <c r="Y1795" s="19" t="s">
        <v>138</v>
      </c>
      <c r="Z1795" s="44" t="s">
        <v>2449</v>
      </c>
      <c r="AA1795" s="44" t="s">
        <v>2469</v>
      </c>
      <c r="AC1795" s="19" t="s">
        <v>2470</v>
      </c>
    </row>
    <row r="1796" spans="1:29" x14ac:dyDescent="0.25">
      <c r="A1796" s="26">
        <v>35</v>
      </c>
      <c r="B1796" s="19" t="s">
        <v>2486</v>
      </c>
      <c r="C1796" s="44" t="s">
        <v>273</v>
      </c>
      <c r="D1796" s="19" t="s">
        <v>869</v>
      </c>
      <c r="E1796" s="19">
        <v>12</v>
      </c>
      <c r="F1796" s="19">
        <v>490</v>
      </c>
      <c r="G1796" s="19">
        <v>1514</v>
      </c>
      <c r="H1796" s="19">
        <v>1</v>
      </c>
      <c r="I1796" s="80">
        <v>69.78</v>
      </c>
      <c r="J1796" s="80">
        <v>69.78</v>
      </c>
      <c r="K1796" s="19" t="s">
        <v>2467</v>
      </c>
      <c r="L1796" s="19" t="s">
        <v>2468</v>
      </c>
      <c r="Q1796" s="20">
        <v>24</v>
      </c>
      <c r="R1796" s="65" t="s">
        <v>2010</v>
      </c>
      <c r="T1796" s="19" t="s">
        <v>307</v>
      </c>
      <c r="V1796" s="19" t="s">
        <v>178</v>
      </c>
      <c r="Y1796" s="19" t="s">
        <v>138</v>
      </c>
      <c r="Z1796" s="44" t="s">
        <v>2449</v>
      </c>
      <c r="AA1796" s="44" t="s">
        <v>2469</v>
      </c>
      <c r="AC1796" s="19" t="s">
        <v>2470</v>
      </c>
    </row>
    <row r="1797" spans="1:29" x14ac:dyDescent="0.25">
      <c r="A1797" s="26">
        <v>36</v>
      </c>
      <c r="B1797" s="19" t="s">
        <v>2487</v>
      </c>
      <c r="C1797" s="44" t="s">
        <v>273</v>
      </c>
      <c r="D1797" s="19" t="s">
        <v>879</v>
      </c>
      <c r="E1797" s="19">
        <v>12</v>
      </c>
      <c r="F1797" s="19">
        <v>130</v>
      </c>
      <c r="G1797" s="19">
        <v>263</v>
      </c>
      <c r="H1797" s="19">
        <v>1</v>
      </c>
      <c r="I1797" s="80">
        <v>3.21</v>
      </c>
      <c r="J1797" s="80">
        <v>3.21</v>
      </c>
      <c r="K1797" s="19" t="s">
        <v>2467</v>
      </c>
      <c r="L1797" s="19" t="s">
        <v>2468</v>
      </c>
      <c r="Q1797" s="20">
        <v>24</v>
      </c>
      <c r="R1797" s="65" t="s">
        <v>2010</v>
      </c>
      <c r="T1797" s="19" t="s">
        <v>307</v>
      </c>
      <c r="V1797" s="19" t="s">
        <v>178</v>
      </c>
      <c r="W1797" s="19" t="s">
        <v>138</v>
      </c>
      <c r="Z1797" s="44" t="s">
        <v>2449</v>
      </c>
      <c r="AA1797" s="44" t="s">
        <v>2469</v>
      </c>
      <c r="AC1797" s="19" t="s">
        <v>2470</v>
      </c>
    </row>
    <row r="1798" spans="1:29" x14ac:dyDescent="0.25">
      <c r="A1798" s="26">
        <v>37</v>
      </c>
      <c r="B1798" s="19" t="s">
        <v>2446</v>
      </c>
      <c r="C1798" s="44" t="s">
        <v>273</v>
      </c>
      <c r="D1798" s="19" t="s">
        <v>803</v>
      </c>
      <c r="E1798" s="19">
        <v>12</v>
      </c>
      <c r="F1798" s="19">
        <v>135</v>
      </c>
      <c r="G1798" s="19">
        <v>488</v>
      </c>
      <c r="H1798" s="19">
        <v>3</v>
      </c>
      <c r="I1798" s="80">
        <v>6.19</v>
      </c>
      <c r="J1798" s="80">
        <v>18.57</v>
      </c>
      <c r="K1798" s="19" t="s">
        <v>2488</v>
      </c>
      <c r="L1798" s="19" t="s">
        <v>2489</v>
      </c>
      <c r="Q1798" s="20">
        <v>24</v>
      </c>
      <c r="R1798" s="65" t="s">
        <v>2010</v>
      </c>
      <c r="T1798" s="19" t="s">
        <v>307</v>
      </c>
      <c r="V1798" s="19" t="s">
        <v>178</v>
      </c>
      <c r="W1798" s="19" t="s">
        <v>138</v>
      </c>
      <c r="Z1798" s="44" t="s">
        <v>2449</v>
      </c>
      <c r="AA1798" s="44" t="s">
        <v>2490</v>
      </c>
      <c r="AC1798" s="19" t="s">
        <v>2491</v>
      </c>
    </row>
    <row r="1799" spans="1:29" x14ac:dyDescent="0.25">
      <c r="A1799" s="26">
        <v>38</v>
      </c>
      <c r="B1799" s="19" t="s">
        <v>2492</v>
      </c>
      <c r="C1799" s="44" t="s">
        <v>273</v>
      </c>
      <c r="D1799" s="19" t="s">
        <v>869</v>
      </c>
      <c r="E1799" s="19">
        <v>12</v>
      </c>
      <c r="F1799" s="19">
        <v>490</v>
      </c>
      <c r="G1799" s="19">
        <v>1514</v>
      </c>
      <c r="H1799" s="19">
        <v>1</v>
      </c>
      <c r="I1799" s="80">
        <v>69.78</v>
      </c>
      <c r="J1799" s="80">
        <v>69.78</v>
      </c>
      <c r="K1799" s="19" t="s">
        <v>2488</v>
      </c>
      <c r="L1799" s="19" t="s">
        <v>2489</v>
      </c>
      <c r="Q1799" s="20">
        <v>24</v>
      </c>
      <c r="R1799" s="65" t="s">
        <v>2010</v>
      </c>
      <c r="T1799" s="19" t="s">
        <v>307</v>
      </c>
      <c r="V1799" s="19" t="s">
        <v>178</v>
      </c>
      <c r="Y1799" s="19" t="s">
        <v>138</v>
      </c>
      <c r="Z1799" s="44" t="s">
        <v>2449</v>
      </c>
      <c r="AA1799" s="44" t="s">
        <v>2490</v>
      </c>
      <c r="AC1799" s="19" t="s">
        <v>2491</v>
      </c>
    </row>
    <row r="1800" spans="1:29" x14ac:dyDescent="0.25">
      <c r="A1800" s="26">
        <v>39</v>
      </c>
      <c r="B1800" s="19" t="s">
        <v>2493</v>
      </c>
      <c r="C1800" s="44" t="s">
        <v>273</v>
      </c>
      <c r="D1800" s="19" t="s">
        <v>877</v>
      </c>
      <c r="E1800" s="19">
        <v>12</v>
      </c>
      <c r="F1800" s="19">
        <v>130</v>
      </c>
      <c r="G1800" s="19">
        <v>1458</v>
      </c>
      <c r="H1800" s="19">
        <v>1</v>
      </c>
      <c r="I1800" s="80">
        <v>17.84</v>
      </c>
      <c r="J1800" s="80">
        <v>17.84</v>
      </c>
      <c r="K1800" s="19" t="s">
        <v>2488</v>
      </c>
      <c r="L1800" s="19" t="s">
        <v>2489</v>
      </c>
      <c r="Q1800" s="20">
        <v>24</v>
      </c>
      <c r="R1800" s="65" t="s">
        <v>2010</v>
      </c>
      <c r="T1800" s="19" t="s">
        <v>307</v>
      </c>
      <c r="V1800" s="19" t="s">
        <v>178</v>
      </c>
      <c r="W1800" s="19" t="s">
        <v>138</v>
      </c>
      <c r="Z1800" s="44" t="s">
        <v>2449</v>
      </c>
      <c r="AA1800" s="44" t="s">
        <v>2490</v>
      </c>
      <c r="AC1800" s="19" t="s">
        <v>2491</v>
      </c>
    </row>
    <row r="1801" spans="1:29" x14ac:dyDescent="0.25">
      <c r="A1801" s="26">
        <v>40</v>
      </c>
      <c r="B1801" s="19" t="s">
        <v>2494</v>
      </c>
      <c r="C1801" s="44" t="s">
        <v>273</v>
      </c>
      <c r="D1801" s="19" t="s">
        <v>877</v>
      </c>
      <c r="E1801" s="19">
        <v>12</v>
      </c>
      <c r="F1801" s="19">
        <v>130</v>
      </c>
      <c r="G1801" s="19">
        <v>1458</v>
      </c>
      <c r="H1801" s="19">
        <v>1</v>
      </c>
      <c r="I1801" s="80">
        <v>17.84</v>
      </c>
      <c r="J1801" s="80">
        <v>17.84</v>
      </c>
      <c r="K1801" s="19" t="s">
        <v>2488</v>
      </c>
      <c r="L1801" s="19" t="s">
        <v>2489</v>
      </c>
      <c r="Q1801" s="20">
        <v>24</v>
      </c>
      <c r="R1801" s="65" t="s">
        <v>2010</v>
      </c>
      <c r="T1801" s="19" t="s">
        <v>307</v>
      </c>
      <c r="V1801" s="19" t="s">
        <v>178</v>
      </c>
      <c r="W1801" s="19" t="s">
        <v>138</v>
      </c>
      <c r="Z1801" s="44" t="s">
        <v>2449</v>
      </c>
      <c r="AA1801" s="44" t="s">
        <v>2490</v>
      </c>
      <c r="AC1801" s="19" t="s">
        <v>2491</v>
      </c>
    </row>
    <row r="1802" spans="1:29" x14ac:dyDescent="0.25">
      <c r="A1802" s="26">
        <v>41</v>
      </c>
      <c r="B1802" s="19" t="s">
        <v>2495</v>
      </c>
      <c r="C1802" s="44" t="s">
        <v>273</v>
      </c>
      <c r="D1802" s="19" t="s">
        <v>1239</v>
      </c>
      <c r="E1802" s="19">
        <v>12</v>
      </c>
      <c r="F1802" s="19">
        <v>130</v>
      </c>
      <c r="G1802" s="19">
        <v>663</v>
      </c>
      <c r="H1802" s="19">
        <v>1</v>
      </c>
      <c r="I1802" s="80">
        <v>8.11</v>
      </c>
      <c r="J1802" s="80">
        <v>8.11</v>
      </c>
      <c r="K1802" s="19" t="s">
        <v>2488</v>
      </c>
      <c r="L1802" s="19" t="s">
        <v>2489</v>
      </c>
      <c r="Q1802" s="20">
        <v>24</v>
      </c>
      <c r="R1802" s="65" t="s">
        <v>2010</v>
      </c>
      <c r="T1802" s="19" t="s">
        <v>307</v>
      </c>
      <c r="V1802" s="19" t="s">
        <v>178</v>
      </c>
      <c r="W1802" s="19" t="s">
        <v>138</v>
      </c>
      <c r="Z1802" s="44" t="s">
        <v>2449</v>
      </c>
      <c r="AA1802" s="44" t="s">
        <v>2490</v>
      </c>
      <c r="AC1802" s="19" t="s">
        <v>2491</v>
      </c>
    </row>
    <row r="1803" spans="1:29" x14ac:dyDescent="0.25">
      <c r="A1803" s="26">
        <v>42</v>
      </c>
      <c r="B1803" s="19" t="s">
        <v>2496</v>
      </c>
      <c r="C1803" s="44" t="s">
        <v>273</v>
      </c>
      <c r="D1803" s="19" t="s">
        <v>879</v>
      </c>
      <c r="E1803" s="19">
        <v>12</v>
      </c>
      <c r="F1803" s="19">
        <v>130</v>
      </c>
      <c r="G1803" s="19">
        <v>263</v>
      </c>
      <c r="H1803" s="19">
        <v>1</v>
      </c>
      <c r="I1803" s="80">
        <v>3.21</v>
      </c>
      <c r="J1803" s="80">
        <v>3.21</v>
      </c>
      <c r="K1803" s="19" t="s">
        <v>2488</v>
      </c>
      <c r="L1803" s="19" t="s">
        <v>2489</v>
      </c>
      <c r="Q1803" s="20">
        <v>24</v>
      </c>
      <c r="R1803" s="65" t="s">
        <v>2010</v>
      </c>
      <c r="T1803" s="19" t="s">
        <v>307</v>
      </c>
      <c r="V1803" s="19" t="s">
        <v>178</v>
      </c>
      <c r="W1803" s="19" t="s">
        <v>138</v>
      </c>
      <c r="Z1803" s="44" t="s">
        <v>2449</v>
      </c>
      <c r="AA1803" s="44" t="s">
        <v>2490</v>
      </c>
      <c r="AC1803" s="19" t="s">
        <v>2491</v>
      </c>
    </row>
    <row r="1804" spans="1:29" x14ac:dyDescent="0.25">
      <c r="A1804" s="26">
        <v>43</v>
      </c>
      <c r="B1804" s="19" t="s">
        <v>2497</v>
      </c>
      <c r="C1804" s="44" t="s">
        <v>273</v>
      </c>
      <c r="D1804" s="19" t="s">
        <v>1211</v>
      </c>
      <c r="E1804" s="19">
        <v>12</v>
      </c>
      <c r="F1804" s="19">
        <v>490</v>
      </c>
      <c r="G1804" s="19">
        <v>1388</v>
      </c>
      <c r="H1804" s="19">
        <v>1</v>
      </c>
      <c r="I1804" s="80">
        <v>63.63</v>
      </c>
      <c r="J1804" s="80">
        <v>63.63</v>
      </c>
      <c r="K1804" s="19" t="s">
        <v>2488</v>
      </c>
      <c r="L1804" s="19" t="s">
        <v>2489</v>
      </c>
      <c r="Q1804" s="20">
        <v>24</v>
      </c>
      <c r="R1804" s="65" t="s">
        <v>2010</v>
      </c>
      <c r="T1804" s="19" t="s">
        <v>307</v>
      </c>
      <c r="V1804" s="19" t="s">
        <v>178</v>
      </c>
      <c r="Y1804" s="19" t="s">
        <v>138</v>
      </c>
      <c r="Z1804" s="44" t="s">
        <v>2449</v>
      </c>
      <c r="AA1804" s="44" t="s">
        <v>2490</v>
      </c>
      <c r="AC1804" s="19" t="s">
        <v>2491</v>
      </c>
    </row>
    <row r="1805" spans="1:29" x14ac:dyDescent="0.25">
      <c r="A1805" s="26">
        <v>44</v>
      </c>
      <c r="B1805" s="19" t="s">
        <v>2498</v>
      </c>
      <c r="C1805" s="44" t="s">
        <v>273</v>
      </c>
      <c r="D1805" s="19" t="s">
        <v>874</v>
      </c>
      <c r="E1805" s="19">
        <v>12</v>
      </c>
      <c r="F1805" s="19">
        <v>100</v>
      </c>
      <c r="G1805" s="19">
        <v>150</v>
      </c>
      <c r="H1805" s="19">
        <v>1</v>
      </c>
      <c r="I1805" s="80">
        <v>1.41</v>
      </c>
      <c r="J1805" s="80">
        <v>1.41</v>
      </c>
      <c r="K1805" s="19" t="s">
        <v>2488</v>
      </c>
      <c r="L1805" s="19" t="s">
        <v>2489</v>
      </c>
      <c r="Q1805" s="20">
        <v>24</v>
      </c>
      <c r="R1805" s="65" t="s">
        <v>2010</v>
      </c>
      <c r="T1805" s="19" t="s">
        <v>307</v>
      </c>
      <c r="V1805" s="19" t="s">
        <v>178</v>
      </c>
      <c r="W1805" s="19" t="s">
        <v>138</v>
      </c>
      <c r="Z1805" s="44" t="s">
        <v>2449</v>
      </c>
      <c r="AA1805" s="44" t="s">
        <v>2490</v>
      </c>
      <c r="AC1805" s="19" t="s">
        <v>2491</v>
      </c>
    </row>
    <row r="1806" spans="1:29" x14ac:dyDescent="0.25">
      <c r="A1806" s="26">
        <v>45</v>
      </c>
      <c r="B1806" s="19" t="s">
        <v>2499</v>
      </c>
      <c r="C1806" s="44" t="s">
        <v>273</v>
      </c>
      <c r="D1806" s="19" t="s">
        <v>869</v>
      </c>
      <c r="E1806" s="19">
        <v>12</v>
      </c>
      <c r="F1806" s="19">
        <v>490</v>
      </c>
      <c r="G1806" s="19">
        <v>1514</v>
      </c>
      <c r="H1806" s="19">
        <v>1</v>
      </c>
      <c r="I1806" s="80">
        <v>69.78</v>
      </c>
      <c r="J1806" s="80">
        <v>69.78</v>
      </c>
      <c r="K1806" s="19" t="s">
        <v>2488</v>
      </c>
      <c r="L1806" s="19" t="s">
        <v>2489</v>
      </c>
      <c r="Q1806" s="20">
        <v>24</v>
      </c>
      <c r="R1806" s="65" t="s">
        <v>2010</v>
      </c>
      <c r="T1806" s="19" t="s">
        <v>307</v>
      </c>
      <c r="V1806" s="19" t="s">
        <v>178</v>
      </c>
      <c r="Y1806" s="19" t="s">
        <v>138</v>
      </c>
      <c r="Z1806" s="44" t="s">
        <v>2449</v>
      </c>
      <c r="AA1806" s="44" t="s">
        <v>2490</v>
      </c>
      <c r="AC1806" s="19" t="s">
        <v>2491</v>
      </c>
    </row>
    <row r="1807" spans="1:29" x14ac:dyDescent="0.25">
      <c r="A1807" s="26">
        <v>46</v>
      </c>
      <c r="B1807" s="19" t="s">
        <v>2500</v>
      </c>
      <c r="C1807" s="44" t="s">
        <v>273</v>
      </c>
      <c r="D1807" s="19" t="s">
        <v>869</v>
      </c>
      <c r="E1807" s="19">
        <v>12</v>
      </c>
      <c r="F1807" s="19">
        <v>490</v>
      </c>
      <c r="G1807" s="19">
        <v>1514</v>
      </c>
      <c r="H1807" s="19">
        <v>1</v>
      </c>
      <c r="I1807" s="80">
        <v>69.78</v>
      </c>
      <c r="J1807" s="80">
        <v>69.78</v>
      </c>
      <c r="K1807" s="19" t="s">
        <v>2488</v>
      </c>
      <c r="L1807" s="19" t="s">
        <v>2489</v>
      </c>
      <c r="Q1807" s="20">
        <v>24</v>
      </c>
      <c r="R1807" s="65" t="s">
        <v>2010</v>
      </c>
      <c r="T1807" s="19" t="s">
        <v>307</v>
      </c>
      <c r="V1807" s="19" t="s">
        <v>178</v>
      </c>
      <c r="Y1807" s="19" t="s">
        <v>138</v>
      </c>
      <c r="Z1807" s="44" t="s">
        <v>2449</v>
      </c>
      <c r="AA1807" s="44" t="s">
        <v>2490</v>
      </c>
      <c r="AC1807" s="19" t="s">
        <v>2491</v>
      </c>
    </row>
    <row r="1808" spans="1:29" x14ac:dyDescent="0.25">
      <c r="A1808" s="26">
        <v>47</v>
      </c>
      <c r="B1808" s="19" t="s">
        <v>2501</v>
      </c>
      <c r="C1808" s="44" t="s">
        <v>273</v>
      </c>
      <c r="D1808" s="19" t="s">
        <v>869</v>
      </c>
      <c r="E1808" s="19">
        <v>12</v>
      </c>
      <c r="F1808" s="19">
        <v>490</v>
      </c>
      <c r="G1808" s="19">
        <v>1514</v>
      </c>
      <c r="H1808" s="19">
        <v>1</v>
      </c>
      <c r="I1808" s="80">
        <v>69.78</v>
      </c>
      <c r="J1808" s="80">
        <v>69.78</v>
      </c>
      <c r="K1808" s="19" t="s">
        <v>2488</v>
      </c>
      <c r="L1808" s="19" t="s">
        <v>2489</v>
      </c>
      <c r="Q1808" s="20">
        <v>24</v>
      </c>
      <c r="R1808" s="65" t="s">
        <v>2010</v>
      </c>
      <c r="T1808" s="19" t="s">
        <v>307</v>
      </c>
      <c r="V1808" s="19" t="s">
        <v>178</v>
      </c>
      <c r="Y1808" s="19" t="s">
        <v>138</v>
      </c>
      <c r="Z1808" s="44" t="s">
        <v>2449</v>
      </c>
      <c r="AA1808" s="44" t="s">
        <v>2490</v>
      </c>
      <c r="AC1808" s="19" t="s">
        <v>2491</v>
      </c>
    </row>
    <row r="1809" spans="1:29" x14ac:dyDescent="0.25">
      <c r="A1809" s="26">
        <v>48</v>
      </c>
      <c r="B1809" s="19" t="s">
        <v>2502</v>
      </c>
      <c r="C1809" s="44" t="s">
        <v>273</v>
      </c>
      <c r="D1809" s="19" t="s">
        <v>917</v>
      </c>
      <c r="E1809" s="19">
        <v>12</v>
      </c>
      <c r="F1809" s="19">
        <v>1434</v>
      </c>
      <c r="G1809" s="19">
        <v>1460</v>
      </c>
      <c r="H1809" s="19">
        <v>1</v>
      </c>
      <c r="I1809" s="80">
        <v>194.55</v>
      </c>
      <c r="J1809" s="80">
        <v>194.55</v>
      </c>
      <c r="K1809" s="19" t="s">
        <v>2488</v>
      </c>
      <c r="L1809" s="19" t="s">
        <v>2489</v>
      </c>
      <c r="Q1809" s="20">
        <v>24</v>
      </c>
      <c r="R1809" s="65" t="s">
        <v>2010</v>
      </c>
      <c r="T1809" s="19" t="s">
        <v>307</v>
      </c>
      <c r="V1809" s="19" t="s">
        <v>178</v>
      </c>
      <c r="Y1809" s="19" t="s">
        <v>138</v>
      </c>
      <c r="Z1809" s="44" t="s">
        <v>2449</v>
      </c>
      <c r="AA1809" s="44" t="s">
        <v>2490</v>
      </c>
      <c r="AC1809" s="19" t="s">
        <v>2491</v>
      </c>
    </row>
    <row r="1810" spans="1:29" x14ac:dyDescent="0.25">
      <c r="A1810" s="26">
        <v>49</v>
      </c>
      <c r="B1810" s="19" t="s">
        <v>2503</v>
      </c>
      <c r="C1810" s="44" t="s">
        <v>273</v>
      </c>
      <c r="D1810" s="19" t="s">
        <v>1239</v>
      </c>
      <c r="E1810" s="19">
        <v>12</v>
      </c>
      <c r="F1810" s="19">
        <v>130</v>
      </c>
      <c r="G1810" s="19">
        <v>663</v>
      </c>
      <c r="H1810" s="19">
        <v>2</v>
      </c>
      <c r="I1810" s="80">
        <v>8.11</v>
      </c>
      <c r="J1810" s="80">
        <v>16.22</v>
      </c>
      <c r="K1810" s="19" t="s">
        <v>2488</v>
      </c>
      <c r="L1810" s="19" t="s">
        <v>2489</v>
      </c>
      <c r="Q1810" s="20">
        <v>24</v>
      </c>
      <c r="R1810" s="65" t="s">
        <v>2010</v>
      </c>
      <c r="T1810" s="19" t="s">
        <v>307</v>
      </c>
      <c r="V1810" s="19" t="s">
        <v>178</v>
      </c>
      <c r="W1810" s="19" t="s">
        <v>138</v>
      </c>
      <c r="Z1810" s="44" t="s">
        <v>2449</v>
      </c>
      <c r="AA1810" s="44" t="s">
        <v>2490</v>
      </c>
      <c r="AC1810" s="19" t="s">
        <v>2491</v>
      </c>
    </row>
    <row r="1811" spans="1:29" x14ac:dyDescent="0.25">
      <c r="A1811" s="26">
        <v>50</v>
      </c>
      <c r="B1811" s="19" t="s">
        <v>2504</v>
      </c>
      <c r="C1811" s="44" t="s">
        <v>273</v>
      </c>
      <c r="D1811" s="19" t="s">
        <v>917</v>
      </c>
      <c r="E1811" s="19">
        <v>12</v>
      </c>
      <c r="F1811" s="19">
        <v>1434</v>
      </c>
      <c r="G1811" s="19">
        <v>1460</v>
      </c>
      <c r="H1811" s="19">
        <v>1</v>
      </c>
      <c r="I1811" s="80">
        <v>194.55</v>
      </c>
      <c r="J1811" s="80">
        <v>194.55</v>
      </c>
      <c r="K1811" s="19" t="s">
        <v>2488</v>
      </c>
      <c r="L1811" s="19" t="s">
        <v>2489</v>
      </c>
      <c r="Q1811" s="20">
        <v>24</v>
      </c>
      <c r="R1811" s="65" t="s">
        <v>2010</v>
      </c>
      <c r="T1811" s="19" t="s">
        <v>307</v>
      </c>
      <c r="V1811" s="19" t="s">
        <v>178</v>
      </c>
      <c r="Y1811" s="19" t="s">
        <v>138</v>
      </c>
      <c r="Z1811" s="44" t="s">
        <v>2449</v>
      </c>
      <c r="AA1811" s="44" t="s">
        <v>2490</v>
      </c>
      <c r="AC1811" s="19" t="s">
        <v>2491</v>
      </c>
    </row>
    <row r="1812" spans="1:29" x14ac:dyDescent="0.25">
      <c r="A1812" s="26">
        <v>51</v>
      </c>
      <c r="B1812" s="19" t="s">
        <v>2505</v>
      </c>
      <c r="C1812" s="44" t="s">
        <v>273</v>
      </c>
      <c r="D1812" s="19" t="s">
        <v>877</v>
      </c>
      <c r="E1812" s="19">
        <v>12</v>
      </c>
      <c r="F1812" s="19">
        <v>130</v>
      </c>
      <c r="G1812" s="19">
        <v>1458</v>
      </c>
      <c r="H1812" s="19">
        <v>1</v>
      </c>
      <c r="I1812" s="80">
        <v>17.84</v>
      </c>
      <c r="J1812" s="80">
        <v>17.84</v>
      </c>
      <c r="K1812" s="19" t="s">
        <v>2488</v>
      </c>
      <c r="L1812" s="19" t="s">
        <v>2489</v>
      </c>
      <c r="Q1812" s="20">
        <v>24</v>
      </c>
      <c r="R1812" s="65" t="s">
        <v>2010</v>
      </c>
      <c r="T1812" s="19" t="s">
        <v>307</v>
      </c>
      <c r="V1812" s="19" t="s">
        <v>178</v>
      </c>
      <c r="W1812" s="19" t="s">
        <v>138</v>
      </c>
      <c r="Z1812" s="44" t="s">
        <v>2449</v>
      </c>
      <c r="AA1812" s="44" t="s">
        <v>2490</v>
      </c>
      <c r="AC1812" s="19" t="s">
        <v>2491</v>
      </c>
    </row>
    <row r="1813" spans="1:29" x14ac:dyDescent="0.25">
      <c r="A1813" s="26">
        <v>52</v>
      </c>
      <c r="B1813" s="19" t="s">
        <v>2506</v>
      </c>
      <c r="C1813" s="44" t="s">
        <v>273</v>
      </c>
      <c r="D1813" s="19" t="s">
        <v>877</v>
      </c>
      <c r="E1813" s="19">
        <v>12</v>
      </c>
      <c r="F1813" s="19">
        <v>130</v>
      </c>
      <c r="G1813" s="19">
        <v>1458</v>
      </c>
      <c r="H1813" s="19">
        <v>1</v>
      </c>
      <c r="I1813" s="80">
        <v>17.84</v>
      </c>
      <c r="J1813" s="80">
        <v>17.84</v>
      </c>
      <c r="K1813" s="19" t="s">
        <v>2488</v>
      </c>
      <c r="L1813" s="19" t="s">
        <v>2489</v>
      </c>
      <c r="Q1813" s="20">
        <v>24</v>
      </c>
      <c r="R1813" s="65" t="s">
        <v>2010</v>
      </c>
      <c r="T1813" s="19" t="s">
        <v>307</v>
      </c>
      <c r="V1813" s="19" t="s">
        <v>178</v>
      </c>
      <c r="W1813" s="19" t="s">
        <v>138</v>
      </c>
      <c r="Z1813" s="44" t="s">
        <v>2449</v>
      </c>
      <c r="AA1813" s="44" t="s">
        <v>2490</v>
      </c>
      <c r="AC1813" s="19" t="s">
        <v>2491</v>
      </c>
    </row>
    <row r="1814" spans="1:29" x14ac:dyDescent="0.25">
      <c r="A1814" s="26">
        <v>53</v>
      </c>
      <c r="B1814" s="19" t="s">
        <v>2507</v>
      </c>
      <c r="C1814" s="44" t="s">
        <v>273</v>
      </c>
      <c r="D1814" s="19" t="s">
        <v>879</v>
      </c>
      <c r="E1814" s="19">
        <v>12</v>
      </c>
      <c r="F1814" s="19">
        <v>130</v>
      </c>
      <c r="G1814" s="19">
        <v>263</v>
      </c>
      <c r="H1814" s="19">
        <v>1</v>
      </c>
      <c r="I1814" s="80">
        <v>3.21</v>
      </c>
      <c r="J1814" s="80">
        <v>3.21</v>
      </c>
      <c r="K1814" s="19" t="s">
        <v>2488</v>
      </c>
      <c r="L1814" s="19" t="s">
        <v>2489</v>
      </c>
      <c r="Q1814" s="20">
        <v>24</v>
      </c>
      <c r="R1814" s="65" t="s">
        <v>2010</v>
      </c>
      <c r="T1814" s="19" t="s">
        <v>307</v>
      </c>
      <c r="V1814" s="19" t="s">
        <v>178</v>
      </c>
      <c r="W1814" s="19" t="s">
        <v>138</v>
      </c>
      <c r="Z1814" s="44" t="s">
        <v>2449</v>
      </c>
      <c r="AA1814" s="44" t="s">
        <v>2490</v>
      </c>
      <c r="AC1814" s="19" t="s">
        <v>2491</v>
      </c>
    </row>
    <row r="1815" spans="1:29" x14ac:dyDescent="0.25">
      <c r="A1815" s="26">
        <v>54</v>
      </c>
      <c r="B1815" s="19" t="s">
        <v>2508</v>
      </c>
      <c r="C1815" s="44" t="s">
        <v>273</v>
      </c>
      <c r="D1815" s="19" t="s">
        <v>877</v>
      </c>
      <c r="E1815" s="19">
        <v>12</v>
      </c>
      <c r="F1815" s="19">
        <v>130</v>
      </c>
      <c r="G1815" s="19">
        <v>1458</v>
      </c>
      <c r="H1815" s="19">
        <v>1</v>
      </c>
      <c r="I1815" s="80">
        <v>17.84</v>
      </c>
      <c r="J1815" s="80">
        <v>17.84</v>
      </c>
      <c r="K1815" s="19" t="s">
        <v>2488</v>
      </c>
      <c r="L1815" s="19" t="s">
        <v>2489</v>
      </c>
      <c r="Q1815" s="20">
        <v>24</v>
      </c>
      <c r="R1815" s="65" t="s">
        <v>2010</v>
      </c>
      <c r="T1815" s="19" t="s">
        <v>307</v>
      </c>
      <c r="V1815" s="19" t="s">
        <v>178</v>
      </c>
      <c r="W1815" s="19" t="s">
        <v>138</v>
      </c>
      <c r="Z1815" s="44" t="s">
        <v>2449</v>
      </c>
      <c r="AA1815" s="44" t="s">
        <v>2490</v>
      </c>
      <c r="AC1815" s="19" t="s">
        <v>2491</v>
      </c>
    </row>
    <row r="1816" spans="1:29" x14ac:dyDescent="0.25">
      <c r="A1816" s="26">
        <v>55</v>
      </c>
      <c r="B1816" s="19" t="s">
        <v>2509</v>
      </c>
      <c r="C1816" s="44" t="s">
        <v>273</v>
      </c>
      <c r="D1816" s="19" t="s">
        <v>877</v>
      </c>
      <c r="E1816" s="19">
        <v>12</v>
      </c>
      <c r="F1816" s="19">
        <v>130</v>
      </c>
      <c r="G1816" s="19">
        <v>1458</v>
      </c>
      <c r="H1816" s="19">
        <v>1</v>
      </c>
      <c r="I1816" s="80">
        <v>17.84</v>
      </c>
      <c r="J1816" s="80">
        <v>17.84</v>
      </c>
      <c r="K1816" s="19" t="s">
        <v>2488</v>
      </c>
      <c r="L1816" s="19" t="s">
        <v>2489</v>
      </c>
      <c r="Q1816" s="20">
        <v>24</v>
      </c>
      <c r="R1816" s="65" t="s">
        <v>2010</v>
      </c>
      <c r="T1816" s="19" t="s">
        <v>307</v>
      </c>
      <c r="V1816" s="19" t="s">
        <v>178</v>
      </c>
      <c r="W1816" s="19" t="s">
        <v>138</v>
      </c>
      <c r="Z1816" s="44" t="s">
        <v>2449</v>
      </c>
      <c r="AA1816" s="44" t="s">
        <v>2490</v>
      </c>
      <c r="AC1816" s="19" t="s">
        <v>2491</v>
      </c>
    </row>
    <row r="1817" spans="1:29" x14ac:dyDescent="0.25">
      <c r="A1817" s="26">
        <v>56</v>
      </c>
      <c r="B1817" s="19" t="s">
        <v>2510</v>
      </c>
      <c r="C1817" s="44" t="s">
        <v>273</v>
      </c>
      <c r="D1817" s="19" t="s">
        <v>879</v>
      </c>
      <c r="E1817" s="19">
        <v>12</v>
      </c>
      <c r="F1817" s="19">
        <v>130</v>
      </c>
      <c r="G1817" s="19">
        <v>263</v>
      </c>
      <c r="H1817" s="19">
        <v>1</v>
      </c>
      <c r="I1817" s="80">
        <v>3.21</v>
      </c>
      <c r="J1817" s="80">
        <v>3.21</v>
      </c>
      <c r="K1817" s="19" t="s">
        <v>2488</v>
      </c>
      <c r="L1817" s="19" t="s">
        <v>2489</v>
      </c>
      <c r="Q1817" s="20">
        <v>24</v>
      </c>
      <c r="R1817" s="65" t="s">
        <v>2010</v>
      </c>
      <c r="T1817" s="19" t="s">
        <v>307</v>
      </c>
      <c r="V1817" s="19" t="s">
        <v>178</v>
      </c>
      <c r="W1817" s="19" t="s">
        <v>138</v>
      </c>
      <c r="Z1817" s="44" t="s">
        <v>2449</v>
      </c>
      <c r="AA1817" s="44" t="s">
        <v>2490</v>
      </c>
      <c r="AC1817" s="19" t="s">
        <v>2491</v>
      </c>
    </row>
    <row r="1818" spans="1:29" x14ac:dyDescent="0.25">
      <c r="A1818" s="26">
        <v>57</v>
      </c>
      <c r="B1818" s="19" t="s">
        <v>2511</v>
      </c>
      <c r="C1818" s="44" t="s">
        <v>273</v>
      </c>
      <c r="D1818" s="19" t="s">
        <v>828</v>
      </c>
      <c r="E1818" s="19">
        <v>12</v>
      </c>
      <c r="F1818" s="19">
        <v>490</v>
      </c>
      <c r="G1818" s="19">
        <v>9980</v>
      </c>
      <c r="H1818" s="19">
        <v>1</v>
      </c>
      <c r="I1818" s="80">
        <v>460.46</v>
      </c>
      <c r="J1818" s="80">
        <v>460.46</v>
      </c>
      <c r="K1818" s="19" t="s">
        <v>184</v>
      </c>
      <c r="L1818" s="19" t="s">
        <v>2512</v>
      </c>
      <c r="Q1818" s="20">
        <v>24</v>
      </c>
      <c r="R1818" s="65" t="s">
        <v>2010</v>
      </c>
      <c r="T1818" s="19" t="s">
        <v>307</v>
      </c>
      <c r="V1818" s="19" t="s">
        <v>178</v>
      </c>
      <c r="Y1818" s="19" t="s">
        <v>138</v>
      </c>
      <c r="Z1818" s="44" t="s">
        <v>2449</v>
      </c>
      <c r="AA1818" s="44" t="s">
        <v>180</v>
      </c>
      <c r="AC1818" s="19" t="s">
        <v>2513</v>
      </c>
    </row>
    <row r="1819" spans="1:29" x14ac:dyDescent="0.25">
      <c r="A1819" s="26">
        <v>58</v>
      </c>
      <c r="B1819" s="19" t="s">
        <v>2514</v>
      </c>
      <c r="C1819" s="44" t="s">
        <v>273</v>
      </c>
      <c r="D1819" s="19" t="s">
        <v>828</v>
      </c>
      <c r="E1819" s="19">
        <v>12</v>
      </c>
      <c r="F1819" s="19">
        <v>490</v>
      </c>
      <c r="G1819" s="19">
        <v>9980</v>
      </c>
      <c r="H1819" s="19">
        <v>1</v>
      </c>
      <c r="I1819" s="80">
        <v>460.46</v>
      </c>
      <c r="J1819" s="80">
        <v>460.46</v>
      </c>
      <c r="K1819" s="19" t="s">
        <v>184</v>
      </c>
      <c r="L1819" s="19" t="s">
        <v>2512</v>
      </c>
      <c r="Q1819" s="20">
        <v>24</v>
      </c>
      <c r="R1819" s="65" t="s">
        <v>2010</v>
      </c>
      <c r="T1819" s="19" t="s">
        <v>307</v>
      </c>
      <c r="V1819" s="19" t="s">
        <v>178</v>
      </c>
      <c r="Y1819" s="19" t="s">
        <v>138</v>
      </c>
      <c r="Z1819" s="44" t="s">
        <v>2449</v>
      </c>
      <c r="AA1819" s="44" t="s">
        <v>180</v>
      </c>
      <c r="AC1819" s="19" t="s">
        <v>2513</v>
      </c>
    </row>
    <row r="1820" spans="1:29" x14ac:dyDescent="0.25">
      <c r="A1820" s="26">
        <v>59</v>
      </c>
      <c r="B1820" s="19" t="s">
        <v>2515</v>
      </c>
      <c r="C1820" s="44" t="s">
        <v>273</v>
      </c>
      <c r="D1820" s="19" t="s">
        <v>879</v>
      </c>
      <c r="E1820" s="19">
        <v>12</v>
      </c>
      <c r="F1820" s="19">
        <v>130</v>
      </c>
      <c r="G1820" s="19">
        <v>263</v>
      </c>
      <c r="H1820" s="19">
        <v>1</v>
      </c>
      <c r="I1820" s="80">
        <v>3.21</v>
      </c>
      <c r="J1820" s="80">
        <v>3.21</v>
      </c>
      <c r="K1820" s="19" t="s">
        <v>184</v>
      </c>
      <c r="L1820" s="19" t="s">
        <v>2512</v>
      </c>
      <c r="Q1820" s="20">
        <v>24</v>
      </c>
      <c r="R1820" s="65" t="s">
        <v>2010</v>
      </c>
      <c r="T1820" s="19" t="s">
        <v>307</v>
      </c>
      <c r="V1820" s="19" t="s">
        <v>178</v>
      </c>
      <c r="W1820" s="19" t="s">
        <v>138</v>
      </c>
      <c r="Z1820" s="44" t="s">
        <v>2449</v>
      </c>
      <c r="AA1820" s="44" t="s">
        <v>180</v>
      </c>
      <c r="AC1820" s="19" t="s">
        <v>2513</v>
      </c>
    </row>
    <row r="1821" spans="1:29" x14ac:dyDescent="0.25">
      <c r="A1821" s="26">
        <v>60</v>
      </c>
      <c r="B1821" s="19" t="s">
        <v>2495</v>
      </c>
      <c r="C1821" s="44" t="s">
        <v>273</v>
      </c>
      <c r="D1821" s="19" t="s">
        <v>1239</v>
      </c>
      <c r="E1821" s="19">
        <v>12</v>
      </c>
      <c r="F1821" s="19">
        <v>130</v>
      </c>
      <c r="G1821" s="19">
        <v>663</v>
      </c>
      <c r="H1821" s="19">
        <v>8</v>
      </c>
      <c r="I1821" s="80">
        <v>8.11</v>
      </c>
      <c r="J1821" s="80">
        <v>64.88</v>
      </c>
      <c r="K1821" s="19" t="s">
        <v>184</v>
      </c>
      <c r="L1821" s="19" t="s">
        <v>2512</v>
      </c>
      <c r="Q1821" s="20">
        <v>24</v>
      </c>
      <c r="R1821" s="65" t="s">
        <v>2010</v>
      </c>
      <c r="T1821" s="19" t="s">
        <v>307</v>
      </c>
      <c r="V1821" s="19" t="s">
        <v>178</v>
      </c>
      <c r="W1821" s="19" t="s">
        <v>138</v>
      </c>
      <c r="Z1821" s="44" t="s">
        <v>2449</v>
      </c>
      <c r="AA1821" s="44" t="s">
        <v>180</v>
      </c>
      <c r="AC1821" s="19" t="s">
        <v>2513</v>
      </c>
    </row>
    <row r="1822" spans="1:29" x14ac:dyDescent="0.25">
      <c r="A1822" s="26">
        <v>61</v>
      </c>
      <c r="B1822" s="19" t="s">
        <v>2516</v>
      </c>
      <c r="C1822" s="44" t="s">
        <v>273</v>
      </c>
      <c r="D1822" s="19" t="s">
        <v>1493</v>
      </c>
      <c r="E1822" s="19">
        <v>12</v>
      </c>
      <c r="F1822" s="19">
        <v>238</v>
      </c>
      <c r="G1822" s="19">
        <v>1280</v>
      </c>
      <c r="H1822" s="19">
        <v>1</v>
      </c>
      <c r="I1822" s="80">
        <v>28.7</v>
      </c>
      <c r="J1822" s="80">
        <v>28.7</v>
      </c>
      <c r="K1822" s="19" t="s">
        <v>184</v>
      </c>
      <c r="L1822" s="19" t="s">
        <v>2512</v>
      </c>
      <c r="O1822" s="19" t="s">
        <v>138</v>
      </c>
      <c r="Q1822" s="20">
        <v>24</v>
      </c>
      <c r="R1822" s="65" t="s">
        <v>2010</v>
      </c>
      <c r="T1822" s="19" t="s">
        <v>307</v>
      </c>
      <c r="V1822" s="19" t="s">
        <v>178</v>
      </c>
      <c r="Z1822" s="44" t="s">
        <v>2449</v>
      </c>
      <c r="AA1822" s="44" t="s">
        <v>180</v>
      </c>
      <c r="AC1822" s="19" t="s">
        <v>2513</v>
      </c>
    </row>
    <row r="1823" spans="1:29" x14ac:dyDescent="0.25">
      <c r="A1823" s="26">
        <v>62</v>
      </c>
      <c r="B1823" s="19" t="s">
        <v>2517</v>
      </c>
      <c r="C1823" s="44" t="s">
        <v>273</v>
      </c>
      <c r="D1823" s="19" t="s">
        <v>1493</v>
      </c>
      <c r="E1823" s="19">
        <v>12</v>
      </c>
      <c r="F1823" s="19">
        <v>238</v>
      </c>
      <c r="G1823" s="19">
        <v>1280</v>
      </c>
      <c r="H1823" s="19">
        <v>1</v>
      </c>
      <c r="I1823" s="80">
        <v>28.7</v>
      </c>
      <c r="J1823" s="80">
        <v>28.7</v>
      </c>
      <c r="K1823" s="19" t="s">
        <v>184</v>
      </c>
      <c r="L1823" s="19" t="s">
        <v>2512</v>
      </c>
      <c r="O1823" s="19" t="s">
        <v>138</v>
      </c>
      <c r="Q1823" s="20">
        <v>24</v>
      </c>
      <c r="R1823" s="65" t="s">
        <v>2010</v>
      </c>
      <c r="T1823" s="19" t="s">
        <v>307</v>
      </c>
      <c r="V1823" s="19" t="s">
        <v>178</v>
      </c>
      <c r="Z1823" s="44" t="s">
        <v>2449</v>
      </c>
      <c r="AA1823" s="44" t="s">
        <v>180</v>
      </c>
      <c r="AC1823" s="19" t="s">
        <v>2513</v>
      </c>
    </row>
    <row r="1824" spans="1:29" x14ac:dyDescent="0.25">
      <c r="A1824" s="26">
        <v>63</v>
      </c>
      <c r="B1824" s="19" t="s">
        <v>2518</v>
      </c>
      <c r="C1824" s="44" t="s">
        <v>273</v>
      </c>
      <c r="D1824" s="19" t="s">
        <v>1493</v>
      </c>
      <c r="E1824" s="19">
        <v>12</v>
      </c>
      <c r="F1824" s="19">
        <v>238</v>
      </c>
      <c r="G1824" s="19">
        <v>1280</v>
      </c>
      <c r="H1824" s="19">
        <v>1</v>
      </c>
      <c r="I1824" s="80">
        <v>28.7</v>
      </c>
      <c r="J1824" s="80">
        <v>28.7</v>
      </c>
      <c r="K1824" s="19" t="s">
        <v>184</v>
      </c>
      <c r="L1824" s="19" t="s">
        <v>2512</v>
      </c>
      <c r="O1824" s="19" t="s">
        <v>138</v>
      </c>
      <c r="Q1824" s="20">
        <v>24</v>
      </c>
      <c r="R1824" s="65" t="s">
        <v>2010</v>
      </c>
      <c r="T1824" s="19" t="s">
        <v>307</v>
      </c>
      <c r="V1824" s="19" t="s">
        <v>178</v>
      </c>
      <c r="Z1824" s="44" t="s">
        <v>2449</v>
      </c>
      <c r="AA1824" s="44" t="s">
        <v>180</v>
      </c>
      <c r="AC1824" s="19" t="s">
        <v>2513</v>
      </c>
    </row>
    <row r="1825" spans="1:29" x14ac:dyDescent="0.25">
      <c r="A1825" s="26">
        <v>64</v>
      </c>
      <c r="B1825" s="19" t="s">
        <v>2519</v>
      </c>
      <c r="C1825" s="44" t="s">
        <v>273</v>
      </c>
      <c r="D1825" s="19" t="s">
        <v>1493</v>
      </c>
      <c r="E1825" s="19">
        <v>12</v>
      </c>
      <c r="F1825" s="19">
        <v>238</v>
      </c>
      <c r="G1825" s="19">
        <v>1280</v>
      </c>
      <c r="H1825" s="19">
        <v>1</v>
      </c>
      <c r="I1825" s="80">
        <v>28.7</v>
      </c>
      <c r="J1825" s="80">
        <v>28.7</v>
      </c>
      <c r="K1825" s="19" t="s">
        <v>184</v>
      </c>
      <c r="L1825" s="19" t="s">
        <v>2512</v>
      </c>
      <c r="O1825" s="19" t="s">
        <v>138</v>
      </c>
      <c r="Q1825" s="20">
        <v>24</v>
      </c>
      <c r="R1825" s="65" t="s">
        <v>2010</v>
      </c>
      <c r="T1825" s="19" t="s">
        <v>307</v>
      </c>
      <c r="V1825" s="19" t="s">
        <v>178</v>
      </c>
      <c r="Z1825" s="44" t="s">
        <v>2449</v>
      </c>
      <c r="AA1825" s="44" t="s">
        <v>180</v>
      </c>
      <c r="AC1825" s="19" t="s">
        <v>2513</v>
      </c>
    </row>
    <row r="1826" spans="1:29" x14ac:dyDescent="0.25">
      <c r="A1826" s="26">
        <v>65</v>
      </c>
      <c r="B1826" s="19" t="s">
        <v>2520</v>
      </c>
      <c r="C1826" s="44" t="s">
        <v>273</v>
      </c>
      <c r="D1826" s="19" t="s">
        <v>1493</v>
      </c>
      <c r="E1826" s="19">
        <v>12</v>
      </c>
      <c r="F1826" s="19">
        <v>238</v>
      </c>
      <c r="G1826" s="19">
        <v>1280</v>
      </c>
      <c r="H1826" s="19">
        <v>1</v>
      </c>
      <c r="I1826" s="80">
        <v>28.7</v>
      </c>
      <c r="J1826" s="80">
        <v>28.7</v>
      </c>
      <c r="K1826" s="19" t="s">
        <v>184</v>
      </c>
      <c r="L1826" s="19" t="s">
        <v>2512</v>
      </c>
      <c r="O1826" s="19" t="s">
        <v>138</v>
      </c>
      <c r="Q1826" s="20">
        <v>24</v>
      </c>
      <c r="R1826" s="65" t="s">
        <v>2010</v>
      </c>
      <c r="T1826" s="19" t="s">
        <v>307</v>
      </c>
      <c r="V1826" s="19" t="s">
        <v>178</v>
      </c>
      <c r="Z1826" s="44" t="s">
        <v>2449</v>
      </c>
      <c r="AA1826" s="44" t="s">
        <v>180</v>
      </c>
      <c r="AC1826" s="19" t="s">
        <v>2513</v>
      </c>
    </row>
    <row r="1827" spans="1:29" x14ac:dyDescent="0.25">
      <c r="A1827" s="26">
        <v>66</v>
      </c>
      <c r="B1827" s="19" t="s">
        <v>2521</v>
      </c>
      <c r="C1827" s="44" t="s">
        <v>273</v>
      </c>
      <c r="D1827" s="19" t="s">
        <v>1493</v>
      </c>
      <c r="E1827" s="19">
        <v>12</v>
      </c>
      <c r="F1827" s="19">
        <v>238</v>
      </c>
      <c r="G1827" s="19">
        <v>1280</v>
      </c>
      <c r="H1827" s="19">
        <v>1</v>
      </c>
      <c r="I1827" s="80">
        <v>28.7</v>
      </c>
      <c r="J1827" s="80">
        <v>28.7</v>
      </c>
      <c r="K1827" s="19" t="s">
        <v>184</v>
      </c>
      <c r="L1827" s="19" t="s">
        <v>2512</v>
      </c>
      <c r="O1827" s="19" t="s">
        <v>138</v>
      </c>
      <c r="Q1827" s="20">
        <v>24</v>
      </c>
      <c r="R1827" s="65" t="s">
        <v>2010</v>
      </c>
      <c r="T1827" s="19" t="s">
        <v>307</v>
      </c>
      <c r="V1827" s="19" t="s">
        <v>178</v>
      </c>
      <c r="Z1827" s="44" t="s">
        <v>2449</v>
      </c>
      <c r="AA1827" s="44" t="s">
        <v>180</v>
      </c>
      <c r="AC1827" s="19" t="s">
        <v>2513</v>
      </c>
    </row>
    <row r="1828" spans="1:29" x14ac:dyDescent="0.25">
      <c r="A1828" s="26">
        <v>67</v>
      </c>
      <c r="B1828" s="19" t="s">
        <v>2522</v>
      </c>
      <c r="C1828" s="44" t="s">
        <v>273</v>
      </c>
      <c r="D1828" s="19" t="s">
        <v>1493</v>
      </c>
      <c r="E1828" s="19">
        <v>12</v>
      </c>
      <c r="F1828" s="19">
        <v>238</v>
      </c>
      <c r="G1828" s="19">
        <v>1280</v>
      </c>
      <c r="H1828" s="19">
        <v>1</v>
      </c>
      <c r="I1828" s="80">
        <v>28.7</v>
      </c>
      <c r="J1828" s="80">
        <v>28.7</v>
      </c>
      <c r="K1828" s="19" t="s">
        <v>184</v>
      </c>
      <c r="L1828" s="19" t="s">
        <v>2512</v>
      </c>
      <c r="O1828" s="19" t="s">
        <v>138</v>
      </c>
      <c r="Q1828" s="20">
        <v>24</v>
      </c>
      <c r="R1828" s="65" t="s">
        <v>2010</v>
      </c>
      <c r="T1828" s="19" t="s">
        <v>307</v>
      </c>
      <c r="V1828" s="19" t="s">
        <v>178</v>
      </c>
      <c r="Z1828" s="44" t="s">
        <v>2449</v>
      </c>
      <c r="AA1828" s="44" t="s">
        <v>180</v>
      </c>
      <c r="AC1828" s="19" t="s">
        <v>2513</v>
      </c>
    </row>
    <row r="1829" spans="1:29" x14ac:dyDescent="0.25">
      <c r="A1829" s="26">
        <v>68</v>
      </c>
      <c r="B1829" s="19" t="s">
        <v>2498</v>
      </c>
      <c r="C1829" s="44" t="s">
        <v>273</v>
      </c>
      <c r="D1829" s="19" t="s">
        <v>874</v>
      </c>
      <c r="E1829" s="19">
        <v>12</v>
      </c>
      <c r="F1829" s="19">
        <v>100</v>
      </c>
      <c r="G1829" s="19">
        <v>150</v>
      </c>
      <c r="H1829" s="19">
        <v>1</v>
      </c>
      <c r="I1829" s="80">
        <v>1.41</v>
      </c>
      <c r="J1829" s="80">
        <v>1.41</v>
      </c>
      <c r="K1829" s="19" t="s">
        <v>184</v>
      </c>
      <c r="L1829" s="19" t="s">
        <v>2512</v>
      </c>
      <c r="Q1829" s="20">
        <v>24</v>
      </c>
      <c r="R1829" s="65" t="s">
        <v>2010</v>
      </c>
      <c r="T1829" s="19" t="s">
        <v>307</v>
      </c>
      <c r="V1829" s="19" t="s">
        <v>178</v>
      </c>
      <c r="W1829" s="19" t="s">
        <v>138</v>
      </c>
      <c r="Z1829" s="44" t="s">
        <v>2449</v>
      </c>
      <c r="AA1829" s="44" t="s">
        <v>180</v>
      </c>
      <c r="AC1829" s="19" t="s">
        <v>2513</v>
      </c>
    </row>
    <row r="1830" spans="1:29" x14ac:dyDescent="0.25">
      <c r="A1830" s="26">
        <v>69</v>
      </c>
      <c r="B1830" s="19" t="s">
        <v>2523</v>
      </c>
      <c r="C1830" s="44" t="s">
        <v>273</v>
      </c>
      <c r="D1830" s="19" t="s">
        <v>874</v>
      </c>
      <c r="E1830" s="19">
        <v>12</v>
      </c>
      <c r="F1830" s="19">
        <v>100</v>
      </c>
      <c r="G1830" s="19">
        <v>150</v>
      </c>
      <c r="H1830" s="19">
        <v>2</v>
      </c>
      <c r="I1830" s="80">
        <v>1.42</v>
      </c>
      <c r="J1830" s="80">
        <v>2.83</v>
      </c>
      <c r="K1830" s="19" t="s">
        <v>184</v>
      </c>
      <c r="L1830" s="19" t="s">
        <v>2512</v>
      </c>
      <c r="Q1830" s="20">
        <v>24</v>
      </c>
      <c r="R1830" s="65" t="s">
        <v>2010</v>
      </c>
      <c r="T1830" s="19" t="s">
        <v>307</v>
      </c>
      <c r="V1830" s="19" t="s">
        <v>178</v>
      </c>
      <c r="W1830" s="19" t="s">
        <v>138</v>
      </c>
      <c r="Z1830" s="44" t="s">
        <v>2449</v>
      </c>
      <c r="AA1830" s="44" t="s">
        <v>180</v>
      </c>
      <c r="AC1830" s="19" t="s">
        <v>2513</v>
      </c>
    </row>
    <row r="1831" spans="1:29" x14ac:dyDescent="0.25">
      <c r="A1831" s="26">
        <v>70</v>
      </c>
      <c r="B1831" s="19" t="s">
        <v>2524</v>
      </c>
      <c r="C1831" s="44" t="s">
        <v>273</v>
      </c>
      <c r="D1831" s="19" t="s">
        <v>828</v>
      </c>
      <c r="E1831" s="19">
        <v>12</v>
      </c>
      <c r="F1831" s="19">
        <v>490</v>
      </c>
      <c r="G1831" s="19">
        <v>9980</v>
      </c>
      <c r="H1831" s="19">
        <v>1</v>
      </c>
      <c r="I1831" s="80">
        <v>460.46</v>
      </c>
      <c r="J1831" s="80">
        <v>460.46</v>
      </c>
      <c r="K1831" s="19" t="s">
        <v>184</v>
      </c>
      <c r="L1831" s="19" t="s">
        <v>2512</v>
      </c>
      <c r="Q1831" s="20">
        <v>24</v>
      </c>
      <c r="R1831" s="65" t="s">
        <v>2010</v>
      </c>
      <c r="T1831" s="19" t="s">
        <v>307</v>
      </c>
      <c r="V1831" s="19" t="s">
        <v>178</v>
      </c>
      <c r="Y1831" s="19" t="s">
        <v>138</v>
      </c>
      <c r="Z1831" s="44" t="s">
        <v>2449</v>
      </c>
      <c r="AA1831" s="44" t="s">
        <v>180</v>
      </c>
      <c r="AC1831" s="19" t="s">
        <v>2513</v>
      </c>
    </row>
    <row r="1832" spans="1:29" x14ac:dyDescent="0.25">
      <c r="A1832" s="26">
        <v>71</v>
      </c>
      <c r="B1832" s="19" t="s">
        <v>2525</v>
      </c>
      <c r="C1832" s="44" t="s">
        <v>273</v>
      </c>
      <c r="D1832" s="19" t="s">
        <v>828</v>
      </c>
      <c r="E1832" s="19">
        <v>12</v>
      </c>
      <c r="F1832" s="19">
        <v>490</v>
      </c>
      <c r="G1832" s="19">
        <v>9980</v>
      </c>
      <c r="H1832" s="19">
        <v>1</v>
      </c>
      <c r="I1832" s="80">
        <v>460.46</v>
      </c>
      <c r="J1832" s="80">
        <v>460.46</v>
      </c>
      <c r="K1832" s="19" t="s">
        <v>184</v>
      </c>
      <c r="L1832" s="19" t="s">
        <v>2512</v>
      </c>
      <c r="Q1832" s="20">
        <v>24</v>
      </c>
      <c r="R1832" s="65" t="s">
        <v>2010</v>
      </c>
      <c r="T1832" s="19" t="s">
        <v>307</v>
      </c>
      <c r="V1832" s="19" t="s">
        <v>178</v>
      </c>
      <c r="Y1832" s="19" t="s">
        <v>138</v>
      </c>
      <c r="Z1832" s="44" t="s">
        <v>2449</v>
      </c>
      <c r="AA1832" s="44" t="s">
        <v>180</v>
      </c>
      <c r="AC1832" s="19" t="s">
        <v>2513</v>
      </c>
    </row>
    <row r="1833" spans="1:29" x14ac:dyDescent="0.25">
      <c r="A1833" s="26">
        <v>72</v>
      </c>
      <c r="B1833" s="19" t="s">
        <v>2526</v>
      </c>
      <c r="C1833" s="44" t="s">
        <v>273</v>
      </c>
      <c r="D1833" s="19" t="s">
        <v>1239</v>
      </c>
      <c r="E1833" s="19">
        <v>12</v>
      </c>
      <c r="F1833" s="19">
        <v>130</v>
      </c>
      <c r="G1833" s="19">
        <v>663</v>
      </c>
      <c r="H1833" s="19">
        <v>9</v>
      </c>
      <c r="I1833" s="80">
        <v>8.11</v>
      </c>
      <c r="J1833" s="80">
        <v>72.98</v>
      </c>
      <c r="K1833" s="19" t="s">
        <v>184</v>
      </c>
      <c r="L1833" s="19" t="s">
        <v>2512</v>
      </c>
      <c r="Q1833" s="20">
        <v>24</v>
      </c>
      <c r="R1833" s="65" t="s">
        <v>2010</v>
      </c>
      <c r="T1833" s="19" t="s">
        <v>307</v>
      </c>
      <c r="V1833" s="19" t="s">
        <v>178</v>
      </c>
      <c r="W1833" s="19" t="s">
        <v>138</v>
      </c>
      <c r="Z1833" s="44" t="s">
        <v>2449</v>
      </c>
      <c r="AA1833" s="44" t="s">
        <v>180</v>
      </c>
      <c r="AC1833" s="19" t="s">
        <v>2513</v>
      </c>
    </row>
    <row r="1834" spans="1:29" x14ac:dyDescent="0.25">
      <c r="A1834" s="26">
        <v>73</v>
      </c>
      <c r="B1834" s="19" t="s">
        <v>2527</v>
      </c>
      <c r="C1834" s="44" t="s">
        <v>273</v>
      </c>
      <c r="D1834" s="19" t="s">
        <v>828</v>
      </c>
      <c r="E1834" s="19">
        <v>12</v>
      </c>
      <c r="F1834" s="19">
        <v>490</v>
      </c>
      <c r="G1834" s="19">
        <v>9980</v>
      </c>
      <c r="H1834" s="19">
        <v>1</v>
      </c>
      <c r="I1834" s="80">
        <v>460.46</v>
      </c>
      <c r="J1834" s="80">
        <v>460.46</v>
      </c>
      <c r="K1834" s="19" t="s">
        <v>184</v>
      </c>
      <c r="L1834" s="19" t="s">
        <v>2528</v>
      </c>
      <c r="Q1834" s="20">
        <v>24</v>
      </c>
      <c r="R1834" s="65" t="s">
        <v>2010</v>
      </c>
      <c r="T1834" s="19" t="s">
        <v>307</v>
      </c>
      <c r="V1834" s="19" t="s">
        <v>178</v>
      </c>
      <c r="Y1834" s="19" t="s">
        <v>138</v>
      </c>
      <c r="Z1834" s="44" t="s">
        <v>2449</v>
      </c>
      <c r="AA1834" s="44" t="s">
        <v>180</v>
      </c>
      <c r="AC1834" s="19" t="s">
        <v>2529</v>
      </c>
    </row>
    <row r="1835" spans="1:29" x14ac:dyDescent="0.25">
      <c r="A1835" s="26">
        <v>74</v>
      </c>
      <c r="B1835" s="19" t="s">
        <v>2455</v>
      </c>
      <c r="C1835" s="44" t="s">
        <v>273</v>
      </c>
      <c r="D1835" s="19" t="s">
        <v>914</v>
      </c>
      <c r="E1835" s="19">
        <v>12</v>
      </c>
      <c r="F1835" s="19">
        <v>95</v>
      </c>
      <c r="G1835" s="19">
        <v>263</v>
      </c>
      <c r="H1835" s="19">
        <v>3</v>
      </c>
      <c r="I1835" s="80">
        <v>2.34</v>
      </c>
      <c r="J1835" s="80">
        <v>7.01</v>
      </c>
      <c r="K1835" s="19" t="s">
        <v>184</v>
      </c>
      <c r="L1835" s="19" t="s">
        <v>2528</v>
      </c>
      <c r="Q1835" s="20">
        <v>24</v>
      </c>
      <c r="R1835" s="65" t="s">
        <v>2010</v>
      </c>
      <c r="T1835" s="19" t="s">
        <v>307</v>
      </c>
      <c r="V1835" s="19" t="s">
        <v>178</v>
      </c>
      <c r="W1835" s="19" t="s">
        <v>138</v>
      </c>
      <c r="Z1835" s="44" t="s">
        <v>2449</v>
      </c>
      <c r="AA1835" s="44" t="s">
        <v>180</v>
      </c>
      <c r="AC1835" s="19" t="s">
        <v>2529</v>
      </c>
    </row>
    <row r="1836" spans="1:29" x14ac:dyDescent="0.25">
      <c r="A1836" s="26">
        <v>75</v>
      </c>
      <c r="B1836" s="19" t="s">
        <v>2530</v>
      </c>
      <c r="C1836" s="44" t="s">
        <v>273</v>
      </c>
      <c r="D1836" s="19" t="s">
        <v>1493</v>
      </c>
      <c r="E1836" s="19">
        <v>12</v>
      </c>
      <c r="F1836" s="19">
        <v>238</v>
      </c>
      <c r="G1836" s="19">
        <v>1280</v>
      </c>
      <c r="H1836" s="19">
        <v>1</v>
      </c>
      <c r="I1836" s="80">
        <v>28.7</v>
      </c>
      <c r="J1836" s="80">
        <v>28.7</v>
      </c>
      <c r="K1836" s="19" t="s">
        <v>184</v>
      </c>
      <c r="L1836" s="19" t="s">
        <v>2528</v>
      </c>
      <c r="O1836" s="19" t="s">
        <v>138</v>
      </c>
      <c r="Q1836" s="20">
        <v>24</v>
      </c>
      <c r="R1836" s="65" t="s">
        <v>2010</v>
      </c>
      <c r="T1836" s="19" t="s">
        <v>307</v>
      </c>
      <c r="V1836" s="19" t="s">
        <v>178</v>
      </c>
      <c r="Z1836" s="44" t="s">
        <v>2449</v>
      </c>
      <c r="AA1836" s="44" t="s">
        <v>180</v>
      </c>
      <c r="AC1836" s="19" t="s">
        <v>2529</v>
      </c>
    </row>
    <row r="1837" spans="1:29" x14ac:dyDescent="0.25">
      <c r="A1837" s="26">
        <v>76</v>
      </c>
      <c r="B1837" s="19" t="s">
        <v>2531</v>
      </c>
      <c r="C1837" s="44" t="s">
        <v>273</v>
      </c>
      <c r="D1837" s="19" t="s">
        <v>1493</v>
      </c>
      <c r="E1837" s="19">
        <v>12</v>
      </c>
      <c r="F1837" s="19">
        <v>238</v>
      </c>
      <c r="G1837" s="19">
        <v>1280</v>
      </c>
      <c r="H1837" s="19">
        <v>1</v>
      </c>
      <c r="I1837" s="80">
        <v>28.7</v>
      </c>
      <c r="J1837" s="80">
        <v>28.7</v>
      </c>
      <c r="K1837" s="19" t="s">
        <v>184</v>
      </c>
      <c r="L1837" s="19" t="s">
        <v>2528</v>
      </c>
      <c r="O1837" s="19" t="s">
        <v>138</v>
      </c>
      <c r="Q1837" s="20">
        <v>24</v>
      </c>
      <c r="R1837" s="65" t="s">
        <v>2010</v>
      </c>
      <c r="T1837" s="19" t="s">
        <v>307</v>
      </c>
      <c r="V1837" s="19" t="s">
        <v>178</v>
      </c>
      <c r="Z1837" s="44" t="s">
        <v>2449</v>
      </c>
      <c r="AA1837" s="44" t="s">
        <v>180</v>
      </c>
      <c r="AC1837" s="19" t="s">
        <v>2529</v>
      </c>
    </row>
    <row r="1838" spans="1:29" x14ac:dyDescent="0.25">
      <c r="A1838" s="26">
        <v>77</v>
      </c>
      <c r="B1838" s="19" t="s">
        <v>2532</v>
      </c>
      <c r="C1838" s="44" t="s">
        <v>273</v>
      </c>
      <c r="D1838" s="19" t="s">
        <v>1493</v>
      </c>
      <c r="E1838" s="19">
        <v>12</v>
      </c>
      <c r="F1838" s="19">
        <v>238</v>
      </c>
      <c r="G1838" s="19">
        <v>1280</v>
      </c>
      <c r="H1838" s="19">
        <v>1</v>
      </c>
      <c r="I1838" s="80">
        <v>28.7</v>
      </c>
      <c r="J1838" s="80">
        <v>28.7</v>
      </c>
      <c r="K1838" s="19" t="s">
        <v>184</v>
      </c>
      <c r="L1838" s="19" t="s">
        <v>2528</v>
      </c>
      <c r="O1838" s="19" t="s">
        <v>138</v>
      </c>
      <c r="Q1838" s="20">
        <v>24</v>
      </c>
      <c r="R1838" s="65" t="s">
        <v>2010</v>
      </c>
      <c r="T1838" s="19" t="s">
        <v>307</v>
      </c>
      <c r="V1838" s="19" t="s">
        <v>178</v>
      </c>
      <c r="Z1838" s="44" t="s">
        <v>2449</v>
      </c>
      <c r="AA1838" s="44" t="s">
        <v>180</v>
      </c>
      <c r="AC1838" s="19" t="s">
        <v>2529</v>
      </c>
    </row>
    <row r="1839" spans="1:29" x14ac:dyDescent="0.25">
      <c r="A1839" s="26">
        <v>78</v>
      </c>
      <c r="B1839" s="19" t="s">
        <v>2533</v>
      </c>
      <c r="C1839" s="44" t="s">
        <v>273</v>
      </c>
      <c r="D1839" s="19" t="s">
        <v>1493</v>
      </c>
      <c r="E1839" s="19">
        <v>12</v>
      </c>
      <c r="F1839" s="19">
        <v>238</v>
      </c>
      <c r="G1839" s="19">
        <v>1280</v>
      </c>
      <c r="H1839" s="19">
        <v>1</v>
      </c>
      <c r="I1839" s="80">
        <v>28.7</v>
      </c>
      <c r="J1839" s="80">
        <v>28.7</v>
      </c>
      <c r="K1839" s="19" t="s">
        <v>184</v>
      </c>
      <c r="L1839" s="19" t="s">
        <v>2528</v>
      </c>
      <c r="O1839" s="19" t="s">
        <v>138</v>
      </c>
      <c r="Q1839" s="20">
        <v>24</v>
      </c>
      <c r="R1839" s="65" t="s">
        <v>2010</v>
      </c>
      <c r="T1839" s="19" t="s">
        <v>307</v>
      </c>
      <c r="V1839" s="19" t="s">
        <v>178</v>
      </c>
      <c r="Z1839" s="44" t="s">
        <v>2449</v>
      </c>
      <c r="AA1839" s="44" t="s">
        <v>180</v>
      </c>
      <c r="AC1839" s="19" t="s">
        <v>2529</v>
      </c>
    </row>
    <row r="1840" spans="1:29" x14ac:dyDescent="0.25">
      <c r="A1840" s="26">
        <v>79</v>
      </c>
      <c r="B1840" s="19" t="s">
        <v>2534</v>
      </c>
      <c r="C1840" s="44" t="s">
        <v>273</v>
      </c>
      <c r="D1840" s="19" t="s">
        <v>828</v>
      </c>
      <c r="E1840" s="19">
        <v>12</v>
      </c>
      <c r="F1840" s="19">
        <v>490</v>
      </c>
      <c r="G1840" s="19">
        <v>9980</v>
      </c>
      <c r="H1840" s="19">
        <v>1</v>
      </c>
      <c r="I1840" s="80">
        <v>460.46</v>
      </c>
      <c r="J1840" s="80">
        <v>460.46</v>
      </c>
      <c r="K1840" s="19" t="s">
        <v>184</v>
      </c>
      <c r="L1840" s="19" t="s">
        <v>2528</v>
      </c>
      <c r="Q1840" s="20">
        <v>24</v>
      </c>
      <c r="R1840" s="65" t="s">
        <v>2010</v>
      </c>
      <c r="T1840" s="19" t="s">
        <v>307</v>
      </c>
      <c r="V1840" s="19" t="s">
        <v>178</v>
      </c>
      <c r="Y1840" s="19" t="s">
        <v>138</v>
      </c>
      <c r="Z1840" s="44" t="s">
        <v>2449</v>
      </c>
      <c r="AA1840" s="44" t="s">
        <v>180</v>
      </c>
      <c r="AC1840" s="19" t="s">
        <v>2529</v>
      </c>
    </row>
    <row r="1841" spans="1:29" x14ac:dyDescent="0.25">
      <c r="A1841" s="26">
        <v>80</v>
      </c>
      <c r="B1841" s="19" t="s">
        <v>2535</v>
      </c>
      <c r="C1841" s="44" t="s">
        <v>273</v>
      </c>
      <c r="D1841" s="19" t="s">
        <v>1239</v>
      </c>
      <c r="E1841" s="19">
        <v>12</v>
      </c>
      <c r="F1841" s="19">
        <v>130</v>
      </c>
      <c r="G1841" s="19">
        <v>663</v>
      </c>
      <c r="H1841" s="19">
        <v>9</v>
      </c>
      <c r="I1841" s="80">
        <v>8.11</v>
      </c>
      <c r="J1841" s="80">
        <v>72.98</v>
      </c>
      <c r="K1841" s="19" t="s">
        <v>184</v>
      </c>
      <c r="L1841" s="19" t="s">
        <v>2528</v>
      </c>
      <c r="Q1841" s="20">
        <v>24</v>
      </c>
      <c r="R1841" s="65" t="s">
        <v>2010</v>
      </c>
      <c r="T1841" s="19" t="s">
        <v>307</v>
      </c>
      <c r="V1841" s="19" t="s">
        <v>178</v>
      </c>
      <c r="W1841" s="19" t="s">
        <v>138</v>
      </c>
      <c r="Z1841" s="44" t="s">
        <v>2449</v>
      </c>
      <c r="AA1841" s="44" t="s">
        <v>180</v>
      </c>
      <c r="AC1841" s="19" t="s">
        <v>2529</v>
      </c>
    </row>
    <row r="1842" spans="1:29" x14ac:dyDescent="0.25">
      <c r="A1842" s="26">
        <v>81</v>
      </c>
      <c r="B1842" s="19" t="s">
        <v>2536</v>
      </c>
      <c r="C1842" s="44" t="s">
        <v>273</v>
      </c>
      <c r="D1842" s="19" t="s">
        <v>1493</v>
      </c>
      <c r="E1842" s="19">
        <v>12</v>
      </c>
      <c r="F1842" s="19">
        <v>238</v>
      </c>
      <c r="G1842" s="19">
        <v>1280</v>
      </c>
      <c r="H1842" s="19">
        <v>1</v>
      </c>
      <c r="I1842" s="80">
        <v>28.7</v>
      </c>
      <c r="J1842" s="80">
        <v>28.7</v>
      </c>
      <c r="K1842" s="19" t="s">
        <v>184</v>
      </c>
      <c r="L1842" s="19" t="s">
        <v>2528</v>
      </c>
      <c r="O1842" s="19" t="s">
        <v>138</v>
      </c>
      <c r="Q1842" s="20">
        <v>24</v>
      </c>
      <c r="R1842" s="65" t="s">
        <v>2010</v>
      </c>
      <c r="T1842" s="19" t="s">
        <v>307</v>
      </c>
      <c r="V1842" s="19" t="s">
        <v>178</v>
      </c>
      <c r="Z1842" s="44" t="s">
        <v>2449</v>
      </c>
      <c r="AA1842" s="44" t="s">
        <v>180</v>
      </c>
      <c r="AC1842" s="19" t="s">
        <v>2529</v>
      </c>
    </row>
    <row r="1843" spans="1:29" x14ac:dyDescent="0.25">
      <c r="A1843" s="26">
        <v>82</v>
      </c>
      <c r="B1843" s="19" t="s">
        <v>2537</v>
      </c>
      <c r="C1843" s="44" t="s">
        <v>273</v>
      </c>
      <c r="D1843" s="19" t="s">
        <v>1493</v>
      </c>
      <c r="E1843" s="19">
        <v>12</v>
      </c>
      <c r="F1843" s="19">
        <v>238</v>
      </c>
      <c r="G1843" s="19">
        <v>1280</v>
      </c>
      <c r="H1843" s="19">
        <v>1</v>
      </c>
      <c r="I1843" s="80">
        <v>28.7</v>
      </c>
      <c r="J1843" s="80">
        <v>28.7</v>
      </c>
      <c r="K1843" s="19" t="s">
        <v>184</v>
      </c>
      <c r="L1843" s="19" t="s">
        <v>2528</v>
      </c>
      <c r="O1843" s="19" t="s">
        <v>138</v>
      </c>
      <c r="Q1843" s="20">
        <v>24</v>
      </c>
      <c r="R1843" s="65" t="s">
        <v>2010</v>
      </c>
      <c r="T1843" s="19" t="s">
        <v>307</v>
      </c>
      <c r="V1843" s="19" t="s">
        <v>178</v>
      </c>
      <c r="Z1843" s="44" t="s">
        <v>2449</v>
      </c>
      <c r="AA1843" s="44" t="s">
        <v>180</v>
      </c>
      <c r="AC1843" s="19" t="s">
        <v>2529</v>
      </c>
    </row>
    <row r="1844" spans="1:29" x14ac:dyDescent="0.25">
      <c r="A1844" s="26">
        <v>83</v>
      </c>
      <c r="B1844" s="19" t="s">
        <v>2538</v>
      </c>
      <c r="C1844" s="44" t="s">
        <v>273</v>
      </c>
      <c r="D1844" s="19" t="s">
        <v>1493</v>
      </c>
      <c r="E1844" s="19">
        <v>12</v>
      </c>
      <c r="F1844" s="19">
        <v>238</v>
      </c>
      <c r="G1844" s="19">
        <v>1280</v>
      </c>
      <c r="H1844" s="19">
        <v>1</v>
      </c>
      <c r="I1844" s="80">
        <v>28.7</v>
      </c>
      <c r="J1844" s="80">
        <v>28.7</v>
      </c>
      <c r="K1844" s="19" t="s">
        <v>184</v>
      </c>
      <c r="L1844" s="19" t="s">
        <v>2528</v>
      </c>
      <c r="O1844" s="19" t="s">
        <v>138</v>
      </c>
      <c r="Q1844" s="20">
        <v>24</v>
      </c>
      <c r="R1844" s="65" t="s">
        <v>2010</v>
      </c>
      <c r="T1844" s="19" t="s">
        <v>307</v>
      </c>
      <c r="V1844" s="19" t="s">
        <v>178</v>
      </c>
      <c r="Z1844" s="44" t="s">
        <v>2449</v>
      </c>
      <c r="AA1844" s="44" t="s">
        <v>180</v>
      </c>
      <c r="AC1844" s="19" t="s">
        <v>2529</v>
      </c>
    </row>
    <row r="1845" spans="1:29" x14ac:dyDescent="0.25">
      <c r="A1845" s="26">
        <v>84</v>
      </c>
      <c r="B1845" s="19" t="s">
        <v>2539</v>
      </c>
      <c r="C1845" s="44" t="s">
        <v>273</v>
      </c>
      <c r="D1845" s="19" t="s">
        <v>828</v>
      </c>
      <c r="E1845" s="19">
        <v>12</v>
      </c>
      <c r="F1845" s="19">
        <v>490</v>
      </c>
      <c r="G1845" s="19">
        <v>9980</v>
      </c>
      <c r="H1845" s="19">
        <v>1</v>
      </c>
      <c r="I1845" s="80">
        <v>460.46</v>
      </c>
      <c r="J1845" s="80">
        <v>460.46</v>
      </c>
      <c r="K1845" s="19" t="s">
        <v>184</v>
      </c>
      <c r="L1845" s="19" t="s">
        <v>2528</v>
      </c>
      <c r="Q1845" s="20">
        <v>24</v>
      </c>
      <c r="R1845" s="65" t="s">
        <v>2010</v>
      </c>
      <c r="T1845" s="19" t="s">
        <v>307</v>
      </c>
      <c r="V1845" s="19" t="s">
        <v>178</v>
      </c>
      <c r="Y1845" s="19" t="s">
        <v>138</v>
      </c>
      <c r="Z1845" s="44" t="s">
        <v>2449</v>
      </c>
      <c r="AA1845" s="44" t="s">
        <v>180</v>
      </c>
      <c r="AC1845" s="19" t="s">
        <v>2529</v>
      </c>
    </row>
    <row r="1846" spans="1:29" x14ac:dyDescent="0.25">
      <c r="A1846" s="26">
        <v>85</v>
      </c>
      <c r="B1846" s="19" t="s">
        <v>2540</v>
      </c>
      <c r="C1846" s="44" t="s">
        <v>273</v>
      </c>
      <c r="D1846" s="19" t="s">
        <v>828</v>
      </c>
      <c r="E1846" s="19">
        <v>12</v>
      </c>
      <c r="F1846" s="19">
        <v>490</v>
      </c>
      <c r="G1846" s="19">
        <v>9980</v>
      </c>
      <c r="H1846" s="19">
        <v>1</v>
      </c>
      <c r="I1846" s="80">
        <v>460.46</v>
      </c>
      <c r="J1846" s="80">
        <v>460.46</v>
      </c>
      <c r="K1846" s="19" t="s">
        <v>184</v>
      </c>
      <c r="L1846" s="19" t="s">
        <v>2528</v>
      </c>
      <c r="Q1846" s="20">
        <v>24</v>
      </c>
      <c r="R1846" s="65" t="s">
        <v>2010</v>
      </c>
      <c r="T1846" s="19" t="s">
        <v>307</v>
      </c>
      <c r="V1846" s="19" t="s">
        <v>178</v>
      </c>
      <c r="Y1846" s="19" t="s">
        <v>138</v>
      </c>
      <c r="Z1846" s="44" t="s">
        <v>2449</v>
      </c>
      <c r="AA1846" s="44" t="s">
        <v>180</v>
      </c>
      <c r="AC1846" s="19" t="s">
        <v>2529</v>
      </c>
    </row>
    <row r="1847" spans="1:29" x14ac:dyDescent="0.25">
      <c r="A1847" s="26">
        <v>86</v>
      </c>
      <c r="B1847" s="19" t="s">
        <v>2541</v>
      </c>
      <c r="C1847" s="44" t="s">
        <v>273</v>
      </c>
      <c r="D1847" s="19" t="s">
        <v>1239</v>
      </c>
      <c r="E1847" s="19">
        <v>12</v>
      </c>
      <c r="F1847" s="19">
        <v>130</v>
      </c>
      <c r="G1847" s="19">
        <v>663</v>
      </c>
      <c r="H1847" s="19">
        <v>8</v>
      </c>
      <c r="I1847" s="80">
        <v>8.11</v>
      </c>
      <c r="J1847" s="80">
        <v>64.88</v>
      </c>
      <c r="K1847" s="19" t="s">
        <v>184</v>
      </c>
      <c r="L1847" s="19" t="s">
        <v>2528</v>
      </c>
      <c r="Q1847" s="20">
        <v>24</v>
      </c>
      <c r="R1847" s="65" t="s">
        <v>2010</v>
      </c>
      <c r="T1847" s="19" t="s">
        <v>307</v>
      </c>
      <c r="V1847" s="19" t="s">
        <v>178</v>
      </c>
      <c r="W1847" s="19" t="s">
        <v>138</v>
      </c>
      <c r="Z1847" s="44" t="s">
        <v>2449</v>
      </c>
      <c r="AA1847" s="44" t="s">
        <v>180</v>
      </c>
      <c r="AC1847" s="19" t="s">
        <v>2529</v>
      </c>
    </row>
    <row r="1848" spans="1:29" x14ac:dyDescent="0.25">
      <c r="A1848" s="26">
        <v>87</v>
      </c>
      <c r="B1848" s="19" t="s">
        <v>2446</v>
      </c>
      <c r="C1848" s="44" t="s">
        <v>273</v>
      </c>
      <c r="D1848" s="19" t="s">
        <v>803</v>
      </c>
      <c r="E1848" s="19">
        <v>12</v>
      </c>
      <c r="F1848" s="19">
        <v>135</v>
      </c>
      <c r="G1848" s="19">
        <v>488</v>
      </c>
      <c r="H1848" s="19">
        <v>4</v>
      </c>
      <c r="I1848" s="80">
        <v>6.19</v>
      </c>
      <c r="J1848" s="80">
        <v>24.76</v>
      </c>
      <c r="K1848" s="19" t="s">
        <v>184</v>
      </c>
      <c r="L1848" s="19" t="s">
        <v>2542</v>
      </c>
      <c r="Q1848" s="20">
        <v>24</v>
      </c>
      <c r="R1848" s="65" t="s">
        <v>2010</v>
      </c>
      <c r="T1848" s="19" t="s">
        <v>307</v>
      </c>
      <c r="V1848" s="19" t="s">
        <v>178</v>
      </c>
      <c r="W1848" s="19" t="s">
        <v>138</v>
      </c>
      <c r="Z1848" s="44" t="s">
        <v>2449</v>
      </c>
      <c r="AA1848" s="44" t="s">
        <v>180</v>
      </c>
      <c r="AC1848" s="19" t="s">
        <v>2543</v>
      </c>
    </row>
    <row r="1849" spans="1:29" x14ac:dyDescent="0.25">
      <c r="A1849" s="26">
        <v>88</v>
      </c>
      <c r="B1849" s="19" t="s">
        <v>2544</v>
      </c>
      <c r="C1849" s="44" t="s">
        <v>273</v>
      </c>
      <c r="D1849" s="19" t="s">
        <v>803</v>
      </c>
      <c r="E1849" s="19">
        <v>12</v>
      </c>
      <c r="F1849" s="19">
        <v>135</v>
      </c>
      <c r="G1849" s="19">
        <v>488</v>
      </c>
      <c r="H1849" s="19">
        <v>8</v>
      </c>
      <c r="I1849" s="80">
        <v>6.19</v>
      </c>
      <c r="J1849" s="80">
        <v>49.52</v>
      </c>
      <c r="K1849" s="19" t="s">
        <v>184</v>
      </c>
      <c r="L1849" s="19" t="s">
        <v>2542</v>
      </c>
      <c r="Q1849" s="20">
        <v>24</v>
      </c>
      <c r="R1849" s="65" t="s">
        <v>2010</v>
      </c>
      <c r="T1849" s="19" t="s">
        <v>307</v>
      </c>
      <c r="V1849" s="19" t="s">
        <v>178</v>
      </c>
      <c r="W1849" s="19" t="s">
        <v>138</v>
      </c>
      <c r="Z1849" s="44" t="s">
        <v>2449</v>
      </c>
      <c r="AA1849" s="44" t="s">
        <v>180</v>
      </c>
      <c r="AC1849" s="19" t="s">
        <v>2543</v>
      </c>
    </row>
    <row r="1850" spans="1:29" x14ac:dyDescent="0.25">
      <c r="A1850" s="26">
        <v>89</v>
      </c>
      <c r="B1850" s="19" t="s">
        <v>2545</v>
      </c>
      <c r="C1850" s="44" t="s">
        <v>273</v>
      </c>
      <c r="D1850" s="19" t="s">
        <v>828</v>
      </c>
      <c r="E1850" s="19">
        <v>12</v>
      </c>
      <c r="F1850" s="19">
        <v>490</v>
      </c>
      <c r="G1850" s="19">
        <v>9980</v>
      </c>
      <c r="H1850" s="19">
        <v>1</v>
      </c>
      <c r="I1850" s="80">
        <v>460.46</v>
      </c>
      <c r="J1850" s="80">
        <v>460.46</v>
      </c>
      <c r="K1850" s="19" t="s">
        <v>184</v>
      </c>
      <c r="L1850" s="19" t="s">
        <v>2542</v>
      </c>
      <c r="Q1850" s="20">
        <v>24</v>
      </c>
      <c r="R1850" s="65" t="s">
        <v>2010</v>
      </c>
      <c r="T1850" s="19" t="s">
        <v>307</v>
      </c>
      <c r="V1850" s="19" t="s">
        <v>178</v>
      </c>
      <c r="Y1850" s="19" t="s">
        <v>138</v>
      </c>
      <c r="Z1850" s="44" t="s">
        <v>2449</v>
      </c>
      <c r="AA1850" s="44" t="s">
        <v>180</v>
      </c>
      <c r="AC1850" s="19" t="s">
        <v>2543</v>
      </c>
    </row>
    <row r="1851" spans="1:29" x14ac:dyDescent="0.25">
      <c r="A1851" s="26">
        <v>90</v>
      </c>
      <c r="B1851" s="19" t="s">
        <v>2455</v>
      </c>
      <c r="C1851" s="44" t="s">
        <v>273</v>
      </c>
      <c r="D1851" s="19" t="s">
        <v>914</v>
      </c>
      <c r="E1851" s="19">
        <v>12</v>
      </c>
      <c r="F1851" s="19">
        <v>95</v>
      </c>
      <c r="G1851" s="19">
        <v>263</v>
      </c>
      <c r="H1851" s="19">
        <v>2</v>
      </c>
      <c r="I1851" s="80">
        <v>2.34</v>
      </c>
      <c r="J1851" s="80">
        <v>4.68</v>
      </c>
      <c r="K1851" s="19" t="s">
        <v>184</v>
      </c>
      <c r="L1851" s="19" t="s">
        <v>2542</v>
      </c>
      <c r="Q1851" s="20">
        <v>24</v>
      </c>
      <c r="R1851" s="65" t="s">
        <v>2010</v>
      </c>
      <c r="T1851" s="19" t="s">
        <v>307</v>
      </c>
      <c r="V1851" s="19" t="s">
        <v>178</v>
      </c>
      <c r="W1851" s="19" t="s">
        <v>138</v>
      </c>
      <c r="Z1851" s="44" t="s">
        <v>2449</v>
      </c>
      <c r="AA1851" s="44" t="s">
        <v>180</v>
      </c>
      <c r="AC1851" s="19" t="s">
        <v>2543</v>
      </c>
    </row>
    <row r="1852" spans="1:29" x14ac:dyDescent="0.25">
      <c r="A1852" s="26">
        <v>91</v>
      </c>
      <c r="B1852" s="19" t="s">
        <v>2546</v>
      </c>
      <c r="C1852" s="44" t="s">
        <v>273</v>
      </c>
      <c r="D1852" s="19" t="s">
        <v>914</v>
      </c>
      <c r="E1852" s="19">
        <v>12</v>
      </c>
      <c r="F1852" s="19">
        <v>95</v>
      </c>
      <c r="G1852" s="19">
        <v>263</v>
      </c>
      <c r="H1852" s="19">
        <v>2</v>
      </c>
      <c r="I1852" s="80">
        <v>2.34</v>
      </c>
      <c r="J1852" s="80">
        <v>4.68</v>
      </c>
      <c r="K1852" s="19" t="s">
        <v>184</v>
      </c>
      <c r="L1852" s="19" t="s">
        <v>2542</v>
      </c>
      <c r="Q1852" s="20">
        <v>24</v>
      </c>
      <c r="R1852" s="65" t="s">
        <v>2010</v>
      </c>
      <c r="T1852" s="19" t="s">
        <v>307</v>
      </c>
      <c r="V1852" s="19" t="s">
        <v>178</v>
      </c>
      <c r="W1852" s="19" t="s">
        <v>138</v>
      </c>
      <c r="Z1852" s="44" t="s">
        <v>2449</v>
      </c>
      <c r="AA1852" s="44" t="s">
        <v>180</v>
      </c>
      <c r="AC1852" s="19" t="s">
        <v>2543</v>
      </c>
    </row>
    <row r="1853" spans="1:29" x14ac:dyDescent="0.25">
      <c r="A1853" s="26">
        <v>92</v>
      </c>
      <c r="B1853" s="19" t="s">
        <v>2523</v>
      </c>
      <c r="C1853" s="44" t="s">
        <v>273</v>
      </c>
      <c r="D1853" s="19" t="s">
        <v>874</v>
      </c>
      <c r="E1853" s="19">
        <v>12</v>
      </c>
      <c r="F1853" s="19">
        <v>100</v>
      </c>
      <c r="G1853" s="19">
        <v>150</v>
      </c>
      <c r="H1853" s="19">
        <v>1</v>
      </c>
      <c r="I1853" s="80">
        <v>1.41</v>
      </c>
      <c r="J1853" s="80">
        <v>1.41</v>
      </c>
      <c r="K1853" s="19" t="s">
        <v>184</v>
      </c>
      <c r="L1853" s="19" t="s">
        <v>2542</v>
      </c>
      <c r="Q1853" s="20">
        <v>24</v>
      </c>
      <c r="R1853" s="65" t="s">
        <v>2010</v>
      </c>
      <c r="T1853" s="19" t="s">
        <v>307</v>
      </c>
      <c r="V1853" s="19" t="s">
        <v>178</v>
      </c>
      <c r="W1853" s="19" t="s">
        <v>138</v>
      </c>
      <c r="Z1853" s="44" t="s">
        <v>2449</v>
      </c>
      <c r="AA1853" s="44" t="s">
        <v>180</v>
      </c>
      <c r="AC1853" s="19" t="s">
        <v>2543</v>
      </c>
    </row>
    <row r="1854" spans="1:29" x14ac:dyDescent="0.25">
      <c r="A1854" s="26">
        <v>93</v>
      </c>
      <c r="B1854" s="19" t="s">
        <v>2547</v>
      </c>
      <c r="C1854" s="44" t="s">
        <v>273</v>
      </c>
      <c r="D1854" s="19" t="s">
        <v>828</v>
      </c>
      <c r="E1854" s="19">
        <v>12</v>
      </c>
      <c r="F1854" s="19">
        <v>490</v>
      </c>
      <c r="G1854" s="19">
        <v>9980</v>
      </c>
      <c r="H1854" s="19">
        <v>1</v>
      </c>
      <c r="I1854" s="80">
        <v>460.46</v>
      </c>
      <c r="J1854" s="80">
        <v>460.46</v>
      </c>
      <c r="K1854" s="19" t="s">
        <v>184</v>
      </c>
      <c r="L1854" s="19" t="s">
        <v>2542</v>
      </c>
      <c r="Q1854" s="20">
        <v>24</v>
      </c>
      <c r="R1854" s="65" t="s">
        <v>2010</v>
      </c>
      <c r="T1854" s="19" t="s">
        <v>307</v>
      </c>
      <c r="V1854" s="19" t="s">
        <v>178</v>
      </c>
      <c r="Y1854" s="19" t="s">
        <v>138</v>
      </c>
      <c r="Z1854" s="44" t="s">
        <v>2449</v>
      </c>
      <c r="AA1854" s="44" t="s">
        <v>180</v>
      </c>
      <c r="AC1854" s="19" t="s">
        <v>2543</v>
      </c>
    </row>
    <row r="1855" spans="1:29" x14ac:dyDescent="0.25">
      <c r="A1855" s="26">
        <v>94</v>
      </c>
      <c r="B1855" s="19" t="s">
        <v>2548</v>
      </c>
      <c r="C1855" s="44" t="s">
        <v>273</v>
      </c>
      <c r="D1855" s="19" t="s">
        <v>828</v>
      </c>
      <c r="E1855" s="19">
        <v>12</v>
      </c>
      <c r="F1855" s="19">
        <v>490</v>
      </c>
      <c r="G1855" s="19">
        <v>9980</v>
      </c>
      <c r="H1855" s="19">
        <v>1</v>
      </c>
      <c r="I1855" s="80">
        <v>460.46</v>
      </c>
      <c r="J1855" s="80">
        <v>460.46</v>
      </c>
      <c r="K1855" s="19" t="s">
        <v>184</v>
      </c>
      <c r="L1855" s="19" t="s">
        <v>2542</v>
      </c>
      <c r="Q1855" s="20">
        <v>24</v>
      </c>
      <c r="R1855" s="65" t="s">
        <v>2010</v>
      </c>
      <c r="T1855" s="19" t="s">
        <v>307</v>
      </c>
      <c r="V1855" s="19" t="s">
        <v>178</v>
      </c>
      <c r="Y1855" s="19" t="s">
        <v>138</v>
      </c>
      <c r="Z1855" s="44" t="s">
        <v>2449</v>
      </c>
      <c r="AA1855" s="44" t="s">
        <v>180</v>
      </c>
      <c r="AC1855" s="19" t="s">
        <v>2543</v>
      </c>
    </row>
    <row r="1856" spans="1:29" x14ac:dyDescent="0.25">
      <c r="A1856" s="26">
        <v>95</v>
      </c>
      <c r="B1856" s="19" t="s">
        <v>2549</v>
      </c>
      <c r="C1856" s="44" t="s">
        <v>273</v>
      </c>
      <c r="D1856" s="19" t="s">
        <v>1493</v>
      </c>
      <c r="E1856" s="19">
        <v>12</v>
      </c>
      <c r="F1856" s="19">
        <v>238</v>
      </c>
      <c r="G1856" s="19">
        <v>1280</v>
      </c>
      <c r="H1856" s="19">
        <v>1</v>
      </c>
      <c r="I1856" s="80">
        <v>28.7</v>
      </c>
      <c r="J1856" s="80">
        <v>28.7</v>
      </c>
      <c r="K1856" s="19" t="s">
        <v>184</v>
      </c>
      <c r="L1856" s="19" t="s">
        <v>2542</v>
      </c>
      <c r="O1856" s="19" t="s">
        <v>138</v>
      </c>
      <c r="Q1856" s="20">
        <v>24</v>
      </c>
      <c r="R1856" s="65" t="s">
        <v>2010</v>
      </c>
      <c r="T1856" s="19" t="s">
        <v>307</v>
      </c>
      <c r="V1856" s="19" t="s">
        <v>178</v>
      </c>
      <c r="Z1856" s="44" t="s">
        <v>2449</v>
      </c>
      <c r="AA1856" s="44" t="s">
        <v>180</v>
      </c>
      <c r="AC1856" s="19" t="s">
        <v>2543</v>
      </c>
    </row>
    <row r="1857" spans="1:29" x14ac:dyDescent="0.25">
      <c r="A1857" s="26">
        <v>96</v>
      </c>
      <c r="B1857" s="19" t="s">
        <v>2550</v>
      </c>
      <c r="C1857" s="44" t="s">
        <v>273</v>
      </c>
      <c r="D1857" s="19" t="s">
        <v>1493</v>
      </c>
      <c r="E1857" s="19">
        <v>12</v>
      </c>
      <c r="F1857" s="19">
        <v>238</v>
      </c>
      <c r="G1857" s="19">
        <v>1280</v>
      </c>
      <c r="H1857" s="19">
        <v>1</v>
      </c>
      <c r="I1857" s="80">
        <v>28.7</v>
      </c>
      <c r="J1857" s="80">
        <v>28.7</v>
      </c>
      <c r="K1857" s="19" t="s">
        <v>184</v>
      </c>
      <c r="L1857" s="19" t="s">
        <v>2542</v>
      </c>
      <c r="O1857" s="19" t="s">
        <v>138</v>
      </c>
      <c r="Q1857" s="20">
        <v>24</v>
      </c>
      <c r="R1857" s="65" t="s">
        <v>2010</v>
      </c>
      <c r="T1857" s="19" t="s">
        <v>307</v>
      </c>
      <c r="V1857" s="19" t="s">
        <v>178</v>
      </c>
      <c r="Z1857" s="44" t="s">
        <v>2449</v>
      </c>
      <c r="AA1857" s="44" t="s">
        <v>180</v>
      </c>
      <c r="AC1857" s="19" t="s">
        <v>2543</v>
      </c>
    </row>
    <row r="1858" spans="1:29" x14ac:dyDescent="0.25">
      <c r="A1858" s="26">
        <v>97</v>
      </c>
      <c r="B1858" s="19" t="s">
        <v>2551</v>
      </c>
      <c r="C1858" s="44" t="s">
        <v>273</v>
      </c>
      <c r="D1858" s="19" t="s">
        <v>1493</v>
      </c>
      <c r="E1858" s="19">
        <v>12</v>
      </c>
      <c r="F1858" s="19">
        <v>238</v>
      </c>
      <c r="G1858" s="19">
        <v>1280</v>
      </c>
      <c r="H1858" s="19">
        <v>1</v>
      </c>
      <c r="I1858" s="80">
        <v>28.7</v>
      </c>
      <c r="J1858" s="80">
        <v>28.7</v>
      </c>
      <c r="K1858" s="19" t="s">
        <v>184</v>
      </c>
      <c r="L1858" s="19" t="s">
        <v>2542</v>
      </c>
      <c r="O1858" s="19" t="s">
        <v>138</v>
      </c>
      <c r="Q1858" s="20">
        <v>24</v>
      </c>
      <c r="R1858" s="65" t="s">
        <v>2010</v>
      </c>
      <c r="T1858" s="19" t="s">
        <v>307</v>
      </c>
      <c r="V1858" s="19" t="s">
        <v>178</v>
      </c>
      <c r="Z1858" s="44" t="s">
        <v>2449</v>
      </c>
      <c r="AA1858" s="44" t="s">
        <v>180</v>
      </c>
      <c r="AC1858" s="19" t="s">
        <v>2543</v>
      </c>
    </row>
    <row r="1859" spans="1:29" x14ac:dyDescent="0.25">
      <c r="A1859" s="26">
        <v>98</v>
      </c>
      <c r="B1859" s="19" t="s">
        <v>2552</v>
      </c>
      <c r="C1859" s="44" t="s">
        <v>273</v>
      </c>
      <c r="D1859" s="19" t="s">
        <v>1493</v>
      </c>
      <c r="E1859" s="19">
        <v>12</v>
      </c>
      <c r="F1859" s="19">
        <v>238</v>
      </c>
      <c r="G1859" s="19">
        <v>1280</v>
      </c>
      <c r="H1859" s="19">
        <v>1</v>
      </c>
      <c r="I1859" s="80">
        <v>28.7</v>
      </c>
      <c r="J1859" s="80">
        <v>28.7</v>
      </c>
      <c r="K1859" s="19" t="s">
        <v>184</v>
      </c>
      <c r="L1859" s="19" t="s">
        <v>2542</v>
      </c>
      <c r="O1859" s="19" t="s">
        <v>138</v>
      </c>
      <c r="Q1859" s="20">
        <v>24</v>
      </c>
      <c r="R1859" s="65" t="s">
        <v>2010</v>
      </c>
      <c r="T1859" s="19" t="s">
        <v>307</v>
      </c>
      <c r="V1859" s="19" t="s">
        <v>178</v>
      </c>
      <c r="Z1859" s="44" t="s">
        <v>2449</v>
      </c>
      <c r="AA1859" s="44" t="s">
        <v>180</v>
      </c>
      <c r="AC1859" s="19" t="s">
        <v>2543</v>
      </c>
    </row>
    <row r="1860" spans="1:29" x14ac:dyDescent="0.25">
      <c r="A1860" s="26">
        <v>99</v>
      </c>
      <c r="B1860" s="19" t="s">
        <v>2553</v>
      </c>
      <c r="C1860" s="44" t="s">
        <v>273</v>
      </c>
      <c r="D1860" s="19" t="s">
        <v>1493</v>
      </c>
      <c r="E1860" s="19">
        <v>12</v>
      </c>
      <c r="F1860" s="19">
        <v>238</v>
      </c>
      <c r="G1860" s="19">
        <v>1280</v>
      </c>
      <c r="H1860" s="19">
        <v>1</v>
      </c>
      <c r="I1860" s="80">
        <v>28.7</v>
      </c>
      <c r="J1860" s="80">
        <v>28.7</v>
      </c>
      <c r="K1860" s="19" t="s">
        <v>184</v>
      </c>
      <c r="L1860" s="19" t="s">
        <v>2542</v>
      </c>
      <c r="O1860" s="19" t="s">
        <v>138</v>
      </c>
      <c r="Q1860" s="20">
        <v>24</v>
      </c>
      <c r="R1860" s="65" t="s">
        <v>2010</v>
      </c>
      <c r="T1860" s="19" t="s">
        <v>307</v>
      </c>
      <c r="V1860" s="19" t="s">
        <v>178</v>
      </c>
      <c r="Z1860" s="44" t="s">
        <v>2449</v>
      </c>
      <c r="AA1860" s="44" t="s">
        <v>180</v>
      </c>
      <c r="AC1860" s="19" t="s">
        <v>2543</v>
      </c>
    </row>
    <row r="1861" spans="1:29" x14ac:dyDescent="0.25">
      <c r="A1861" s="26">
        <v>100</v>
      </c>
      <c r="B1861" s="19" t="s">
        <v>2554</v>
      </c>
      <c r="C1861" s="44" t="s">
        <v>273</v>
      </c>
      <c r="D1861" s="19" t="s">
        <v>1493</v>
      </c>
      <c r="E1861" s="19">
        <v>12</v>
      </c>
      <c r="F1861" s="19">
        <v>238</v>
      </c>
      <c r="G1861" s="19">
        <v>1280</v>
      </c>
      <c r="H1861" s="19">
        <v>1</v>
      </c>
      <c r="I1861" s="80">
        <v>28.7</v>
      </c>
      <c r="J1861" s="80">
        <v>28.7</v>
      </c>
      <c r="K1861" s="19" t="s">
        <v>184</v>
      </c>
      <c r="L1861" s="19" t="s">
        <v>2542</v>
      </c>
      <c r="O1861" s="19" t="s">
        <v>138</v>
      </c>
      <c r="Q1861" s="20">
        <v>24</v>
      </c>
      <c r="R1861" s="65" t="s">
        <v>2010</v>
      </c>
      <c r="T1861" s="19" t="s">
        <v>307</v>
      </c>
      <c r="V1861" s="19" t="s">
        <v>178</v>
      </c>
      <c r="Z1861" s="44" t="s">
        <v>2449</v>
      </c>
      <c r="AA1861" s="44" t="s">
        <v>180</v>
      </c>
      <c r="AC1861" s="19" t="s">
        <v>2543</v>
      </c>
    </row>
    <row r="1862" spans="1:29" x14ac:dyDescent="0.25">
      <c r="A1862" s="26">
        <v>101</v>
      </c>
      <c r="B1862" s="19" t="s">
        <v>2555</v>
      </c>
      <c r="C1862" s="44" t="s">
        <v>273</v>
      </c>
      <c r="D1862" s="19" t="s">
        <v>1493</v>
      </c>
      <c r="E1862" s="19">
        <v>12</v>
      </c>
      <c r="F1862" s="19">
        <v>238</v>
      </c>
      <c r="G1862" s="19">
        <v>1280</v>
      </c>
      <c r="H1862" s="19">
        <v>1</v>
      </c>
      <c r="I1862" s="80">
        <v>28.7</v>
      </c>
      <c r="J1862" s="80">
        <v>28.7</v>
      </c>
      <c r="K1862" s="19" t="s">
        <v>184</v>
      </c>
      <c r="L1862" s="19" t="s">
        <v>2542</v>
      </c>
      <c r="O1862" s="19" t="s">
        <v>138</v>
      </c>
      <c r="Q1862" s="20">
        <v>24</v>
      </c>
      <c r="R1862" s="65" t="s">
        <v>2010</v>
      </c>
      <c r="T1862" s="19" t="s">
        <v>307</v>
      </c>
      <c r="V1862" s="19" t="s">
        <v>178</v>
      </c>
      <c r="Z1862" s="44" t="s">
        <v>2449</v>
      </c>
      <c r="AA1862" s="44" t="s">
        <v>180</v>
      </c>
      <c r="AC1862" s="19" t="s">
        <v>2543</v>
      </c>
    </row>
    <row r="1863" spans="1:29" x14ac:dyDescent="0.25">
      <c r="A1863" s="26">
        <v>102</v>
      </c>
      <c r="B1863" s="19" t="s">
        <v>2556</v>
      </c>
      <c r="C1863" s="44" t="s">
        <v>273</v>
      </c>
      <c r="D1863" s="19" t="s">
        <v>828</v>
      </c>
      <c r="E1863" s="19">
        <v>12</v>
      </c>
      <c r="F1863" s="19">
        <v>490</v>
      </c>
      <c r="G1863" s="19">
        <v>9980</v>
      </c>
      <c r="H1863" s="19">
        <v>1</v>
      </c>
      <c r="I1863" s="80">
        <v>460.46</v>
      </c>
      <c r="J1863" s="80">
        <v>460.46</v>
      </c>
      <c r="K1863" s="19" t="s">
        <v>184</v>
      </c>
      <c r="L1863" s="19" t="s">
        <v>2542</v>
      </c>
      <c r="Q1863" s="20">
        <v>24</v>
      </c>
      <c r="R1863" s="65" t="s">
        <v>2010</v>
      </c>
      <c r="T1863" s="19" t="s">
        <v>307</v>
      </c>
      <c r="V1863" s="19" t="s">
        <v>178</v>
      </c>
      <c r="Y1863" s="19" t="s">
        <v>138</v>
      </c>
      <c r="Z1863" s="44" t="s">
        <v>2449</v>
      </c>
      <c r="AA1863" s="44" t="s">
        <v>180</v>
      </c>
      <c r="AC1863" s="19" t="s">
        <v>2543</v>
      </c>
    </row>
    <row r="1864" spans="1:29" x14ac:dyDescent="0.25">
      <c r="A1864" s="26">
        <v>103</v>
      </c>
      <c r="B1864" s="19" t="s">
        <v>2541</v>
      </c>
      <c r="C1864" s="44" t="s">
        <v>273</v>
      </c>
      <c r="D1864" s="19" t="s">
        <v>1239</v>
      </c>
      <c r="E1864" s="19">
        <v>12</v>
      </c>
      <c r="F1864" s="19">
        <v>130</v>
      </c>
      <c r="G1864" s="19">
        <v>663</v>
      </c>
      <c r="H1864" s="19">
        <v>1</v>
      </c>
      <c r="I1864" s="80">
        <v>8.11</v>
      </c>
      <c r="J1864" s="80">
        <v>8.11</v>
      </c>
      <c r="K1864" s="19" t="s">
        <v>184</v>
      </c>
      <c r="L1864" s="19" t="s">
        <v>2542</v>
      </c>
      <c r="Q1864" s="20">
        <v>24</v>
      </c>
      <c r="R1864" s="65" t="s">
        <v>2010</v>
      </c>
      <c r="T1864" s="19" t="s">
        <v>307</v>
      </c>
      <c r="V1864" s="19" t="s">
        <v>178</v>
      </c>
      <c r="W1864" s="19" t="s">
        <v>138</v>
      </c>
      <c r="Z1864" s="44" t="s">
        <v>2449</v>
      </c>
      <c r="AA1864" s="44" t="s">
        <v>180</v>
      </c>
      <c r="AC1864" s="19" t="s">
        <v>2543</v>
      </c>
    </row>
    <row r="1865" spans="1:29" x14ac:dyDescent="0.25">
      <c r="A1865" s="26">
        <v>104</v>
      </c>
      <c r="B1865" s="19" t="s">
        <v>2557</v>
      </c>
      <c r="C1865" s="44" t="s">
        <v>273</v>
      </c>
      <c r="D1865" s="19" t="s">
        <v>1239</v>
      </c>
      <c r="E1865" s="19">
        <v>12</v>
      </c>
      <c r="F1865" s="19">
        <v>130</v>
      </c>
      <c r="G1865" s="19">
        <v>663</v>
      </c>
      <c r="H1865" s="19">
        <v>7</v>
      </c>
      <c r="I1865" s="80">
        <v>8.11</v>
      </c>
      <c r="J1865" s="80">
        <v>56.77</v>
      </c>
      <c r="K1865" s="19" t="s">
        <v>184</v>
      </c>
      <c r="L1865" s="19" t="s">
        <v>2542</v>
      </c>
      <c r="Q1865" s="20">
        <v>24</v>
      </c>
      <c r="R1865" s="65" t="s">
        <v>2010</v>
      </c>
      <c r="T1865" s="19" t="s">
        <v>307</v>
      </c>
      <c r="V1865" s="19" t="s">
        <v>178</v>
      </c>
      <c r="W1865" s="19" t="s">
        <v>138</v>
      </c>
      <c r="Z1865" s="44" t="s">
        <v>2449</v>
      </c>
      <c r="AA1865" s="44" t="s">
        <v>180</v>
      </c>
      <c r="AC1865" s="19" t="s">
        <v>2543</v>
      </c>
    </row>
    <row r="1866" spans="1:29" x14ac:dyDescent="0.25">
      <c r="A1866" s="26">
        <v>105</v>
      </c>
      <c r="B1866" s="19" t="s">
        <v>2544</v>
      </c>
      <c r="C1866" s="44" t="s">
        <v>273</v>
      </c>
      <c r="D1866" s="19" t="s">
        <v>803</v>
      </c>
      <c r="E1866" s="19">
        <v>12</v>
      </c>
      <c r="F1866" s="19">
        <v>135</v>
      </c>
      <c r="G1866" s="19">
        <v>488</v>
      </c>
      <c r="H1866" s="19">
        <v>4</v>
      </c>
      <c r="I1866" s="80">
        <v>6.19</v>
      </c>
      <c r="J1866" s="80">
        <v>24.76</v>
      </c>
      <c r="K1866" s="19" t="s">
        <v>184</v>
      </c>
      <c r="L1866" s="19" t="s">
        <v>2558</v>
      </c>
      <c r="Q1866" s="20">
        <v>24</v>
      </c>
      <c r="R1866" s="65" t="s">
        <v>2010</v>
      </c>
      <c r="T1866" s="19" t="s">
        <v>307</v>
      </c>
      <c r="V1866" s="19" t="s">
        <v>178</v>
      </c>
      <c r="W1866" s="19" t="s">
        <v>138</v>
      </c>
      <c r="Z1866" s="44" t="s">
        <v>2449</v>
      </c>
      <c r="AA1866" s="44" t="s">
        <v>180</v>
      </c>
      <c r="AC1866" s="19" t="s">
        <v>2559</v>
      </c>
    </row>
    <row r="1867" spans="1:29" x14ac:dyDescent="0.25">
      <c r="A1867" s="26">
        <v>106</v>
      </c>
      <c r="B1867" s="19" t="s">
        <v>2560</v>
      </c>
      <c r="C1867" s="44" t="s">
        <v>273</v>
      </c>
      <c r="D1867" s="19" t="s">
        <v>803</v>
      </c>
      <c r="E1867" s="19">
        <v>12</v>
      </c>
      <c r="F1867" s="19">
        <v>135</v>
      </c>
      <c r="G1867" s="19">
        <v>488</v>
      </c>
      <c r="H1867" s="19">
        <v>12</v>
      </c>
      <c r="I1867" s="80">
        <v>6.19</v>
      </c>
      <c r="J1867" s="80">
        <v>74.28</v>
      </c>
      <c r="K1867" s="19" t="s">
        <v>184</v>
      </c>
      <c r="L1867" s="19" t="s">
        <v>2558</v>
      </c>
      <c r="Q1867" s="20">
        <v>24</v>
      </c>
      <c r="R1867" s="65" t="s">
        <v>2010</v>
      </c>
      <c r="T1867" s="19" t="s">
        <v>307</v>
      </c>
      <c r="V1867" s="19" t="s">
        <v>178</v>
      </c>
      <c r="W1867" s="19" t="s">
        <v>138</v>
      </c>
      <c r="Z1867" s="44" t="s">
        <v>2449</v>
      </c>
      <c r="AA1867" s="44" t="s">
        <v>180</v>
      </c>
      <c r="AC1867" s="19" t="s">
        <v>2559</v>
      </c>
    </row>
    <row r="1868" spans="1:29" x14ac:dyDescent="0.25">
      <c r="A1868" s="26">
        <v>107</v>
      </c>
      <c r="B1868" s="19" t="s">
        <v>2561</v>
      </c>
      <c r="C1868" s="44" t="s">
        <v>273</v>
      </c>
      <c r="D1868" s="19" t="s">
        <v>803</v>
      </c>
      <c r="E1868" s="19">
        <v>12</v>
      </c>
      <c r="F1868" s="19">
        <v>135</v>
      </c>
      <c r="G1868" s="19">
        <v>488</v>
      </c>
      <c r="H1868" s="19">
        <v>8</v>
      </c>
      <c r="I1868" s="80">
        <v>6.19</v>
      </c>
      <c r="J1868" s="80">
        <v>49.52</v>
      </c>
      <c r="K1868" s="19" t="s">
        <v>184</v>
      </c>
      <c r="L1868" s="19" t="s">
        <v>2558</v>
      </c>
      <c r="Q1868" s="20">
        <v>24</v>
      </c>
      <c r="R1868" s="65" t="s">
        <v>2010</v>
      </c>
      <c r="T1868" s="19" t="s">
        <v>307</v>
      </c>
      <c r="V1868" s="19" t="s">
        <v>178</v>
      </c>
      <c r="W1868" s="19" t="s">
        <v>138</v>
      </c>
      <c r="Z1868" s="44" t="s">
        <v>2449</v>
      </c>
      <c r="AA1868" s="44" t="s">
        <v>180</v>
      </c>
      <c r="AC1868" s="19" t="s">
        <v>2559</v>
      </c>
    </row>
    <row r="1869" spans="1:29" x14ac:dyDescent="0.25">
      <c r="A1869" s="26">
        <v>108</v>
      </c>
      <c r="B1869" s="19" t="s">
        <v>2562</v>
      </c>
      <c r="C1869" s="44" t="s">
        <v>273</v>
      </c>
      <c r="D1869" s="19" t="s">
        <v>828</v>
      </c>
      <c r="E1869" s="19">
        <v>12</v>
      </c>
      <c r="F1869" s="19">
        <v>490</v>
      </c>
      <c r="G1869" s="19">
        <v>9980</v>
      </c>
      <c r="H1869" s="19">
        <v>1</v>
      </c>
      <c r="I1869" s="80">
        <v>460.46</v>
      </c>
      <c r="J1869" s="80">
        <v>460.46</v>
      </c>
      <c r="K1869" s="19" t="s">
        <v>184</v>
      </c>
      <c r="L1869" s="19" t="s">
        <v>2558</v>
      </c>
      <c r="Q1869" s="20">
        <v>24</v>
      </c>
      <c r="R1869" s="65" t="s">
        <v>2010</v>
      </c>
      <c r="T1869" s="19" t="s">
        <v>307</v>
      </c>
      <c r="V1869" s="19" t="s">
        <v>178</v>
      </c>
      <c r="Y1869" s="19" t="s">
        <v>138</v>
      </c>
      <c r="Z1869" s="44" t="s">
        <v>2449</v>
      </c>
      <c r="AA1869" s="44" t="s">
        <v>180</v>
      </c>
      <c r="AC1869" s="19" t="s">
        <v>2559</v>
      </c>
    </row>
    <row r="1870" spans="1:29" x14ac:dyDescent="0.25">
      <c r="A1870" s="26">
        <v>109</v>
      </c>
      <c r="B1870" s="19" t="s">
        <v>2523</v>
      </c>
      <c r="C1870" s="44" t="s">
        <v>273</v>
      </c>
      <c r="D1870" s="19" t="s">
        <v>874</v>
      </c>
      <c r="E1870" s="19">
        <v>12</v>
      </c>
      <c r="F1870" s="19">
        <v>100</v>
      </c>
      <c r="G1870" s="19">
        <v>150</v>
      </c>
      <c r="H1870" s="19">
        <v>1</v>
      </c>
      <c r="I1870" s="80">
        <v>1.41</v>
      </c>
      <c r="J1870" s="80">
        <v>1.41</v>
      </c>
      <c r="K1870" s="19" t="s">
        <v>184</v>
      </c>
      <c r="L1870" s="19" t="s">
        <v>2558</v>
      </c>
      <c r="Q1870" s="20">
        <v>24</v>
      </c>
      <c r="R1870" s="65" t="s">
        <v>2010</v>
      </c>
      <c r="T1870" s="19" t="s">
        <v>307</v>
      </c>
      <c r="V1870" s="19" t="s">
        <v>178</v>
      </c>
      <c r="W1870" s="19" t="s">
        <v>138</v>
      </c>
      <c r="Z1870" s="44" t="s">
        <v>2449</v>
      </c>
      <c r="AA1870" s="44" t="s">
        <v>180</v>
      </c>
      <c r="AC1870" s="19" t="s">
        <v>2559</v>
      </c>
    </row>
    <row r="1871" spans="1:29" x14ac:dyDescent="0.25">
      <c r="A1871" s="26">
        <v>110</v>
      </c>
      <c r="B1871" s="19" t="s">
        <v>2563</v>
      </c>
      <c r="C1871" s="44" t="s">
        <v>273</v>
      </c>
      <c r="D1871" s="19" t="s">
        <v>828</v>
      </c>
      <c r="E1871" s="19">
        <v>12</v>
      </c>
      <c r="F1871" s="19">
        <v>490</v>
      </c>
      <c r="G1871" s="19">
        <v>9980</v>
      </c>
      <c r="H1871" s="19">
        <v>1</v>
      </c>
      <c r="I1871" s="80">
        <v>460.46</v>
      </c>
      <c r="J1871" s="80">
        <v>460.46</v>
      </c>
      <c r="K1871" s="19" t="s">
        <v>184</v>
      </c>
      <c r="L1871" s="19" t="s">
        <v>2558</v>
      </c>
      <c r="Q1871" s="20">
        <v>24</v>
      </c>
      <c r="R1871" s="65" t="s">
        <v>2010</v>
      </c>
      <c r="T1871" s="19" t="s">
        <v>307</v>
      </c>
      <c r="V1871" s="19" t="s">
        <v>178</v>
      </c>
      <c r="Y1871" s="19" t="s">
        <v>138</v>
      </c>
      <c r="Z1871" s="44" t="s">
        <v>2449</v>
      </c>
      <c r="AA1871" s="44" t="s">
        <v>180</v>
      </c>
      <c r="AC1871" s="19" t="s">
        <v>2559</v>
      </c>
    </row>
    <row r="1872" spans="1:29" x14ac:dyDescent="0.25">
      <c r="A1872" s="26">
        <v>111</v>
      </c>
      <c r="B1872" s="19" t="s">
        <v>2564</v>
      </c>
      <c r="C1872" s="44" t="s">
        <v>273</v>
      </c>
      <c r="D1872" s="19" t="s">
        <v>1493</v>
      </c>
      <c r="E1872" s="19">
        <v>12</v>
      </c>
      <c r="F1872" s="19">
        <v>238</v>
      </c>
      <c r="G1872" s="19">
        <v>1280</v>
      </c>
      <c r="H1872" s="19">
        <v>1</v>
      </c>
      <c r="I1872" s="80">
        <v>28.7</v>
      </c>
      <c r="J1872" s="80">
        <v>28.7</v>
      </c>
      <c r="K1872" s="19" t="s">
        <v>184</v>
      </c>
      <c r="L1872" s="19" t="s">
        <v>2558</v>
      </c>
      <c r="O1872" s="19" t="s">
        <v>138</v>
      </c>
      <c r="Q1872" s="20">
        <v>24</v>
      </c>
      <c r="R1872" s="65" t="s">
        <v>2010</v>
      </c>
      <c r="T1872" s="19" t="s">
        <v>307</v>
      </c>
      <c r="V1872" s="19" t="s">
        <v>178</v>
      </c>
      <c r="Z1872" s="44" t="s">
        <v>2449</v>
      </c>
      <c r="AA1872" s="44" t="s">
        <v>180</v>
      </c>
      <c r="AC1872" s="19" t="s">
        <v>2559</v>
      </c>
    </row>
    <row r="1873" spans="1:29" x14ac:dyDescent="0.25">
      <c r="A1873" s="26">
        <v>112</v>
      </c>
      <c r="B1873" s="19" t="s">
        <v>2565</v>
      </c>
      <c r="C1873" s="44" t="s">
        <v>273</v>
      </c>
      <c r="D1873" s="19" t="s">
        <v>1493</v>
      </c>
      <c r="E1873" s="19">
        <v>12</v>
      </c>
      <c r="F1873" s="19">
        <v>238</v>
      </c>
      <c r="G1873" s="19">
        <v>1280</v>
      </c>
      <c r="H1873" s="19">
        <v>1</v>
      </c>
      <c r="I1873" s="80">
        <v>28.7</v>
      </c>
      <c r="J1873" s="80">
        <v>28.7</v>
      </c>
      <c r="K1873" s="19" t="s">
        <v>184</v>
      </c>
      <c r="L1873" s="19" t="s">
        <v>2558</v>
      </c>
      <c r="O1873" s="19" t="s">
        <v>138</v>
      </c>
      <c r="Q1873" s="20">
        <v>24</v>
      </c>
      <c r="R1873" s="65" t="s">
        <v>2010</v>
      </c>
      <c r="T1873" s="19" t="s">
        <v>307</v>
      </c>
      <c r="V1873" s="19" t="s">
        <v>178</v>
      </c>
      <c r="Z1873" s="44" t="s">
        <v>2449</v>
      </c>
      <c r="AA1873" s="44" t="s">
        <v>180</v>
      </c>
      <c r="AC1873" s="19" t="s">
        <v>2559</v>
      </c>
    </row>
    <row r="1874" spans="1:29" x14ac:dyDescent="0.25">
      <c r="A1874" s="26">
        <v>113</v>
      </c>
      <c r="B1874" s="19" t="s">
        <v>2566</v>
      </c>
      <c r="C1874" s="44" t="s">
        <v>273</v>
      </c>
      <c r="D1874" s="19" t="s">
        <v>1493</v>
      </c>
      <c r="E1874" s="19">
        <v>12</v>
      </c>
      <c r="F1874" s="19">
        <v>238</v>
      </c>
      <c r="G1874" s="19">
        <v>1280</v>
      </c>
      <c r="H1874" s="19">
        <v>1</v>
      </c>
      <c r="I1874" s="80">
        <v>28.7</v>
      </c>
      <c r="J1874" s="80">
        <v>28.7</v>
      </c>
      <c r="K1874" s="19" t="s">
        <v>184</v>
      </c>
      <c r="L1874" s="19" t="s">
        <v>2558</v>
      </c>
      <c r="O1874" s="19" t="s">
        <v>138</v>
      </c>
      <c r="Q1874" s="20">
        <v>24</v>
      </c>
      <c r="R1874" s="65" t="s">
        <v>2010</v>
      </c>
      <c r="T1874" s="19" t="s">
        <v>307</v>
      </c>
      <c r="V1874" s="19" t="s">
        <v>178</v>
      </c>
      <c r="Z1874" s="44" t="s">
        <v>2449</v>
      </c>
      <c r="AA1874" s="44" t="s">
        <v>180</v>
      </c>
      <c r="AC1874" s="19" t="s">
        <v>2559</v>
      </c>
    </row>
    <row r="1875" spans="1:29" x14ac:dyDescent="0.25">
      <c r="A1875" s="26">
        <v>114</v>
      </c>
      <c r="B1875" s="19" t="s">
        <v>2567</v>
      </c>
      <c r="C1875" s="44" t="s">
        <v>273</v>
      </c>
      <c r="D1875" s="19" t="s">
        <v>1493</v>
      </c>
      <c r="E1875" s="19">
        <v>12</v>
      </c>
      <c r="F1875" s="19">
        <v>238</v>
      </c>
      <c r="G1875" s="19">
        <v>1280</v>
      </c>
      <c r="H1875" s="19">
        <v>1</v>
      </c>
      <c r="I1875" s="80">
        <v>28.7</v>
      </c>
      <c r="J1875" s="80">
        <v>28.7</v>
      </c>
      <c r="K1875" s="19" t="s">
        <v>184</v>
      </c>
      <c r="L1875" s="19" t="s">
        <v>2558</v>
      </c>
      <c r="O1875" s="19" t="s">
        <v>138</v>
      </c>
      <c r="Q1875" s="20">
        <v>24</v>
      </c>
      <c r="R1875" s="65" t="s">
        <v>2010</v>
      </c>
      <c r="T1875" s="19" t="s">
        <v>307</v>
      </c>
      <c r="V1875" s="19" t="s">
        <v>178</v>
      </c>
      <c r="Z1875" s="44" t="s">
        <v>2449</v>
      </c>
      <c r="AA1875" s="44" t="s">
        <v>180</v>
      </c>
      <c r="AC1875" s="19" t="s">
        <v>2559</v>
      </c>
    </row>
    <row r="1876" spans="1:29" x14ac:dyDescent="0.25">
      <c r="A1876" s="26">
        <v>115</v>
      </c>
      <c r="B1876" s="19" t="s">
        <v>2568</v>
      </c>
      <c r="C1876" s="44" t="s">
        <v>273</v>
      </c>
      <c r="D1876" s="19" t="s">
        <v>1493</v>
      </c>
      <c r="E1876" s="19">
        <v>12</v>
      </c>
      <c r="F1876" s="19">
        <v>238</v>
      </c>
      <c r="G1876" s="19">
        <v>1280</v>
      </c>
      <c r="H1876" s="19">
        <v>1</v>
      </c>
      <c r="I1876" s="80">
        <v>28.7</v>
      </c>
      <c r="J1876" s="80">
        <v>28.7</v>
      </c>
      <c r="K1876" s="19" t="s">
        <v>184</v>
      </c>
      <c r="L1876" s="19" t="s">
        <v>2558</v>
      </c>
      <c r="O1876" s="19" t="s">
        <v>138</v>
      </c>
      <c r="Q1876" s="20">
        <v>24</v>
      </c>
      <c r="R1876" s="65" t="s">
        <v>2010</v>
      </c>
      <c r="T1876" s="19" t="s">
        <v>307</v>
      </c>
      <c r="V1876" s="19" t="s">
        <v>178</v>
      </c>
      <c r="Z1876" s="44" t="s">
        <v>2449</v>
      </c>
      <c r="AA1876" s="44" t="s">
        <v>180</v>
      </c>
      <c r="AC1876" s="19" t="s">
        <v>2559</v>
      </c>
    </row>
    <row r="1877" spans="1:29" x14ac:dyDescent="0.25">
      <c r="A1877" s="26">
        <v>116</v>
      </c>
      <c r="B1877" s="19" t="s">
        <v>2569</v>
      </c>
      <c r="C1877" s="44" t="s">
        <v>273</v>
      </c>
      <c r="D1877" s="19" t="s">
        <v>1493</v>
      </c>
      <c r="E1877" s="19">
        <v>12</v>
      </c>
      <c r="F1877" s="19">
        <v>238</v>
      </c>
      <c r="G1877" s="19">
        <v>1280</v>
      </c>
      <c r="H1877" s="19">
        <v>1</v>
      </c>
      <c r="I1877" s="80">
        <v>28.7</v>
      </c>
      <c r="J1877" s="80">
        <v>28.7</v>
      </c>
      <c r="K1877" s="19" t="s">
        <v>184</v>
      </c>
      <c r="L1877" s="19" t="s">
        <v>2558</v>
      </c>
      <c r="O1877" s="19" t="s">
        <v>138</v>
      </c>
      <c r="Q1877" s="20">
        <v>24</v>
      </c>
      <c r="R1877" s="65" t="s">
        <v>2010</v>
      </c>
      <c r="T1877" s="19" t="s">
        <v>307</v>
      </c>
      <c r="V1877" s="19" t="s">
        <v>178</v>
      </c>
      <c r="Z1877" s="44" t="s">
        <v>2449</v>
      </c>
      <c r="AA1877" s="44" t="s">
        <v>180</v>
      </c>
      <c r="AC1877" s="19" t="s">
        <v>2559</v>
      </c>
    </row>
    <row r="1878" spans="1:29" x14ac:dyDescent="0.25">
      <c r="A1878" s="26">
        <v>117</v>
      </c>
      <c r="B1878" s="19" t="s">
        <v>2570</v>
      </c>
      <c r="C1878" s="44" t="s">
        <v>273</v>
      </c>
      <c r="D1878" s="19" t="s">
        <v>828</v>
      </c>
      <c r="E1878" s="19">
        <v>12</v>
      </c>
      <c r="F1878" s="19">
        <v>490</v>
      </c>
      <c r="G1878" s="19">
        <v>9980</v>
      </c>
      <c r="H1878" s="19">
        <v>1</v>
      </c>
      <c r="I1878" s="80">
        <v>460.46</v>
      </c>
      <c r="J1878" s="80">
        <v>460.46</v>
      </c>
      <c r="K1878" s="19" t="s">
        <v>184</v>
      </c>
      <c r="L1878" s="19" t="s">
        <v>2558</v>
      </c>
      <c r="Q1878" s="20">
        <v>24</v>
      </c>
      <c r="R1878" s="65" t="s">
        <v>2010</v>
      </c>
      <c r="T1878" s="19" t="s">
        <v>307</v>
      </c>
      <c r="V1878" s="19" t="s">
        <v>178</v>
      </c>
      <c r="Y1878" s="19" t="s">
        <v>138</v>
      </c>
      <c r="Z1878" s="44" t="s">
        <v>2449</v>
      </c>
      <c r="AA1878" s="44" t="s">
        <v>180</v>
      </c>
      <c r="AC1878" s="19" t="s">
        <v>2559</v>
      </c>
    </row>
    <row r="1879" spans="1:29" x14ac:dyDescent="0.25">
      <c r="A1879" s="26">
        <v>118</v>
      </c>
      <c r="B1879" s="19" t="s">
        <v>2571</v>
      </c>
      <c r="C1879" s="44" t="s">
        <v>273</v>
      </c>
      <c r="D1879" s="19" t="s">
        <v>828</v>
      </c>
      <c r="E1879" s="19">
        <v>12</v>
      </c>
      <c r="F1879" s="19">
        <v>490</v>
      </c>
      <c r="G1879" s="19">
        <v>9980</v>
      </c>
      <c r="H1879" s="19">
        <v>1</v>
      </c>
      <c r="I1879" s="80">
        <v>460.46</v>
      </c>
      <c r="J1879" s="80">
        <v>460.46</v>
      </c>
      <c r="K1879" s="19" t="s">
        <v>184</v>
      </c>
      <c r="L1879" s="19" t="s">
        <v>2558</v>
      </c>
      <c r="Q1879" s="20">
        <v>24</v>
      </c>
      <c r="R1879" s="65" t="s">
        <v>2010</v>
      </c>
      <c r="T1879" s="19" t="s">
        <v>307</v>
      </c>
      <c r="V1879" s="19" t="s">
        <v>178</v>
      </c>
      <c r="Y1879" s="19" t="s">
        <v>138</v>
      </c>
      <c r="Z1879" s="44" t="s">
        <v>2449</v>
      </c>
      <c r="AA1879" s="44" t="s">
        <v>180</v>
      </c>
      <c r="AC1879" s="19" t="s">
        <v>2559</v>
      </c>
    </row>
    <row r="1880" spans="1:29" x14ac:dyDescent="0.25">
      <c r="A1880" s="26">
        <v>119</v>
      </c>
      <c r="B1880" s="19" t="s">
        <v>2572</v>
      </c>
      <c r="C1880" s="44" t="s">
        <v>273</v>
      </c>
      <c r="D1880" s="19" t="s">
        <v>1493</v>
      </c>
      <c r="E1880" s="19">
        <v>12</v>
      </c>
      <c r="F1880" s="19">
        <v>238</v>
      </c>
      <c r="G1880" s="19">
        <v>1280</v>
      </c>
      <c r="H1880" s="19">
        <v>1</v>
      </c>
      <c r="I1880" s="80">
        <v>28.7</v>
      </c>
      <c r="J1880" s="80">
        <v>28.7</v>
      </c>
      <c r="K1880" s="19" t="s">
        <v>184</v>
      </c>
      <c r="L1880" s="19" t="s">
        <v>2558</v>
      </c>
      <c r="O1880" s="19" t="s">
        <v>138</v>
      </c>
      <c r="Q1880" s="20">
        <v>24</v>
      </c>
      <c r="R1880" s="65" t="s">
        <v>2010</v>
      </c>
      <c r="T1880" s="19" t="s">
        <v>307</v>
      </c>
      <c r="V1880" s="19" t="s">
        <v>178</v>
      </c>
      <c r="Z1880" s="44" t="s">
        <v>2449</v>
      </c>
      <c r="AA1880" s="44" t="s">
        <v>180</v>
      </c>
      <c r="AC1880" s="19" t="s">
        <v>2559</v>
      </c>
    </row>
    <row r="1881" spans="1:29" x14ac:dyDescent="0.25">
      <c r="A1881" s="26">
        <v>120</v>
      </c>
      <c r="B1881" s="19" t="s">
        <v>2573</v>
      </c>
      <c r="C1881" s="44" t="s">
        <v>273</v>
      </c>
      <c r="D1881" s="19" t="s">
        <v>812</v>
      </c>
      <c r="E1881" s="19">
        <v>12</v>
      </c>
      <c r="F1881" s="19">
        <v>490</v>
      </c>
      <c r="G1881" s="19">
        <v>6464</v>
      </c>
      <c r="H1881" s="19">
        <v>1</v>
      </c>
      <c r="I1881" s="80">
        <v>298.26</v>
      </c>
      <c r="J1881" s="80">
        <v>298.26</v>
      </c>
      <c r="K1881" s="19" t="s">
        <v>184</v>
      </c>
      <c r="L1881" s="19" t="s">
        <v>2574</v>
      </c>
      <c r="Q1881" s="20">
        <v>24</v>
      </c>
      <c r="R1881" s="65" t="s">
        <v>2010</v>
      </c>
      <c r="T1881" s="19" t="s">
        <v>307</v>
      </c>
      <c r="V1881" s="19" t="s">
        <v>178</v>
      </c>
      <c r="Y1881" s="19" t="s">
        <v>138</v>
      </c>
      <c r="Z1881" s="44" t="s">
        <v>2449</v>
      </c>
      <c r="AA1881" s="44" t="s">
        <v>180</v>
      </c>
      <c r="AC1881" s="19" t="s">
        <v>2575</v>
      </c>
    </row>
    <row r="1882" spans="1:29" x14ac:dyDescent="0.25">
      <c r="A1882" s="26">
        <v>121</v>
      </c>
      <c r="B1882" s="19" t="s">
        <v>2561</v>
      </c>
      <c r="C1882" s="44" t="s">
        <v>273</v>
      </c>
      <c r="D1882" s="19" t="s">
        <v>803</v>
      </c>
      <c r="E1882" s="19">
        <v>12</v>
      </c>
      <c r="F1882" s="19">
        <v>135</v>
      </c>
      <c r="G1882" s="19">
        <v>488</v>
      </c>
      <c r="H1882" s="19">
        <v>4</v>
      </c>
      <c r="I1882" s="80">
        <v>6.19</v>
      </c>
      <c r="J1882" s="80">
        <v>24.76</v>
      </c>
      <c r="K1882" s="19" t="s">
        <v>184</v>
      </c>
      <c r="L1882" s="19" t="s">
        <v>2574</v>
      </c>
      <c r="Q1882" s="20">
        <v>24</v>
      </c>
      <c r="R1882" s="65" t="s">
        <v>2010</v>
      </c>
      <c r="T1882" s="19" t="s">
        <v>307</v>
      </c>
      <c r="V1882" s="19" t="s">
        <v>178</v>
      </c>
      <c r="W1882" s="19" t="s">
        <v>138</v>
      </c>
      <c r="Z1882" s="44" t="s">
        <v>2449</v>
      </c>
      <c r="AA1882" s="44" t="s">
        <v>180</v>
      </c>
      <c r="AC1882" s="19" t="s">
        <v>2575</v>
      </c>
    </row>
    <row r="1883" spans="1:29" x14ac:dyDescent="0.25">
      <c r="A1883" s="26">
        <v>122</v>
      </c>
      <c r="B1883" s="19" t="s">
        <v>2576</v>
      </c>
      <c r="C1883" s="44" t="s">
        <v>273</v>
      </c>
      <c r="D1883" s="19" t="s">
        <v>803</v>
      </c>
      <c r="E1883" s="19">
        <v>12</v>
      </c>
      <c r="F1883" s="19">
        <v>135</v>
      </c>
      <c r="G1883" s="19">
        <v>488</v>
      </c>
      <c r="H1883" s="19">
        <v>12</v>
      </c>
      <c r="I1883" s="80">
        <v>6.19</v>
      </c>
      <c r="J1883" s="80">
        <v>74.28</v>
      </c>
      <c r="K1883" s="19" t="s">
        <v>184</v>
      </c>
      <c r="L1883" s="19" t="s">
        <v>2574</v>
      </c>
      <c r="Q1883" s="20">
        <v>24</v>
      </c>
      <c r="R1883" s="65" t="s">
        <v>2010</v>
      </c>
      <c r="T1883" s="19" t="s">
        <v>307</v>
      </c>
      <c r="V1883" s="19" t="s">
        <v>178</v>
      </c>
      <c r="W1883" s="19" t="s">
        <v>138</v>
      </c>
      <c r="Z1883" s="44" t="s">
        <v>2449</v>
      </c>
      <c r="AA1883" s="44" t="s">
        <v>180</v>
      </c>
      <c r="AC1883" s="19" t="s">
        <v>2575</v>
      </c>
    </row>
    <row r="1884" spans="1:29" x14ac:dyDescent="0.25">
      <c r="A1884" s="26">
        <v>123</v>
      </c>
      <c r="B1884" s="19" t="s">
        <v>2577</v>
      </c>
      <c r="C1884" s="44" t="s">
        <v>273</v>
      </c>
      <c r="D1884" s="19" t="s">
        <v>803</v>
      </c>
      <c r="E1884" s="19">
        <v>12</v>
      </c>
      <c r="F1884" s="19">
        <v>135</v>
      </c>
      <c r="G1884" s="19">
        <v>488</v>
      </c>
      <c r="H1884" s="19">
        <v>9</v>
      </c>
      <c r="I1884" s="80">
        <v>6.19</v>
      </c>
      <c r="J1884" s="80">
        <v>55.71</v>
      </c>
      <c r="K1884" s="19" t="s">
        <v>184</v>
      </c>
      <c r="L1884" s="19" t="s">
        <v>2574</v>
      </c>
      <c r="Q1884" s="20">
        <v>24</v>
      </c>
      <c r="R1884" s="65" t="s">
        <v>2010</v>
      </c>
      <c r="T1884" s="19" t="s">
        <v>307</v>
      </c>
      <c r="V1884" s="19" t="s">
        <v>178</v>
      </c>
      <c r="W1884" s="19" t="s">
        <v>138</v>
      </c>
      <c r="Z1884" s="44" t="s">
        <v>2449</v>
      </c>
      <c r="AA1884" s="44" t="s">
        <v>180</v>
      </c>
      <c r="AC1884" s="19" t="s">
        <v>2575</v>
      </c>
    </row>
    <row r="1885" spans="1:29" x14ac:dyDescent="0.25">
      <c r="A1885" s="26">
        <v>124</v>
      </c>
      <c r="B1885" s="19" t="s">
        <v>2578</v>
      </c>
      <c r="C1885" s="44" t="s">
        <v>273</v>
      </c>
      <c r="D1885" s="19" t="s">
        <v>874</v>
      </c>
      <c r="E1885" s="19">
        <v>12</v>
      </c>
      <c r="F1885" s="19">
        <v>100</v>
      </c>
      <c r="G1885" s="19">
        <v>150</v>
      </c>
      <c r="H1885" s="19">
        <v>1</v>
      </c>
      <c r="I1885" s="80">
        <v>1.41</v>
      </c>
      <c r="J1885" s="80">
        <v>1.41</v>
      </c>
      <c r="K1885" s="19" t="s">
        <v>184</v>
      </c>
      <c r="L1885" s="19" t="s">
        <v>2574</v>
      </c>
      <c r="Q1885" s="20">
        <v>24</v>
      </c>
      <c r="R1885" s="65" t="s">
        <v>2010</v>
      </c>
      <c r="T1885" s="19" t="s">
        <v>307</v>
      </c>
      <c r="V1885" s="19" t="s">
        <v>178</v>
      </c>
      <c r="W1885" s="19" t="s">
        <v>138</v>
      </c>
      <c r="Z1885" s="44" t="s">
        <v>2449</v>
      </c>
      <c r="AA1885" s="44" t="s">
        <v>180</v>
      </c>
      <c r="AC1885" s="19" t="s">
        <v>2575</v>
      </c>
    </row>
    <row r="1886" spans="1:29" x14ac:dyDescent="0.25">
      <c r="A1886" s="26">
        <v>125</v>
      </c>
      <c r="B1886" s="19" t="s">
        <v>2579</v>
      </c>
      <c r="C1886" s="44" t="s">
        <v>273</v>
      </c>
      <c r="D1886" s="19" t="s">
        <v>874</v>
      </c>
      <c r="E1886" s="19">
        <v>12</v>
      </c>
      <c r="F1886" s="19">
        <v>100</v>
      </c>
      <c r="G1886" s="19">
        <v>150</v>
      </c>
      <c r="H1886" s="19">
        <v>1</v>
      </c>
      <c r="I1886" s="80">
        <v>1.41</v>
      </c>
      <c r="J1886" s="80">
        <v>1.41</v>
      </c>
      <c r="K1886" s="19" t="s">
        <v>184</v>
      </c>
      <c r="L1886" s="19" t="s">
        <v>2574</v>
      </c>
      <c r="Q1886" s="20">
        <v>24</v>
      </c>
      <c r="R1886" s="65" t="s">
        <v>2010</v>
      </c>
      <c r="T1886" s="19" t="s">
        <v>307</v>
      </c>
      <c r="V1886" s="19" t="s">
        <v>178</v>
      </c>
      <c r="W1886" s="19" t="s">
        <v>138</v>
      </c>
      <c r="Z1886" s="44" t="s">
        <v>2449</v>
      </c>
      <c r="AA1886" s="44" t="s">
        <v>180</v>
      </c>
      <c r="AC1886" s="19" t="s">
        <v>2575</v>
      </c>
    </row>
    <row r="1887" spans="1:29" x14ac:dyDescent="0.25">
      <c r="A1887" s="26">
        <v>126</v>
      </c>
      <c r="B1887" s="19" t="s">
        <v>2580</v>
      </c>
      <c r="C1887" s="44" t="s">
        <v>273</v>
      </c>
      <c r="D1887" s="19" t="s">
        <v>874</v>
      </c>
      <c r="E1887" s="19">
        <v>12</v>
      </c>
      <c r="F1887" s="19">
        <v>100</v>
      </c>
      <c r="G1887" s="19">
        <v>150</v>
      </c>
      <c r="H1887" s="19">
        <v>1</v>
      </c>
      <c r="I1887" s="80">
        <v>1.41</v>
      </c>
      <c r="J1887" s="80">
        <v>1.41</v>
      </c>
      <c r="K1887" s="19" t="s">
        <v>184</v>
      </c>
      <c r="L1887" s="19" t="s">
        <v>2574</v>
      </c>
      <c r="Q1887" s="20">
        <v>24</v>
      </c>
      <c r="R1887" s="65" t="s">
        <v>2010</v>
      </c>
      <c r="T1887" s="19" t="s">
        <v>307</v>
      </c>
      <c r="V1887" s="19" t="s">
        <v>178</v>
      </c>
      <c r="W1887" s="19" t="s">
        <v>138</v>
      </c>
      <c r="Z1887" s="44" t="s">
        <v>2449</v>
      </c>
      <c r="AA1887" s="44" t="s">
        <v>180</v>
      </c>
      <c r="AC1887" s="19" t="s">
        <v>2575</v>
      </c>
    </row>
    <row r="1888" spans="1:29" x14ac:dyDescent="0.25">
      <c r="A1888" s="26">
        <v>127</v>
      </c>
      <c r="B1888" s="19" t="s">
        <v>2581</v>
      </c>
      <c r="C1888" s="44" t="s">
        <v>273</v>
      </c>
      <c r="D1888" s="19" t="s">
        <v>874</v>
      </c>
      <c r="E1888" s="19">
        <v>12</v>
      </c>
      <c r="F1888" s="19">
        <v>100</v>
      </c>
      <c r="G1888" s="19">
        <v>150</v>
      </c>
      <c r="H1888" s="19">
        <v>1</v>
      </c>
      <c r="I1888" s="80">
        <v>1.41</v>
      </c>
      <c r="J1888" s="80">
        <v>1.41</v>
      </c>
      <c r="K1888" s="19" t="s">
        <v>184</v>
      </c>
      <c r="L1888" s="19" t="s">
        <v>2574</v>
      </c>
      <c r="Q1888" s="20">
        <v>24</v>
      </c>
      <c r="R1888" s="65" t="s">
        <v>2010</v>
      </c>
      <c r="T1888" s="19" t="s">
        <v>307</v>
      </c>
      <c r="V1888" s="19" t="s">
        <v>178</v>
      </c>
      <c r="W1888" s="19" t="s">
        <v>138</v>
      </c>
      <c r="Z1888" s="44" t="s">
        <v>2449</v>
      </c>
      <c r="AA1888" s="44" t="s">
        <v>180</v>
      </c>
      <c r="AC1888" s="19" t="s">
        <v>2575</v>
      </c>
    </row>
    <row r="1889" spans="1:29" x14ac:dyDescent="0.25">
      <c r="A1889" s="26">
        <v>128</v>
      </c>
      <c r="B1889" s="19" t="s">
        <v>2582</v>
      </c>
      <c r="C1889" s="44" t="s">
        <v>273</v>
      </c>
      <c r="D1889" s="19" t="s">
        <v>874</v>
      </c>
      <c r="E1889" s="19">
        <v>12</v>
      </c>
      <c r="F1889" s="19">
        <v>100</v>
      </c>
      <c r="G1889" s="19">
        <v>150</v>
      </c>
      <c r="H1889" s="19">
        <v>1</v>
      </c>
      <c r="I1889" s="80">
        <v>1.41</v>
      </c>
      <c r="J1889" s="80">
        <v>1.41</v>
      </c>
      <c r="K1889" s="19" t="s">
        <v>184</v>
      </c>
      <c r="L1889" s="19" t="s">
        <v>2574</v>
      </c>
      <c r="Q1889" s="20">
        <v>24</v>
      </c>
      <c r="R1889" s="65" t="s">
        <v>2010</v>
      </c>
      <c r="T1889" s="19" t="s">
        <v>307</v>
      </c>
      <c r="V1889" s="19" t="s">
        <v>178</v>
      </c>
      <c r="W1889" s="19" t="s">
        <v>138</v>
      </c>
      <c r="Z1889" s="44" t="s">
        <v>2449</v>
      </c>
      <c r="AA1889" s="44" t="s">
        <v>180</v>
      </c>
      <c r="AC1889" s="19" t="s">
        <v>2575</v>
      </c>
    </row>
    <row r="1890" spans="1:29" x14ac:dyDescent="0.25">
      <c r="A1890" s="26">
        <v>129</v>
      </c>
      <c r="B1890" s="19" t="s">
        <v>2583</v>
      </c>
      <c r="C1890" s="44" t="s">
        <v>273</v>
      </c>
      <c r="D1890" s="19" t="s">
        <v>874</v>
      </c>
      <c r="E1890" s="19">
        <v>12</v>
      </c>
      <c r="F1890" s="19">
        <v>100</v>
      </c>
      <c r="G1890" s="19">
        <v>150</v>
      </c>
      <c r="H1890" s="19">
        <v>1</v>
      </c>
      <c r="I1890" s="80">
        <v>1.41</v>
      </c>
      <c r="J1890" s="80">
        <v>1.41</v>
      </c>
      <c r="K1890" s="19" t="s">
        <v>184</v>
      </c>
      <c r="L1890" s="19" t="s">
        <v>2574</v>
      </c>
      <c r="Q1890" s="20">
        <v>24</v>
      </c>
      <c r="R1890" s="65" t="s">
        <v>2010</v>
      </c>
      <c r="T1890" s="19" t="s">
        <v>307</v>
      </c>
      <c r="V1890" s="19" t="s">
        <v>178</v>
      </c>
      <c r="W1890" s="19" t="s">
        <v>138</v>
      </c>
      <c r="Z1890" s="44" t="s">
        <v>2449</v>
      </c>
      <c r="AA1890" s="44" t="s">
        <v>180</v>
      </c>
      <c r="AC1890" s="19" t="s">
        <v>2575</v>
      </c>
    </row>
    <row r="1891" spans="1:29" x14ac:dyDescent="0.25">
      <c r="A1891" s="26">
        <v>130</v>
      </c>
      <c r="B1891" s="19" t="s">
        <v>2584</v>
      </c>
      <c r="C1891" s="44" t="s">
        <v>273</v>
      </c>
      <c r="D1891" s="19" t="s">
        <v>835</v>
      </c>
      <c r="E1891" s="19">
        <v>12</v>
      </c>
      <c r="F1891" s="19">
        <v>1460</v>
      </c>
      <c r="G1891" s="19">
        <v>9068</v>
      </c>
      <c r="H1891" s="19">
        <v>1</v>
      </c>
      <c r="I1891" s="80">
        <v>1240.54</v>
      </c>
      <c r="J1891" s="80">
        <v>1240.54</v>
      </c>
      <c r="K1891" s="19" t="s">
        <v>184</v>
      </c>
      <c r="L1891" s="19" t="s">
        <v>2574</v>
      </c>
      <c r="Q1891" s="20">
        <v>24</v>
      </c>
      <c r="R1891" s="65" t="s">
        <v>2010</v>
      </c>
      <c r="T1891" s="19" t="s">
        <v>307</v>
      </c>
      <c r="V1891" s="19" t="s">
        <v>178</v>
      </c>
      <c r="Y1891" s="19" t="s">
        <v>138</v>
      </c>
      <c r="Z1891" s="44" t="s">
        <v>2449</v>
      </c>
      <c r="AA1891" s="44" t="s">
        <v>180</v>
      </c>
      <c r="AC1891" s="19" t="s">
        <v>2575</v>
      </c>
    </row>
    <row r="1892" spans="1:29" x14ac:dyDescent="0.25">
      <c r="A1892" s="26">
        <v>131</v>
      </c>
      <c r="B1892" s="19" t="s">
        <v>2546</v>
      </c>
      <c r="C1892" s="44" t="s">
        <v>273</v>
      </c>
      <c r="D1892" s="19" t="s">
        <v>914</v>
      </c>
      <c r="E1892" s="19">
        <v>12</v>
      </c>
      <c r="F1892" s="19">
        <v>95</v>
      </c>
      <c r="G1892" s="19">
        <v>263</v>
      </c>
      <c r="H1892" s="19">
        <v>4</v>
      </c>
      <c r="I1892" s="80">
        <v>2.34</v>
      </c>
      <c r="J1892" s="80">
        <v>9.35</v>
      </c>
      <c r="K1892" s="19" t="s">
        <v>184</v>
      </c>
      <c r="L1892" s="19" t="s">
        <v>2574</v>
      </c>
      <c r="Q1892" s="20">
        <v>24</v>
      </c>
      <c r="R1892" s="65" t="s">
        <v>2010</v>
      </c>
      <c r="T1892" s="19" t="s">
        <v>307</v>
      </c>
      <c r="V1892" s="19" t="s">
        <v>178</v>
      </c>
      <c r="W1892" s="19" t="s">
        <v>138</v>
      </c>
      <c r="Z1892" s="44" t="s">
        <v>2449</v>
      </c>
      <c r="AA1892" s="44" t="s">
        <v>180</v>
      </c>
      <c r="AC1892" s="19" t="s">
        <v>2575</v>
      </c>
    </row>
    <row r="1893" spans="1:29" x14ac:dyDescent="0.25">
      <c r="A1893" s="26">
        <v>132</v>
      </c>
      <c r="B1893" s="19" t="s">
        <v>2585</v>
      </c>
      <c r="C1893" s="44" t="s">
        <v>273</v>
      </c>
      <c r="D1893" s="19" t="s">
        <v>1211</v>
      </c>
      <c r="E1893" s="19">
        <v>12</v>
      </c>
      <c r="F1893" s="19">
        <v>490</v>
      </c>
      <c r="G1893" s="19">
        <v>1388</v>
      </c>
      <c r="H1893" s="19">
        <v>1</v>
      </c>
      <c r="I1893" s="80">
        <v>63.63</v>
      </c>
      <c r="J1893" s="80">
        <v>63.63</v>
      </c>
      <c r="K1893" s="19" t="s">
        <v>184</v>
      </c>
      <c r="L1893" s="19" t="s">
        <v>2574</v>
      </c>
      <c r="Q1893" s="20">
        <v>24</v>
      </c>
      <c r="R1893" s="65" t="s">
        <v>2010</v>
      </c>
      <c r="T1893" s="19" t="s">
        <v>307</v>
      </c>
      <c r="V1893" s="19" t="s">
        <v>178</v>
      </c>
      <c r="Y1893" s="19" t="s">
        <v>138</v>
      </c>
      <c r="Z1893" s="44" t="s">
        <v>2449</v>
      </c>
      <c r="AA1893" s="44" t="s">
        <v>180</v>
      </c>
      <c r="AC1893" s="19" t="s">
        <v>2575</v>
      </c>
    </row>
    <row r="1894" spans="1:29" x14ac:dyDescent="0.25">
      <c r="A1894" s="26">
        <v>133</v>
      </c>
      <c r="B1894" s="19" t="s">
        <v>2481</v>
      </c>
      <c r="C1894" s="44" t="s">
        <v>273</v>
      </c>
      <c r="D1894" s="19" t="s">
        <v>930</v>
      </c>
      <c r="E1894" s="19">
        <v>12</v>
      </c>
      <c r="F1894" s="19">
        <v>128</v>
      </c>
      <c r="G1894" s="19">
        <v>145</v>
      </c>
      <c r="H1894" s="19">
        <v>2</v>
      </c>
      <c r="I1894" s="80">
        <v>1.67</v>
      </c>
      <c r="J1894" s="80">
        <v>3.34</v>
      </c>
      <c r="K1894" s="19" t="s">
        <v>184</v>
      </c>
      <c r="L1894" s="19" t="s">
        <v>2574</v>
      </c>
      <c r="Q1894" s="20">
        <v>24</v>
      </c>
      <c r="R1894" s="65" t="s">
        <v>2010</v>
      </c>
      <c r="T1894" s="19" t="s">
        <v>307</v>
      </c>
      <c r="V1894" s="19" t="s">
        <v>178</v>
      </c>
      <c r="W1894" s="19" t="s">
        <v>138</v>
      </c>
      <c r="Z1894" s="44" t="s">
        <v>2449</v>
      </c>
      <c r="AA1894" s="44" t="s">
        <v>180</v>
      </c>
      <c r="AC1894" s="19" t="s">
        <v>2575</v>
      </c>
    </row>
    <row r="1895" spans="1:29" x14ac:dyDescent="0.25">
      <c r="A1895" s="26">
        <v>134</v>
      </c>
      <c r="B1895" s="19" t="s">
        <v>2586</v>
      </c>
      <c r="C1895" s="44" t="s">
        <v>273</v>
      </c>
      <c r="D1895" s="19" t="s">
        <v>869</v>
      </c>
      <c r="E1895" s="19">
        <v>12</v>
      </c>
      <c r="F1895" s="19">
        <v>490</v>
      </c>
      <c r="G1895" s="19">
        <v>1514</v>
      </c>
      <c r="H1895" s="19">
        <v>1</v>
      </c>
      <c r="I1895" s="80">
        <v>69.78</v>
      </c>
      <c r="J1895" s="80">
        <v>69.78</v>
      </c>
      <c r="K1895" s="19" t="s">
        <v>184</v>
      </c>
      <c r="L1895" s="19" t="s">
        <v>2574</v>
      </c>
      <c r="Q1895" s="20">
        <v>24</v>
      </c>
      <c r="R1895" s="65" t="s">
        <v>2010</v>
      </c>
      <c r="T1895" s="19" t="s">
        <v>307</v>
      </c>
      <c r="V1895" s="19" t="s">
        <v>178</v>
      </c>
      <c r="Y1895" s="19" t="s">
        <v>138</v>
      </c>
      <c r="Z1895" s="44" t="s">
        <v>2449</v>
      </c>
      <c r="AA1895" s="44" t="s">
        <v>180</v>
      </c>
      <c r="AC1895" s="19" t="s">
        <v>2575</v>
      </c>
    </row>
    <row r="1896" spans="1:29" x14ac:dyDescent="0.25">
      <c r="A1896" s="26">
        <v>135</v>
      </c>
      <c r="B1896" s="19" t="s">
        <v>2587</v>
      </c>
      <c r="C1896" s="44" t="s">
        <v>273</v>
      </c>
      <c r="D1896" s="19" t="s">
        <v>1211</v>
      </c>
      <c r="E1896" s="19">
        <v>12</v>
      </c>
      <c r="F1896" s="19">
        <v>490</v>
      </c>
      <c r="G1896" s="19">
        <v>1388</v>
      </c>
      <c r="H1896" s="19">
        <v>1</v>
      </c>
      <c r="I1896" s="80">
        <v>63.63</v>
      </c>
      <c r="J1896" s="80">
        <v>63.63</v>
      </c>
      <c r="K1896" s="19" t="s">
        <v>184</v>
      </c>
      <c r="L1896" s="19" t="s">
        <v>2574</v>
      </c>
      <c r="Q1896" s="20">
        <v>24</v>
      </c>
      <c r="R1896" s="65" t="s">
        <v>2010</v>
      </c>
      <c r="T1896" s="19" t="s">
        <v>307</v>
      </c>
      <c r="V1896" s="19" t="s">
        <v>178</v>
      </c>
      <c r="Y1896" s="19" t="s">
        <v>138</v>
      </c>
      <c r="Z1896" s="44" t="s">
        <v>2449</v>
      </c>
      <c r="AA1896" s="44" t="s">
        <v>180</v>
      </c>
      <c r="AC1896" s="19" t="s">
        <v>2575</v>
      </c>
    </row>
    <row r="1897" spans="1:29" x14ac:dyDescent="0.25">
      <c r="A1897" s="26">
        <v>136</v>
      </c>
      <c r="B1897" s="19" t="s">
        <v>2588</v>
      </c>
      <c r="C1897" s="44" t="s">
        <v>273</v>
      </c>
      <c r="D1897" s="19" t="s">
        <v>1211</v>
      </c>
      <c r="E1897" s="19">
        <v>12</v>
      </c>
      <c r="F1897" s="19">
        <v>490</v>
      </c>
      <c r="G1897" s="19">
        <v>1388</v>
      </c>
      <c r="H1897" s="19">
        <v>1</v>
      </c>
      <c r="I1897" s="80">
        <v>63.63</v>
      </c>
      <c r="J1897" s="80">
        <v>63.63</v>
      </c>
      <c r="K1897" s="19" t="s">
        <v>184</v>
      </c>
      <c r="L1897" s="19" t="s">
        <v>2574</v>
      </c>
      <c r="Q1897" s="20">
        <v>24</v>
      </c>
      <c r="R1897" s="65" t="s">
        <v>2010</v>
      </c>
      <c r="T1897" s="19" t="s">
        <v>307</v>
      </c>
      <c r="V1897" s="19" t="s">
        <v>178</v>
      </c>
      <c r="Y1897" s="19" t="s">
        <v>138</v>
      </c>
      <c r="Z1897" s="44" t="s">
        <v>2449</v>
      </c>
      <c r="AA1897" s="44" t="s">
        <v>180</v>
      </c>
      <c r="AC1897" s="19" t="s">
        <v>2575</v>
      </c>
    </row>
    <row r="1898" spans="1:29" x14ac:dyDescent="0.25">
      <c r="A1898" s="26">
        <v>137</v>
      </c>
      <c r="B1898" s="19" t="s">
        <v>2589</v>
      </c>
      <c r="C1898" s="44" t="s">
        <v>273</v>
      </c>
      <c r="D1898" s="19" t="s">
        <v>1493</v>
      </c>
      <c r="E1898" s="19">
        <v>12</v>
      </c>
      <c r="F1898" s="19">
        <v>238</v>
      </c>
      <c r="G1898" s="19">
        <v>1280</v>
      </c>
      <c r="H1898" s="19">
        <v>1</v>
      </c>
      <c r="I1898" s="80">
        <v>28.7</v>
      </c>
      <c r="J1898" s="80">
        <v>28.7</v>
      </c>
      <c r="K1898" s="19" t="s">
        <v>184</v>
      </c>
      <c r="L1898" s="19" t="s">
        <v>2574</v>
      </c>
      <c r="O1898" s="19" t="s">
        <v>138</v>
      </c>
      <c r="Q1898" s="20">
        <v>24</v>
      </c>
      <c r="R1898" s="65" t="s">
        <v>2010</v>
      </c>
      <c r="T1898" s="19" t="s">
        <v>307</v>
      </c>
      <c r="V1898" s="19" t="s">
        <v>178</v>
      </c>
      <c r="Z1898" s="44" t="s">
        <v>2449</v>
      </c>
      <c r="AA1898" s="44" t="s">
        <v>180</v>
      </c>
      <c r="AC1898" s="19" t="s">
        <v>2575</v>
      </c>
    </row>
    <row r="1899" spans="1:29" x14ac:dyDescent="0.25">
      <c r="A1899" s="26">
        <v>138</v>
      </c>
      <c r="B1899" s="19" t="s">
        <v>2590</v>
      </c>
      <c r="C1899" s="44" t="s">
        <v>273</v>
      </c>
      <c r="D1899" s="19" t="s">
        <v>1493</v>
      </c>
      <c r="E1899" s="19">
        <v>12</v>
      </c>
      <c r="F1899" s="19">
        <v>238</v>
      </c>
      <c r="G1899" s="19">
        <v>1280</v>
      </c>
      <c r="H1899" s="19">
        <v>1</v>
      </c>
      <c r="I1899" s="80">
        <v>28.7</v>
      </c>
      <c r="J1899" s="80">
        <v>28.7</v>
      </c>
      <c r="K1899" s="19" t="s">
        <v>184</v>
      </c>
      <c r="L1899" s="19" t="s">
        <v>2574</v>
      </c>
      <c r="O1899" s="19" t="s">
        <v>138</v>
      </c>
      <c r="Q1899" s="20">
        <v>24</v>
      </c>
      <c r="R1899" s="65" t="s">
        <v>2010</v>
      </c>
      <c r="T1899" s="19" t="s">
        <v>307</v>
      </c>
      <c r="V1899" s="19" t="s">
        <v>178</v>
      </c>
      <c r="Z1899" s="44" t="s">
        <v>2449</v>
      </c>
      <c r="AA1899" s="44" t="s">
        <v>180</v>
      </c>
      <c r="AC1899" s="19" t="s">
        <v>2575</v>
      </c>
    </row>
    <row r="1900" spans="1:29" x14ac:dyDescent="0.25">
      <c r="A1900" s="26">
        <v>139</v>
      </c>
      <c r="B1900" s="19" t="s">
        <v>2591</v>
      </c>
      <c r="C1900" s="44" t="s">
        <v>273</v>
      </c>
      <c r="D1900" s="19" t="s">
        <v>1493</v>
      </c>
      <c r="E1900" s="19">
        <v>12</v>
      </c>
      <c r="F1900" s="19">
        <v>238</v>
      </c>
      <c r="G1900" s="19">
        <v>1280</v>
      </c>
      <c r="H1900" s="19">
        <v>1</v>
      </c>
      <c r="I1900" s="80">
        <v>28.7</v>
      </c>
      <c r="J1900" s="80">
        <v>28.7</v>
      </c>
      <c r="K1900" s="19" t="s">
        <v>184</v>
      </c>
      <c r="L1900" s="19" t="s">
        <v>2574</v>
      </c>
      <c r="O1900" s="19" t="s">
        <v>138</v>
      </c>
      <c r="Q1900" s="20">
        <v>24</v>
      </c>
      <c r="R1900" s="65" t="s">
        <v>2010</v>
      </c>
      <c r="T1900" s="19" t="s">
        <v>307</v>
      </c>
      <c r="V1900" s="19" t="s">
        <v>178</v>
      </c>
      <c r="Z1900" s="44" t="s">
        <v>2449</v>
      </c>
      <c r="AA1900" s="44" t="s">
        <v>180</v>
      </c>
      <c r="AC1900" s="19" t="s">
        <v>2575</v>
      </c>
    </row>
    <row r="1901" spans="1:29" x14ac:dyDescent="0.25">
      <c r="A1901" s="26">
        <v>140</v>
      </c>
      <c r="B1901" s="19" t="s">
        <v>2592</v>
      </c>
      <c r="C1901" s="44" t="s">
        <v>273</v>
      </c>
      <c r="D1901" s="19" t="s">
        <v>1493</v>
      </c>
      <c r="E1901" s="19">
        <v>12</v>
      </c>
      <c r="F1901" s="19">
        <v>238</v>
      </c>
      <c r="G1901" s="19">
        <v>1280</v>
      </c>
      <c r="H1901" s="19">
        <v>1</v>
      </c>
      <c r="I1901" s="80">
        <v>28.7</v>
      </c>
      <c r="J1901" s="80">
        <v>28.7</v>
      </c>
      <c r="K1901" s="19" t="s">
        <v>184</v>
      </c>
      <c r="L1901" s="19" t="s">
        <v>2574</v>
      </c>
      <c r="O1901" s="19" t="s">
        <v>138</v>
      </c>
      <c r="Q1901" s="20">
        <v>24</v>
      </c>
      <c r="R1901" s="65" t="s">
        <v>2010</v>
      </c>
      <c r="T1901" s="19" t="s">
        <v>307</v>
      </c>
      <c r="V1901" s="19" t="s">
        <v>178</v>
      </c>
      <c r="Z1901" s="44" t="s">
        <v>2449</v>
      </c>
      <c r="AA1901" s="44" t="s">
        <v>180</v>
      </c>
      <c r="AC1901" s="19" t="s">
        <v>2575</v>
      </c>
    </row>
    <row r="1902" spans="1:29" x14ac:dyDescent="0.25">
      <c r="A1902" s="26">
        <v>141</v>
      </c>
      <c r="B1902" s="19" t="s">
        <v>2593</v>
      </c>
      <c r="C1902" s="44" t="s">
        <v>273</v>
      </c>
      <c r="D1902" s="19" t="s">
        <v>1493</v>
      </c>
      <c r="E1902" s="19">
        <v>12</v>
      </c>
      <c r="F1902" s="19">
        <v>238</v>
      </c>
      <c r="G1902" s="19">
        <v>1280</v>
      </c>
      <c r="H1902" s="19">
        <v>1</v>
      </c>
      <c r="I1902" s="80">
        <v>28.7</v>
      </c>
      <c r="J1902" s="80">
        <v>28.7</v>
      </c>
      <c r="K1902" s="19" t="s">
        <v>184</v>
      </c>
      <c r="L1902" s="19" t="s">
        <v>2574</v>
      </c>
      <c r="O1902" s="19" t="s">
        <v>138</v>
      </c>
      <c r="Q1902" s="20">
        <v>24</v>
      </c>
      <c r="R1902" s="65" t="s">
        <v>2010</v>
      </c>
      <c r="T1902" s="19" t="s">
        <v>307</v>
      </c>
      <c r="V1902" s="19" t="s">
        <v>178</v>
      </c>
      <c r="Z1902" s="44" t="s">
        <v>2449</v>
      </c>
      <c r="AA1902" s="44" t="s">
        <v>180</v>
      </c>
      <c r="AC1902" s="19" t="s">
        <v>2575</v>
      </c>
    </row>
    <row r="1903" spans="1:29" x14ac:dyDescent="0.25">
      <c r="A1903" s="26">
        <v>142</v>
      </c>
      <c r="B1903" s="19" t="s">
        <v>2594</v>
      </c>
      <c r="C1903" s="44" t="s">
        <v>273</v>
      </c>
      <c r="D1903" s="19" t="s">
        <v>1493</v>
      </c>
      <c r="E1903" s="19">
        <v>12</v>
      </c>
      <c r="F1903" s="19">
        <v>238</v>
      </c>
      <c r="G1903" s="19">
        <v>1280</v>
      </c>
      <c r="H1903" s="19">
        <v>1</v>
      </c>
      <c r="I1903" s="80">
        <v>28.7</v>
      </c>
      <c r="J1903" s="80">
        <v>28.7</v>
      </c>
      <c r="K1903" s="19" t="s">
        <v>184</v>
      </c>
      <c r="L1903" s="19" t="s">
        <v>2574</v>
      </c>
      <c r="O1903" s="19" t="s">
        <v>138</v>
      </c>
      <c r="Q1903" s="20">
        <v>24</v>
      </c>
      <c r="R1903" s="65" t="s">
        <v>2010</v>
      </c>
      <c r="T1903" s="19" t="s">
        <v>307</v>
      </c>
      <c r="V1903" s="19" t="s">
        <v>178</v>
      </c>
      <c r="Z1903" s="44" t="s">
        <v>2449</v>
      </c>
      <c r="AA1903" s="44" t="s">
        <v>180</v>
      </c>
      <c r="AC1903" s="19" t="s">
        <v>2575</v>
      </c>
    </row>
    <row r="1904" spans="1:29" x14ac:dyDescent="0.25">
      <c r="A1904" s="26">
        <v>143</v>
      </c>
      <c r="B1904" s="19" t="s">
        <v>2595</v>
      </c>
      <c r="C1904" s="44" t="s">
        <v>273</v>
      </c>
      <c r="D1904" s="19" t="s">
        <v>1493</v>
      </c>
      <c r="E1904" s="19">
        <v>12</v>
      </c>
      <c r="F1904" s="19">
        <v>238</v>
      </c>
      <c r="G1904" s="19">
        <v>1280</v>
      </c>
      <c r="H1904" s="19">
        <v>1</v>
      </c>
      <c r="I1904" s="80">
        <v>28.7</v>
      </c>
      <c r="J1904" s="80">
        <v>28.7</v>
      </c>
      <c r="K1904" s="19" t="s">
        <v>184</v>
      </c>
      <c r="L1904" s="19" t="s">
        <v>2574</v>
      </c>
      <c r="O1904" s="19" t="s">
        <v>138</v>
      </c>
      <c r="Q1904" s="20">
        <v>24</v>
      </c>
      <c r="R1904" s="65" t="s">
        <v>2010</v>
      </c>
      <c r="T1904" s="19" t="s">
        <v>307</v>
      </c>
      <c r="V1904" s="19" t="s">
        <v>178</v>
      </c>
      <c r="Z1904" s="44" t="s">
        <v>2449</v>
      </c>
      <c r="AA1904" s="44" t="s">
        <v>180</v>
      </c>
      <c r="AC1904" s="19" t="s">
        <v>2575</v>
      </c>
    </row>
    <row r="1905" spans="1:29" x14ac:dyDescent="0.25">
      <c r="A1905" s="26">
        <v>144</v>
      </c>
      <c r="B1905" s="19" t="s">
        <v>2452</v>
      </c>
      <c r="C1905" s="44" t="s">
        <v>273</v>
      </c>
      <c r="D1905" s="19" t="s">
        <v>839</v>
      </c>
      <c r="E1905" s="19">
        <v>12</v>
      </c>
      <c r="F1905" s="19">
        <v>120</v>
      </c>
      <c r="G1905" s="19">
        <v>129</v>
      </c>
      <c r="H1905" s="19">
        <v>23</v>
      </c>
      <c r="I1905" s="80">
        <v>1.32</v>
      </c>
      <c r="J1905" s="80">
        <v>30.45</v>
      </c>
      <c r="K1905" s="19" t="s">
        <v>184</v>
      </c>
      <c r="L1905" s="19" t="s">
        <v>2596</v>
      </c>
      <c r="Q1905" s="20">
        <v>24</v>
      </c>
      <c r="R1905" s="65" t="s">
        <v>2010</v>
      </c>
      <c r="T1905" s="19" t="s">
        <v>307</v>
      </c>
      <c r="V1905" s="19" t="s">
        <v>178</v>
      </c>
      <c r="W1905" s="19" t="s">
        <v>138</v>
      </c>
      <c r="Z1905" s="44" t="s">
        <v>2449</v>
      </c>
      <c r="AA1905" s="44" t="s">
        <v>180</v>
      </c>
      <c r="AC1905" s="19" t="s">
        <v>2597</v>
      </c>
    </row>
    <row r="1906" spans="1:29" x14ac:dyDescent="0.25">
      <c r="A1906" s="26">
        <v>145</v>
      </c>
      <c r="B1906" s="19" t="s">
        <v>2598</v>
      </c>
      <c r="C1906" s="44" t="s">
        <v>273</v>
      </c>
      <c r="D1906" s="19" t="s">
        <v>812</v>
      </c>
      <c r="E1906" s="19">
        <v>12</v>
      </c>
      <c r="F1906" s="19">
        <v>490</v>
      </c>
      <c r="G1906" s="19">
        <v>6464</v>
      </c>
      <c r="H1906" s="19">
        <v>1</v>
      </c>
      <c r="I1906" s="80">
        <v>298.26</v>
      </c>
      <c r="J1906" s="80">
        <v>298.26</v>
      </c>
      <c r="K1906" s="19" t="s">
        <v>184</v>
      </c>
      <c r="L1906" s="19" t="s">
        <v>2596</v>
      </c>
      <c r="Q1906" s="20">
        <v>24</v>
      </c>
      <c r="R1906" s="65" t="s">
        <v>2010</v>
      </c>
      <c r="T1906" s="19" t="s">
        <v>307</v>
      </c>
      <c r="V1906" s="19" t="s">
        <v>178</v>
      </c>
      <c r="Y1906" s="19" t="s">
        <v>138</v>
      </c>
      <c r="Z1906" s="44" t="s">
        <v>2449</v>
      </c>
      <c r="AA1906" s="44" t="s">
        <v>180</v>
      </c>
      <c r="AC1906" s="19" t="s">
        <v>2597</v>
      </c>
    </row>
    <row r="1907" spans="1:29" x14ac:dyDescent="0.25">
      <c r="A1907" s="26">
        <v>146</v>
      </c>
      <c r="B1907" s="19" t="s">
        <v>2599</v>
      </c>
      <c r="C1907" s="44" t="s">
        <v>273</v>
      </c>
      <c r="D1907" s="19" t="s">
        <v>839</v>
      </c>
      <c r="E1907" s="19">
        <v>12</v>
      </c>
      <c r="F1907" s="19">
        <v>120</v>
      </c>
      <c r="G1907" s="19">
        <v>129</v>
      </c>
      <c r="H1907" s="19">
        <v>24</v>
      </c>
      <c r="I1907" s="80">
        <v>1.32</v>
      </c>
      <c r="J1907" s="80">
        <v>31.78</v>
      </c>
      <c r="K1907" s="19" t="s">
        <v>184</v>
      </c>
      <c r="L1907" s="19" t="s">
        <v>2596</v>
      </c>
      <c r="Q1907" s="20">
        <v>24</v>
      </c>
      <c r="R1907" s="65" t="s">
        <v>2010</v>
      </c>
      <c r="T1907" s="19" t="s">
        <v>307</v>
      </c>
      <c r="V1907" s="19" t="s">
        <v>178</v>
      </c>
      <c r="W1907" s="19" t="s">
        <v>138</v>
      </c>
      <c r="Z1907" s="44" t="s">
        <v>2449</v>
      </c>
      <c r="AA1907" s="44" t="s">
        <v>180</v>
      </c>
      <c r="AC1907" s="19" t="s">
        <v>2597</v>
      </c>
    </row>
    <row r="1908" spans="1:29" x14ac:dyDescent="0.25">
      <c r="A1908" s="26">
        <v>147</v>
      </c>
      <c r="B1908" s="19" t="s">
        <v>2600</v>
      </c>
      <c r="C1908" s="44" t="s">
        <v>273</v>
      </c>
      <c r="D1908" s="19" t="s">
        <v>839</v>
      </c>
      <c r="E1908" s="19">
        <v>12</v>
      </c>
      <c r="F1908" s="19">
        <v>120</v>
      </c>
      <c r="G1908" s="19">
        <v>129</v>
      </c>
      <c r="H1908" s="19">
        <v>24</v>
      </c>
      <c r="I1908" s="80">
        <v>1.32</v>
      </c>
      <c r="J1908" s="80">
        <v>31.78</v>
      </c>
      <c r="K1908" s="19" t="s">
        <v>184</v>
      </c>
      <c r="L1908" s="19" t="s">
        <v>2596</v>
      </c>
      <c r="Q1908" s="20">
        <v>24</v>
      </c>
      <c r="R1908" s="65" t="s">
        <v>2010</v>
      </c>
      <c r="T1908" s="19" t="s">
        <v>307</v>
      </c>
      <c r="V1908" s="19" t="s">
        <v>178</v>
      </c>
      <c r="W1908" s="19" t="s">
        <v>138</v>
      </c>
      <c r="Z1908" s="44" t="s">
        <v>2449</v>
      </c>
      <c r="AA1908" s="44" t="s">
        <v>180</v>
      </c>
      <c r="AC1908" s="19" t="s">
        <v>2597</v>
      </c>
    </row>
    <row r="1909" spans="1:29" x14ac:dyDescent="0.25">
      <c r="A1909" s="26">
        <v>148</v>
      </c>
      <c r="B1909" s="19" t="s">
        <v>2601</v>
      </c>
      <c r="C1909" s="44" t="s">
        <v>273</v>
      </c>
      <c r="D1909" s="19" t="s">
        <v>839</v>
      </c>
      <c r="E1909" s="19">
        <v>12</v>
      </c>
      <c r="F1909" s="19">
        <v>120</v>
      </c>
      <c r="G1909" s="19">
        <v>129</v>
      </c>
      <c r="H1909" s="19">
        <v>24</v>
      </c>
      <c r="I1909" s="80">
        <v>1.32</v>
      </c>
      <c r="J1909" s="80">
        <v>31.78</v>
      </c>
      <c r="K1909" s="19" t="s">
        <v>184</v>
      </c>
      <c r="L1909" s="19" t="s">
        <v>2596</v>
      </c>
      <c r="Q1909" s="20">
        <v>24</v>
      </c>
      <c r="R1909" s="65" t="s">
        <v>2010</v>
      </c>
      <c r="T1909" s="19" t="s">
        <v>307</v>
      </c>
      <c r="V1909" s="19" t="s">
        <v>178</v>
      </c>
      <c r="W1909" s="19" t="s">
        <v>138</v>
      </c>
      <c r="Z1909" s="44" t="s">
        <v>2449</v>
      </c>
      <c r="AA1909" s="44" t="s">
        <v>180</v>
      </c>
      <c r="AC1909" s="19" t="s">
        <v>2597</v>
      </c>
    </row>
    <row r="1910" spans="1:29" x14ac:dyDescent="0.25">
      <c r="A1910" s="26">
        <v>149</v>
      </c>
      <c r="B1910" s="19" t="s">
        <v>2577</v>
      </c>
      <c r="C1910" s="44" t="s">
        <v>273</v>
      </c>
      <c r="D1910" s="19" t="s">
        <v>803</v>
      </c>
      <c r="E1910" s="19">
        <v>12</v>
      </c>
      <c r="F1910" s="19">
        <v>135</v>
      </c>
      <c r="G1910" s="19">
        <v>488</v>
      </c>
      <c r="H1910" s="19">
        <v>3</v>
      </c>
      <c r="I1910" s="80">
        <v>6.19</v>
      </c>
      <c r="J1910" s="80">
        <v>18.57</v>
      </c>
      <c r="K1910" s="19" t="s">
        <v>184</v>
      </c>
      <c r="L1910" s="19" t="s">
        <v>2596</v>
      </c>
      <c r="Q1910" s="20">
        <v>24</v>
      </c>
      <c r="R1910" s="65" t="s">
        <v>2010</v>
      </c>
      <c r="T1910" s="19" t="s">
        <v>307</v>
      </c>
      <c r="V1910" s="19" t="s">
        <v>178</v>
      </c>
      <c r="W1910" s="19" t="s">
        <v>138</v>
      </c>
      <c r="Z1910" s="44" t="s">
        <v>2449</v>
      </c>
      <c r="AA1910" s="44" t="s">
        <v>180</v>
      </c>
      <c r="AC1910" s="19" t="s">
        <v>2597</v>
      </c>
    </row>
    <row r="1911" spans="1:29" x14ac:dyDescent="0.25">
      <c r="A1911" s="26">
        <v>150</v>
      </c>
      <c r="B1911" s="19" t="s">
        <v>2602</v>
      </c>
      <c r="C1911" s="44" t="s">
        <v>273</v>
      </c>
      <c r="D1911" s="19" t="s">
        <v>839</v>
      </c>
      <c r="E1911" s="19">
        <v>12</v>
      </c>
      <c r="F1911" s="19">
        <v>120</v>
      </c>
      <c r="G1911" s="19">
        <v>129</v>
      </c>
      <c r="H1911" s="19">
        <v>7</v>
      </c>
      <c r="I1911" s="80">
        <v>1.32</v>
      </c>
      <c r="J1911" s="80">
        <v>9.27</v>
      </c>
      <c r="K1911" s="19" t="s">
        <v>184</v>
      </c>
      <c r="L1911" s="19" t="s">
        <v>2596</v>
      </c>
      <c r="Q1911" s="20">
        <v>24</v>
      </c>
      <c r="R1911" s="65" t="s">
        <v>2010</v>
      </c>
      <c r="T1911" s="19" t="s">
        <v>307</v>
      </c>
      <c r="V1911" s="19" t="s">
        <v>178</v>
      </c>
      <c r="W1911" s="19" t="s">
        <v>138</v>
      </c>
      <c r="Z1911" s="44" t="s">
        <v>2449</v>
      </c>
      <c r="AA1911" s="44" t="s">
        <v>180</v>
      </c>
      <c r="AC1911" s="19" t="s">
        <v>2597</v>
      </c>
    </row>
    <row r="1912" spans="1:29" x14ac:dyDescent="0.25">
      <c r="A1912" s="26">
        <v>151</v>
      </c>
      <c r="B1912" s="19" t="s">
        <v>2603</v>
      </c>
      <c r="C1912" s="44" t="s">
        <v>273</v>
      </c>
      <c r="D1912" s="19" t="s">
        <v>803</v>
      </c>
      <c r="E1912" s="19">
        <v>12</v>
      </c>
      <c r="F1912" s="19">
        <v>135</v>
      </c>
      <c r="G1912" s="19">
        <v>488</v>
      </c>
      <c r="H1912" s="19">
        <v>8</v>
      </c>
      <c r="I1912" s="80">
        <v>6.19</v>
      </c>
      <c r="J1912" s="80">
        <v>49.52</v>
      </c>
      <c r="K1912" s="19" t="s">
        <v>184</v>
      </c>
      <c r="L1912" s="19" t="s">
        <v>2596</v>
      </c>
      <c r="Q1912" s="20">
        <v>24</v>
      </c>
      <c r="R1912" s="65" t="s">
        <v>2010</v>
      </c>
      <c r="T1912" s="19" t="s">
        <v>307</v>
      </c>
      <c r="V1912" s="19" t="s">
        <v>178</v>
      </c>
      <c r="W1912" s="19" t="s">
        <v>138</v>
      </c>
      <c r="Z1912" s="44" t="s">
        <v>2449</v>
      </c>
      <c r="AA1912" s="44" t="s">
        <v>180</v>
      </c>
      <c r="AC1912" s="19" t="s">
        <v>2597</v>
      </c>
    </row>
    <row r="1913" spans="1:29" x14ac:dyDescent="0.25">
      <c r="A1913" s="26">
        <v>152</v>
      </c>
      <c r="B1913" s="19" t="s">
        <v>2604</v>
      </c>
      <c r="C1913" s="44" t="s">
        <v>273</v>
      </c>
      <c r="D1913" s="19" t="s">
        <v>874</v>
      </c>
      <c r="E1913" s="19">
        <v>12</v>
      </c>
      <c r="F1913" s="19">
        <v>100</v>
      </c>
      <c r="G1913" s="19">
        <v>150</v>
      </c>
      <c r="H1913" s="19">
        <v>1</v>
      </c>
      <c r="I1913" s="80">
        <v>1.41</v>
      </c>
      <c r="J1913" s="80">
        <v>1.41</v>
      </c>
      <c r="K1913" s="19" t="s">
        <v>184</v>
      </c>
      <c r="L1913" s="19" t="s">
        <v>2596</v>
      </c>
      <c r="Q1913" s="20">
        <v>24</v>
      </c>
      <c r="R1913" s="65" t="s">
        <v>2010</v>
      </c>
      <c r="T1913" s="19" t="s">
        <v>307</v>
      </c>
      <c r="V1913" s="19" t="s">
        <v>178</v>
      </c>
      <c r="W1913" s="19" t="s">
        <v>138</v>
      </c>
      <c r="Z1913" s="44" t="s">
        <v>2449</v>
      </c>
      <c r="AA1913" s="44" t="s">
        <v>180</v>
      </c>
      <c r="AC1913" s="19" t="s">
        <v>2597</v>
      </c>
    </row>
    <row r="1914" spans="1:29" x14ac:dyDescent="0.25">
      <c r="A1914" s="26">
        <v>153</v>
      </c>
      <c r="B1914" s="19" t="s">
        <v>2546</v>
      </c>
      <c r="C1914" s="44" t="s">
        <v>273</v>
      </c>
      <c r="D1914" s="19" t="s">
        <v>914</v>
      </c>
      <c r="E1914" s="19">
        <v>12</v>
      </c>
      <c r="F1914" s="19">
        <v>95</v>
      </c>
      <c r="G1914" s="19">
        <v>263</v>
      </c>
      <c r="H1914" s="19">
        <v>2</v>
      </c>
      <c r="I1914" s="80">
        <v>2.34</v>
      </c>
      <c r="J1914" s="80">
        <v>4.68</v>
      </c>
      <c r="K1914" s="19" t="s">
        <v>184</v>
      </c>
      <c r="L1914" s="19" t="s">
        <v>2596</v>
      </c>
      <c r="Q1914" s="20">
        <v>24</v>
      </c>
      <c r="R1914" s="65" t="s">
        <v>2010</v>
      </c>
      <c r="T1914" s="19" t="s">
        <v>307</v>
      </c>
      <c r="V1914" s="19" t="s">
        <v>178</v>
      </c>
      <c r="W1914" s="19" t="s">
        <v>138</v>
      </c>
      <c r="Z1914" s="44" t="s">
        <v>2449</v>
      </c>
      <c r="AA1914" s="44" t="s">
        <v>180</v>
      </c>
      <c r="AC1914" s="19" t="s">
        <v>2597</v>
      </c>
    </row>
    <row r="1915" spans="1:29" x14ac:dyDescent="0.25">
      <c r="A1915" s="26">
        <v>154</v>
      </c>
      <c r="B1915" s="19" t="s">
        <v>2605</v>
      </c>
      <c r="C1915" s="44" t="s">
        <v>273</v>
      </c>
      <c r="D1915" s="19" t="s">
        <v>835</v>
      </c>
      <c r="E1915" s="19">
        <v>12</v>
      </c>
      <c r="F1915" s="19">
        <v>1460</v>
      </c>
      <c r="G1915" s="19">
        <v>9068</v>
      </c>
      <c r="H1915" s="19">
        <v>1</v>
      </c>
      <c r="I1915" s="80">
        <v>1240.54</v>
      </c>
      <c r="J1915" s="80">
        <v>1240.54</v>
      </c>
      <c r="K1915" s="19" t="s">
        <v>184</v>
      </c>
      <c r="L1915" s="19" t="s">
        <v>2596</v>
      </c>
      <c r="Q1915" s="20">
        <v>24</v>
      </c>
      <c r="R1915" s="65" t="s">
        <v>2010</v>
      </c>
      <c r="T1915" s="19" t="s">
        <v>307</v>
      </c>
      <c r="V1915" s="19" t="s">
        <v>178</v>
      </c>
      <c r="Y1915" s="19" t="s">
        <v>138</v>
      </c>
      <c r="Z1915" s="44" t="s">
        <v>2449</v>
      </c>
      <c r="AA1915" s="44" t="s">
        <v>180</v>
      </c>
      <c r="AC1915" s="19" t="s">
        <v>2597</v>
      </c>
    </row>
    <row r="1916" spans="1:29" x14ac:dyDescent="0.25">
      <c r="A1916" s="26">
        <v>155</v>
      </c>
      <c r="B1916" s="19" t="s">
        <v>2606</v>
      </c>
      <c r="C1916" s="44" t="s">
        <v>273</v>
      </c>
      <c r="D1916" s="19" t="s">
        <v>874</v>
      </c>
      <c r="E1916" s="19">
        <v>12</v>
      </c>
      <c r="F1916" s="19">
        <v>100</v>
      </c>
      <c r="G1916" s="19">
        <v>150</v>
      </c>
      <c r="H1916" s="19">
        <v>6</v>
      </c>
      <c r="I1916" s="80">
        <v>1.41</v>
      </c>
      <c r="J1916" s="80">
        <v>8.48</v>
      </c>
      <c r="K1916" s="19" t="s">
        <v>184</v>
      </c>
      <c r="L1916" s="19" t="s">
        <v>2596</v>
      </c>
      <c r="Q1916" s="20">
        <v>24</v>
      </c>
      <c r="R1916" s="65" t="s">
        <v>2010</v>
      </c>
      <c r="T1916" s="19" t="s">
        <v>307</v>
      </c>
      <c r="V1916" s="19" t="s">
        <v>178</v>
      </c>
      <c r="W1916" s="19" t="s">
        <v>138</v>
      </c>
      <c r="Z1916" s="44" t="s">
        <v>2449</v>
      </c>
      <c r="AA1916" s="44" t="s">
        <v>180</v>
      </c>
      <c r="AC1916" s="19" t="s">
        <v>2597</v>
      </c>
    </row>
    <row r="1917" spans="1:29" x14ac:dyDescent="0.25">
      <c r="A1917" s="26">
        <v>156</v>
      </c>
      <c r="B1917" s="19" t="s">
        <v>2607</v>
      </c>
      <c r="C1917" s="44" t="s">
        <v>273</v>
      </c>
      <c r="D1917" s="19" t="s">
        <v>874</v>
      </c>
      <c r="E1917" s="19">
        <v>12</v>
      </c>
      <c r="F1917" s="19">
        <v>100</v>
      </c>
      <c r="G1917" s="19">
        <v>150</v>
      </c>
      <c r="H1917" s="19">
        <v>4</v>
      </c>
      <c r="I1917" s="80">
        <v>1.41</v>
      </c>
      <c r="J1917" s="80">
        <v>5.65</v>
      </c>
      <c r="K1917" s="19" t="s">
        <v>184</v>
      </c>
      <c r="L1917" s="19" t="s">
        <v>2596</v>
      </c>
      <c r="Q1917" s="20">
        <v>24</v>
      </c>
      <c r="R1917" s="65" t="s">
        <v>2010</v>
      </c>
      <c r="T1917" s="19" t="s">
        <v>307</v>
      </c>
      <c r="V1917" s="19" t="s">
        <v>178</v>
      </c>
      <c r="W1917" s="19" t="s">
        <v>138</v>
      </c>
      <c r="Z1917" s="44" t="s">
        <v>2449</v>
      </c>
      <c r="AA1917" s="44" t="s">
        <v>180</v>
      </c>
      <c r="AC1917" s="19" t="s">
        <v>2597</v>
      </c>
    </row>
    <row r="1918" spans="1:29" x14ac:dyDescent="0.25">
      <c r="A1918" s="26">
        <v>157</v>
      </c>
      <c r="B1918" s="19" t="s">
        <v>2608</v>
      </c>
      <c r="C1918" s="44" t="s">
        <v>273</v>
      </c>
      <c r="D1918" s="19" t="s">
        <v>874</v>
      </c>
      <c r="E1918" s="19">
        <v>12</v>
      </c>
      <c r="F1918" s="19">
        <v>100</v>
      </c>
      <c r="G1918" s="19">
        <v>150</v>
      </c>
      <c r="H1918" s="19">
        <v>1</v>
      </c>
      <c r="I1918" s="80">
        <v>1.41</v>
      </c>
      <c r="J1918" s="80">
        <v>1.41</v>
      </c>
      <c r="K1918" s="19" t="s">
        <v>184</v>
      </c>
      <c r="L1918" s="19" t="s">
        <v>2596</v>
      </c>
      <c r="Q1918" s="20">
        <v>24</v>
      </c>
      <c r="R1918" s="65" t="s">
        <v>2010</v>
      </c>
      <c r="T1918" s="19" t="s">
        <v>307</v>
      </c>
      <c r="V1918" s="19" t="s">
        <v>178</v>
      </c>
      <c r="W1918" s="19" t="s">
        <v>138</v>
      </c>
      <c r="Z1918" s="44" t="s">
        <v>2449</v>
      </c>
      <c r="AA1918" s="44" t="s">
        <v>180</v>
      </c>
      <c r="AC1918" s="19" t="s">
        <v>2597</v>
      </c>
    </row>
    <row r="1919" spans="1:29" x14ac:dyDescent="0.25">
      <c r="A1919" s="26">
        <v>158</v>
      </c>
      <c r="B1919" s="19" t="s">
        <v>2609</v>
      </c>
      <c r="C1919" s="44" t="s">
        <v>273</v>
      </c>
      <c r="D1919" s="19" t="s">
        <v>869</v>
      </c>
      <c r="E1919" s="19">
        <v>12</v>
      </c>
      <c r="F1919" s="19">
        <v>490</v>
      </c>
      <c r="G1919" s="19">
        <v>1514</v>
      </c>
      <c r="H1919" s="19">
        <v>1</v>
      </c>
      <c r="I1919" s="80">
        <v>69.78</v>
      </c>
      <c r="J1919" s="80">
        <v>69.78</v>
      </c>
      <c r="K1919" s="19" t="s">
        <v>184</v>
      </c>
      <c r="L1919" s="19" t="s">
        <v>2596</v>
      </c>
      <c r="Q1919" s="20">
        <v>24</v>
      </c>
      <c r="R1919" s="65" t="s">
        <v>2010</v>
      </c>
      <c r="T1919" s="19" t="s">
        <v>307</v>
      </c>
      <c r="V1919" s="19" t="s">
        <v>178</v>
      </c>
      <c r="Y1919" s="19" t="s">
        <v>138</v>
      </c>
      <c r="Z1919" s="44" t="s">
        <v>2449</v>
      </c>
      <c r="AA1919" s="44" t="s">
        <v>180</v>
      </c>
      <c r="AC1919" s="19" t="s">
        <v>2597</v>
      </c>
    </row>
    <row r="1920" spans="1:29" x14ac:dyDescent="0.25">
      <c r="A1920" s="26">
        <v>159</v>
      </c>
      <c r="B1920" s="19" t="s">
        <v>2610</v>
      </c>
      <c r="C1920" s="44" t="s">
        <v>273</v>
      </c>
      <c r="D1920" s="19" t="s">
        <v>914</v>
      </c>
      <c r="E1920" s="19">
        <v>12</v>
      </c>
      <c r="F1920" s="19">
        <v>95</v>
      </c>
      <c r="G1920" s="19">
        <v>263</v>
      </c>
      <c r="H1920" s="19">
        <v>2</v>
      </c>
      <c r="I1920" s="80">
        <v>2.34</v>
      </c>
      <c r="J1920" s="80">
        <v>4.68</v>
      </c>
      <c r="K1920" s="19" t="s">
        <v>184</v>
      </c>
      <c r="L1920" s="19" t="s">
        <v>2596</v>
      </c>
      <c r="Q1920" s="20">
        <v>24</v>
      </c>
      <c r="R1920" s="65" t="s">
        <v>2010</v>
      </c>
      <c r="T1920" s="19" t="s">
        <v>307</v>
      </c>
      <c r="V1920" s="19" t="s">
        <v>178</v>
      </c>
      <c r="W1920" s="19" t="s">
        <v>138</v>
      </c>
      <c r="Z1920" s="44" t="s">
        <v>2449</v>
      </c>
      <c r="AA1920" s="44" t="s">
        <v>180</v>
      </c>
      <c r="AC1920" s="19" t="s">
        <v>2597</v>
      </c>
    </row>
    <row r="1921" spans="1:29" x14ac:dyDescent="0.25">
      <c r="A1921" s="26">
        <v>160</v>
      </c>
      <c r="B1921" s="19" t="s">
        <v>2611</v>
      </c>
      <c r="C1921" s="44" t="s">
        <v>273</v>
      </c>
      <c r="D1921" s="19" t="s">
        <v>914</v>
      </c>
      <c r="E1921" s="19">
        <v>12</v>
      </c>
      <c r="F1921" s="19">
        <v>95</v>
      </c>
      <c r="G1921" s="19">
        <v>263</v>
      </c>
      <c r="H1921" s="19">
        <v>2</v>
      </c>
      <c r="I1921" s="80">
        <v>2.34</v>
      </c>
      <c r="J1921" s="80">
        <v>4.68</v>
      </c>
      <c r="K1921" s="19" t="s">
        <v>184</v>
      </c>
      <c r="L1921" s="19" t="s">
        <v>2596</v>
      </c>
      <c r="Q1921" s="20">
        <v>24</v>
      </c>
      <c r="R1921" s="65" t="s">
        <v>2010</v>
      </c>
      <c r="T1921" s="19" t="s">
        <v>307</v>
      </c>
      <c r="V1921" s="19" t="s">
        <v>178</v>
      </c>
      <c r="W1921" s="19" t="s">
        <v>138</v>
      </c>
      <c r="Z1921" s="44" t="s">
        <v>2449</v>
      </c>
      <c r="AA1921" s="44" t="s">
        <v>180</v>
      </c>
      <c r="AC1921" s="19" t="s">
        <v>2597</v>
      </c>
    </row>
    <row r="1922" spans="1:29" x14ac:dyDescent="0.25">
      <c r="A1922" s="26">
        <v>161</v>
      </c>
      <c r="B1922" s="19" t="s">
        <v>2612</v>
      </c>
      <c r="C1922" s="44" t="s">
        <v>273</v>
      </c>
      <c r="D1922" s="19" t="s">
        <v>914</v>
      </c>
      <c r="E1922" s="19">
        <v>12</v>
      </c>
      <c r="F1922" s="19">
        <v>95</v>
      </c>
      <c r="G1922" s="19">
        <v>263</v>
      </c>
      <c r="H1922" s="19">
        <v>8</v>
      </c>
      <c r="I1922" s="80">
        <v>2.34</v>
      </c>
      <c r="J1922" s="80">
        <v>18.7</v>
      </c>
      <c r="K1922" s="19" t="s">
        <v>184</v>
      </c>
      <c r="L1922" s="19" t="s">
        <v>2596</v>
      </c>
      <c r="Q1922" s="20">
        <v>24</v>
      </c>
      <c r="R1922" s="65" t="s">
        <v>2010</v>
      </c>
      <c r="T1922" s="19" t="s">
        <v>307</v>
      </c>
      <c r="V1922" s="19" t="s">
        <v>178</v>
      </c>
      <c r="W1922" s="19" t="s">
        <v>138</v>
      </c>
      <c r="Z1922" s="44" t="s">
        <v>2449</v>
      </c>
      <c r="AA1922" s="44" t="s">
        <v>180</v>
      </c>
      <c r="AC1922" s="19" t="s">
        <v>2597</v>
      </c>
    </row>
    <row r="1923" spans="1:29" x14ac:dyDescent="0.25">
      <c r="A1923" s="26">
        <v>162</v>
      </c>
      <c r="B1923" s="19" t="s">
        <v>2613</v>
      </c>
      <c r="C1923" s="44" t="s">
        <v>273</v>
      </c>
      <c r="D1923" s="19" t="s">
        <v>914</v>
      </c>
      <c r="E1923" s="19">
        <v>12</v>
      </c>
      <c r="F1923" s="19">
        <v>95</v>
      </c>
      <c r="G1923" s="19">
        <v>263</v>
      </c>
      <c r="H1923" s="19">
        <v>8</v>
      </c>
      <c r="I1923" s="80">
        <v>2.34</v>
      </c>
      <c r="J1923" s="80">
        <v>18.7</v>
      </c>
      <c r="K1923" s="19" t="s">
        <v>184</v>
      </c>
      <c r="L1923" s="19" t="s">
        <v>2596</v>
      </c>
      <c r="Q1923" s="20">
        <v>24</v>
      </c>
      <c r="R1923" s="65" t="s">
        <v>2010</v>
      </c>
      <c r="T1923" s="19" t="s">
        <v>307</v>
      </c>
      <c r="V1923" s="19" t="s">
        <v>178</v>
      </c>
      <c r="W1923" s="19" t="s">
        <v>138</v>
      </c>
      <c r="Z1923" s="44" t="s">
        <v>2449</v>
      </c>
      <c r="AA1923" s="44" t="s">
        <v>180</v>
      </c>
      <c r="AC1923" s="19" t="s">
        <v>2597</v>
      </c>
    </row>
    <row r="1924" spans="1:29" x14ac:dyDescent="0.25">
      <c r="A1924" s="26">
        <v>163</v>
      </c>
      <c r="B1924" s="19" t="s">
        <v>2614</v>
      </c>
      <c r="C1924" s="44" t="s">
        <v>273</v>
      </c>
      <c r="D1924" s="19" t="s">
        <v>869</v>
      </c>
      <c r="E1924" s="19">
        <v>12</v>
      </c>
      <c r="F1924" s="19">
        <v>490</v>
      </c>
      <c r="G1924" s="19">
        <v>1514</v>
      </c>
      <c r="H1924" s="19">
        <v>1</v>
      </c>
      <c r="I1924" s="80">
        <v>69.78</v>
      </c>
      <c r="J1924" s="80">
        <v>69.78</v>
      </c>
      <c r="K1924" s="19" t="s">
        <v>184</v>
      </c>
      <c r="L1924" s="19" t="s">
        <v>2596</v>
      </c>
      <c r="Q1924" s="20">
        <v>24</v>
      </c>
      <c r="R1924" s="65" t="s">
        <v>2010</v>
      </c>
      <c r="T1924" s="19" t="s">
        <v>307</v>
      </c>
      <c r="V1924" s="19" t="s">
        <v>178</v>
      </c>
      <c r="Y1924" s="19" t="s">
        <v>138</v>
      </c>
      <c r="Z1924" s="44" t="s">
        <v>2449</v>
      </c>
      <c r="AA1924" s="44" t="s">
        <v>180</v>
      </c>
      <c r="AC1924" s="19" t="s">
        <v>2597</v>
      </c>
    </row>
    <row r="1925" spans="1:29" x14ac:dyDescent="0.25">
      <c r="A1925" s="26">
        <v>164</v>
      </c>
      <c r="B1925" s="19" t="s">
        <v>2615</v>
      </c>
      <c r="C1925" s="44" t="s">
        <v>273</v>
      </c>
      <c r="D1925" s="19" t="s">
        <v>869</v>
      </c>
      <c r="E1925" s="19">
        <v>12</v>
      </c>
      <c r="F1925" s="19">
        <v>490</v>
      </c>
      <c r="G1925" s="19">
        <v>1514</v>
      </c>
      <c r="H1925" s="19">
        <v>1</v>
      </c>
      <c r="I1925" s="80">
        <v>69.78</v>
      </c>
      <c r="J1925" s="80">
        <v>69.78</v>
      </c>
      <c r="K1925" s="19" t="s">
        <v>184</v>
      </c>
      <c r="L1925" s="19" t="s">
        <v>2596</v>
      </c>
      <c r="Q1925" s="20">
        <v>24</v>
      </c>
      <c r="R1925" s="65" t="s">
        <v>2010</v>
      </c>
      <c r="T1925" s="19" t="s">
        <v>307</v>
      </c>
      <c r="V1925" s="19" t="s">
        <v>178</v>
      </c>
      <c r="Y1925" s="19" t="s">
        <v>138</v>
      </c>
      <c r="Z1925" s="44" t="s">
        <v>2449</v>
      </c>
      <c r="AA1925" s="44" t="s">
        <v>180</v>
      </c>
      <c r="AC1925" s="19" t="s">
        <v>2597</v>
      </c>
    </row>
    <row r="1926" spans="1:29" x14ac:dyDescent="0.25">
      <c r="A1926" s="26">
        <v>165</v>
      </c>
      <c r="B1926" s="19" t="s">
        <v>2616</v>
      </c>
      <c r="C1926" s="44" t="s">
        <v>273</v>
      </c>
      <c r="D1926" s="19" t="s">
        <v>914</v>
      </c>
      <c r="E1926" s="19">
        <v>12</v>
      </c>
      <c r="F1926" s="19">
        <v>95</v>
      </c>
      <c r="G1926" s="19">
        <v>263</v>
      </c>
      <c r="H1926" s="19">
        <v>8</v>
      </c>
      <c r="I1926" s="80">
        <v>2.34</v>
      </c>
      <c r="J1926" s="80">
        <v>18.7</v>
      </c>
      <c r="K1926" s="19" t="s">
        <v>184</v>
      </c>
      <c r="L1926" s="19" t="s">
        <v>2596</v>
      </c>
      <c r="Q1926" s="20">
        <v>24</v>
      </c>
      <c r="R1926" s="65" t="s">
        <v>2010</v>
      </c>
      <c r="T1926" s="19" t="s">
        <v>307</v>
      </c>
      <c r="V1926" s="19" t="s">
        <v>178</v>
      </c>
      <c r="W1926" s="19" t="s">
        <v>138</v>
      </c>
      <c r="Z1926" s="44" t="s">
        <v>2449</v>
      </c>
      <c r="AA1926" s="44" t="s">
        <v>180</v>
      </c>
      <c r="AC1926" s="19" t="s">
        <v>2597</v>
      </c>
    </row>
    <row r="1927" spans="1:29" x14ac:dyDescent="0.25">
      <c r="A1927" s="26">
        <v>166</v>
      </c>
      <c r="B1927" s="19" t="s">
        <v>2617</v>
      </c>
      <c r="C1927" s="44" t="s">
        <v>273</v>
      </c>
      <c r="D1927" s="19" t="s">
        <v>914</v>
      </c>
      <c r="E1927" s="19">
        <v>12</v>
      </c>
      <c r="F1927" s="19">
        <v>95</v>
      </c>
      <c r="G1927" s="19">
        <v>263</v>
      </c>
      <c r="H1927" s="19">
        <v>3</v>
      </c>
      <c r="I1927" s="80">
        <v>2.34</v>
      </c>
      <c r="J1927" s="80">
        <v>7.01</v>
      </c>
      <c r="K1927" s="19" t="s">
        <v>184</v>
      </c>
      <c r="L1927" s="19" t="s">
        <v>2596</v>
      </c>
      <c r="Q1927" s="20">
        <v>24</v>
      </c>
      <c r="R1927" s="65" t="s">
        <v>2010</v>
      </c>
      <c r="T1927" s="19" t="s">
        <v>307</v>
      </c>
      <c r="V1927" s="19" t="s">
        <v>178</v>
      </c>
      <c r="W1927" s="19" t="s">
        <v>138</v>
      </c>
      <c r="Z1927" s="44" t="s">
        <v>2449</v>
      </c>
      <c r="AA1927" s="44" t="s">
        <v>180</v>
      </c>
      <c r="AC1927" s="19" t="s">
        <v>2597</v>
      </c>
    </row>
    <row r="1928" spans="1:29" x14ac:dyDescent="0.25">
      <c r="A1928" s="26">
        <v>167</v>
      </c>
      <c r="B1928" s="19" t="s">
        <v>2618</v>
      </c>
      <c r="C1928" s="44" t="s">
        <v>273</v>
      </c>
      <c r="D1928" s="19" t="s">
        <v>1493</v>
      </c>
      <c r="E1928" s="19">
        <v>12</v>
      </c>
      <c r="F1928" s="19">
        <v>238</v>
      </c>
      <c r="G1928" s="19">
        <v>1280</v>
      </c>
      <c r="H1928" s="19">
        <v>1</v>
      </c>
      <c r="I1928" s="80">
        <v>28.7</v>
      </c>
      <c r="J1928" s="80">
        <v>28.7</v>
      </c>
      <c r="K1928" s="19" t="s">
        <v>184</v>
      </c>
      <c r="L1928" s="19" t="s">
        <v>2596</v>
      </c>
      <c r="O1928" s="19" t="s">
        <v>138</v>
      </c>
      <c r="Q1928" s="20">
        <v>24</v>
      </c>
      <c r="R1928" s="65" t="s">
        <v>2010</v>
      </c>
      <c r="T1928" s="19" t="s">
        <v>307</v>
      </c>
      <c r="V1928" s="19" t="s">
        <v>178</v>
      </c>
      <c r="Z1928" s="44" t="s">
        <v>2449</v>
      </c>
      <c r="AA1928" s="44" t="s">
        <v>180</v>
      </c>
      <c r="AC1928" s="19" t="s">
        <v>2597</v>
      </c>
    </row>
    <row r="1929" spans="1:29" x14ac:dyDescent="0.25">
      <c r="A1929" s="26">
        <v>168</v>
      </c>
      <c r="B1929" s="19" t="s">
        <v>2619</v>
      </c>
      <c r="C1929" s="44" t="s">
        <v>273</v>
      </c>
      <c r="D1929" s="19" t="s">
        <v>1493</v>
      </c>
      <c r="E1929" s="19">
        <v>12</v>
      </c>
      <c r="F1929" s="19">
        <v>238</v>
      </c>
      <c r="G1929" s="19">
        <v>1280</v>
      </c>
      <c r="H1929" s="19">
        <v>1</v>
      </c>
      <c r="I1929" s="80">
        <v>28.7</v>
      </c>
      <c r="J1929" s="80">
        <v>28.7</v>
      </c>
      <c r="K1929" s="19" t="s">
        <v>184</v>
      </c>
      <c r="L1929" s="19" t="s">
        <v>2596</v>
      </c>
      <c r="O1929" s="19" t="s">
        <v>138</v>
      </c>
      <c r="Q1929" s="20">
        <v>24</v>
      </c>
      <c r="R1929" s="65" t="s">
        <v>2010</v>
      </c>
      <c r="T1929" s="19" t="s">
        <v>307</v>
      </c>
      <c r="V1929" s="19" t="s">
        <v>178</v>
      </c>
      <c r="Z1929" s="44" t="s">
        <v>2449</v>
      </c>
      <c r="AA1929" s="44" t="s">
        <v>180</v>
      </c>
      <c r="AC1929" s="19" t="s">
        <v>2597</v>
      </c>
    </row>
    <row r="1930" spans="1:29" x14ac:dyDescent="0.25">
      <c r="A1930" s="26">
        <v>169</v>
      </c>
      <c r="B1930" s="19" t="s">
        <v>2620</v>
      </c>
      <c r="C1930" s="44" t="s">
        <v>273</v>
      </c>
      <c r="D1930" s="19" t="s">
        <v>1493</v>
      </c>
      <c r="E1930" s="19">
        <v>12</v>
      </c>
      <c r="F1930" s="19">
        <v>238</v>
      </c>
      <c r="G1930" s="19">
        <v>1280</v>
      </c>
      <c r="H1930" s="19">
        <v>1</v>
      </c>
      <c r="I1930" s="80">
        <v>28.7</v>
      </c>
      <c r="J1930" s="80">
        <v>28.7</v>
      </c>
      <c r="K1930" s="19" t="s">
        <v>184</v>
      </c>
      <c r="L1930" s="19" t="s">
        <v>2596</v>
      </c>
      <c r="O1930" s="19" t="s">
        <v>138</v>
      </c>
      <c r="Q1930" s="20">
        <v>24</v>
      </c>
      <c r="R1930" s="65" t="s">
        <v>2010</v>
      </c>
      <c r="T1930" s="19" t="s">
        <v>307</v>
      </c>
      <c r="V1930" s="19" t="s">
        <v>178</v>
      </c>
      <c r="Z1930" s="44" t="s">
        <v>2449</v>
      </c>
      <c r="AA1930" s="44" t="s">
        <v>180</v>
      </c>
      <c r="AC1930" s="19" t="s">
        <v>2597</v>
      </c>
    </row>
    <row r="1931" spans="1:29" x14ac:dyDescent="0.25">
      <c r="A1931" s="26">
        <v>170</v>
      </c>
      <c r="B1931" s="19" t="s">
        <v>2621</v>
      </c>
      <c r="C1931" s="44" t="s">
        <v>273</v>
      </c>
      <c r="D1931" s="19" t="s">
        <v>1493</v>
      </c>
      <c r="E1931" s="19">
        <v>12</v>
      </c>
      <c r="F1931" s="19">
        <v>238</v>
      </c>
      <c r="G1931" s="19">
        <v>1280</v>
      </c>
      <c r="H1931" s="19">
        <v>1</v>
      </c>
      <c r="I1931" s="80">
        <v>28.7</v>
      </c>
      <c r="J1931" s="80">
        <v>28.7</v>
      </c>
      <c r="K1931" s="19" t="s">
        <v>184</v>
      </c>
      <c r="L1931" s="19" t="s">
        <v>2596</v>
      </c>
      <c r="O1931" s="19" t="s">
        <v>138</v>
      </c>
      <c r="Q1931" s="20">
        <v>24</v>
      </c>
      <c r="R1931" s="65" t="s">
        <v>2010</v>
      </c>
      <c r="T1931" s="19" t="s">
        <v>307</v>
      </c>
      <c r="V1931" s="19" t="s">
        <v>178</v>
      </c>
      <c r="Z1931" s="44" t="s">
        <v>2449</v>
      </c>
      <c r="AA1931" s="44" t="s">
        <v>180</v>
      </c>
      <c r="AC1931" s="19" t="s">
        <v>2597</v>
      </c>
    </row>
    <row r="1932" spans="1:29" x14ac:dyDescent="0.25">
      <c r="A1932" s="26">
        <v>171</v>
      </c>
      <c r="B1932" s="19" t="s">
        <v>2622</v>
      </c>
      <c r="C1932" s="44" t="s">
        <v>273</v>
      </c>
      <c r="D1932" s="19" t="s">
        <v>1493</v>
      </c>
      <c r="E1932" s="19">
        <v>12</v>
      </c>
      <c r="F1932" s="19">
        <v>238</v>
      </c>
      <c r="G1932" s="19">
        <v>1280</v>
      </c>
      <c r="H1932" s="19">
        <v>1</v>
      </c>
      <c r="I1932" s="80">
        <v>28.7</v>
      </c>
      <c r="J1932" s="80">
        <v>28.7</v>
      </c>
      <c r="K1932" s="19" t="s">
        <v>184</v>
      </c>
      <c r="L1932" s="19" t="s">
        <v>2596</v>
      </c>
      <c r="O1932" s="19" t="s">
        <v>138</v>
      </c>
      <c r="Q1932" s="20">
        <v>24</v>
      </c>
      <c r="R1932" s="65" t="s">
        <v>2010</v>
      </c>
      <c r="T1932" s="19" t="s">
        <v>307</v>
      </c>
      <c r="V1932" s="19" t="s">
        <v>178</v>
      </c>
      <c r="Z1932" s="44" t="s">
        <v>2449</v>
      </c>
      <c r="AA1932" s="44" t="s">
        <v>180</v>
      </c>
      <c r="AC1932" s="19" t="s">
        <v>2597</v>
      </c>
    </row>
    <row r="1933" spans="1:29" x14ac:dyDescent="0.25">
      <c r="A1933" s="26">
        <v>172</v>
      </c>
      <c r="B1933" s="19" t="s">
        <v>2623</v>
      </c>
      <c r="C1933" s="44" t="s">
        <v>273</v>
      </c>
      <c r="D1933" s="19" t="s">
        <v>1493</v>
      </c>
      <c r="E1933" s="19">
        <v>12</v>
      </c>
      <c r="F1933" s="19">
        <v>238</v>
      </c>
      <c r="G1933" s="19">
        <v>1280</v>
      </c>
      <c r="H1933" s="19">
        <v>1</v>
      </c>
      <c r="I1933" s="80">
        <v>28.7</v>
      </c>
      <c r="J1933" s="80">
        <v>28.7</v>
      </c>
      <c r="K1933" s="19" t="s">
        <v>184</v>
      </c>
      <c r="L1933" s="19" t="s">
        <v>2596</v>
      </c>
      <c r="O1933" s="19" t="s">
        <v>138</v>
      </c>
      <c r="Q1933" s="20">
        <v>24</v>
      </c>
      <c r="R1933" s="65" t="s">
        <v>2010</v>
      </c>
      <c r="T1933" s="19" t="s">
        <v>307</v>
      </c>
      <c r="V1933" s="19" t="s">
        <v>178</v>
      </c>
      <c r="Z1933" s="44" t="s">
        <v>2449</v>
      </c>
      <c r="AA1933" s="44" t="s">
        <v>180</v>
      </c>
      <c r="AC1933" s="19" t="s">
        <v>2597</v>
      </c>
    </row>
    <row r="1934" spans="1:29" x14ac:dyDescent="0.25">
      <c r="A1934" s="26">
        <v>173</v>
      </c>
      <c r="B1934" s="19" t="s">
        <v>2602</v>
      </c>
      <c r="C1934" s="44" t="s">
        <v>273</v>
      </c>
      <c r="D1934" s="19" t="s">
        <v>839</v>
      </c>
      <c r="E1934" s="19">
        <v>12</v>
      </c>
      <c r="F1934" s="19">
        <v>120</v>
      </c>
      <c r="G1934" s="19">
        <v>129</v>
      </c>
      <c r="H1934" s="19">
        <v>12</v>
      </c>
      <c r="I1934" s="80">
        <v>1.32</v>
      </c>
      <c r="J1934" s="80">
        <v>15.89</v>
      </c>
      <c r="K1934" s="19" t="s">
        <v>184</v>
      </c>
      <c r="L1934" s="19" t="s">
        <v>2624</v>
      </c>
      <c r="Q1934" s="20">
        <v>24</v>
      </c>
      <c r="R1934" s="65" t="s">
        <v>2010</v>
      </c>
      <c r="T1934" s="19" t="s">
        <v>307</v>
      </c>
      <c r="V1934" s="19" t="s">
        <v>178</v>
      </c>
      <c r="W1934" s="19" t="s">
        <v>138</v>
      </c>
      <c r="Z1934" s="44" t="s">
        <v>2449</v>
      </c>
      <c r="AA1934" s="44" t="s">
        <v>180</v>
      </c>
      <c r="AC1934" s="19" t="s">
        <v>2625</v>
      </c>
    </row>
    <row r="1935" spans="1:29" x14ac:dyDescent="0.25">
      <c r="A1935" s="26">
        <v>174</v>
      </c>
      <c r="B1935" s="19" t="s">
        <v>2603</v>
      </c>
      <c r="C1935" s="44" t="s">
        <v>273</v>
      </c>
      <c r="D1935" s="19" t="s">
        <v>803</v>
      </c>
      <c r="E1935" s="19">
        <v>12</v>
      </c>
      <c r="F1935" s="19">
        <v>135</v>
      </c>
      <c r="G1935" s="19">
        <v>488</v>
      </c>
      <c r="H1935" s="19">
        <v>4</v>
      </c>
      <c r="I1935" s="80">
        <v>6.19</v>
      </c>
      <c r="J1935" s="80">
        <v>24.76</v>
      </c>
      <c r="K1935" s="19" t="s">
        <v>184</v>
      </c>
      <c r="L1935" s="19" t="s">
        <v>2624</v>
      </c>
      <c r="Q1935" s="20">
        <v>24</v>
      </c>
      <c r="R1935" s="65" t="s">
        <v>2010</v>
      </c>
      <c r="T1935" s="19" t="s">
        <v>307</v>
      </c>
      <c r="V1935" s="19" t="s">
        <v>178</v>
      </c>
      <c r="W1935" s="19" t="s">
        <v>138</v>
      </c>
      <c r="Z1935" s="44" t="s">
        <v>2449</v>
      </c>
      <c r="AA1935" s="44" t="s">
        <v>180</v>
      </c>
      <c r="AC1935" s="19" t="s">
        <v>2625</v>
      </c>
    </row>
    <row r="1936" spans="1:29" x14ac:dyDescent="0.25">
      <c r="A1936" s="26">
        <v>175</v>
      </c>
      <c r="B1936" s="19" t="s">
        <v>2626</v>
      </c>
      <c r="C1936" s="44" t="s">
        <v>273</v>
      </c>
      <c r="D1936" s="19" t="s">
        <v>803</v>
      </c>
      <c r="E1936" s="19">
        <v>12</v>
      </c>
      <c r="F1936" s="19">
        <v>135</v>
      </c>
      <c r="G1936" s="19">
        <v>488</v>
      </c>
      <c r="H1936" s="19">
        <v>12</v>
      </c>
      <c r="I1936" s="80">
        <v>6.19</v>
      </c>
      <c r="J1936" s="80">
        <v>74.28</v>
      </c>
      <c r="K1936" s="19" t="s">
        <v>184</v>
      </c>
      <c r="L1936" s="19" t="s">
        <v>2624</v>
      </c>
      <c r="Q1936" s="20">
        <v>24</v>
      </c>
      <c r="R1936" s="65" t="s">
        <v>2010</v>
      </c>
      <c r="T1936" s="19" t="s">
        <v>307</v>
      </c>
      <c r="V1936" s="19" t="s">
        <v>178</v>
      </c>
      <c r="W1936" s="19" t="s">
        <v>138</v>
      </c>
      <c r="Z1936" s="44" t="s">
        <v>2449</v>
      </c>
      <c r="AA1936" s="44" t="s">
        <v>180</v>
      </c>
      <c r="AC1936" s="19" t="s">
        <v>2625</v>
      </c>
    </row>
    <row r="1937" spans="1:29" x14ac:dyDescent="0.25">
      <c r="A1937" s="26">
        <v>176</v>
      </c>
      <c r="B1937" s="19" t="s">
        <v>2627</v>
      </c>
      <c r="C1937" s="44" t="s">
        <v>273</v>
      </c>
      <c r="D1937" s="19" t="s">
        <v>803</v>
      </c>
      <c r="E1937" s="19">
        <v>12</v>
      </c>
      <c r="F1937" s="19">
        <v>135</v>
      </c>
      <c r="G1937" s="19">
        <v>488</v>
      </c>
      <c r="H1937" s="19">
        <v>12</v>
      </c>
      <c r="I1937" s="80">
        <v>6.19</v>
      </c>
      <c r="J1937" s="80">
        <v>74.28</v>
      </c>
      <c r="K1937" s="19" t="s">
        <v>184</v>
      </c>
      <c r="L1937" s="19" t="s">
        <v>2624</v>
      </c>
      <c r="Q1937" s="20">
        <v>24</v>
      </c>
      <c r="R1937" s="65" t="s">
        <v>2010</v>
      </c>
      <c r="T1937" s="19" t="s">
        <v>307</v>
      </c>
      <c r="V1937" s="19" t="s">
        <v>178</v>
      </c>
      <c r="W1937" s="19" t="s">
        <v>138</v>
      </c>
      <c r="Z1937" s="44" t="s">
        <v>2449</v>
      </c>
      <c r="AA1937" s="44" t="s">
        <v>180</v>
      </c>
      <c r="AC1937" s="19" t="s">
        <v>2625</v>
      </c>
    </row>
    <row r="1938" spans="1:29" x14ac:dyDescent="0.25">
      <c r="A1938" s="26">
        <v>177</v>
      </c>
      <c r="B1938" s="19" t="s">
        <v>2628</v>
      </c>
      <c r="C1938" s="44" t="s">
        <v>273</v>
      </c>
      <c r="D1938" s="19" t="s">
        <v>803</v>
      </c>
      <c r="E1938" s="19">
        <v>12</v>
      </c>
      <c r="F1938" s="19">
        <v>135</v>
      </c>
      <c r="G1938" s="19">
        <v>488</v>
      </c>
      <c r="H1938" s="19">
        <v>12</v>
      </c>
      <c r="I1938" s="80">
        <v>6.19</v>
      </c>
      <c r="J1938" s="80">
        <v>74.28</v>
      </c>
      <c r="K1938" s="19" t="s">
        <v>184</v>
      </c>
      <c r="L1938" s="19" t="s">
        <v>2624</v>
      </c>
      <c r="Q1938" s="20">
        <v>24</v>
      </c>
      <c r="R1938" s="65" t="s">
        <v>2010</v>
      </c>
      <c r="T1938" s="19" t="s">
        <v>307</v>
      </c>
      <c r="V1938" s="19" t="s">
        <v>178</v>
      </c>
      <c r="W1938" s="19" t="s">
        <v>138</v>
      </c>
      <c r="Z1938" s="44" t="s">
        <v>2449</v>
      </c>
      <c r="AA1938" s="44" t="s">
        <v>180</v>
      </c>
      <c r="AC1938" s="19" t="s">
        <v>2625</v>
      </c>
    </row>
    <row r="1939" spans="1:29" x14ac:dyDescent="0.25">
      <c r="A1939" s="26">
        <v>178</v>
      </c>
      <c r="B1939" s="19" t="s">
        <v>2629</v>
      </c>
      <c r="C1939" s="44" t="s">
        <v>273</v>
      </c>
      <c r="D1939" s="19" t="s">
        <v>803</v>
      </c>
      <c r="E1939" s="19">
        <v>12</v>
      </c>
      <c r="F1939" s="19">
        <v>135</v>
      </c>
      <c r="G1939" s="19">
        <v>488</v>
      </c>
      <c r="H1939" s="19">
        <v>2</v>
      </c>
      <c r="I1939" s="80">
        <v>6.19</v>
      </c>
      <c r="J1939" s="80">
        <v>12.38</v>
      </c>
      <c r="K1939" s="19" t="s">
        <v>184</v>
      </c>
      <c r="L1939" s="19" t="s">
        <v>2624</v>
      </c>
      <c r="Q1939" s="20">
        <v>24</v>
      </c>
      <c r="R1939" s="65" t="s">
        <v>2010</v>
      </c>
      <c r="T1939" s="19" t="s">
        <v>307</v>
      </c>
      <c r="V1939" s="19" t="s">
        <v>178</v>
      </c>
      <c r="W1939" s="19" t="s">
        <v>138</v>
      </c>
      <c r="Z1939" s="44" t="s">
        <v>2449</v>
      </c>
      <c r="AA1939" s="44" t="s">
        <v>180</v>
      </c>
      <c r="AC1939" s="19" t="s">
        <v>2625</v>
      </c>
    </row>
    <row r="1940" spans="1:29" x14ac:dyDescent="0.25">
      <c r="A1940" s="26">
        <v>179</v>
      </c>
      <c r="B1940" s="19" t="s">
        <v>2481</v>
      </c>
      <c r="C1940" s="44" t="s">
        <v>273</v>
      </c>
      <c r="D1940" s="19" t="s">
        <v>930</v>
      </c>
      <c r="E1940" s="19">
        <v>12</v>
      </c>
      <c r="F1940" s="19">
        <v>128</v>
      </c>
      <c r="G1940" s="19">
        <v>145</v>
      </c>
      <c r="H1940" s="19">
        <v>1</v>
      </c>
      <c r="I1940" s="80">
        <v>1.67</v>
      </c>
      <c r="J1940" s="80">
        <v>1.67</v>
      </c>
      <c r="K1940" s="19" t="s">
        <v>184</v>
      </c>
      <c r="L1940" s="19" t="s">
        <v>2624</v>
      </c>
      <c r="Q1940" s="20">
        <v>24</v>
      </c>
      <c r="R1940" s="65" t="s">
        <v>2010</v>
      </c>
      <c r="T1940" s="19" t="s">
        <v>307</v>
      </c>
      <c r="V1940" s="19" t="s">
        <v>178</v>
      </c>
      <c r="W1940" s="19" t="s">
        <v>138</v>
      </c>
      <c r="Z1940" s="44" t="s">
        <v>2449</v>
      </c>
      <c r="AA1940" s="44" t="s">
        <v>180</v>
      </c>
      <c r="AC1940" s="19" t="s">
        <v>2625</v>
      </c>
    </row>
    <row r="1941" spans="1:29" x14ac:dyDescent="0.25">
      <c r="A1941" s="26">
        <v>180</v>
      </c>
      <c r="B1941" s="19" t="s">
        <v>2630</v>
      </c>
      <c r="C1941" s="44" t="s">
        <v>273</v>
      </c>
      <c r="D1941" s="19" t="s">
        <v>803</v>
      </c>
      <c r="E1941" s="19">
        <v>12</v>
      </c>
      <c r="F1941" s="19">
        <v>135</v>
      </c>
      <c r="G1941" s="19">
        <v>488</v>
      </c>
      <c r="H1941" s="19">
        <v>18</v>
      </c>
      <c r="I1941" s="80">
        <v>6.19</v>
      </c>
      <c r="J1941" s="80">
        <v>111.42</v>
      </c>
      <c r="K1941" s="19" t="s">
        <v>184</v>
      </c>
      <c r="L1941" s="19" t="s">
        <v>2624</v>
      </c>
      <c r="Q1941" s="20">
        <v>24</v>
      </c>
      <c r="R1941" s="65" t="s">
        <v>2010</v>
      </c>
      <c r="T1941" s="19" t="s">
        <v>307</v>
      </c>
      <c r="V1941" s="19" t="s">
        <v>178</v>
      </c>
      <c r="W1941" s="19" t="s">
        <v>138</v>
      </c>
      <c r="Z1941" s="44" t="s">
        <v>2449</v>
      </c>
      <c r="AA1941" s="44" t="s">
        <v>180</v>
      </c>
      <c r="AC1941" s="19" t="s">
        <v>2625</v>
      </c>
    </row>
    <row r="1942" spans="1:29" x14ac:dyDescent="0.25">
      <c r="A1942" s="26">
        <v>181</v>
      </c>
      <c r="B1942" s="19" t="s">
        <v>2608</v>
      </c>
      <c r="C1942" s="44" t="s">
        <v>273</v>
      </c>
      <c r="D1942" s="19" t="s">
        <v>874</v>
      </c>
      <c r="E1942" s="19">
        <v>12</v>
      </c>
      <c r="F1942" s="19">
        <v>100</v>
      </c>
      <c r="G1942" s="19">
        <v>150</v>
      </c>
      <c r="H1942" s="19">
        <v>1</v>
      </c>
      <c r="I1942" s="80">
        <v>1.41</v>
      </c>
      <c r="J1942" s="80">
        <v>1.41</v>
      </c>
      <c r="K1942" s="19" t="s">
        <v>184</v>
      </c>
      <c r="L1942" s="19" t="s">
        <v>2624</v>
      </c>
      <c r="Q1942" s="20">
        <v>24</v>
      </c>
      <c r="R1942" s="65" t="s">
        <v>2010</v>
      </c>
      <c r="T1942" s="19" t="s">
        <v>307</v>
      </c>
      <c r="V1942" s="19" t="s">
        <v>178</v>
      </c>
      <c r="W1942" s="19" t="s">
        <v>138</v>
      </c>
      <c r="Z1942" s="44" t="s">
        <v>2449</v>
      </c>
      <c r="AA1942" s="44" t="s">
        <v>180</v>
      </c>
      <c r="AC1942" s="19" t="s">
        <v>2625</v>
      </c>
    </row>
    <row r="1943" spans="1:29" x14ac:dyDescent="0.25">
      <c r="A1943" s="26">
        <v>182</v>
      </c>
      <c r="B1943" s="19" t="s">
        <v>2631</v>
      </c>
      <c r="C1943" s="44" t="s">
        <v>273</v>
      </c>
      <c r="D1943" s="19" t="s">
        <v>812</v>
      </c>
      <c r="E1943" s="19">
        <v>12</v>
      </c>
      <c r="F1943" s="19">
        <v>490</v>
      </c>
      <c r="G1943" s="19">
        <v>6464</v>
      </c>
      <c r="H1943" s="19">
        <v>1</v>
      </c>
      <c r="I1943" s="80">
        <v>298.26</v>
      </c>
      <c r="J1943" s="80">
        <v>298.26</v>
      </c>
      <c r="K1943" s="19" t="s">
        <v>184</v>
      </c>
      <c r="L1943" s="19" t="s">
        <v>2624</v>
      </c>
      <c r="Q1943" s="20">
        <v>24</v>
      </c>
      <c r="R1943" s="65" t="s">
        <v>2010</v>
      </c>
      <c r="T1943" s="19" t="s">
        <v>307</v>
      </c>
      <c r="V1943" s="19" t="s">
        <v>178</v>
      </c>
      <c r="Y1943" s="19" t="s">
        <v>138</v>
      </c>
      <c r="Z1943" s="44" t="s">
        <v>2449</v>
      </c>
      <c r="AA1943" s="44" t="s">
        <v>180</v>
      </c>
      <c r="AC1943" s="19" t="s">
        <v>2625</v>
      </c>
    </row>
    <row r="1944" spans="1:29" x14ac:dyDescent="0.25">
      <c r="A1944" s="26">
        <v>183</v>
      </c>
      <c r="B1944" s="19" t="s">
        <v>2632</v>
      </c>
      <c r="C1944" s="44" t="s">
        <v>273</v>
      </c>
      <c r="D1944" s="19" t="s">
        <v>874</v>
      </c>
      <c r="E1944" s="19">
        <v>12</v>
      </c>
      <c r="F1944" s="19">
        <v>100</v>
      </c>
      <c r="G1944" s="19">
        <v>150</v>
      </c>
      <c r="H1944" s="19">
        <v>1</v>
      </c>
      <c r="I1944" s="80">
        <v>1.41</v>
      </c>
      <c r="J1944" s="80">
        <v>1.41</v>
      </c>
      <c r="K1944" s="19" t="s">
        <v>184</v>
      </c>
      <c r="L1944" s="19" t="s">
        <v>2624</v>
      </c>
      <c r="Q1944" s="20">
        <v>24</v>
      </c>
      <c r="R1944" s="65" t="s">
        <v>2010</v>
      </c>
      <c r="T1944" s="19" t="s">
        <v>307</v>
      </c>
      <c r="V1944" s="19" t="s">
        <v>178</v>
      </c>
      <c r="W1944" s="19" t="s">
        <v>138</v>
      </c>
      <c r="Z1944" s="44" t="s">
        <v>2449</v>
      </c>
      <c r="AA1944" s="44" t="s">
        <v>180</v>
      </c>
      <c r="AC1944" s="19" t="s">
        <v>2625</v>
      </c>
    </row>
    <row r="1945" spans="1:29" x14ac:dyDescent="0.25">
      <c r="A1945" s="26">
        <v>184</v>
      </c>
      <c r="B1945" s="19" t="s">
        <v>2633</v>
      </c>
      <c r="C1945" s="44" t="s">
        <v>273</v>
      </c>
      <c r="D1945" s="19" t="s">
        <v>874</v>
      </c>
      <c r="E1945" s="19">
        <v>12</v>
      </c>
      <c r="F1945" s="19">
        <v>100</v>
      </c>
      <c r="G1945" s="19">
        <v>150</v>
      </c>
      <c r="H1945" s="19">
        <v>1</v>
      </c>
      <c r="I1945" s="80">
        <v>1.41</v>
      </c>
      <c r="J1945" s="80">
        <v>1.41</v>
      </c>
      <c r="K1945" s="19" t="s">
        <v>184</v>
      </c>
      <c r="L1945" s="19" t="s">
        <v>2624</v>
      </c>
      <c r="Q1945" s="20">
        <v>24</v>
      </c>
      <c r="R1945" s="65" t="s">
        <v>2010</v>
      </c>
      <c r="T1945" s="19" t="s">
        <v>307</v>
      </c>
      <c r="V1945" s="19" t="s">
        <v>178</v>
      </c>
      <c r="W1945" s="19" t="s">
        <v>138</v>
      </c>
      <c r="Z1945" s="44" t="s">
        <v>2449</v>
      </c>
      <c r="AA1945" s="44" t="s">
        <v>180</v>
      </c>
      <c r="AC1945" s="19" t="s">
        <v>2625</v>
      </c>
    </row>
    <row r="1946" spans="1:29" x14ac:dyDescent="0.25">
      <c r="A1946" s="26">
        <v>185</v>
      </c>
      <c r="B1946" s="19" t="s">
        <v>2634</v>
      </c>
      <c r="C1946" s="44" t="s">
        <v>273</v>
      </c>
      <c r="D1946" s="19" t="s">
        <v>835</v>
      </c>
      <c r="E1946" s="19">
        <v>12</v>
      </c>
      <c r="F1946" s="19">
        <v>1460</v>
      </c>
      <c r="G1946" s="19">
        <v>9068</v>
      </c>
      <c r="H1946" s="19">
        <v>1</v>
      </c>
      <c r="I1946" s="80">
        <v>1240.54</v>
      </c>
      <c r="J1946" s="80">
        <v>1240.54</v>
      </c>
      <c r="K1946" s="19" t="s">
        <v>184</v>
      </c>
      <c r="L1946" s="19" t="s">
        <v>2624</v>
      </c>
      <c r="Q1946" s="20">
        <v>24</v>
      </c>
      <c r="R1946" s="65" t="s">
        <v>2010</v>
      </c>
      <c r="T1946" s="19" t="s">
        <v>307</v>
      </c>
      <c r="V1946" s="19" t="s">
        <v>178</v>
      </c>
      <c r="Y1946" s="19" t="s">
        <v>138</v>
      </c>
      <c r="Z1946" s="44" t="s">
        <v>2449</v>
      </c>
      <c r="AA1946" s="44" t="s">
        <v>180</v>
      </c>
      <c r="AC1946" s="19" t="s">
        <v>2625</v>
      </c>
    </row>
    <row r="1947" spans="1:29" x14ac:dyDescent="0.25">
      <c r="A1947" s="26">
        <v>186</v>
      </c>
      <c r="B1947" s="19" t="s">
        <v>2635</v>
      </c>
      <c r="C1947" s="44" t="s">
        <v>273</v>
      </c>
      <c r="D1947" s="19" t="s">
        <v>1211</v>
      </c>
      <c r="E1947" s="19">
        <v>12</v>
      </c>
      <c r="F1947" s="19">
        <v>490</v>
      </c>
      <c r="G1947" s="19">
        <v>1388</v>
      </c>
      <c r="H1947" s="19">
        <v>1</v>
      </c>
      <c r="I1947" s="80">
        <v>63.63</v>
      </c>
      <c r="J1947" s="80">
        <v>63.63</v>
      </c>
      <c r="K1947" s="19" t="s">
        <v>184</v>
      </c>
      <c r="L1947" s="19" t="s">
        <v>2624</v>
      </c>
      <c r="Q1947" s="20">
        <v>24</v>
      </c>
      <c r="R1947" s="65" t="s">
        <v>2010</v>
      </c>
      <c r="T1947" s="19" t="s">
        <v>307</v>
      </c>
      <c r="V1947" s="19" t="s">
        <v>178</v>
      </c>
      <c r="Y1947" s="19" t="s">
        <v>138</v>
      </c>
      <c r="Z1947" s="44" t="s">
        <v>2449</v>
      </c>
      <c r="AA1947" s="44" t="s">
        <v>180</v>
      </c>
      <c r="AC1947" s="19" t="s">
        <v>2625</v>
      </c>
    </row>
    <row r="1948" spans="1:29" x14ac:dyDescent="0.25">
      <c r="A1948" s="26">
        <v>187</v>
      </c>
      <c r="B1948" s="19" t="s">
        <v>2636</v>
      </c>
      <c r="C1948" s="44" t="s">
        <v>273</v>
      </c>
      <c r="D1948" s="19" t="s">
        <v>869</v>
      </c>
      <c r="E1948" s="19">
        <v>12</v>
      </c>
      <c r="F1948" s="19">
        <v>490</v>
      </c>
      <c r="G1948" s="19">
        <v>1514</v>
      </c>
      <c r="H1948" s="19">
        <v>1</v>
      </c>
      <c r="I1948" s="80">
        <v>69.78</v>
      </c>
      <c r="J1948" s="80">
        <v>69.78</v>
      </c>
      <c r="K1948" s="19" t="s">
        <v>184</v>
      </c>
      <c r="L1948" s="19" t="s">
        <v>2624</v>
      </c>
      <c r="Q1948" s="20">
        <v>24</v>
      </c>
      <c r="R1948" s="65" t="s">
        <v>2010</v>
      </c>
      <c r="T1948" s="19" t="s">
        <v>307</v>
      </c>
      <c r="V1948" s="19" t="s">
        <v>178</v>
      </c>
      <c r="Y1948" s="19" t="s">
        <v>138</v>
      </c>
      <c r="Z1948" s="44" t="s">
        <v>2449</v>
      </c>
      <c r="AA1948" s="44" t="s">
        <v>180</v>
      </c>
      <c r="AC1948" s="19" t="s">
        <v>2625</v>
      </c>
    </row>
    <row r="1949" spans="1:29" x14ac:dyDescent="0.25">
      <c r="A1949" s="26">
        <v>188</v>
      </c>
      <c r="B1949" s="19" t="s">
        <v>2637</v>
      </c>
      <c r="C1949" s="44" t="s">
        <v>273</v>
      </c>
      <c r="D1949" s="19" t="s">
        <v>1211</v>
      </c>
      <c r="E1949" s="19">
        <v>12</v>
      </c>
      <c r="F1949" s="19">
        <v>490</v>
      </c>
      <c r="G1949" s="19">
        <v>1388</v>
      </c>
      <c r="H1949" s="19">
        <v>1</v>
      </c>
      <c r="I1949" s="80">
        <v>63.63</v>
      </c>
      <c r="J1949" s="80">
        <v>63.63</v>
      </c>
      <c r="K1949" s="19" t="s">
        <v>184</v>
      </c>
      <c r="L1949" s="19" t="s">
        <v>2624</v>
      </c>
      <c r="Q1949" s="20">
        <v>24</v>
      </c>
      <c r="R1949" s="65" t="s">
        <v>2010</v>
      </c>
      <c r="T1949" s="19" t="s">
        <v>307</v>
      </c>
      <c r="V1949" s="19" t="s">
        <v>178</v>
      </c>
      <c r="Y1949" s="19" t="s">
        <v>138</v>
      </c>
      <c r="Z1949" s="44" t="s">
        <v>2449</v>
      </c>
      <c r="AA1949" s="44" t="s">
        <v>180</v>
      </c>
      <c r="AC1949" s="19" t="s">
        <v>2625</v>
      </c>
    </row>
    <row r="1950" spans="1:29" x14ac:dyDescent="0.25">
      <c r="A1950" s="26">
        <v>189</v>
      </c>
      <c r="B1950" s="19" t="s">
        <v>2638</v>
      </c>
      <c r="C1950" s="44" t="s">
        <v>273</v>
      </c>
      <c r="D1950" s="19" t="s">
        <v>1211</v>
      </c>
      <c r="E1950" s="19">
        <v>12</v>
      </c>
      <c r="F1950" s="19">
        <v>490</v>
      </c>
      <c r="G1950" s="19">
        <v>1388</v>
      </c>
      <c r="H1950" s="19">
        <v>1</v>
      </c>
      <c r="I1950" s="80">
        <v>63.63</v>
      </c>
      <c r="J1950" s="80">
        <v>63.63</v>
      </c>
      <c r="K1950" s="19" t="s">
        <v>184</v>
      </c>
      <c r="L1950" s="19" t="s">
        <v>2624</v>
      </c>
      <c r="Q1950" s="20">
        <v>24</v>
      </c>
      <c r="R1950" s="65" t="s">
        <v>2010</v>
      </c>
      <c r="T1950" s="19" t="s">
        <v>307</v>
      </c>
      <c r="V1950" s="19" t="s">
        <v>178</v>
      </c>
      <c r="Y1950" s="19" t="s">
        <v>138</v>
      </c>
      <c r="Z1950" s="44" t="s">
        <v>2449</v>
      </c>
      <c r="AA1950" s="44" t="s">
        <v>180</v>
      </c>
      <c r="AC1950" s="19" t="s">
        <v>2625</v>
      </c>
    </row>
    <row r="1951" spans="1:29" x14ac:dyDescent="0.25">
      <c r="A1951" s="26">
        <v>190</v>
      </c>
      <c r="B1951" s="19" t="s">
        <v>2602</v>
      </c>
      <c r="C1951" s="44" t="s">
        <v>273</v>
      </c>
      <c r="D1951" s="19" t="s">
        <v>839</v>
      </c>
      <c r="E1951" s="19">
        <v>12</v>
      </c>
      <c r="F1951" s="19">
        <v>120</v>
      </c>
      <c r="G1951" s="19">
        <v>129</v>
      </c>
      <c r="H1951" s="19">
        <v>5</v>
      </c>
      <c r="I1951" s="80">
        <v>1.32</v>
      </c>
      <c r="J1951" s="80">
        <v>6.62</v>
      </c>
      <c r="K1951" s="19" t="s">
        <v>184</v>
      </c>
      <c r="L1951" s="19" t="s">
        <v>2639</v>
      </c>
      <c r="Q1951" s="20">
        <v>24</v>
      </c>
      <c r="R1951" s="65" t="s">
        <v>2010</v>
      </c>
      <c r="T1951" s="19" t="s">
        <v>307</v>
      </c>
      <c r="V1951" s="19" t="s">
        <v>178</v>
      </c>
      <c r="W1951" s="19" t="s">
        <v>138</v>
      </c>
      <c r="Z1951" s="44" t="s">
        <v>2449</v>
      </c>
      <c r="AA1951" s="44" t="s">
        <v>180</v>
      </c>
      <c r="AC1951" s="19" t="s">
        <v>2640</v>
      </c>
    </row>
    <row r="1952" spans="1:29" x14ac:dyDescent="0.25">
      <c r="A1952" s="26">
        <v>191</v>
      </c>
      <c r="B1952" s="19" t="s">
        <v>2641</v>
      </c>
      <c r="C1952" s="44" t="s">
        <v>273</v>
      </c>
      <c r="D1952" s="19" t="s">
        <v>839</v>
      </c>
      <c r="E1952" s="19">
        <v>12</v>
      </c>
      <c r="F1952" s="19">
        <v>120</v>
      </c>
      <c r="G1952" s="19">
        <v>129</v>
      </c>
      <c r="H1952" s="19">
        <v>7</v>
      </c>
      <c r="I1952" s="80">
        <v>1.32</v>
      </c>
      <c r="J1952" s="80">
        <v>9.27</v>
      </c>
      <c r="K1952" s="19" t="s">
        <v>184</v>
      </c>
      <c r="L1952" s="19" t="s">
        <v>2639</v>
      </c>
      <c r="Q1952" s="20">
        <v>24</v>
      </c>
      <c r="R1952" s="65" t="s">
        <v>2010</v>
      </c>
      <c r="T1952" s="19" t="s">
        <v>307</v>
      </c>
      <c r="V1952" s="19" t="s">
        <v>178</v>
      </c>
      <c r="W1952" s="19" t="s">
        <v>138</v>
      </c>
      <c r="Z1952" s="44" t="s">
        <v>2449</v>
      </c>
      <c r="AA1952" s="44" t="s">
        <v>180</v>
      </c>
      <c r="AC1952" s="19" t="s">
        <v>2640</v>
      </c>
    </row>
    <row r="1953" spans="1:29" x14ac:dyDescent="0.25">
      <c r="A1953" s="26">
        <v>192</v>
      </c>
      <c r="B1953" s="19" t="s">
        <v>2642</v>
      </c>
      <c r="C1953" s="44" t="s">
        <v>273</v>
      </c>
      <c r="D1953" s="19" t="s">
        <v>803</v>
      </c>
      <c r="E1953" s="19">
        <v>12</v>
      </c>
      <c r="F1953" s="19">
        <v>135</v>
      </c>
      <c r="G1953" s="19">
        <v>488</v>
      </c>
      <c r="H1953" s="19">
        <v>16</v>
      </c>
      <c r="I1953" s="80">
        <v>6.19</v>
      </c>
      <c r="J1953" s="80">
        <v>99.04</v>
      </c>
      <c r="K1953" s="19" t="s">
        <v>184</v>
      </c>
      <c r="L1953" s="19" t="s">
        <v>2639</v>
      </c>
      <c r="Q1953" s="20">
        <v>24</v>
      </c>
      <c r="R1953" s="65" t="s">
        <v>2010</v>
      </c>
      <c r="T1953" s="19" t="s">
        <v>307</v>
      </c>
      <c r="V1953" s="19" t="s">
        <v>178</v>
      </c>
      <c r="W1953" s="19" t="s">
        <v>138</v>
      </c>
      <c r="Z1953" s="44" t="s">
        <v>2449</v>
      </c>
      <c r="AA1953" s="44" t="s">
        <v>180</v>
      </c>
      <c r="AC1953" s="19" t="s">
        <v>2640</v>
      </c>
    </row>
    <row r="1954" spans="1:29" x14ac:dyDescent="0.25">
      <c r="A1954" s="26">
        <v>193</v>
      </c>
      <c r="B1954" s="19" t="s">
        <v>2643</v>
      </c>
      <c r="C1954" s="44" t="s">
        <v>273</v>
      </c>
      <c r="D1954" s="19" t="s">
        <v>803</v>
      </c>
      <c r="E1954" s="19">
        <v>12</v>
      </c>
      <c r="F1954" s="19">
        <v>135</v>
      </c>
      <c r="G1954" s="19">
        <v>488</v>
      </c>
      <c r="H1954" s="19">
        <v>4</v>
      </c>
      <c r="I1954" s="80">
        <v>6.19</v>
      </c>
      <c r="J1954" s="80">
        <v>24.76</v>
      </c>
      <c r="K1954" s="19" t="s">
        <v>184</v>
      </c>
      <c r="L1954" s="19" t="s">
        <v>2639</v>
      </c>
      <c r="Q1954" s="20">
        <v>24</v>
      </c>
      <c r="R1954" s="65" t="s">
        <v>2010</v>
      </c>
      <c r="T1954" s="19" t="s">
        <v>307</v>
      </c>
      <c r="V1954" s="19" t="s">
        <v>178</v>
      </c>
      <c r="W1954" s="19" t="s">
        <v>138</v>
      </c>
      <c r="Z1954" s="44" t="s">
        <v>2449</v>
      </c>
      <c r="AA1954" s="44" t="s">
        <v>180</v>
      </c>
      <c r="AC1954" s="19" t="s">
        <v>2640</v>
      </c>
    </row>
    <row r="1955" spans="1:29" x14ac:dyDescent="0.25">
      <c r="A1955" s="26">
        <v>194</v>
      </c>
      <c r="B1955" s="19" t="s">
        <v>2644</v>
      </c>
      <c r="C1955" s="44" t="s">
        <v>273</v>
      </c>
      <c r="D1955" s="19" t="s">
        <v>803</v>
      </c>
      <c r="E1955" s="19">
        <v>12</v>
      </c>
      <c r="F1955" s="19">
        <v>135</v>
      </c>
      <c r="G1955" s="19">
        <v>488</v>
      </c>
      <c r="H1955" s="19">
        <v>4</v>
      </c>
      <c r="I1955" s="80">
        <v>6.19</v>
      </c>
      <c r="J1955" s="80">
        <v>24.76</v>
      </c>
      <c r="K1955" s="19" t="s">
        <v>184</v>
      </c>
      <c r="L1955" s="19" t="s">
        <v>2639</v>
      </c>
      <c r="Q1955" s="20">
        <v>24</v>
      </c>
      <c r="R1955" s="65" t="s">
        <v>2010</v>
      </c>
      <c r="T1955" s="19" t="s">
        <v>307</v>
      </c>
      <c r="V1955" s="19" t="s">
        <v>178</v>
      </c>
      <c r="W1955" s="19" t="s">
        <v>138</v>
      </c>
      <c r="Z1955" s="44" t="s">
        <v>2449</v>
      </c>
      <c r="AA1955" s="44" t="s">
        <v>180</v>
      </c>
      <c r="AC1955" s="19" t="s">
        <v>2640</v>
      </c>
    </row>
    <row r="1956" spans="1:29" x14ac:dyDescent="0.25">
      <c r="A1956" s="26">
        <v>195</v>
      </c>
      <c r="B1956" s="19" t="s">
        <v>2645</v>
      </c>
      <c r="C1956" s="44" t="s">
        <v>273</v>
      </c>
      <c r="D1956" s="19" t="s">
        <v>803</v>
      </c>
      <c r="E1956" s="19">
        <v>12</v>
      </c>
      <c r="F1956" s="19">
        <v>135</v>
      </c>
      <c r="G1956" s="19">
        <v>488</v>
      </c>
      <c r="H1956" s="19">
        <v>4</v>
      </c>
      <c r="I1956" s="80">
        <v>6.19</v>
      </c>
      <c r="J1956" s="80">
        <v>24.76</v>
      </c>
      <c r="K1956" s="19" t="s">
        <v>184</v>
      </c>
      <c r="L1956" s="19" t="s">
        <v>2639</v>
      </c>
      <c r="Q1956" s="20">
        <v>24</v>
      </c>
      <c r="R1956" s="65" t="s">
        <v>2010</v>
      </c>
      <c r="T1956" s="19" t="s">
        <v>307</v>
      </c>
      <c r="V1956" s="19" t="s">
        <v>178</v>
      </c>
      <c r="W1956" s="19" t="s">
        <v>138</v>
      </c>
      <c r="Z1956" s="44" t="s">
        <v>2449</v>
      </c>
      <c r="AA1956" s="44" t="s">
        <v>180</v>
      </c>
      <c r="AC1956" s="19" t="s">
        <v>2640</v>
      </c>
    </row>
    <row r="1957" spans="1:29" x14ac:dyDescent="0.25">
      <c r="A1957" s="26">
        <v>196</v>
      </c>
      <c r="B1957" s="19" t="s">
        <v>2646</v>
      </c>
      <c r="C1957" s="44" t="s">
        <v>273</v>
      </c>
      <c r="D1957" s="19" t="s">
        <v>803</v>
      </c>
      <c r="E1957" s="19">
        <v>12</v>
      </c>
      <c r="F1957" s="19">
        <v>135</v>
      </c>
      <c r="G1957" s="19">
        <v>488</v>
      </c>
      <c r="H1957" s="19">
        <v>4</v>
      </c>
      <c r="I1957" s="80">
        <v>6.19</v>
      </c>
      <c r="J1957" s="80">
        <v>24.76</v>
      </c>
      <c r="K1957" s="19" t="s">
        <v>184</v>
      </c>
      <c r="L1957" s="19" t="s">
        <v>2639</v>
      </c>
      <c r="Q1957" s="20">
        <v>24</v>
      </c>
      <c r="R1957" s="65" t="s">
        <v>2010</v>
      </c>
      <c r="T1957" s="19" t="s">
        <v>307</v>
      </c>
      <c r="V1957" s="19" t="s">
        <v>178</v>
      </c>
      <c r="W1957" s="19" t="s">
        <v>138</v>
      </c>
      <c r="Z1957" s="44" t="s">
        <v>2449</v>
      </c>
      <c r="AA1957" s="44" t="s">
        <v>180</v>
      </c>
      <c r="AC1957" s="19" t="s">
        <v>2640</v>
      </c>
    </row>
    <row r="1958" spans="1:29" x14ac:dyDescent="0.25">
      <c r="A1958" s="26">
        <v>197</v>
      </c>
      <c r="B1958" s="19" t="s">
        <v>2647</v>
      </c>
      <c r="C1958" s="44" t="s">
        <v>273</v>
      </c>
      <c r="D1958" s="19" t="s">
        <v>803</v>
      </c>
      <c r="E1958" s="19">
        <v>12</v>
      </c>
      <c r="F1958" s="19">
        <v>135</v>
      </c>
      <c r="G1958" s="19">
        <v>488</v>
      </c>
      <c r="H1958" s="19">
        <v>4</v>
      </c>
      <c r="I1958" s="80">
        <v>6.19</v>
      </c>
      <c r="J1958" s="80">
        <v>24.76</v>
      </c>
      <c r="K1958" s="19" t="s">
        <v>184</v>
      </c>
      <c r="L1958" s="19" t="s">
        <v>2639</v>
      </c>
      <c r="Q1958" s="20">
        <v>24</v>
      </c>
      <c r="R1958" s="65" t="s">
        <v>2010</v>
      </c>
      <c r="T1958" s="19" t="s">
        <v>307</v>
      </c>
      <c r="V1958" s="19" t="s">
        <v>178</v>
      </c>
      <c r="W1958" s="19" t="s">
        <v>138</v>
      </c>
      <c r="Z1958" s="44" t="s">
        <v>2449</v>
      </c>
      <c r="AA1958" s="44" t="s">
        <v>180</v>
      </c>
      <c r="AC1958" s="19" t="s">
        <v>2640</v>
      </c>
    </row>
    <row r="1959" spans="1:29" x14ac:dyDescent="0.25">
      <c r="A1959" s="26">
        <v>198</v>
      </c>
      <c r="B1959" s="19" t="s">
        <v>2648</v>
      </c>
      <c r="C1959" s="44" t="s">
        <v>273</v>
      </c>
      <c r="D1959" s="19" t="s">
        <v>803</v>
      </c>
      <c r="E1959" s="19">
        <v>12</v>
      </c>
      <c r="F1959" s="19">
        <v>135</v>
      </c>
      <c r="G1959" s="19">
        <v>488</v>
      </c>
      <c r="H1959" s="19">
        <v>4</v>
      </c>
      <c r="I1959" s="80">
        <v>6.19</v>
      </c>
      <c r="J1959" s="80">
        <v>24.76</v>
      </c>
      <c r="K1959" s="19" t="s">
        <v>184</v>
      </c>
      <c r="L1959" s="19" t="s">
        <v>2639</v>
      </c>
      <c r="Q1959" s="20">
        <v>24</v>
      </c>
      <c r="R1959" s="65" t="s">
        <v>2010</v>
      </c>
      <c r="T1959" s="19" t="s">
        <v>307</v>
      </c>
      <c r="V1959" s="19" t="s">
        <v>178</v>
      </c>
      <c r="W1959" s="19" t="s">
        <v>138</v>
      </c>
      <c r="Z1959" s="44" t="s">
        <v>2449</v>
      </c>
      <c r="AA1959" s="44" t="s">
        <v>180</v>
      </c>
      <c r="AC1959" s="19" t="s">
        <v>2640</v>
      </c>
    </row>
    <row r="1960" spans="1:29" x14ac:dyDescent="0.25">
      <c r="A1960" s="26">
        <v>199</v>
      </c>
      <c r="B1960" s="19" t="s">
        <v>2649</v>
      </c>
      <c r="C1960" s="44" t="s">
        <v>273</v>
      </c>
      <c r="D1960" s="19" t="s">
        <v>803</v>
      </c>
      <c r="E1960" s="19">
        <v>12</v>
      </c>
      <c r="F1960" s="19">
        <v>135</v>
      </c>
      <c r="G1960" s="19">
        <v>488</v>
      </c>
      <c r="H1960" s="19">
        <v>4</v>
      </c>
      <c r="I1960" s="80">
        <v>6.19</v>
      </c>
      <c r="J1960" s="80">
        <v>24.76</v>
      </c>
      <c r="K1960" s="19" t="s">
        <v>184</v>
      </c>
      <c r="L1960" s="19" t="s">
        <v>2639</v>
      </c>
      <c r="Q1960" s="20">
        <v>24</v>
      </c>
      <c r="R1960" s="65" t="s">
        <v>2010</v>
      </c>
      <c r="T1960" s="19" t="s">
        <v>307</v>
      </c>
      <c r="V1960" s="19" t="s">
        <v>178</v>
      </c>
      <c r="W1960" s="19" t="s">
        <v>138</v>
      </c>
      <c r="Z1960" s="44" t="s">
        <v>2449</v>
      </c>
      <c r="AA1960" s="44" t="s">
        <v>180</v>
      </c>
      <c r="AC1960" s="19" t="s">
        <v>2640</v>
      </c>
    </row>
    <row r="1961" spans="1:29" x14ac:dyDescent="0.25">
      <c r="A1961" s="26">
        <v>200</v>
      </c>
      <c r="B1961" s="19" t="s">
        <v>2650</v>
      </c>
      <c r="C1961" s="44" t="s">
        <v>273</v>
      </c>
      <c r="D1961" s="19" t="s">
        <v>803</v>
      </c>
      <c r="E1961" s="19">
        <v>12</v>
      </c>
      <c r="F1961" s="19">
        <v>135</v>
      </c>
      <c r="G1961" s="19">
        <v>488</v>
      </c>
      <c r="H1961" s="19">
        <v>4</v>
      </c>
      <c r="I1961" s="80">
        <v>6.19</v>
      </c>
      <c r="J1961" s="80">
        <v>24.76</v>
      </c>
      <c r="K1961" s="19" t="s">
        <v>184</v>
      </c>
      <c r="L1961" s="19" t="s">
        <v>2639</v>
      </c>
      <c r="Q1961" s="20">
        <v>24</v>
      </c>
      <c r="R1961" s="65" t="s">
        <v>2010</v>
      </c>
      <c r="T1961" s="19" t="s">
        <v>307</v>
      </c>
      <c r="V1961" s="19" t="s">
        <v>178</v>
      </c>
      <c r="W1961" s="19" t="s">
        <v>138</v>
      </c>
      <c r="Z1961" s="44" t="s">
        <v>2449</v>
      </c>
      <c r="AA1961" s="44" t="s">
        <v>180</v>
      </c>
      <c r="AC1961" s="19" t="s">
        <v>2640</v>
      </c>
    </row>
    <row r="1962" spans="1:29" x14ac:dyDescent="0.25">
      <c r="A1962" s="26">
        <v>201</v>
      </c>
      <c r="B1962" s="19" t="s">
        <v>2651</v>
      </c>
      <c r="C1962" s="44" t="s">
        <v>273</v>
      </c>
      <c r="D1962" s="19" t="s">
        <v>1211</v>
      </c>
      <c r="E1962" s="19">
        <v>12</v>
      </c>
      <c r="F1962" s="19">
        <v>490</v>
      </c>
      <c r="G1962" s="19">
        <v>1388</v>
      </c>
      <c r="H1962" s="19">
        <v>1</v>
      </c>
      <c r="I1962" s="80">
        <v>63.63</v>
      </c>
      <c r="J1962" s="80">
        <v>63.63</v>
      </c>
      <c r="K1962" s="19" t="s">
        <v>184</v>
      </c>
      <c r="L1962" s="19" t="s">
        <v>2639</v>
      </c>
      <c r="Q1962" s="20">
        <v>24</v>
      </c>
      <c r="R1962" s="65" t="s">
        <v>2010</v>
      </c>
      <c r="T1962" s="19" t="s">
        <v>307</v>
      </c>
      <c r="V1962" s="19" t="s">
        <v>178</v>
      </c>
      <c r="Y1962" s="19" t="s">
        <v>138</v>
      </c>
      <c r="Z1962" s="44" t="s">
        <v>2449</v>
      </c>
      <c r="AA1962" s="44" t="s">
        <v>180</v>
      </c>
      <c r="AC1962" s="19" t="s">
        <v>2640</v>
      </c>
    </row>
    <row r="1963" spans="1:29" x14ac:dyDescent="0.25">
      <c r="A1963" s="26">
        <v>202</v>
      </c>
      <c r="B1963" s="19" t="s">
        <v>2652</v>
      </c>
      <c r="C1963" s="44" t="s">
        <v>273</v>
      </c>
      <c r="D1963" s="19" t="s">
        <v>803</v>
      </c>
      <c r="E1963" s="19">
        <v>12</v>
      </c>
      <c r="F1963" s="19">
        <v>135</v>
      </c>
      <c r="G1963" s="19">
        <v>488</v>
      </c>
      <c r="H1963" s="19">
        <v>4</v>
      </c>
      <c r="I1963" s="80">
        <v>6.19</v>
      </c>
      <c r="J1963" s="80">
        <v>24.76</v>
      </c>
      <c r="K1963" s="19" t="s">
        <v>184</v>
      </c>
      <c r="L1963" s="19" t="s">
        <v>2639</v>
      </c>
      <c r="Q1963" s="20">
        <v>24</v>
      </c>
      <c r="R1963" s="65" t="s">
        <v>2010</v>
      </c>
      <c r="T1963" s="19" t="s">
        <v>307</v>
      </c>
      <c r="V1963" s="19" t="s">
        <v>178</v>
      </c>
      <c r="W1963" s="19" t="s">
        <v>138</v>
      </c>
      <c r="Z1963" s="44" t="s">
        <v>2449</v>
      </c>
      <c r="AA1963" s="44" t="s">
        <v>180</v>
      </c>
      <c r="AC1963" s="19" t="s">
        <v>2640</v>
      </c>
    </row>
    <row r="1964" spans="1:29" x14ac:dyDescent="0.25">
      <c r="A1964" s="26">
        <v>203</v>
      </c>
      <c r="B1964" s="19" t="s">
        <v>2629</v>
      </c>
      <c r="C1964" s="44" t="s">
        <v>273</v>
      </c>
      <c r="D1964" s="19" t="s">
        <v>803</v>
      </c>
      <c r="E1964" s="19">
        <v>12</v>
      </c>
      <c r="F1964" s="19">
        <v>135</v>
      </c>
      <c r="G1964" s="19">
        <v>488</v>
      </c>
      <c r="H1964" s="19">
        <v>10</v>
      </c>
      <c r="I1964" s="80">
        <v>6.19</v>
      </c>
      <c r="J1964" s="80">
        <v>61.9</v>
      </c>
      <c r="K1964" s="19" t="s">
        <v>184</v>
      </c>
      <c r="L1964" s="19" t="s">
        <v>2639</v>
      </c>
      <c r="Q1964" s="20">
        <v>24</v>
      </c>
      <c r="R1964" s="65" t="s">
        <v>2010</v>
      </c>
      <c r="T1964" s="19" t="s">
        <v>307</v>
      </c>
      <c r="V1964" s="19" t="s">
        <v>178</v>
      </c>
      <c r="W1964" s="19" t="s">
        <v>138</v>
      </c>
      <c r="Z1964" s="44" t="s">
        <v>2449</v>
      </c>
      <c r="AA1964" s="44" t="s">
        <v>180</v>
      </c>
      <c r="AC1964" s="19" t="s">
        <v>2640</v>
      </c>
    </row>
    <row r="1965" spans="1:29" x14ac:dyDescent="0.25">
      <c r="A1965" s="26">
        <v>204</v>
      </c>
      <c r="B1965" s="19" t="s">
        <v>2481</v>
      </c>
      <c r="C1965" s="44" t="s">
        <v>273</v>
      </c>
      <c r="D1965" s="19" t="s">
        <v>930</v>
      </c>
      <c r="E1965" s="19">
        <v>12</v>
      </c>
      <c r="F1965" s="19">
        <v>128</v>
      </c>
      <c r="G1965" s="19">
        <v>145</v>
      </c>
      <c r="H1965" s="19">
        <v>1</v>
      </c>
      <c r="I1965" s="80">
        <v>1.67</v>
      </c>
      <c r="J1965" s="80">
        <v>1.67</v>
      </c>
      <c r="K1965" s="19" t="s">
        <v>184</v>
      </c>
      <c r="L1965" s="19" t="s">
        <v>2639</v>
      </c>
      <c r="Q1965" s="20">
        <v>24</v>
      </c>
      <c r="R1965" s="65" t="s">
        <v>2010</v>
      </c>
      <c r="T1965" s="19" t="s">
        <v>307</v>
      </c>
      <c r="V1965" s="19" t="s">
        <v>178</v>
      </c>
      <c r="W1965" s="19" t="s">
        <v>138</v>
      </c>
      <c r="Z1965" s="44" t="s">
        <v>2449</v>
      </c>
      <c r="AA1965" s="44" t="s">
        <v>180</v>
      </c>
      <c r="AC1965" s="19" t="s">
        <v>2640</v>
      </c>
    </row>
    <row r="1966" spans="1:29" x14ac:dyDescent="0.25">
      <c r="A1966" s="26">
        <v>205</v>
      </c>
      <c r="B1966" s="19" t="s">
        <v>2653</v>
      </c>
      <c r="C1966" s="44" t="s">
        <v>273</v>
      </c>
      <c r="D1966" s="19" t="s">
        <v>812</v>
      </c>
      <c r="E1966" s="19">
        <v>12</v>
      </c>
      <c r="F1966" s="19">
        <v>490</v>
      </c>
      <c r="G1966" s="19">
        <v>6464</v>
      </c>
      <c r="H1966" s="19">
        <v>1</v>
      </c>
      <c r="I1966" s="80">
        <v>298.26</v>
      </c>
      <c r="J1966" s="80">
        <v>298.26</v>
      </c>
      <c r="K1966" s="19" t="s">
        <v>184</v>
      </c>
      <c r="L1966" s="19" t="s">
        <v>2639</v>
      </c>
      <c r="Q1966" s="20">
        <v>24</v>
      </c>
      <c r="R1966" s="65" t="s">
        <v>2010</v>
      </c>
      <c r="T1966" s="19" t="s">
        <v>307</v>
      </c>
      <c r="V1966" s="19" t="s">
        <v>178</v>
      </c>
      <c r="Y1966" s="19" t="s">
        <v>138</v>
      </c>
      <c r="Z1966" s="44" t="s">
        <v>2449</v>
      </c>
      <c r="AA1966" s="44" t="s">
        <v>180</v>
      </c>
      <c r="AC1966" s="19" t="s">
        <v>2640</v>
      </c>
    </row>
    <row r="1967" spans="1:29" x14ac:dyDescent="0.25">
      <c r="A1967" s="26">
        <v>206</v>
      </c>
      <c r="B1967" s="19" t="s">
        <v>2654</v>
      </c>
      <c r="C1967" s="44" t="s">
        <v>273</v>
      </c>
      <c r="D1967" s="19" t="s">
        <v>835</v>
      </c>
      <c r="E1967" s="19">
        <v>12</v>
      </c>
      <c r="F1967" s="19">
        <v>1460</v>
      </c>
      <c r="G1967" s="19">
        <v>9068</v>
      </c>
      <c r="H1967" s="19">
        <v>1</v>
      </c>
      <c r="I1967" s="80">
        <v>1240.54</v>
      </c>
      <c r="J1967" s="80">
        <v>1240.54</v>
      </c>
      <c r="K1967" s="19" t="s">
        <v>184</v>
      </c>
      <c r="L1967" s="19" t="s">
        <v>2639</v>
      </c>
      <c r="Q1967" s="20">
        <v>24</v>
      </c>
      <c r="R1967" s="65" t="s">
        <v>2010</v>
      </c>
      <c r="T1967" s="19" t="s">
        <v>307</v>
      </c>
      <c r="V1967" s="19" t="s">
        <v>178</v>
      </c>
      <c r="Y1967" s="19" t="s">
        <v>138</v>
      </c>
      <c r="Z1967" s="44" t="s">
        <v>2449</v>
      </c>
      <c r="AA1967" s="44" t="s">
        <v>180</v>
      </c>
      <c r="AC1967" s="19" t="s">
        <v>2640</v>
      </c>
    </row>
    <row r="1968" spans="1:29" x14ac:dyDescent="0.25">
      <c r="A1968" s="26">
        <v>207</v>
      </c>
      <c r="B1968" s="19" t="s">
        <v>2655</v>
      </c>
      <c r="C1968" s="44" t="s">
        <v>273</v>
      </c>
      <c r="D1968" s="19" t="s">
        <v>1211</v>
      </c>
      <c r="E1968" s="19">
        <v>12</v>
      </c>
      <c r="F1968" s="19">
        <v>490</v>
      </c>
      <c r="G1968" s="19">
        <v>1388</v>
      </c>
      <c r="H1968" s="19">
        <v>1</v>
      </c>
      <c r="I1968" s="80">
        <v>63.63</v>
      </c>
      <c r="J1968" s="80">
        <v>63.63</v>
      </c>
      <c r="K1968" s="19" t="s">
        <v>184</v>
      </c>
      <c r="L1968" s="19" t="s">
        <v>2639</v>
      </c>
      <c r="Q1968" s="20">
        <v>24</v>
      </c>
      <c r="R1968" s="65" t="s">
        <v>2010</v>
      </c>
      <c r="T1968" s="19" t="s">
        <v>307</v>
      </c>
      <c r="V1968" s="19" t="s">
        <v>178</v>
      </c>
      <c r="Y1968" s="19" t="s">
        <v>138</v>
      </c>
      <c r="Z1968" s="44" t="s">
        <v>2449</v>
      </c>
      <c r="AA1968" s="44" t="s">
        <v>180</v>
      </c>
      <c r="AC1968" s="19" t="s">
        <v>2640</v>
      </c>
    </row>
    <row r="1969" spans="1:29" x14ac:dyDescent="0.25">
      <c r="A1969" s="26">
        <v>208</v>
      </c>
      <c r="B1969" s="19" t="s">
        <v>2656</v>
      </c>
      <c r="C1969" s="44" t="s">
        <v>273</v>
      </c>
      <c r="D1969" s="19" t="s">
        <v>1211</v>
      </c>
      <c r="E1969" s="19">
        <v>12</v>
      </c>
      <c r="F1969" s="19">
        <v>490</v>
      </c>
      <c r="G1969" s="19">
        <v>1388</v>
      </c>
      <c r="H1969" s="19">
        <v>1</v>
      </c>
      <c r="I1969" s="80">
        <v>63.63</v>
      </c>
      <c r="J1969" s="80">
        <v>63.63</v>
      </c>
      <c r="K1969" s="19" t="s">
        <v>184</v>
      </c>
      <c r="L1969" s="19" t="s">
        <v>2639</v>
      </c>
      <c r="Q1969" s="20">
        <v>24</v>
      </c>
      <c r="R1969" s="65" t="s">
        <v>2010</v>
      </c>
      <c r="T1969" s="19" t="s">
        <v>307</v>
      </c>
      <c r="V1969" s="19" t="s">
        <v>178</v>
      </c>
      <c r="Y1969" s="19" t="s">
        <v>138</v>
      </c>
      <c r="Z1969" s="44" t="s">
        <v>2449</v>
      </c>
      <c r="AA1969" s="44" t="s">
        <v>180</v>
      </c>
      <c r="AC1969" s="19" t="s">
        <v>2640</v>
      </c>
    </row>
    <row r="1970" spans="1:29" x14ac:dyDescent="0.25">
      <c r="A1970" s="26">
        <v>209</v>
      </c>
      <c r="B1970" s="19" t="s">
        <v>2657</v>
      </c>
      <c r="C1970" s="44" t="s">
        <v>273</v>
      </c>
      <c r="D1970" s="19" t="s">
        <v>1211</v>
      </c>
      <c r="E1970" s="19">
        <v>12</v>
      </c>
      <c r="F1970" s="19">
        <v>490</v>
      </c>
      <c r="G1970" s="19">
        <v>1388</v>
      </c>
      <c r="H1970" s="19">
        <v>1</v>
      </c>
      <c r="I1970" s="80">
        <v>63.63</v>
      </c>
      <c r="J1970" s="80">
        <v>63.63</v>
      </c>
      <c r="K1970" s="19" t="s">
        <v>184</v>
      </c>
      <c r="L1970" s="19" t="s">
        <v>2639</v>
      </c>
      <c r="Q1970" s="20">
        <v>24</v>
      </c>
      <c r="R1970" s="65" t="s">
        <v>2010</v>
      </c>
      <c r="T1970" s="19" t="s">
        <v>307</v>
      </c>
      <c r="V1970" s="19" t="s">
        <v>178</v>
      </c>
      <c r="Y1970" s="19" t="s">
        <v>138</v>
      </c>
      <c r="Z1970" s="44" t="s">
        <v>2449</v>
      </c>
      <c r="AA1970" s="44" t="s">
        <v>180</v>
      </c>
      <c r="AC1970" s="19" t="s">
        <v>2640</v>
      </c>
    </row>
    <row r="1971" spans="1:29" x14ac:dyDescent="0.25">
      <c r="A1971" s="26">
        <v>210</v>
      </c>
      <c r="B1971" s="19" t="s">
        <v>2658</v>
      </c>
      <c r="C1971" s="44" t="s">
        <v>273</v>
      </c>
      <c r="D1971" s="19" t="s">
        <v>803</v>
      </c>
      <c r="E1971" s="19">
        <v>12</v>
      </c>
      <c r="F1971" s="19">
        <v>135</v>
      </c>
      <c r="G1971" s="19">
        <v>488</v>
      </c>
      <c r="H1971" s="19">
        <v>17</v>
      </c>
      <c r="I1971" s="80">
        <v>6.19</v>
      </c>
      <c r="J1971" s="80">
        <v>105.23</v>
      </c>
      <c r="K1971" s="19" t="s">
        <v>184</v>
      </c>
      <c r="L1971" s="19" t="s">
        <v>2659</v>
      </c>
      <c r="Q1971" s="20">
        <v>24</v>
      </c>
      <c r="R1971" s="65" t="s">
        <v>2010</v>
      </c>
      <c r="T1971" s="19" t="s">
        <v>307</v>
      </c>
      <c r="V1971" s="19" t="s">
        <v>178</v>
      </c>
      <c r="W1971" s="19" t="s">
        <v>138</v>
      </c>
      <c r="Z1971" s="44" t="s">
        <v>2449</v>
      </c>
      <c r="AA1971" s="44" t="s">
        <v>180</v>
      </c>
      <c r="AC1971" s="19" t="s">
        <v>2660</v>
      </c>
    </row>
    <row r="1972" spans="1:29" x14ac:dyDescent="0.25">
      <c r="A1972" s="26">
        <v>211</v>
      </c>
      <c r="B1972" s="19" t="s">
        <v>2661</v>
      </c>
      <c r="C1972" s="44" t="s">
        <v>273</v>
      </c>
      <c r="D1972" s="19" t="s">
        <v>803</v>
      </c>
      <c r="E1972" s="19">
        <v>12</v>
      </c>
      <c r="F1972" s="19">
        <v>135</v>
      </c>
      <c r="G1972" s="19">
        <v>488</v>
      </c>
      <c r="H1972" s="19">
        <v>17</v>
      </c>
      <c r="I1972" s="80">
        <v>6.19</v>
      </c>
      <c r="J1972" s="80">
        <v>105.23</v>
      </c>
      <c r="K1972" s="19" t="s">
        <v>184</v>
      </c>
      <c r="L1972" s="19" t="s">
        <v>2659</v>
      </c>
      <c r="Q1972" s="20">
        <v>24</v>
      </c>
      <c r="R1972" s="65" t="s">
        <v>2010</v>
      </c>
      <c r="T1972" s="19" t="s">
        <v>307</v>
      </c>
      <c r="V1972" s="19" t="s">
        <v>178</v>
      </c>
      <c r="W1972" s="19" t="s">
        <v>138</v>
      </c>
      <c r="Z1972" s="44" t="s">
        <v>2449</v>
      </c>
      <c r="AA1972" s="44" t="s">
        <v>180</v>
      </c>
      <c r="AC1972" s="19" t="s">
        <v>2660</v>
      </c>
    </row>
    <row r="1973" spans="1:29" x14ac:dyDescent="0.25">
      <c r="A1973" s="26">
        <v>212</v>
      </c>
      <c r="B1973" s="19" t="s">
        <v>2662</v>
      </c>
      <c r="C1973" s="44" t="s">
        <v>273</v>
      </c>
      <c r="D1973" s="19" t="s">
        <v>803</v>
      </c>
      <c r="E1973" s="19">
        <v>12</v>
      </c>
      <c r="F1973" s="19">
        <v>135</v>
      </c>
      <c r="G1973" s="19">
        <v>488</v>
      </c>
      <c r="H1973" s="19">
        <v>16</v>
      </c>
      <c r="I1973" s="80">
        <v>6.19</v>
      </c>
      <c r="J1973" s="80">
        <v>99.04</v>
      </c>
      <c r="K1973" s="19" t="s">
        <v>184</v>
      </c>
      <c r="L1973" s="19" t="s">
        <v>2659</v>
      </c>
      <c r="Q1973" s="20">
        <v>24</v>
      </c>
      <c r="R1973" s="65" t="s">
        <v>2010</v>
      </c>
      <c r="T1973" s="19" t="s">
        <v>307</v>
      </c>
      <c r="V1973" s="19" t="s">
        <v>178</v>
      </c>
      <c r="W1973" s="19" t="s">
        <v>138</v>
      </c>
      <c r="Z1973" s="44" t="s">
        <v>2449</v>
      </c>
      <c r="AA1973" s="44" t="s">
        <v>180</v>
      </c>
      <c r="AC1973" s="19" t="s">
        <v>2660</v>
      </c>
    </row>
    <row r="1974" spans="1:29" x14ac:dyDescent="0.25">
      <c r="A1974" s="26">
        <v>213</v>
      </c>
      <c r="B1974" s="19" t="s">
        <v>2663</v>
      </c>
      <c r="C1974" s="44" t="s">
        <v>273</v>
      </c>
      <c r="D1974" s="19" t="s">
        <v>803</v>
      </c>
      <c r="E1974" s="19">
        <v>12</v>
      </c>
      <c r="F1974" s="19">
        <v>135</v>
      </c>
      <c r="G1974" s="19">
        <v>488</v>
      </c>
      <c r="H1974" s="19">
        <v>16</v>
      </c>
      <c r="I1974" s="80">
        <v>6.19</v>
      </c>
      <c r="J1974" s="80">
        <v>99.04</v>
      </c>
      <c r="K1974" s="19" t="s">
        <v>184</v>
      </c>
      <c r="L1974" s="19" t="s">
        <v>2659</v>
      </c>
      <c r="Q1974" s="20">
        <v>24</v>
      </c>
      <c r="R1974" s="65" t="s">
        <v>2010</v>
      </c>
      <c r="T1974" s="19" t="s">
        <v>307</v>
      </c>
      <c r="V1974" s="19" t="s">
        <v>178</v>
      </c>
      <c r="W1974" s="19" t="s">
        <v>138</v>
      </c>
      <c r="Z1974" s="44" t="s">
        <v>2449</v>
      </c>
      <c r="AA1974" s="44" t="s">
        <v>180</v>
      </c>
      <c r="AC1974" s="19" t="s">
        <v>2660</v>
      </c>
    </row>
    <row r="1975" spans="1:29" x14ac:dyDescent="0.25">
      <c r="A1975" s="26">
        <v>214</v>
      </c>
      <c r="B1975" s="19" t="s">
        <v>2664</v>
      </c>
      <c r="C1975" s="44" t="s">
        <v>273</v>
      </c>
      <c r="D1975" s="19" t="s">
        <v>1211</v>
      </c>
      <c r="E1975" s="19">
        <v>12</v>
      </c>
      <c r="F1975" s="19">
        <v>490</v>
      </c>
      <c r="G1975" s="19">
        <v>1388</v>
      </c>
      <c r="H1975" s="19">
        <v>1</v>
      </c>
      <c r="I1975" s="80">
        <v>63.63</v>
      </c>
      <c r="J1975" s="80">
        <v>63.63</v>
      </c>
      <c r="K1975" s="19" t="s">
        <v>184</v>
      </c>
      <c r="L1975" s="19" t="s">
        <v>2659</v>
      </c>
      <c r="Q1975" s="20">
        <v>24</v>
      </c>
      <c r="R1975" s="65" t="s">
        <v>2010</v>
      </c>
      <c r="T1975" s="19" t="s">
        <v>307</v>
      </c>
      <c r="V1975" s="19" t="s">
        <v>178</v>
      </c>
      <c r="Y1975" s="19" t="s">
        <v>138</v>
      </c>
      <c r="Z1975" s="44" t="s">
        <v>2449</v>
      </c>
      <c r="AA1975" s="44" t="s">
        <v>180</v>
      </c>
      <c r="AC1975" s="19" t="s">
        <v>2660</v>
      </c>
    </row>
    <row r="1976" spans="1:29" x14ac:dyDescent="0.25">
      <c r="A1976" s="26">
        <v>215</v>
      </c>
      <c r="B1976" s="19" t="s">
        <v>2665</v>
      </c>
      <c r="C1976" s="44" t="s">
        <v>273</v>
      </c>
      <c r="D1976" s="19" t="s">
        <v>803</v>
      </c>
      <c r="E1976" s="19">
        <v>12</v>
      </c>
      <c r="F1976" s="19">
        <v>135</v>
      </c>
      <c r="G1976" s="19">
        <v>488</v>
      </c>
      <c r="H1976" s="19">
        <v>7</v>
      </c>
      <c r="I1976" s="80">
        <v>6.19</v>
      </c>
      <c r="J1976" s="80">
        <v>43.33</v>
      </c>
      <c r="K1976" s="19" t="s">
        <v>184</v>
      </c>
      <c r="L1976" s="19" t="s">
        <v>2659</v>
      </c>
      <c r="Q1976" s="20">
        <v>24</v>
      </c>
      <c r="R1976" s="65" t="s">
        <v>2010</v>
      </c>
      <c r="T1976" s="19" t="s">
        <v>307</v>
      </c>
      <c r="V1976" s="19" t="s">
        <v>178</v>
      </c>
      <c r="W1976" s="19" t="s">
        <v>138</v>
      </c>
      <c r="Z1976" s="44" t="s">
        <v>2449</v>
      </c>
      <c r="AA1976" s="44" t="s">
        <v>180</v>
      </c>
      <c r="AC1976" s="19" t="s">
        <v>2660</v>
      </c>
    </row>
    <row r="1977" spans="1:29" x14ac:dyDescent="0.25">
      <c r="A1977" s="26">
        <v>216</v>
      </c>
      <c r="B1977" s="19" t="s">
        <v>2666</v>
      </c>
      <c r="C1977" s="44" t="s">
        <v>273</v>
      </c>
      <c r="D1977" s="19" t="s">
        <v>803</v>
      </c>
      <c r="E1977" s="19">
        <v>12</v>
      </c>
      <c r="F1977" s="19">
        <v>135</v>
      </c>
      <c r="G1977" s="19">
        <v>488</v>
      </c>
      <c r="H1977" s="19">
        <v>12</v>
      </c>
      <c r="I1977" s="80">
        <v>6.19</v>
      </c>
      <c r="J1977" s="80">
        <v>74.28</v>
      </c>
      <c r="K1977" s="19" t="s">
        <v>184</v>
      </c>
      <c r="L1977" s="19" t="s">
        <v>2659</v>
      </c>
      <c r="Q1977" s="20">
        <v>24</v>
      </c>
      <c r="R1977" s="65" t="s">
        <v>2010</v>
      </c>
      <c r="T1977" s="19" t="s">
        <v>307</v>
      </c>
      <c r="V1977" s="19" t="s">
        <v>178</v>
      </c>
      <c r="W1977" s="19" t="s">
        <v>138</v>
      </c>
      <c r="Z1977" s="44" t="s">
        <v>2449</v>
      </c>
      <c r="AA1977" s="44" t="s">
        <v>180</v>
      </c>
      <c r="AC1977" s="19" t="s">
        <v>2660</v>
      </c>
    </row>
    <row r="1978" spans="1:29" x14ac:dyDescent="0.25">
      <c r="A1978" s="26">
        <v>217</v>
      </c>
      <c r="B1978" s="19" t="s">
        <v>2667</v>
      </c>
      <c r="C1978" s="44" t="s">
        <v>273</v>
      </c>
      <c r="D1978" s="19" t="s">
        <v>803</v>
      </c>
      <c r="E1978" s="19">
        <v>12</v>
      </c>
      <c r="F1978" s="19">
        <v>135</v>
      </c>
      <c r="G1978" s="19">
        <v>488</v>
      </c>
      <c r="H1978" s="19">
        <v>12</v>
      </c>
      <c r="I1978" s="80">
        <v>6.19</v>
      </c>
      <c r="J1978" s="80">
        <v>74.28</v>
      </c>
      <c r="K1978" s="19" t="s">
        <v>184</v>
      </c>
      <c r="L1978" s="19" t="s">
        <v>2659</v>
      </c>
      <c r="Q1978" s="20">
        <v>24</v>
      </c>
      <c r="R1978" s="65" t="s">
        <v>2010</v>
      </c>
      <c r="T1978" s="19" t="s">
        <v>307</v>
      </c>
      <c r="V1978" s="19" t="s">
        <v>178</v>
      </c>
      <c r="W1978" s="19" t="s">
        <v>138</v>
      </c>
      <c r="Z1978" s="44" t="s">
        <v>2449</v>
      </c>
      <c r="AA1978" s="44" t="s">
        <v>180</v>
      </c>
      <c r="AC1978" s="19" t="s">
        <v>2660</v>
      </c>
    </row>
    <row r="1979" spans="1:29" x14ac:dyDescent="0.25">
      <c r="A1979" s="26">
        <v>218</v>
      </c>
      <c r="B1979" s="19" t="s">
        <v>2668</v>
      </c>
      <c r="C1979" s="44" t="s">
        <v>273</v>
      </c>
      <c r="D1979" s="19" t="s">
        <v>803</v>
      </c>
      <c r="E1979" s="19">
        <v>12</v>
      </c>
      <c r="F1979" s="19">
        <v>135</v>
      </c>
      <c r="G1979" s="19">
        <v>488</v>
      </c>
      <c r="H1979" s="19">
        <v>12</v>
      </c>
      <c r="I1979" s="80">
        <v>6.19</v>
      </c>
      <c r="J1979" s="80">
        <v>74.28</v>
      </c>
      <c r="K1979" s="19" t="s">
        <v>184</v>
      </c>
      <c r="L1979" s="19" t="s">
        <v>2659</v>
      </c>
      <c r="Q1979" s="20">
        <v>24</v>
      </c>
      <c r="R1979" s="65" t="s">
        <v>2010</v>
      </c>
      <c r="T1979" s="19" t="s">
        <v>307</v>
      </c>
      <c r="V1979" s="19" t="s">
        <v>178</v>
      </c>
      <c r="W1979" s="19" t="s">
        <v>138</v>
      </c>
      <c r="Z1979" s="44" t="s">
        <v>2449</v>
      </c>
      <c r="AA1979" s="44" t="s">
        <v>180</v>
      </c>
      <c r="AC1979" s="19" t="s">
        <v>2660</v>
      </c>
    </row>
    <row r="1980" spans="1:29" x14ac:dyDescent="0.25">
      <c r="A1980" s="26">
        <v>219</v>
      </c>
      <c r="B1980" s="19" t="s">
        <v>2669</v>
      </c>
      <c r="C1980" s="44" t="s">
        <v>273</v>
      </c>
      <c r="D1980" s="19" t="s">
        <v>803</v>
      </c>
      <c r="E1980" s="19">
        <v>12</v>
      </c>
      <c r="F1980" s="19">
        <v>135</v>
      </c>
      <c r="G1980" s="19">
        <v>488</v>
      </c>
      <c r="H1980" s="19">
        <v>12</v>
      </c>
      <c r="I1980" s="80">
        <v>6.19</v>
      </c>
      <c r="J1980" s="80">
        <v>74.28</v>
      </c>
      <c r="K1980" s="19" t="s">
        <v>184</v>
      </c>
      <c r="L1980" s="19" t="s">
        <v>2659</v>
      </c>
      <c r="Q1980" s="20">
        <v>24</v>
      </c>
      <c r="R1980" s="65" t="s">
        <v>2010</v>
      </c>
      <c r="T1980" s="19" t="s">
        <v>307</v>
      </c>
      <c r="V1980" s="19" t="s">
        <v>178</v>
      </c>
      <c r="W1980" s="19" t="s">
        <v>138</v>
      </c>
      <c r="Z1980" s="44" t="s">
        <v>2449</v>
      </c>
      <c r="AA1980" s="44" t="s">
        <v>180</v>
      </c>
      <c r="AC1980" s="19" t="s">
        <v>2660</v>
      </c>
    </row>
    <row r="1981" spans="1:29" x14ac:dyDescent="0.25">
      <c r="A1981" s="26">
        <v>220</v>
      </c>
      <c r="B1981" s="19" t="s">
        <v>2670</v>
      </c>
      <c r="C1981" s="44" t="s">
        <v>273</v>
      </c>
      <c r="D1981" s="19" t="s">
        <v>803</v>
      </c>
      <c r="E1981" s="19">
        <v>12</v>
      </c>
      <c r="F1981" s="19">
        <v>135</v>
      </c>
      <c r="G1981" s="19">
        <v>488</v>
      </c>
      <c r="H1981" s="19">
        <v>12</v>
      </c>
      <c r="I1981" s="80">
        <v>6.19</v>
      </c>
      <c r="J1981" s="80">
        <v>74.28</v>
      </c>
      <c r="K1981" s="19" t="s">
        <v>184</v>
      </c>
      <c r="L1981" s="19" t="s">
        <v>2659</v>
      </c>
      <c r="Q1981" s="20">
        <v>24</v>
      </c>
      <c r="R1981" s="65" t="s">
        <v>2010</v>
      </c>
      <c r="T1981" s="19" t="s">
        <v>307</v>
      </c>
      <c r="V1981" s="19" t="s">
        <v>178</v>
      </c>
      <c r="W1981" s="19" t="s">
        <v>138</v>
      </c>
      <c r="Z1981" s="44" t="s">
        <v>2449</v>
      </c>
      <c r="AA1981" s="44" t="s">
        <v>180</v>
      </c>
      <c r="AC1981" s="19" t="s">
        <v>2660</v>
      </c>
    </row>
    <row r="1982" spans="1:29" x14ac:dyDescent="0.25">
      <c r="A1982" s="26">
        <v>221</v>
      </c>
      <c r="B1982" s="19" t="s">
        <v>2671</v>
      </c>
      <c r="C1982" s="44" t="s">
        <v>273</v>
      </c>
      <c r="D1982" s="19" t="s">
        <v>803</v>
      </c>
      <c r="E1982" s="19">
        <v>12</v>
      </c>
      <c r="F1982" s="19">
        <v>135</v>
      </c>
      <c r="G1982" s="19">
        <v>488</v>
      </c>
      <c r="H1982" s="19">
        <v>17</v>
      </c>
      <c r="I1982" s="80">
        <v>6.19</v>
      </c>
      <c r="J1982" s="80">
        <v>105.23</v>
      </c>
      <c r="K1982" s="19" t="s">
        <v>184</v>
      </c>
      <c r="L1982" s="19" t="s">
        <v>2659</v>
      </c>
      <c r="Q1982" s="20">
        <v>24</v>
      </c>
      <c r="R1982" s="65" t="s">
        <v>2010</v>
      </c>
      <c r="T1982" s="19" t="s">
        <v>307</v>
      </c>
      <c r="V1982" s="19" t="s">
        <v>178</v>
      </c>
      <c r="W1982" s="19" t="s">
        <v>138</v>
      </c>
      <c r="Z1982" s="44" t="s">
        <v>2449</v>
      </c>
      <c r="AA1982" s="44" t="s">
        <v>180</v>
      </c>
      <c r="AC1982" s="19" t="s">
        <v>2660</v>
      </c>
    </row>
    <row r="1983" spans="1:29" x14ac:dyDescent="0.25">
      <c r="A1983" s="26">
        <v>222</v>
      </c>
      <c r="B1983" s="19" t="s">
        <v>2672</v>
      </c>
      <c r="C1983" s="44" t="s">
        <v>273</v>
      </c>
      <c r="D1983" s="19" t="s">
        <v>874</v>
      </c>
      <c r="E1983" s="19">
        <v>12</v>
      </c>
      <c r="F1983" s="19">
        <v>100</v>
      </c>
      <c r="G1983" s="19">
        <v>150</v>
      </c>
      <c r="H1983" s="19">
        <v>1</v>
      </c>
      <c r="I1983" s="80">
        <v>1.41</v>
      </c>
      <c r="J1983" s="80">
        <v>1.41</v>
      </c>
      <c r="K1983" s="19" t="s">
        <v>184</v>
      </c>
      <c r="L1983" s="19" t="s">
        <v>2659</v>
      </c>
      <c r="Q1983" s="20">
        <v>24</v>
      </c>
      <c r="R1983" s="65" t="s">
        <v>2010</v>
      </c>
      <c r="T1983" s="19" t="s">
        <v>307</v>
      </c>
      <c r="V1983" s="19" t="s">
        <v>178</v>
      </c>
      <c r="W1983" s="19" t="s">
        <v>138</v>
      </c>
      <c r="Z1983" s="44" t="s">
        <v>2449</v>
      </c>
      <c r="AA1983" s="44" t="s">
        <v>180</v>
      </c>
      <c r="AC1983" s="19" t="s">
        <v>2660</v>
      </c>
    </row>
    <row r="1984" spans="1:29" x14ac:dyDescent="0.25">
      <c r="A1984" s="26">
        <v>223</v>
      </c>
      <c r="B1984" s="19" t="s">
        <v>2673</v>
      </c>
      <c r="C1984" s="44" t="s">
        <v>273</v>
      </c>
      <c r="D1984" s="19" t="s">
        <v>874</v>
      </c>
      <c r="E1984" s="19">
        <v>12</v>
      </c>
      <c r="F1984" s="19">
        <v>100</v>
      </c>
      <c r="G1984" s="19">
        <v>150</v>
      </c>
      <c r="H1984" s="19">
        <v>1</v>
      </c>
      <c r="I1984" s="80">
        <v>1.41</v>
      </c>
      <c r="J1984" s="80">
        <v>1.41</v>
      </c>
      <c r="K1984" s="19" t="s">
        <v>184</v>
      </c>
      <c r="L1984" s="19" t="s">
        <v>2659</v>
      </c>
      <c r="Q1984" s="20">
        <v>24</v>
      </c>
      <c r="R1984" s="65" t="s">
        <v>2010</v>
      </c>
      <c r="T1984" s="19" t="s">
        <v>307</v>
      </c>
      <c r="V1984" s="19" t="s">
        <v>178</v>
      </c>
      <c r="W1984" s="19" t="s">
        <v>138</v>
      </c>
      <c r="Z1984" s="44" t="s">
        <v>2449</v>
      </c>
      <c r="AA1984" s="44" t="s">
        <v>180</v>
      </c>
      <c r="AC1984" s="19" t="s">
        <v>2660</v>
      </c>
    </row>
    <row r="1985" spans="1:29" x14ac:dyDescent="0.25">
      <c r="A1985" s="26">
        <v>224</v>
      </c>
      <c r="B1985" s="19" t="s">
        <v>2674</v>
      </c>
      <c r="C1985" s="44" t="s">
        <v>273</v>
      </c>
      <c r="D1985" s="19" t="s">
        <v>812</v>
      </c>
      <c r="E1985" s="19">
        <v>12</v>
      </c>
      <c r="F1985" s="19">
        <v>490</v>
      </c>
      <c r="G1985" s="19">
        <v>6464</v>
      </c>
      <c r="H1985" s="19">
        <v>1</v>
      </c>
      <c r="I1985" s="80">
        <v>298.16000000000003</v>
      </c>
      <c r="J1985" s="80">
        <v>298.16000000000003</v>
      </c>
      <c r="K1985" s="19" t="s">
        <v>184</v>
      </c>
      <c r="L1985" s="19" t="s">
        <v>2659</v>
      </c>
      <c r="Q1985" s="20">
        <v>24</v>
      </c>
      <c r="R1985" s="65" t="s">
        <v>2010</v>
      </c>
      <c r="T1985" s="19" t="s">
        <v>307</v>
      </c>
      <c r="V1985" s="19" t="s">
        <v>178</v>
      </c>
      <c r="Y1985" s="19" t="s">
        <v>138</v>
      </c>
      <c r="Z1985" s="44" t="s">
        <v>2449</v>
      </c>
      <c r="AA1985" s="44" t="s">
        <v>180</v>
      </c>
      <c r="AC1985" s="19" t="s">
        <v>2660</v>
      </c>
    </row>
    <row r="1986" spans="1:29" x14ac:dyDescent="0.25">
      <c r="A1986" s="26">
        <v>225</v>
      </c>
      <c r="B1986" s="19" t="s">
        <v>2675</v>
      </c>
      <c r="C1986" s="44" t="s">
        <v>273</v>
      </c>
      <c r="D1986" s="19" t="s">
        <v>812</v>
      </c>
      <c r="E1986" s="19">
        <v>12</v>
      </c>
      <c r="F1986" s="19">
        <v>490</v>
      </c>
      <c r="G1986" s="19">
        <v>6464</v>
      </c>
      <c r="H1986" s="19">
        <v>1</v>
      </c>
      <c r="I1986" s="80">
        <v>298.16000000000003</v>
      </c>
      <c r="J1986" s="80">
        <v>298.16000000000003</v>
      </c>
      <c r="K1986" s="19" t="s">
        <v>184</v>
      </c>
      <c r="L1986" s="19" t="s">
        <v>2659</v>
      </c>
      <c r="Q1986" s="20">
        <v>24</v>
      </c>
      <c r="R1986" s="65" t="s">
        <v>2010</v>
      </c>
      <c r="T1986" s="19" t="s">
        <v>307</v>
      </c>
      <c r="V1986" s="19" t="s">
        <v>178</v>
      </c>
      <c r="Y1986" s="19" t="s">
        <v>138</v>
      </c>
      <c r="Z1986" s="44" t="s">
        <v>2449</v>
      </c>
      <c r="AA1986" s="44" t="s">
        <v>180</v>
      </c>
      <c r="AC1986" s="19" t="s">
        <v>2660</v>
      </c>
    </row>
    <row r="1987" spans="1:29" x14ac:dyDescent="0.25">
      <c r="A1987" s="26">
        <v>226</v>
      </c>
      <c r="B1987" s="19" t="s">
        <v>2676</v>
      </c>
      <c r="C1987" s="44" t="s">
        <v>273</v>
      </c>
      <c r="D1987" s="19" t="s">
        <v>812</v>
      </c>
      <c r="E1987" s="19">
        <v>12</v>
      </c>
      <c r="F1987" s="19">
        <v>490</v>
      </c>
      <c r="G1987" s="19">
        <v>6464</v>
      </c>
      <c r="H1987" s="19">
        <v>1</v>
      </c>
      <c r="I1987" s="80">
        <v>298.16000000000003</v>
      </c>
      <c r="J1987" s="80">
        <v>298.16000000000003</v>
      </c>
      <c r="K1987" s="19" t="s">
        <v>184</v>
      </c>
      <c r="L1987" s="19" t="s">
        <v>2659</v>
      </c>
      <c r="Q1987" s="20">
        <v>24</v>
      </c>
      <c r="R1987" s="65" t="s">
        <v>2010</v>
      </c>
      <c r="T1987" s="19" t="s">
        <v>307</v>
      </c>
      <c r="V1987" s="19" t="s">
        <v>178</v>
      </c>
      <c r="Y1987" s="19" t="s">
        <v>138</v>
      </c>
      <c r="Z1987" s="44" t="s">
        <v>2449</v>
      </c>
      <c r="AA1987" s="44" t="s">
        <v>180</v>
      </c>
      <c r="AC1987" s="19" t="s">
        <v>2660</v>
      </c>
    </row>
    <row r="1988" spans="1:29" x14ac:dyDescent="0.25">
      <c r="A1988" s="26">
        <v>227</v>
      </c>
      <c r="B1988" s="19" t="s">
        <v>2677</v>
      </c>
      <c r="C1988" s="44" t="s">
        <v>273</v>
      </c>
      <c r="D1988" s="19" t="s">
        <v>812</v>
      </c>
      <c r="E1988" s="19">
        <v>12</v>
      </c>
      <c r="F1988" s="19">
        <v>490</v>
      </c>
      <c r="G1988" s="19">
        <v>6464</v>
      </c>
      <c r="H1988" s="19">
        <v>1</v>
      </c>
      <c r="I1988" s="80">
        <v>298.16000000000003</v>
      </c>
      <c r="J1988" s="80">
        <v>298.16000000000003</v>
      </c>
      <c r="K1988" s="19" t="s">
        <v>184</v>
      </c>
      <c r="L1988" s="19" t="s">
        <v>2659</v>
      </c>
      <c r="Q1988" s="20">
        <v>24</v>
      </c>
      <c r="R1988" s="65" t="s">
        <v>2010</v>
      </c>
      <c r="T1988" s="19" t="s">
        <v>307</v>
      </c>
      <c r="V1988" s="19" t="s">
        <v>178</v>
      </c>
      <c r="Y1988" s="19" t="s">
        <v>138</v>
      </c>
      <c r="Z1988" s="44" t="s">
        <v>2449</v>
      </c>
      <c r="AA1988" s="44" t="s">
        <v>180</v>
      </c>
      <c r="AC1988" s="19" t="s">
        <v>2660</v>
      </c>
    </row>
    <row r="1989" spans="1:29" x14ac:dyDescent="0.25">
      <c r="A1989" s="26">
        <v>228</v>
      </c>
      <c r="B1989" s="19" t="s">
        <v>2678</v>
      </c>
      <c r="C1989" s="44" t="s">
        <v>273</v>
      </c>
      <c r="D1989" s="19" t="s">
        <v>812</v>
      </c>
      <c r="E1989" s="19">
        <v>12</v>
      </c>
      <c r="F1989" s="19">
        <v>490</v>
      </c>
      <c r="G1989" s="19">
        <v>6464</v>
      </c>
      <c r="H1989" s="19">
        <v>1</v>
      </c>
      <c r="I1989" s="80">
        <v>298.16000000000003</v>
      </c>
      <c r="J1989" s="80">
        <v>298.16000000000003</v>
      </c>
      <c r="K1989" s="19" t="s">
        <v>184</v>
      </c>
      <c r="L1989" s="19" t="s">
        <v>2679</v>
      </c>
      <c r="Q1989" s="20">
        <v>24</v>
      </c>
      <c r="R1989" s="65" t="s">
        <v>2010</v>
      </c>
      <c r="T1989" s="19" t="s">
        <v>307</v>
      </c>
      <c r="V1989" s="19" t="s">
        <v>178</v>
      </c>
      <c r="Y1989" s="19" t="s">
        <v>138</v>
      </c>
      <c r="Z1989" s="44" t="s">
        <v>2449</v>
      </c>
      <c r="AA1989" s="44" t="s">
        <v>180</v>
      </c>
      <c r="AC1989" s="19" t="s">
        <v>2680</v>
      </c>
    </row>
    <row r="1990" spans="1:29" x14ac:dyDescent="0.25">
      <c r="A1990" s="26">
        <v>229</v>
      </c>
      <c r="B1990" s="19" t="s">
        <v>2681</v>
      </c>
      <c r="C1990" s="44" t="s">
        <v>273</v>
      </c>
      <c r="D1990" s="19" t="s">
        <v>812</v>
      </c>
      <c r="E1990" s="19">
        <v>12</v>
      </c>
      <c r="F1990" s="19">
        <v>490</v>
      </c>
      <c r="G1990" s="19">
        <v>6464</v>
      </c>
      <c r="H1990" s="19">
        <v>1</v>
      </c>
      <c r="I1990" s="80">
        <v>298.16000000000003</v>
      </c>
      <c r="J1990" s="80">
        <v>298.16000000000003</v>
      </c>
      <c r="K1990" s="19" t="s">
        <v>184</v>
      </c>
      <c r="L1990" s="19" t="s">
        <v>2679</v>
      </c>
      <c r="Q1990" s="20">
        <v>24</v>
      </c>
      <c r="R1990" s="65" t="s">
        <v>2010</v>
      </c>
      <c r="T1990" s="19" t="s">
        <v>307</v>
      </c>
      <c r="V1990" s="19" t="s">
        <v>178</v>
      </c>
      <c r="Y1990" s="19" t="s">
        <v>138</v>
      </c>
      <c r="Z1990" s="44" t="s">
        <v>2449</v>
      </c>
      <c r="AA1990" s="44" t="s">
        <v>180</v>
      </c>
      <c r="AC1990" s="19" t="s">
        <v>2680</v>
      </c>
    </row>
    <row r="1991" spans="1:29" x14ac:dyDescent="0.25">
      <c r="A1991" s="26">
        <v>230</v>
      </c>
      <c r="B1991" s="19" t="s">
        <v>2682</v>
      </c>
      <c r="C1991" s="44" t="s">
        <v>273</v>
      </c>
      <c r="D1991" s="19" t="s">
        <v>812</v>
      </c>
      <c r="E1991" s="19">
        <v>12</v>
      </c>
      <c r="F1991" s="19">
        <v>490</v>
      </c>
      <c r="G1991" s="19">
        <v>6464</v>
      </c>
      <c r="H1991" s="19">
        <v>1</v>
      </c>
      <c r="I1991" s="80">
        <v>298.16000000000003</v>
      </c>
      <c r="J1991" s="80">
        <v>298.16000000000003</v>
      </c>
      <c r="K1991" s="19" t="s">
        <v>184</v>
      </c>
      <c r="L1991" s="19" t="s">
        <v>2679</v>
      </c>
      <c r="Q1991" s="20">
        <v>24</v>
      </c>
      <c r="R1991" s="65" t="s">
        <v>2010</v>
      </c>
      <c r="T1991" s="19" t="s">
        <v>307</v>
      </c>
      <c r="V1991" s="19" t="s">
        <v>178</v>
      </c>
      <c r="Y1991" s="19" t="s">
        <v>138</v>
      </c>
      <c r="Z1991" s="44" t="s">
        <v>2449</v>
      </c>
      <c r="AA1991" s="44" t="s">
        <v>180</v>
      </c>
      <c r="AC1991" s="19" t="s">
        <v>2680</v>
      </c>
    </row>
    <row r="1992" spans="1:29" x14ac:dyDescent="0.25">
      <c r="A1992" s="26">
        <v>231</v>
      </c>
      <c r="B1992" s="19" t="s">
        <v>2683</v>
      </c>
      <c r="C1992" s="44" t="s">
        <v>273</v>
      </c>
      <c r="D1992" s="19" t="s">
        <v>812</v>
      </c>
      <c r="E1992" s="19">
        <v>12</v>
      </c>
      <c r="F1992" s="19">
        <v>490</v>
      </c>
      <c r="G1992" s="19">
        <v>6464</v>
      </c>
      <c r="H1992" s="19">
        <v>1</v>
      </c>
      <c r="I1992" s="80">
        <v>298.16000000000003</v>
      </c>
      <c r="J1992" s="80">
        <v>298.16000000000003</v>
      </c>
      <c r="K1992" s="19" t="s">
        <v>184</v>
      </c>
      <c r="L1992" s="19" t="s">
        <v>2679</v>
      </c>
      <c r="Q1992" s="20">
        <v>24</v>
      </c>
      <c r="R1992" s="65" t="s">
        <v>2010</v>
      </c>
      <c r="T1992" s="19" t="s">
        <v>307</v>
      </c>
      <c r="V1992" s="19" t="s">
        <v>178</v>
      </c>
      <c r="Y1992" s="19" t="s">
        <v>138</v>
      </c>
      <c r="Z1992" s="44" t="s">
        <v>2449</v>
      </c>
      <c r="AA1992" s="44" t="s">
        <v>180</v>
      </c>
      <c r="AC1992" s="19" t="s">
        <v>2680</v>
      </c>
    </row>
    <row r="1993" spans="1:29" x14ac:dyDescent="0.25">
      <c r="A1993" s="26">
        <v>232</v>
      </c>
      <c r="B1993" s="19" t="s">
        <v>2684</v>
      </c>
      <c r="C1993" s="44" t="s">
        <v>273</v>
      </c>
      <c r="D1993" s="19" t="s">
        <v>803</v>
      </c>
      <c r="E1993" s="19">
        <v>12</v>
      </c>
      <c r="F1993" s="19">
        <v>135</v>
      </c>
      <c r="G1993" s="19">
        <v>488</v>
      </c>
      <c r="H1993" s="19">
        <v>12</v>
      </c>
      <c r="I1993" s="80">
        <v>6.19</v>
      </c>
      <c r="J1993" s="80">
        <v>74.28</v>
      </c>
      <c r="K1993" s="19" t="s">
        <v>184</v>
      </c>
      <c r="L1993" s="19" t="s">
        <v>2679</v>
      </c>
      <c r="Q1993" s="20">
        <v>24</v>
      </c>
      <c r="R1993" s="65" t="s">
        <v>2010</v>
      </c>
      <c r="T1993" s="19" t="s">
        <v>307</v>
      </c>
      <c r="V1993" s="19" t="s">
        <v>178</v>
      </c>
      <c r="W1993" s="19" t="s">
        <v>138</v>
      </c>
      <c r="Z1993" s="44" t="s">
        <v>2449</v>
      </c>
      <c r="AA1993" s="44" t="s">
        <v>180</v>
      </c>
      <c r="AC1993" s="19" t="s">
        <v>2680</v>
      </c>
    </row>
    <row r="1994" spans="1:29" x14ac:dyDescent="0.25">
      <c r="A1994" s="26">
        <v>233</v>
      </c>
      <c r="B1994" s="19" t="s">
        <v>2685</v>
      </c>
      <c r="C1994" s="44" t="s">
        <v>273</v>
      </c>
      <c r="D1994" s="19" t="s">
        <v>803</v>
      </c>
      <c r="E1994" s="19">
        <v>12</v>
      </c>
      <c r="F1994" s="19">
        <v>135</v>
      </c>
      <c r="G1994" s="19">
        <v>488</v>
      </c>
      <c r="H1994" s="19">
        <v>4</v>
      </c>
      <c r="I1994" s="80">
        <v>6.19</v>
      </c>
      <c r="J1994" s="80">
        <v>24.76</v>
      </c>
      <c r="K1994" s="19" t="s">
        <v>184</v>
      </c>
      <c r="L1994" s="19" t="s">
        <v>2679</v>
      </c>
      <c r="Q1994" s="20">
        <v>24</v>
      </c>
      <c r="R1994" s="65" t="s">
        <v>2010</v>
      </c>
      <c r="T1994" s="19" t="s">
        <v>307</v>
      </c>
      <c r="V1994" s="19" t="s">
        <v>178</v>
      </c>
      <c r="W1994" s="19" t="s">
        <v>138</v>
      </c>
      <c r="Z1994" s="44" t="s">
        <v>2449</v>
      </c>
      <c r="AA1994" s="44" t="s">
        <v>180</v>
      </c>
      <c r="AC1994" s="19" t="s">
        <v>2680</v>
      </c>
    </row>
    <row r="1995" spans="1:29" x14ac:dyDescent="0.25">
      <c r="A1995" s="26">
        <v>234</v>
      </c>
      <c r="B1995" s="19" t="s">
        <v>2686</v>
      </c>
      <c r="C1995" s="44" t="s">
        <v>273</v>
      </c>
      <c r="D1995" s="19" t="s">
        <v>803</v>
      </c>
      <c r="E1995" s="19">
        <v>12</v>
      </c>
      <c r="F1995" s="19">
        <v>135</v>
      </c>
      <c r="G1995" s="19">
        <v>488</v>
      </c>
      <c r="H1995" s="19">
        <v>12</v>
      </c>
      <c r="I1995" s="80">
        <v>6.19</v>
      </c>
      <c r="J1995" s="80">
        <v>74.28</v>
      </c>
      <c r="K1995" s="19" t="s">
        <v>184</v>
      </c>
      <c r="L1995" s="19" t="s">
        <v>2679</v>
      </c>
      <c r="Q1995" s="20">
        <v>24</v>
      </c>
      <c r="R1995" s="65" t="s">
        <v>2010</v>
      </c>
      <c r="T1995" s="19" t="s">
        <v>307</v>
      </c>
      <c r="V1995" s="19" t="s">
        <v>178</v>
      </c>
      <c r="W1995" s="19" t="s">
        <v>138</v>
      </c>
      <c r="Z1995" s="44" t="s">
        <v>2449</v>
      </c>
      <c r="AA1995" s="44" t="s">
        <v>180</v>
      </c>
      <c r="AC1995" s="19" t="s">
        <v>2680</v>
      </c>
    </row>
    <row r="1996" spans="1:29" x14ac:dyDescent="0.25">
      <c r="A1996" s="26">
        <v>235</v>
      </c>
      <c r="B1996" s="19" t="s">
        <v>2687</v>
      </c>
      <c r="C1996" s="44" t="s">
        <v>273</v>
      </c>
      <c r="D1996" s="19" t="s">
        <v>803</v>
      </c>
      <c r="E1996" s="19">
        <v>12</v>
      </c>
      <c r="F1996" s="19">
        <v>135</v>
      </c>
      <c r="G1996" s="19">
        <v>488</v>
      </c>
      <c r="H1996" s="19">
        <v>12</v>
      </c>
      <c r="I1996" s="80">
        <v>6.19</v>
      </c>
      <c r="J1996" s="80">
        <v>74.28</v>
      </c>
      <c r="K1996" s="19" t="s">
        <v>184</v>
      </c>
      <c r="L1996" s="19" t="s">
        <v>2679</v>
      </c>
      <c r="Q1996" s="20">
        <v>24</v>
      </c>
      <c r="R1996" s="65" t="s">
        <v>2010</v>
      </c>
      <c r="T1996" s="19" t="s">
        <v>307</v>
      </c>
      <c r="V1996" s="19" t="s">
        <v>178</v>
      </c>
      <c r="W1996" s="19" t="s">
        <v>138</v>
      </c>
      <c r="Z1996" s="44" t="s">
        <v>2449</v>
      </c>
      <c r="AA1996" s="44" t="s">
        <v>180</v>
      </c>
      <c r="AC1996" s="19" t="s">
        <v>2680</v>
      </c>
    </row>
    <row r="1997" spans="1:29" x14ac:dyDescent="0.25">
      <c r="A1997" s="26">
        <v>236</v>
      </c>
      <c r="B1997" s="19" t="s">
        <v>2688</v>
      </c>
      <c r="C1997" s="44" t="s">
        <v>273</v>
      </c>
      <c r="D1997" s="19" t="s">
        <v>803</v>
      </c>
      <c r="E1997" s="19">
        <v>12</v>
      </c>
      <c r="F1997" s="19">
        <v>135</v>
      </c>
      <c r="G1997" s="19">
        <v>488</v>
      </c>
      <c r="H1997" s="19">
        <v>12</v>
      </c>
      <c r="I1997" s="80">
        <v>6.19</v>
      </c>
      <c r="J1997" s="80">
        <v>74.28</v>
      </c>
      <c r="K1997" s="19" t="s">
        <v>184</v>
      </c>
      <c r="L1997" s="19" t="s">
        <v>2679</v>
      </c>
      <c r="Q1997" s="20">
        <v>24</v>
      </c>
      <c r="R1997" s="65" t="s">
        <v>2010</v>
      </c>
      <c r="T1997" s="19" t="s">
        <v>307</v>
      </c>
      <c r="V1997" s="19" t="s">
        <v>178</v>
      </c>
      <c r="W1997" s="19" t="s">
        <v>138</v>
      </c>
      <c r="Z1997" s="44" t="s">
        <v>2449</v>
      </c>
      <c r="AA1997" s="44" t="s">
        <v>180</v>
      </c>
      <c r="AC1997" s="19" t="s">
        <v>2680</v>
      </c>
    </row>
    <row r="1998" spans="1:29" x14ac:dyDescent="0.25">
      <c r="A1998" s="26">
        <v>237</v>
      </c>
      <c r="B1998" s="19" t="s">
        <v>2689</v>
      </c>
      <c r="C1998" s="44" t="s">
        <v>273</v>
      </c>
      <c r="D1998" s="19" t="s">
        <v>803</v>
      </c>
      <c r="E1998" s="19">
        <v>12</v>
      </c>
      <c r="F1998" s="19">
        <v>135</v>
      </c>
      <c r="G1998" s="19">
        <v>488</v>
      </c>
      <c r="H1998" s="19">
        <v>12</v>
      </c>
      <c r="I1998" s="80">
        <v>6.19</v>
      </c>
      <c r="J1998" s="80">
        <v>74.28</v>
      </c>
      <c r="K1998" s="19" t="s">
        <v>184</v>
      </c>
      <c r="L1998" s="19" t="s">
        <v>2679</v>
      </c>
      <c r="Q1998" s="20">
        <v>24</v>
      </c>
      <c r="R1998" s="65" t="s">
        <v>2010</v>
      </c>
      <c r="T1998" s="19" t="s">
        <v>307</v>
      </c>
      <c r="V1998" s="19" t="s">
        <v>178</v>
      </c>
      <c r="W1998" s="19" t="s">
        <v>138</v>
      </c>
      <c r="Z1998" s="44" t="s">
        <v>2449</v>
      </c>
      <c r="AA1998" s="44" t="s">
        <v>180</v>
      </c>
      <c r="AC1998" s="19" t="s">
        <v>2680</v>
      </c>
    </row>
    <row r="1999" spans="1:29" x14ac:dyDescent="0.25">
      <c r="A1999" s="26">
        <v>238</v>
      </c>
      <c r="B1999" s="19" t="s">
        <v>2665</v>
      </c>
      <c r="C1999" s="44" t="s">
        <v>273</v>
      </c>
      <c r="D1999" s="19" t="s">
        <v>803</v>
      </c>
      <c r="E1999" s="19">
        <v>12</v>
      </c>
      <c r="F1999" s="19">
        <v>135</v>
      </c>
      <c r="G1999" s="19">
        <v>488</v>
      </c>
      <c r="H1999" s="19">
        <v>5</v>
      </c>
      <c r="I1999" s="80">
        <v>6.19</v>
      </c>
      <c r="J1999" s="80">
        <v>30.95</v>
      </c>
      <c r="K1999" s="19" t="s">
        <v>184</v>
      </c>
      <c r="L1999" s="19" t="s">
        <v>2679</v>
      </c>
      <c r="Q1999" s="20">
        <v>24</v>
      </c>
      <c r="R1999" s="65" t="s">
        <v>2010</v>
      </c>
      <c r="T1999" s="19" t="s">
        <v>307</v>
      </c>
      <c r="V1999" s="19" t="s">
        <v>178</v>
      </c>
      <c r="W1999" s="19" t="s">
        <v>138</v>
      </c>
      <c r="Z1999" s="44" t="s">
        <v>2449</v>
      </c>
      <c r="AA1999" s="44" t="s">
        <v>180</v>
      </c>
      <c r="AC1999" s="19" t="s">
        <v>2680</v>
      </c>
    </row>
    <row r="2000" spans="1:29" x14ac:dyDescent="0.25">
      <c r="A2000" s="26">
        <v>239</v>
      </c>
      <c r="B2000" s="19" t="s">
        <v>2690</v>
      </c>
      <c r="C2000" s="44" t="s">
        <v>273</v>
      </c>
      <c r="D2000" s="19" t="s">
        <v>803</v>
      </c>
      <c r="E2000" s="19">
        <v>12</v>
      </c>
      <c r="F2000" s="19">
        <v>135</v>
      </c>
      <c r="G2000" s="19">
        <v>488</v>
      </c>
      <c r="H2000" s="19">
        <v>3</v>
      </c>
      <c r="I2000" s="80">
        <v>6.19</v>
      </c>
      <c r="J2000" s="80">
        <v>18.57</v>
      </c>
      <c r="K2000" s="19" t="s">
        <v>184</v>
      </c>
      <c r="L2000" s="19" t="s">
        <v>2679</v>
      </c>
      <c r="Q2000" s="20">
        <v>24</v>
      </c>
      <c r="R2000" s="65" t="s">
        <v>2010</v>
      </c>
      <c r="T2000" s="19" t="s">
        <v>307</v>
      </c>
      <c r="V2000" s="19" t="s">
        <v>178</v>
      </c>
      <c r="W2000" s="19" t="s">
        <v>138</v>
      </c>
      <c r="Z2000" s="44" t="s">
        <v>2449</v>
      </c>
      <c r="AA2000" s="44" t="s">
        <v>180</v>
      </c>
      <c r="AC2000" s="19" t="s">
        <v>2680</v>
      </c>
    </row>
    <row r="2001" spans="1:29" x14ac:dyDescent="0.25">
      <c r="A2001" s="26">
        <v>240</v>
      </c>
      <c r="B2001" s="19" t="s">
        <v>2691</v>
      </c>
      <c r="C2001" s="44" t="s">
        <v>273</v>
      </c>
      <c r="D2001" s="19" t="s">
        <v>803</v>
      </c>
      <c r="E2001" s="19">
        <v>12</v>
      </c>
      <c r="F2001" s="19">
        <v>135</v>
      </c>
      <c r="G2001" s="19">
        <v>488</v>
      </c>
      <c r="H2001" s="19">
        <v>4</v>
      </c>
      <c r="I2001" s="80">
        <v>6.19</v>
      </c>
      <c r="J2001" s="80">
        <v>24.76</v>
      </c>
      <c r="K2001" s="19" t="s">
        <v>184</v>
      </c>
      <c r="L2001" s="19" t="s">
        <v>2679</v>
      </c>
      <c r="Q2001" s="20">
        <v>24</v>
      </c>
      <c r="R2001" s="65" t="s">
        <v>2010</v>
      </c>
      <c r="T2001" s="19" t="s">
        <v>307</v>
      </c>
      <c r="V2001" s="19" t="s">
        <v>178</v>
      </c>
      <c r="W2001" s="19" t="s">
        <v>138</v>
      </c>
      <c r="Z2001" s="44" t="s">
        <v>2449</v>
      </c>
      <c r="AA2001" s="44" t="s">
        <v>180</v>
      </c>
      <c r="AC2001" s="19" t="s">
        <v>2680</v>
      </c>
    </row>
    <row r="2002" spans="1:29" x14ac:dyDescent="0.25">
      <c r="A2002" s="26">
        <v>241</v>
      </c>
      <c r="B2002" s="19" t="s">
        <v>2692</v>
      </c>
      <c r="C2002" s="44" t="s">
        <v>273</v>
      </c>
      <c r="D2002" s="19" t="s">
        <v>874</v>
      </c>
      <c r="E2002" s="19">
        <v>12</v>
      </c>
      <c r="F2002" s="19">
        <v>100</v>
      </c>
      <c r="G2002" s="19">
        <v>150</v>
      </c>
      <c r="H2002" s="19">
        <v>1</v>
      </c>
      <c r="I2002" s="80">
        <v>1.41</v>
      </c>
      <c r="J2002" s="80">
        <v>1.41</v>
      </c>
      <c r="K2002" s="19" t="s">
        <v>184</v>
      </c>
      <c r="L2002" s="19" t="s">
        <v>2679</v>
      </c>
      <c r="Q2002" s="20">
        <v>24</v>
      </c>
      <c r="R2002" s="65" t="s">
        <v>2010</v>
      </c>
      <c r="T2002" s="19" t="s">
        <v>307</v>
      </c>
      <c r="V2002" s="19" t="s">
        <v>178</v>
      </c>
      <c r="W2002" s="19" t="s">
        <v>138</v>
      </c>
      <c r="Z2002" s="44" t="s">
        <v>2449</v>
      </c>
      <c r="AA2002" s="44" t="s">
        <v>180</v>
      </c>
      <c r="AC2002" s="19" t="s">
        <v>2680</v>
      </c>
    </row>
    <row r="2003" spans="1:29" x14ac:dyDescent="0.25">
      <c r="A2003" s="26">
        <v>242</v>
      </c>
      <c r="B2003" s="19" t="s">
        <v>2693</v>
      </c>
      <c r="C2003" s="44" t="s">
        <v>273</v>
      </c>
      <c r="D2003" s="19" t="s">
        <v>803</v>
      </c>
      <c r="E2003" s="19">
        <v>12</v>
      </c>
      <c r="F2003" s="19">
        <v>135</v>
      </c>
      <c r="G2003" s="19">
        <v>488</v>
      </c>
      <c r="H2003" s="19">
        <v>4</v>
      </c>
      <c r="I2003" s="80">
        <v>6.19</v>
      </c>
      <c r="J2003" s="80">
        <v>24.76</v>
      </c>
      <c r="K2003" s="19" t="s">
        <v>184</v>
      </c>
      <c r="L2003" s="19" t="s">
        <v>2679</v>
      </c>
      <c r="Q2003" s="20">
        <v>24</v>
      </c>
      <c r="R2003" s="65" t="s">
        <v>2010</v>
      </c>
      <c r="T2003" s="19" t="s">
        <v>307</v>
      </c>
      <c r="V2003" s="19" t="s">
        <v>178</v>
      </c>
      <c r="W2003" s="19" t="s">
        <v>138</v>
      </c>
      <c r="Z2003" s="44" t="s">
        <v>2449</v>
      </c>
      <c r="AA2003" s="44" t="s">
        <v>180</v>
      </c>
      <c r="AC2003" s="19" t="s">
        <v>2680</v>
      </c>
    </row>
    <row r="2004" spans="1:29" x14ac:dyDescent="0.25">
      <c r="A2004" s="26">
        <v>243</v>
      </c>
      <c r="B2004" s="19" t="s">
        <v>2694</v>
      </c>
      <c r="C2004" s="44" t="s">
        <v>273</v>
      </c>
      <c r="D2004" s="19" t="s">
        <v>874</v>
      </c>
      <c r="E2004" s="19">
        <v>12</v>
      </c>
      <c r="F2004" s="19">
        <v>100</v>
      </c>
      <c r="G2004" s="19">
        <v>150</v>
      </c>
      <c r="H2004" s="19">
        <v>1</v>
      </c>
      <c r="I2004" s="80">
        <v>1.41</v>
      </c>
      <c r="J2004" s="80">
        <v>1.41</v>
      </c>
      <c r="K2004" s="19" t="s">
        <v>184</v>
      </c>
      <c r="L2004" s="19" t="s">
        <v>2679</v>
      </c>
      <c r="Q2004" s="20">
        <v>24</v>
      </c>
      <c r="R2004" s="65" t="s">
        <v>2010</v>
      </c>
      <c r="T2004" s="19" t="s">
        <v>307</v>
      </c>
      <c r="V2004" s="19" t="s">
        <v>178</v>
      </c>
      <c r="W2004" s="19" t="s">
        <v>138</v>
      </c>
      <c r="Z2004" s="44" t="s">
        <v>2449</v>
      </c>
      <c r="AA2004" s="44" t="s">
        <v>180</v>
      </c>
      <c r="AC2004" s="19" t="s">
        <v>2680</v>
      </c>
    </row>
    <row r="2005" spans="1:29" x14ac:dyDescent="0.25">
      <c r="A2005" s="26">
        <v>244</v>
      </c>
      <c r="B2005" s="19" t="s">
        <v>2695</v>
      </c>
      <c r="C2005" s="44" t="s">
        <v>273</v>
      </c>
      <c r="D2005" s="19" t="s">
        <v>803</v>
      </c>
      <c r="E2005" s="19">
        <v>12</v>
      </c>
      <c r="F2005" s="19">
        <v>135</v>
      </c>
      <c r="G2005" s="19">
        <v>488</v>
      </c>
      <c r="H2005" s="19">
        <v>4</v>
      </c>
      <c r="I2005" s="80">
        <v>6.19</v>
      </c>
      <c r="J2005" s="80">
        <v>24.76</v>
      </c>
      <c r="K2005" s="19" t="s">
        <v>184</v>
      </c>
      <c r="L2005" s="19" t="s">
        <v>2679</v>
      </c>
      <c r="Q2005" s="20">
        <v>24</v>
      </c>
      <c r="R2005" s="65" t="s">
        <v>2010</v>
      </c>
      <c r="T2005" s="19" t="s">
        <v>307</v>
      </c>
      <c r="V2005" s="19" t="s">
        <v>178</v>
      </c>
      <c r="W2005" s="19" t="s">
        <v>138</v>
      </c>
      <c r="Z2005" s="44" t="s">
        <v>2449</v>
      </c>
      <c r="AA2005" s="44" t="s">
        <v>180</v>
      </c>
      <c r="AC2005" s="19" t="s">
        <v>2680</v>
      </c>
    </row>
    <row r="2006" spans="1:29" x14ac:dyDescent="0.25">
      <c r="A2006" s="26">
        <v>245</v>
      </c>
      <c r="B2006" s="19" t="s">
        <v>2696</v>
      </c>
      <c r="C2006" s="44" t="s">
        <v>273</v>
      </c>
      <c r="D2006" s="19" t="s">
        <v>803</v>
      </c>
      <c r="E2006" s="19">
        <v>12</v>
      </c>
      <c r="F2006" s="19">
        <v>135</v>
      </c>
      <c r="G2006" s="19">
        <v>488</v>
      </c>
      <c r="H2006" s="19">
        <v>4</v>
      </c>
      <c r="I2006" s="80">
        <v>6.19</v>
      </c>
      <c r="J2006" s="80">
        <v>24.76</v>
      </c>
      <c r="K2006" s="19" t="s">
        <v>184</v>
      </c>
      <c r="L2006" s="19" t="s">
        <v>2679</v>
      </c>
      <c r="Q2006" s="20">
        <v>24</v>
      </c>
      <c r="R2006" s="65" t="s">
        <v>2010</v>
      </c>
      <c r="T2006" s="19" t="s">
        <v>307</v>
      </c>
      <c r="V2006" s="19" t="s">
        <v>178</v>
      </c>
      <c r="W2006" s="19" t="s">
        <v>138</v>
      </c>
      <c r="Z2006" s="44" t="s">
        <v>2449</v>
      </c>
      <c r="AA2006" s="44" t="s">
        <v>180</v>
      </c>
      <c r="AC2006" s="19" t="s">
        <v>2680</v>
      </c>
    </row>
    <row r="2007" spans="1:29" x14ac:dyDescent="0.25">
      <c r="A2007" s="26">
        <v>246</v>
      </c>
      <c r="B2007" s="19" t="s">
        <v>2697</v>
      </c>
      <c r="C2007" s="44" t="s">
        <v>273</v>
      </c>
      <c r="D2007" s="19" t="s">
        <v>803</v>
      </c>
      <c r="E2007" s="19">
        <v>12</v>
      </c>
      <c r="F2007" s="19">
        <v>135</v>
      </c>
      <c r="G2007" s="19">
        <v>488</v>
      </c>
      <c r="H2007" s="19">
        <v>12</v>
      </c>
      <c r="I2007" s="80">
        <v>6.19</v>
      </c>
      <c r="J2007" s="80">
        <v>74.28</v>
      </c>
      <c r="K2007" s="19" t="s">
        <v>184</v>
      </c>
      <c r="L2007" s="19" t="s">
        <v>2679</v>
      </c>
      <c r="Q2007" s="20">
        <v>24</v>
      </c>
      <c r="R2007" s="65" t="s">
        <v>2010</v>
      </c>
      <c r="T2007" s="19" t="s">
        <v>307</v>
      </c>
      <c r="V2007" s="19" t="s">
        <v>178</v>
      </c>
      <c r="W2007" s="19" t="s">
        <v>138</v>
      </c>
      <c r="Z2007" s="44" t="s">
        <v>2449</v>
      </c>
      <c r="AA2007" s="44" t="s">
        <v>180</v>
      </c>
      <c r="AC2007" s="19" t="s">
        <v>2680</v>
      </c>
    </row>
    <row r="2008" spans="1:29" x14ac:dyDescent="0.25">
      <c r="A2008" s="26">
        <v>247</v>
      </c>
      <c r="B2008" s="19" t="s">
        <v>2698</v>
      </c>
      <c r="C2008" s="44" t="s">
        <v>273</v>
      </c>
      <c r="D2008" s="19" t="s">
        <v>803</v>
      </c>
      <c r="E2008" s="19">
        <v>12</v>
      </c>
      <c r="F2008" s="19">
        <v>135</v>
      </c>
      <c r="G2008" s="19">
        <v>488</v>
      </c>
      <c r="H2008" s="19">
        <v>12</v>
      </c>
      <c r="I2008" s="80">
        <v>6.19</v>
      </c>
      <c r="J2008" s="80">
        <v>74.28</v>
      </c>
      <c r="K2008" s="19" t="s">
        <v>184</v>
      </c>
      <c r="L2008" s="19" t="s">
        <v>2679</v>
      </c>
      <c r="Q2008" s="20">
        <v>24</v>
      </c>
      <c r="R2008" s="65" t="s">
        <v>2010</v>
      </c>
      <c r="T2008" s="19" t="s">
        <v>307</v>
      </c>
      <c r="V2008" s="19" t="s">
        <v>178</v>
      </c>
      <c r="W2008" s="19" t="s">
        <v>138</v>
      </c>
      <c r="Z2008" s="44" t="s">
        <v>2449</v>
      </c>
      <c r="AA2008" s="44" t="s">
        <v>180</v>
      </c>
      <c r="AC2008" s="19" t="s">
        <v>2680</v>
      </c>
    </row>
    <row r="2009" spans="1:29" x14ac:dyDescent="0.25">
      <c r="A2009" s="26">
        <v>248</v>
      </c>
      <c r="B2009" s="19" t="s">
        <v>2699</v>
      </c>
      <c r="C2009" s="44" t="s">
        <v>273</v>
      </c>
      <c r="D2009" s="19" t="s">
        <v>803</v>
      </c>
      <c r="E2009" s="19">
        <v>12</v>
      </c>
      <c r="F2009" s="19">
        <v>135</v>
      </c>
      <c r="G2009" s="19">
        <v>488</v>
      </c>
      <c r="H2009" s="19">
        <v>12</v>
      </c>
      <c r="I2009" s="80">
        <v>6.19</v>
      </c>
      <c r="J2009" s="80">
        <v>74.28</v>
      </c>
      <c r="K2009" s="19" t="s">
        <v>184</v>
      </c>
      <c r="L2009" s="19" t="s">
        <v>2679</v>
      </c>
      <c r="Q2009" s="20">
        <v>24</v>
      </c>
      <c r="R2009" s="65" t="s">
        <v>2010</v>
      </c>
      <c r="T2009" s="19" t="s">
        <v>307</v>
      </c>
      <c r="V2009" s="19" t="s">
        <v>178</v>
      </c>
      <c r="W2009" s="19" t="s">
        <v>138</v>
      </c>
      <c r="Z2009" s="44" t="s">
        <v>2449</v>
      </c>
      <c r="AA2009" s="44" t="s">
        <v>180</v>
      </c>
      <c r="AC2009" s="19" t="s">
        <v>2680</v>
      </c>
    </row>
    <row r="2010" spans="1:29" x14ac:dyDescent="0.25">
      <c r="A2010" s="26">
        <v>249</v>
      </c>
      <c r="B2010" s="19" t="s">
        <v>2700</v>
      </c>
      <c r="C2010" s="44" t="s">
        <v>273</v>
      </c>
      <c r="D2010" s="19" t="s">
        <v>803</v>
      </c>
      <c r="E2010" s="19">
        <v>12</v>
      </c>
      <c r="F2010" s="19">
        <v>135</v>
      </c>
      <c r="G2010" s="19">
        <v>488</v>
      </c>
      <c r="H2010" s="19">
        <v>12</v>
      </c>
      <c r="I2010" s="80">
        <v>6.19</v>
      </c>
      <c r="J2010" s="80">
        <v>74.28</v>
      </c>
      <c r="K2010" s="19" t="s">
        <v>184</v>
      </c>
      <c r="L2010" s="19" t="s">
        <v>2679</v>
      </c>
      <c r="Q2010" s="20">
        <v>24</v>
      </c>
      <c r="R2010" s="65" t="s">
        <v>2010</v>
      </c>
      <c r="T2010" s="19" t="s">
        <v>307</v>
      </c>
      <c r="V2010" s="19" t="s">
        <v>178</v>
      </c>
      <c r="W2010" s="19" t="s">
        <v>138</v>
      </c>
      <c r="Z2010" s="44" t="s">
        <v>2449</v>
      </c>
      <c r="AA2010" s="44" t="s">
        <v>180</v>
      </c>
      <c r="AC2010" s="19" t="s">
        <v>2680</v>
      </c>
    </row>
    <row r="2011" spans="1:29" x14ac:dyDescent="0.25">
      <c r="A2011" s="26">
        <v>250</v>
      </c>
      <c r="B2011" s="19" t="s">
        <v>2701</v>
      </c>
      <c r="C2011" s="44" t="s">
        <v>273</v>
      </c>
      <c r="D2011" s="19" t="s">
        <v>803</v>
      </c>
      <c r="E2011" s="19">
        <v>12</v>
      </c>
      <c r="F2011" s="19">
        <v>135</v>
      </c>
      <c r="G2011" s="19">
        <v>488</v>
      </c>
      <c r="H2011" s="19">
        <v>12</v>
      </c>
      <c r="I2011" s="80">
        <v>6.19</v>
      </c>
      <c r="J2011" s="80">
        <v>74.28</v>
      </c>
      <c r="K2011" s="19" t="s">
        <v>184</v>
      </c>
      <c r="L2011" s="19" t="s">
        <v>2679</v>
      </c>
      <c r="Q2011" s="20">
        <v>24</v>
      </c>
      <c r="R2011" s="65" t="s">
        <v>2010</v>
      </c>
      <c r="T2011" s="19" t="s">
        <v>307</v>
      </c>
      <c r="V2011" s="19" t="s">
        <v>178</v>
      </c>
      <c r="W2011" s="19" t="s">
        <v>138</v>
      </c>
      <c r="Z2011" s="44" t="s">
        <v>2449</v>
      </c>
      <c r="AA2011" s="44" t="s">
        <v>180</v>
      </c>
      <c r="AC2011" s="19" t="s">
        <v>2680</v>
      </c>
    </row>
    <row r="2012" spans="1:29" x14ac:dyDescent="0.25">
      <c r="A2012" s="26">
        <v>251</v>
      </c>
      <c r="B2012" s="19" t="s">
        <v>2702</v>
      </c>
      <c r="C2012" s="44" t="s">
        <v>273</v>
      </c>
      <c r="D2012" s="19" t="s">
        <v>803</v>
      </c>
      <c r="E2012" s="19">
        <v>12</v>
      </c>
      <c r="F2012" s="19">
        <v>135</v>
      </c>
      <c r="G2012" s="19">
        <v>488</v>
      </c>
      <c r="H2012" s="19">
        <v>12</v>
      </c>
      <c r="I2012" s="80">
        <v>6.19</v>
      </c>
      <c r="J2012" s="80">
        <v>74.28</v>
      </c>
      <c r="K2012" s="19" t="s">
        <v>184</v>
      </c>
      <c r="L2012" s="19" t="s">
        <v>2679</v>
      </c>
      <c r="Q2012" s="20">
        <v>24</v>
      </c>
      <c r="R2012" s="65" t="s">
        <v>2010</v>
      </c>
      <c r="T2012" s="19" t="s">
        <v>307</v>
      </c>
      <c r="V2012" s="19" t="s">
        <v>178</v>
      </c>
      <c r="W2012" s="19" t="s">
        <v>138</v>
      </c>
      <c r="Z2012" s="44" t="s">
        <v>2449</v>
      </c>
      <c r="AA2012" s="44" t="s">
        <v>180</v>
      </c>
      <c r="AC2012" s="19" t="s">
        <v>2680</v>
      </c>
    </row>
    <row r="2013" spans="1:29" x14ac:dyDescent="0.25">
      <c r="A2013" s="26">
        <v>252</v>
      </c>
      <c r="B2013" s="19" t="s">
        <v>2703</v>
      </c>
      <c r="C2013" s="44" t="s">
        <v>273</v>
      </c>
      <c r="D2013" s="19" t="s">
        <v>812</v>
      </c>
      <c r="E2013" s="19">
        <v>12</v>
      </c>
      <c r="F2013" s="19">
        <v>490</v>
      </c>
      <c r="G2013" s="19">
        <v>6464</v>
      </c>
      <c r="H2013" s="19">
        <v>1</v>
      </c>
      <c r="I2013" s="80">
        <v>298.16000000000003</v>
      </c>
      <c r="J2013" s="80">
        <v>298.16000000000003</v>
      </c>
      <c r="K2013" s="19" t="s">
        <v>184</v>
      </c>
      <c r="L2013" s="19" t="s">
        <v>2704</v>
      </c>
      <c r="Q2013" s="20">
        <v>24</v>
      </c>
      <c r="R2013" s="65" t="s">
        <v>2010</v>
      </c>
      <c r="T2013" s="19" t="s">
        <v>307</v>
      </c>
      <c r="V2013" s="19" t="s">
        <v>178</v>
      </c>
      <c r="Y2013" s="19" t="s">
        <v>138</v>
      </c>
      <c r="Z2013" s="44" t="s">
        <v>2449</v>
      </c>
      <c r="AA2013" s="44" t="s">
        <v>180</v>
      </c>
      <c r="AC2013" s="19" t="s">
        <v>2705</v>
      </c>
    </row>
    <row r="2014" spans="1:29" x14ac:dyDescent="0.25">
      <c r="A2014" s="26">
        <v>253</v>
      </c>
      <c r="B2014" s="19" t="s">
        <v>2706</v>
      </c>
      <c r="C2014" s="44" t="s">
        <v>273</v>
      </c>
      <c r="D2014" s="19" t="s">
        <v>812</v>
      </c>
      <c r="E2014" s="19">
        <v>12</v>
      </c>
      <c r="F2014" s="19">
        <v>490</v>
      </c>
      <c r="G2014" s="19">
        <v>6464</v>
      </c>
      <c r="H2014" s="19">
        <v>1</v>
      </c>
      <c r="I2014" s="80">
        <v>298.16000000000003</v>
      </c>
      <c r="J2014" s="80">
        <v>298.16000000000003</v>
      </c>
      <c r="K2014" s="19" t="s">
        <v>184</v>
      </c>
      <c r="L2014" s="19" t="s">
        <v>2704</v>
      </c>
      <c r="Q2014" s="20">
        <v>24</v>
      </c>
      <c r="R2014" s="65" t="s">
        <v>2010</v>
      </c>
      <c r="T2014" s="19" t="s">
        <v>307</v>
      </c>
      <c r="V2014" s="19" t="s">
        <v>178</v>
      </c>
      <c r="Y2014" s="19" t="s">
        <v>138</v>
      </c>
      <c r="Z2014" s="44" t="s">
        <v>2449</v>
      </c>
      <c r="AA2014" s="44" t="s">
        <v>180</v>
      </c>
      <c r="AC2014" s="19" t="s">
        <v>2705</v>
      </c>
    </row>
    <row r="2015" spans="1:29" x14ac:dyDescent="0.25">
      <c r="A2015" s="26">
        <v>254</v>
      </c>
      <c r="B2015" s="19" t="s">
        <v>2707</v>
      </c>
      <c r="C2015" s="44" t="s">
        <v>273</v>
      </c>
      <c r="D2015" s="19" t="s">
        <v>812</v>
      </c>
      <c r="E2015" s="19">
        <v>12</v>
      </c>
      <c r="F2015" s="19">
        <v>490</v>
      </c>
      <c r="G2015" s="19">
        <v>6464</v>
      </c>
      <c r="H2015" s="19">
        <v>1</v>
      </c>
      <c r="I2015" s="80">
        <v>298.16000000000003</v>
      </c>
      <c r="J2015" s="80">
        <v>298.16000000000003</v>
      </c>
      <c r="K2015" s="19" t="s">
        <v>184</v>
      </c>
      <c r="L2015" s="19" t="s">
        <v>2704</v>
      </c>
      <c r="Q2015" s="20">
        <v>24</v>
      </c>
      <c r="R2015" s="65" t="s">
        <v>2010</v>
      </c>
      <c r="T2015" s="19" t="s">
        <v>307</v>
      </c>
      <c r="V2015" s="19" t="s">
        <v>178</v>
      </c>
      <c r="Y2015" s="19" t="s">
        <v>138</v>
      </c>
      <c r="Z2015" s="44" t="s">
        <v>2449</v>
      </c>
      <c r="AA2015" s="44" t="s">
        <v>180</v>
      </c>
      <c r="AC2015" s="19" t="s">
        <v>2705</v>
      </c>
    </row>
    <row r="2016" spans="1:29" x14ac:dyDescent="0.25">
      <c r="A2016" s="26">
        <v>255</v>
      </c>
      <c r="B2016" s="19" t="s">
        <v>2708</v>
      </c>
      <c r="C2016" s="44" t="s">
        <v>273</v>
      </c>
      <c r="D2016" s="19" t="s">
        <v>812</v>
      </c>
      <c r="E2016" s="19">
        <v>12</v>
      </c>
      <c r="F2016" s="19">
        <v>490</v>
      </c>
      <c r="G2016" s="19">
        <v>6464</v>
      </c>
      <c r="H2016" s="19">
        <v>1</v>
      </c>
      <c r="I2016" s="80">
        <v>298.16000000000003</v>
      </c>
      <c r="J2016" s="80">
        <v>298.16000000000003</v>
      </c>
      <c r="K2016" s="19" t="s">
        <v>184</v>
      </c>
      <c r="L2016" s="19" t="s">
        <v>2704</v>
      </c>
      <c r="Q2016" s="20">
        <v>24</v>
      </c>
      <c r="R2016" s="65" t="s">
        <v>2010</v>
      </c>
      <c r="T2016" s="19" t="s">
        <v>307</v>
      </c>
      <c r="V2016" s="19" t="s">
        <v>178</v>
      </c>
      <c r="Y2016" s="19" t="s">
        <v>138</v>
      </c>
      <c r="Z2016" s="44" t="s">
        <v>2449</v>
      </c>
      <c r="AA2016" s="44" t="s">
        <v>180</v>
      </c>
      <c r="AC2016" s="19" t="s">
        <v>2705</v>
      </c>
    </row>
    <row r="2017" spans="1:29" x14ac:dyDescent="0.25">
      <c r="A2017" s="26">
        <v>256</v>
      </c>
      <c r="B2017" s="19" t="s">
        <v>2709</v>
      </c>
      <c r="C2017" s="44" t="s">
        <v>273</v>
      </c>
      <c r="D2017" s="19" t="s">
        <v>803</v>
      </c>
      <c r="E2017" s="19">
        <v>12</v>
      </c>
      <c r="F2017" s="19">
        <v>135</v>
      </c>
      <c r="G2017" s="19">
        <v>488</v>
      </c>
      <c r="H2017" s="19">
        <v>17</v>
      </c>
      <c r="I2017" s="80">
        <v>6.19</v>
      </c>
      <c r="J2017" s="80">
        <v>105.23</v>
      </c>
      <c r="K2017" s="19" t="s">
        <v>184</v>
      </c>
      <c r="L2017" s="19" t="s">
        <v>2704</v>
      </c>
      <c r="Q2017" s="20">
        <v>24</v>
      </c>
      <c r="R2017" s="65" t="s">
        <v>2010</v>
      </c>
      <c r="T2017" s="19" t="s">
        <v>307</v>
      </c>
      <c r="V2017" s="19" t="s">
        <v>178</v>
      </c>
      <c r="W2017" s="19" t="s">
        <v>138</v>
      </c>
      <c r="Z2017" s="44" t="s">
        <v>2449</v>
      </c>
      <c r="AA2017" s="44" t="s">
        <v>180</v>
      </c>
      <c r="AC2017" s="19" t="s">
        <v>2705</v>
      </c>
    </row>
    <row r="2018" spans="1:29" x14ac:dyDescent="0.25">
      <c r="A2018" s="26">
        <v>257</v>
      </c>
      <c r="B2018" s="19" t="s">
        <v>2710</v>
      </c>
      <c r="C2018" s="44" t="s">
        <v>273</v>
      </c>
      <c r="D2018" s="19" t="s">
        <v>803</v>
      </c>
      <c r="E2018" s="19">
        <v>12</v>
      </c>
      <c r="F2018" s="19">
        <v>135</v>
      </c>
      <c r="G2018" s="19">
        <v>488</v>
      </c>
      <c r="H2018" s="19">
        <v>16</v>
      </c>
      <c r="I2018" s="80">
        <v>6.19</v>
      </c>
      <c r="J2018" s="80">
        <v>99.04</v>
      </c>
      <c r="K2018" s="19" t="s">
        <v>184</v>
      </c>
      <c r="L2018" s="19" t="s">
        <v>2704</v>
      </c>
      <c r="Q2018" s="20">
        <v>24</v>
      </c>
      <c r="R2018" s="65" t="s">
        <v>2010</v>
      </c>
      <c r="T2018" s="19" t="s">
        <v>307</v>
      </c>
      <c r="V2018" s="19" t="s">
        <v>178</v>
      </c>
      <c r="W2018" s="19" t="s">
        <v>138</v>
      </c>
      <c r="Z2018" s="44" t="s">
        <v>2449</v>
      </c>
      <c r="AA2018" s="44" t="s">
        <v>180</v>
      </c>
      <c r="AC2018" s="19" t="s">
        <v>2705</v>
      </c>
    </row>
    <row r="2019" spans="1:29" x14ac:dyDescent="0.25">
      <c r="A2019" s="26">
        <v>258</v>
      </c>
      <c r="B2019" s="19" t="s">
        <v>2711</v>
      </c>
      <c r="C2019" s="44" t="s">
        <v>273</v>
      </c>
      <c r="D2019" s="19" t="s">
        <v>803</v>
      </c>
      <c r="E2019" s="19">
        <v>12</v>
      </c>
      <c r="F2019" s="19">
        <v>135</v>
      </c>
      <c r="G2019" s="19">
        <v>488</v>
      </c>
      <c r="H2019" s="19">
        <v>16</v>
      </c>
      <c r="I2019" s="80">
        <v>6.19</v>
      </c>
      <c r="J2019" s="80">
        <v>99.04</v>
      </c>
      <c r="K2019" s="19" t="s">
        <v>184</v>
      </c>
      <c r="L2019" s="19" t="s">
        <v>2704</v>
      </c>
      <c r="Q2019" s="20">
        <v>24</v>
      </c>
      <c r="R2019" s="65" t="s">
        <v>2010</v>
      </c>
      <c r="T2019" s="19" t="s">
        <v>307</v>
      </c>
      <c r="V2019" s="19" t="s">
        <v>178</v>
      </c>
      <c r="W2019" s="19" t="s">
        <v>138</v>
      </c>
      <c r="Z2019" s="44" t="s">
        <v>2449</v>
      </c>
      <c r="AA2019" s="44" t="s">
        <v>180</v>
      </c>
      <c r="AC2019" s="19" t="s">
        <v>2705</v>
      </c>
    </row>
    <row r="2020" spans="1:29" x14ac:dyDescent="0.25">
      <c r="A2020" s="26">
        <v>259</v>
      </c>
      <c r="B2020" s="19" t="s">
        <v>2712</v>
      </c>
      <c r="C2020" s="44" t="s">
        <v>273</v>
      </c>
      <c r="D2020" s="19" t="s">
        <v>803</v>
      </c>
      <c r="E2020" s="19">
        <v>12</v>
      </c>
      <c r="F2020" s="19">
        <v>135</v>
      </c>
      <c r="G2020" s="19">
        <v>488</v>
      </c>
      <c r="H2020" s="19">
        <v>16</v>
      </c>
      <c r="I2020" s="80">
        <v>6.19</v>
      </c>
      <c r="J2020" s="80">
        <v>99.04</v>
      </c>
      <c r="K2020" s="19" t="s">
        <v>184</v>
      </c>
      <c r="L2020" s="19" t="s">
        <v>2704</v>
      </c>
      <c r="Q2020" s="20">
        <v>24</v>
      </c>
      <c r="R2020" s="65" t="s">
        <v>2010</v>
      </c>
      <c r="T2020" s="19" t="s">
        <v>307</v>
      </c>
      <c r="V2020" s="19" t="s">
        <v>178</v>
      </c>
      <c r="W2020" s="19" t="s">
        <v>138</v>
      </c>
      <c r="Z2020" s="44" t="s">
        <v>2449</v>
      </c>
      <c r="AA2020" s="44" t="s">
        <v>180</v>
      </c>
      <c r="AC2020" s="19" t="s">
        <v>2705</v>
      </c>
    </row>
    <row r="2021" spans="1:29" x14ac:dyDescent="0.25">
      <c r="A2021" s="26">
        <v>260</v>
      </c>
      <c r="B2021" s="19" t="s">
        <v>2713</v>
      </c>
      <c r="C2021" s="44" t="s">
        <v>273</v>
      </c>
      <c r="D2021" s="19" t="s">
        <v>803</v>
      </c>
      <c r="E2021" s="19">
        <v>12</v>
      </c>
      <c r="F2021" s="19">
        <v>135</v>
      </c>
      <c r="G2021" s="19">
        <v>488</v>
      </c>
      <c r="H2021" s="19">
        <v>4</v>
      </c>
      <c r="I2021" s="80">
        <v>6.19</v>
      </c>
      <c r="J2021" s="80">
        <v>24.76</v>
      </c>
      <c r="K2021" s="19" t="s">
        <v>184</v>
      </c>
      <c r="L2021" s="19" t="s">
        <v>2704</v>
      </c>
      <c r="Q2021" s="20">
        <v>24</v>
      </c>
      <c r="R2021" s="65" t="s">
        <v>2010</v>
      </c>
      <c r="T2021" s="19" t="s">
        <v>307</v>
      </c>
      <c r="V2021" s="19" t="s">
        <v>178</v>
      </c>
      <c r="W2021" s="19" t="s">
        <v>138</v>
      </c>
      <c r="Z2021" s="44" t="s">
        <v>2449</v>
      </c>
      <c r="AA2021" s="44" t="s">
        <v>180</v>
      </c>
      <c r="AC2021" s="19" t="s">
        <v>2705</v>
      </c>
    </row>
    <row r="2022" spans="1:29" x14ac:dyDescent="0.25">
      <c r="A2022" s="26">
        <v>261</v>
      </c>
      <c r="B2022" s="19" t="s">
        <v>2714</v>
      </c>
      <c r="C2022" s="44" t="s">
        <v>273</v>
      </c>
      <c r="D2022" s="19" t="s">
        <v>803</v>
      </c>
      <c r="E2022" s="19">
        <v>12</v>
      </c>
      <c r="F2022" s="19">
        <v>135</v>
      </c>
      <c r="G2022" s="19">
        <v>488</v>
      </c>
      <c r="H2022" s="19">
        <v>4</v>
      </c>
      <c r="I2022" s="80">
        <v>6.19</v>
      </c>
      <c r="J2022" s="80">
        <v>24.76</v>
      </c>
      <c r="K2022" s="19" t="s">
        <v>184</v>
      </c>
      <c r="L2022" s="19" t="s">
        <v>2704</v>
      </c>
      <c r="Q2022" s="20">
        <v>24</v>
      </c>
      <c r="R2022" s="65" t="s">
        <v>2010</v>
      </c>
      <c r="T2022" s="19" t="s">
        <v>307</v>
      </c>
      <c r="V2022" s="19" t="s">
        <v>178</v>
      </c>
      <c r="W2022" s="19" t="s">
        <v>138</v>
      </c>
      <c r="Z2022" s="44" t="s">
        <v>2449</v>
      </c>
      <c r="AA2022" s="44" t="s">
        <v>180</v>
      </c>
      <c r="AC2022" s="19" t="s">
        <v>2705</v>
      </c>
    </row>
    <row r="2023" spans="1:29" x14ac:dyDescent="0.25">
      <c r="A2023" s="26">
        <v>262</v>
      </c>
      <c r="B2023" s="19" t="s">
        <v>2715</v>
      </c>
      <c r="C2023" s="44" t="s">
        <v>273</v>
      </c>
      <c r="D2023" s="19" t="s">
        <v>803</v>
      </c>
      <c r="E2023" s="19">
        <v>12</v>
      </c>
      <c r="F2023" s="19">
        <v>135</v>
      </c>
      <c r="G2023" s="19">
        <v>488</v>
      </c>
      <c r="H2023" s="19">
        <v>4</v>
      </c>
      <c r="I2023" s="80">
        <v>6.19</v>
      </c>
      <c r="J2023" s="80">
        <v>24.76</v>
      </c>
      <c r="K2023" s="19" t="s">
        <v>184</v>
      </c>
      <c r="L2023" s="19" t="s">
        <v>2704</v>
      </c>
      <c r="Q2023" s="20">
        <v>24</v>
      </c>
      <c r="R2023" s="65" t="s">
        <v>2010</v>
      </c>
      <c r="T2023" s="19" t="s">
        <v>307</v>
      </c>
      <c r="V2023" s="19" t="s">
        <v>178</v>
      </c>
      <c r="W2023" s="19" t="s">
        <v>138</v>
      </c>
      <c r="Z2023" s="44" t="s">
        <v>2449</v>
      </c>
      <c r="AA2023" s="44" t="s">
        <v>180</v>
      </c>
      <c r="AC2023" s="19" t="s">
        <v>2705</v>
      </c>
    </row>
    <row r="2024" spans="1:29" x14ac:dyDescent="0.25">
      <c r="A2024" s="26">
        <v>263</v>
      </c>
      <c r="B2024" s="19" t="s">
        <v>2690</v>
      </c>
      <c r="C2024" s="44" t="s">
        <v>273</v>
      </c>
      <c r="D2024" s="19" t="s">
        <v>803</v>
      </c>
      <c r="E2024" s="19">
        <v>12</v>
      </c>
      <c r="F2024" s="19">
        <v>135</v>
      </c>
      <c r="G2024" s="19">
        <v>488</v>
      </c>
      <c r="H2024" s="19">
        <v>1</v>
      </c>
      <c r="I2024" s="80">
        <v>6.19</v>
      </c>
      <c r="J2024" s="80">
        <v>6.19</v>
      </c>
      <c r="K2024" s="19" t="s">
        <v>184</v>
      </c>
      <c r="L2024" s="19" t="s">
        <v>2704</v>
      </c>
      <c r="Q2024" s="20">
        <v>24</v>
      </c>
      <c r="R2024" s="65" t="s">
        <v>2010</v>
      </c>
      <c r="T2024" s="19" t="s">
        <v>307</v>
      </c>
      <c r="V2024" s="19" t="s">
        <v>178</v>
      </c>
      <c r="W2024" s="19" t="s">
        <v>138</v>
      </c>
      <c r="Z2024" s="44" t="s">
        <v>2449</v>
      </c>
      <c r="AA2024" s="44" t="s">
        <v>180</v>
      </c>
      <c r="AC2024" s="19" t="s">
        <v>2705</v>
      </c>
    </row>
    <row r="2025" spans="1:29" x14ac:dyDescent="0.25">
      <c r="A2025" s="26">
        <v>264</v>
      </c>
      <c r="B2025" s="19" t="s">
        <v>2716</v>
      </c>
      <c r="C2025" s="44" t="s">
        <v>273</v>
      </c>
      <c r="D2025" s="19" t="s">
        <v>874</v>
      </c>
      <c r="E2025" s="19">
        <v>12</v>
      </c>
      <c r="F2025" s="19">
        <v>100</v>
      </c>
      <c r="G2025" s="19">
        <v>150</v>
      </c>
      <c r="H2025" s="19">
        <v>1</v>
      </c>
      <c r="I2025" s="80">
        <v>1.41</v>
      </c>
      <c r="J2025" s="80">
        <v>1.41</v>
      </c>
      <c r="K2025" s="19" t="s">
        <v>184</v>
      </c>
      <c r="L2025" s="19" t="s">
        <v>2704</v>
      </c>
      <c r="Q2025" s="20">
        <v>24</v>
      </c>
      <c r="R2025" s="65" t="s">
        <v>2010</v>
      </c>
      <c r="T2025" s="19" t="s">
        <v>307</v>
      </c>
      <c r="V2025" s="19" t="s">
        <v>178</v>
      </c>
      <c r="W2025" s="19" t="s">
        <v>138</v>
      </c>
      <c r="Z2025" s="44" t="s">
        <v>2449</v>
      </c>
      <c r="AA2025" s="44" t="s">
        <v>180</v>
      </c>
      <c r="AC2025" s="19" t="s">
        <v>2705</v>
      </c>
    </row>
    <row r="2026" spans="1:29" x14ac:dyDescent="0.25">
      <c r="A2026" s="26">
        <v>265</v>
      </c>
      <c r="B2026" s="19" t="s">
        <v>2717</v>
      </c>
      <c r="C2026" s="44" t="s">
        <v>273</v>
      </c>
      <c r="D2026" s="19" t="s">
        <v>874</v>
      </c>
      <c r="E2026" s="19">
        <v>12</v>
      </c>
      <c r="F2026" s="19">
        <v>100</v>
      </c>
      <c r="G2026" s="19">
        <v>150</v>
      </c>
      <c r="H2026" s="19">
        <v>1</v>
      </c>
      <c r="I2026" s="80">
        <v>1.41</v>
      </c>
      <c r="J2026" s="80">
        <v>1.41</v>
      </c>
      <c r="K2026" s="19" t="s">
        <v>184</v>
      </c>
      <c r="L2026" s="19" t="s">
        <v>2704</v>
      </c>
      <c r="Q2026" s="20">
        <v>24</v>
      </c>
      <c r="R2026" s="65" t="s">
        <v>2010</v>
      </c>
      <c r="T2026" s="19" t="s">
        <v>307</v>
      </c>
      <c r="V2026" s="19" t="s">
        <v>178</v>
      </c>
      <c r="W2026" s="19" t="s">
        <v>138</v>
      </c>
      <c r="Z2026" s="44" t="s">
        <v>2449</v>
      </c>
      <c r="AA2026" s="44" t="s">
        <v>180</v>
      </c>
      <c r="AC2026" s="19" t="s">
        <v>2705</v>
      </c>
    </row>
    <row r="2027" spans="1:29" x14ac:dyDescent="0.25">
      <c r="A2027" s="26">
        <v>266</v>
      </c>
      <c r="B2027" s="19" t="s">
        <v>2718</v>
      </c>
      <c r="C2027" s="44" t="s">
        <v>273</v>
      </c>
      <c r="D2027" s="19" t="s">
        <v>803</v>
      </c>
      <c r="E2027" s="19">
        <v>12</v>
      </c>
      <c r="F2027" s="19">
        <v>135</v>
      </c>
      <c r="G2027" s="19">
        <v>488</v>
      </c>
      <c r="H2027" s="19">
        <v>12</v>
      </c>
      <c r="I2027" s="80">
        <v>6.19</v>
      </c>
      <c r="J2027" s="80">
        <v>74.28</v>
      </c>
      <c r="K2027" s="19" t="s">
        <v>184</v>
      </c>
      <c r="L2027" s="19" t="s">
        <v>2704</v>
      </c>
      <c r="Q2027" s="20">
        <v>24</v>
      </c>
      <c r="R2027" s="65" t="s">
        <v>2010</v>
      </c>
      <c r="T2027" s="19" t="s">
        <v>307</v>
      </c>
      <c r="V2027" s="19" t="s">
        <v>178</v>
      </c>
      <c r="W2027" s="19" t="s">
        <v>138</v>
      </c>
      <c r="Z2027" s="44" t="s">
        <v>2449</v>
      </c>
      <c r="AA2027" s="44" t="s">
        <v>180</v>
      </c>
      <c r="AC2027" s="19" t="s">
        <v>2705</v>
      </c>
    </row>
    <row r="2028" spans="1:29" x14ac:dyDescent="0.25">
      <c r="A2028" s="26">
        <v>267</v>
      </c>
      <c r="B2028" s="19" t="s">
        <v>2719</v>
      </c>
      <c r="C2028" s="44" t="s">
        <v>273</v>
      </c>
      <c r="D2028" s="19" t="s">
        <v>803</v>
      </c>
      <c r="E2028" s="19">
        <v>12</v>
      </c>
      <c r="F2028" s="19">
        <v>135</v>
      </c>
      <c r="G2028" s="19">
        <v>488</v>
      </c>
      <c r="H2028" s="19">
        <v>12</v>
      </c>
      <c r="I2028" s="80">
        <v>6.19</v>
      </c>
      <c r="J2028" s="80">
        <v>74.28</v>
      </c>
      <c r="K2028" s="19" t="s">
        <v>184</v>
      </c>
      <c r="L2028" s="19" t="s">
        <v>2704</v>
      </c>
      <c r="Q2028" s="20">
        <v>24</v>
      </c>
      <c r="R2028" s="65" t="s">
        <v>2010</v>
      </c>
      <c r="T2028" s="19" t="s">
        <v>307</v>
      </c>
      <c r="V2028" s="19" t="s">
        <v>178</v>
      </c>
      <c r="W2028" s="19" t="s">
        <v>138</v>
      </c>
      <c r="Z2028" s="44" t="s">
        <v>2449</v>
      </c>
      <c r="AA2028" s="44" t="s">
        <v>180</v>
      </c>
      <c r="AC2028" s="19" t="s">
        <v>2705</v>
      </c>
    </row>
    <row r="2029" spans="1:29" x14ac:dyDescent="0.25">
      <c r="A2029" s="26">
        <v>268</v>
      </c>
      <c r="B2029" s="19" t="s">
        <v>2720</v>
      </c>
      <c r="C2029" s="44" t="s">
        <v>273</v>
      </c>
      <c r="D2029" s="19" t="s">
        <v>803</v>
      </c>
      <c r="E2029" s="19">
        <v>12</v>
      </c>
      <c r="F2029" s="19">
        <v>135</v>
      </c>
      <c r="G2029" s="19">
        <v>488</v>
      </c>
      <c r="H2029" s="19">
        <v>12</v>
      </c>
      <c r="I2029" s="80">
        <v>6.19</v>
      </c>
      <c r="J2029" s="80">
        <v>74.28</v>
      </c>
      <c r="K2029" s="19" t="s">
        <v>184</v>
      </c>
      <c r="L2029" s="19" t="s">
        <v>2704</v>
      </c>
      <c r="Q2029" s="20">
        <v>24</v>
      </c>
      <c r="R2029" s="65" t="s">
        <v>2010</v>
      </c>
      <c r="T2029" s="19" t="s">
        <v>307</v>
      </c>
      <c r="V2029" s="19" t="s">
        <v>178</v>
      </c>
      <c r="W2029" s="19" t="s">
        <v>138</v>
      </c>
      <c r="Z2029" s="44" t="s">
        <v>2449</v>
      </c>
      <c r="AA2029" s="44" t="s">
        <v>180</v>
      </c>
      <c r="AC2029" s="19" t="s">
        <v>2705</v>
      </c>
    </row>
    <row r="2030" spans="1:29" x14ac:dyDescent="0.25">
      <c r="A2030" s="26">
        <v>269</v>
      </c>
      <c r="B2030" s="19" t="s">
        <v>2721</v>
      </c>
      <c r="C2030" s="44" t="s">
        <v>273</v>
      </c>
      <c r="D2030" s="19" t="s">
        <v>803</v>
      </c>
      <c r="E2030" s="19">
        <v>12</v>
      </c>
      <c r="F2030" s="19">
        <v>135</v>
      </c>
      <c r="G2030" s="19">
        <v>488</v>
      </c>
      <c r="H2030" s="19">
        <v>12</v>
      </c>
      <c r="I2030" s="80">
        <v>6.19</v>
      </c>
      <c r="J2030" s="80">
        <v>74.28</v>
      </c>
      <c r="K2030" s="19" t="s">
        <v>184</v>
      </c>
      <c r="L2030" s="19" t="s">
        <v>2704</v>
      </c>
      <c r="Q2030" s="20">
        <v>24</v>
      </c>
      <c r="R2030" s="65" t="s">
        <v>2010</v>
      </c>
      <c r="T2030" s="19" t="s">
        <v>307</v>
      </c>
      <c r="V2030" s="19" t="s">
        <v>178</v>
      </c>
      <c r="W2030" s="19" t="s">
        <v>138</v>
      </c>
      <c r="Z2030" s="44" t="s">
        <v>2449</v>
      </c>
      <c r="AA2030" s="44" t="s">
        <v>180</v>
      </c>
      <c r="AC2030" s="19" t="s">
        <v>2705</v>
      </c>
    </row>
    <row r="2031" spans="1:29" x14ac:dyDescent="0.25">
      <c r="A2031" s="26">
        <v>270</v>
      </c>
      <c r="B2031" s="19" t="s">
        <v>2722</v>
      </c>
      <c r="C2031" s="44" t="s">
        <v>273</v>
      </c>
      <c r="D2031" s="19" t="s">
        <v>803</v>
      </c>
      <c r="E2031" s="19">
        <v>12</v>
      </c>
      <c r="F2031" s="19">
        <v>135</v>
      </c>
      <c r="G2031" s="19">
        <v>488</v>
      </c>
      <c r="H2031" s="19">
        <v>17</v>
      </c>
      <c r="I2031" s="80">
        <v>6.19</v>
      </c>
      <c r="J2031" s="80">
        <v>105.23</v>
      </c>
      <c r="K2031" s="19" t="s">
        <v>184</v>
      </c>
      <c r="L2031" s="19" t="s">
        <v>2704</v>
      </c>
      <c r="Q2031" s="20">
        <v>24</v>
      </c>
      <c r="R2031" s="65" t="s">
        <v>2010</v>
      </c>
      <c r="T2031" s="19" t="s">
        <v>307</v>
      </c>
      <c r="V2031" s="19" t="s">
        <v>178</v>
      </c>
      <c r="W2031" s="19" t="s">
        <v>138</v>
      </c>
      <c r="Z2031" s="44" t="s">
        <v>2449</v>
      </c>
      <c r="AA2031" s="44" t="s">
        <v>180</v>
      </c>
      <c r="AC2031" s="19" t="s">
        <v>2705</v>
      </c>
    </row>
    <row r="2032" spans="1:29" x14ac:dyDescent="0.25">
      <c r="A2032" s="26">
        <v>271</v>
      </c>
      <c r="B2032" s="19" t="s">
        <v>2723</v>
      </c>
      <c r="C2032" s="44" t="s">
        <v>273</v>
      </c>
      <c r="D2032" s="19" t="s">
        <v>803</v>
      </c>
      <c r="E2032" s="19">
        <v>12</v>
      </c>
      <c r="F2032" s="19">
        <v>135</v>
      </c>
      <c r="G2032" s="19">
        <v>488</v>
      </c>
      <c r="H2032" s="19">
        <v>17</v>
      </c>
      <c r="I2032" s="80">
        <v>6.19</v>
      </c>
      <c r="J2032" s="80">
        <v>105.23</v>
      </c>
      <c r="K2032" s="19" t="s">
        <v>184</v>
      </c>
      <c r="L2032" s="19" t="s">
        <v>2704</v>
      </c>
      <c r="Q2032" s="20">
        <v>24</v>
      </c>
      <c r="R2032" s="65" t="s">
        <v>2010</v>
      </c>
      <c r="T2032" s="19" t="s">
        <v>307</v>
      </c>
      <c r="V2032" s="19" t="s">
        <v>178</v>
      </c>
      <c r="W2032" s="19" t="s">
        <v>138</v>
      </c>
      <c r="Z2032" s="44" t="s">
        <v>2449</v>
      </c>
      <c r="AA2032" s="44" t="s">
        <v>180</v>
      </c>
      <c r="AC2032" s="19" t="s">
        <v>2705</v>
      </c>
    </row>
    <row r="2033" spans="1:29" x14ac:dyDescent="0.25">
      <c r="A2033" s="26">
        <v>272</v>
      </c>
      <c r="B2033" s="19" t="s">
        <v>2641</v>
      </c>
      <c r="C2033" s="44" t="s">
        <v>273</v>
      </c>
      <c r="D2033" s="19" t="s">
        <v>839</v>
      </c>
      <c r="E2033" s="19">
        <v>12</v>
      </c>
      <c r="F2033" s="19">
        <v>120</v>
      </c>
      <c r="G2033" s="19">
        <v>129</v>
      </c>
      <c r="H2033" s="19">
        <v>17</v>
      </c>
      <c r="I2033" s="80">
        <v>1.32</v>
      </c>
      <c r="J2033" s="80">
        <v>22.51</v>
      </c>
      <c r="K2033" s="19" t="s">
        <v>184</v>
      </c>
      <c r="L2033" s="19" t="s">
        <v>2724</v>
      </c>
      <c r="Q2033" s="20">
        <v>24</v>
      </c>
      <c r="R2033" s="65" t="s">
        <v>2010</v>
      </c>
      <c r="T2033" s="19" t="s">
        <v>307</v>
      </c>
      <c r="V2033" s="19" t="s">
        <v>178</v>
      </c>
      <c r="W2033" s="19" t="s">
        <v>138</v>
      </c>
      <c r="Z2033" s="44" t="s">
        <v>2449</v>
      </c>
      <c r="AA2033" s="44" t="s">
        <v>180</v>
      </c>
      <c r="AC2033" s="19" t="s">
        <v>2725</v>
      </c>
    </row>
    <row r="2034" spans="1:29" x14ac:dyDescent="0.25">
      <c r="A2034" s="26">
        <v>273</v>
      </c>
      <c r="B2034" s="19" t="s">
        <v>2726</v>
      </c>
      <c r="C2034" s="44" t="s">
        <v>273</v>
      </c>
      <c r="D2034" s="19" t="s">
        <v>812</v>
      </c>
      <c r="E2034" s="19">
        <v>12</v>
      </c>
      <c r="F2034" s="19">
        <v>490</v>
      </c>
      <c r="G2034" s="19">
        <v>6464</v>
      </c>
      <c r="H2034" s="19">
        <v>1</v>
      </c>
      <c r="I2034" s="80">
        <v>298.16000000000003</v>
      </c>
      <c r="J2034" s="80">
        <v>298.16000000000003</v>
      </c>
      <c r="K2034" s="19" t="s">
        <v>184</v>
      </c>
      <c r="L2034" s="19" t="s">
        <v>2724</v>
      </c>
      <c r="Q2034" s="20">
        <v>24</v>
      </c>
      <c r="R2034" s="65" t="s">
        <v>2010</v>
      </c>
      <c r="T2034" s="19" t="s">
        <v>307</v>
      </c>
      <c r="V2034" s="19" t="s">
        <v>178</v>
      </c>
      <c r="Y2034" s="19" t="s">
        <v>138</v>
      </c>
      <c r="Z2034" s="44" t="s">
        <v>2449</v>
      </c>
      <c r="AA2034" s="44" t="s">
        <v>180</v>
      </c>
      <c r="AC2034" s="19" t="s">
        <v>2725</v>
      </c>
    </row>
    <row r="2035" spans="1:29" x14ac:dyDescent="0.25">
      <c r="A2035" s="26">
        <v>274</v>
      </c>
      <c r="B2035" s="19" t="s">
        <v>2727</v>
      </c>
      <c r="C2035" s="44" t="s">
        <v>273</v>
      </c>
      <c r="D2035" s="19" t="s">
        <v>839</v>
      </c>
      <c r="E2035" s="19">
        <v>12</v>
      </c>
      <c r="F2035" s="19">
        <v>120</v>
      </c>
      <c r="G2035" s="19">
        <v>129</v>
      </c>
      <c r="H2035" s="19">
        <v>24</v>
      </c>
      <c r="I2035" s="80">
        <v>1.32</v>
      </c>
      <c r="J2035" s="80">
        <v>31.78</v>
      </c>
      <c r="K2035" s="19" t="s">
        <v>184</v>
      </c>
      <c r="L2035" s="19" t="s">
        <v>2724</v>
      </c>
      <c r="Q2035" s="20">
        <v>24</v>
      </c>
      <c r="R2035" s="65" t="s">
        <v>2010</v>
      </c>
      <c r="T2035" s="19" t="s">
        <v>307</v>
      </c>
      <c r="V2035" s="19" t="s">
        <v>178</v>
      </c>
      <c r="W2035" s="19" t="s">
        <v>138</v>
      </c>
      <c r="Z2035" s="44" t="s">
        <v>2449</v>
      </c>
      <c r="AA2035" s="44" t="s">
        <v>180</v>
      </c>
      <c r="AC2035" s="19" t="s">
        <v>2725</v>
      </c>
    </row>
    <row r="2036" spans="1:29" x14ac:dyDescent="0.25">
      <c r="A2036" s="26">
        <v>275</v>
      </c>
      <c r="B2036" s="19" t="s">
        <v>2728</v>
      </c>
      <c r="C2036" s="44" t="s">
        <v>273</v>
      </c>
      <c r="D2036" s="19" t="s">
        <v>839</v>
      </c>
      <c r="E2036" s="19">
        <v>12</v>
      </c>
      <c r="F2036" s="19">
        <v>120</v>
      </c>
      <c r="G2036" s="19">
        <v>129</v>
      </c>
      <c r="H2036" s="19">
        <v>18</v>
      </c>
      <c r="I2036" s="80">
        <v>1.32</v>
      </c>
      <c r="J2036" s="80">
        <v>23.83</v>
      </c>
      <c r="K2036" s="19" t="s">
        <v>184</v>
      </c>
      <c r="L2036" s="19" t="s">
        <v>2724</v>
      </c>
      <c r="Q2036" s="20">
        <v>24</v>
      </c>
      <c r="R2036" s="65" t="s">
        <v>2010</v>
      </c>
      <c r="T2036" s="19" t="s">
        <v>307</v>
      </c>
      <c r="V2036" s="19" t="s">
        <v>178</v>
      </c>
      <c r="W2036" s="19" t="s">
        <v>138</v>
      </c>
      <c r="Z2036" s="44" t="s">
        <v>2449</v>
      </c>
      <c r="AA2036" s="44" t="s">
        <v>180</v>
      </c>
      <c r="AC2036" s="19" t="s">
        <v>2725</v>
      </c>
    </row>
    <row r="2037" spans="1:29" x14ac:dyDescent="0.25">
      <c r="A2037" s="26">
        <v>276</v>
      </c>
      <c r="B2037" s="19" t="s">
        <v>2729</v>
      </c>
      <c r="C2037" s="44" t="s">
        <v>273</v>
      </c>
      <c r="D2037" s="19" t="s">
        <v>839</v>
      </c>
      <c r="E2037" s="19">
        <v>12</v>
      </c>
      <c r="F2037" s="19">
        <v>120</v>
      </c>
      <c r="G2037" s="19">
        <v>129</v>
      </c>
      <c r="H2037" s="19">
        <v>18</v>
      </c>
      <c r="I2037" s="80">
        <v>1.32</v>
      </c>
      <c r="J2037" s="80">
        <v>23.83</v>
      </c>
      <c r="K2037" s="19" t="s">
        <v>184</v>
      </c>
      <c r="L2037" s="19" t="s">
        <v>2724</v>
      </c>
      <c r="Q2037" s="20">
        <v>24</v>
      </c>
      <c r="R2037" s="65" t="s">
        <v>2010</v>
      </c>
      <c r="T2037" s="19" t="s">
        <v>307</v>
      </c>
      <c r="V2037" s="19" t="s">
        <v>178</v>
      </c>
      <c r="W2037" s="19" t="s">
        <v>138</v>
      </c>
      <c r="Z2037" s="44" t="s">
        <v>2449</v>
      </c>
      <c r="AA2037" s="44" t="s">
        <v>180</v>
      </c>
      <c r="AC2037" s="19" t="s">
        <v>2725</v>
      </c>
    </row>
    <row r="2038" spans="1:29" x14ac:dyDescent="0.25">
      <c r="A2038" s="26">
        <v>277</v>
      </c>
      <c r="B2038" s="19" t="s">
        <v>2730</v>
      </c>
      <c r="C2038" s="44" t="s">
        <v>273</v>
      </c>
      <c r="D2038" s="19" t="s">
        <v>839</v>
      </c>
      <c r="E2038" s="19">
        <v>12</v>
      </c>
      <c r="F2038" s="19">
        <v>120</v>
      </c>
      <c r="G2038" s="19">
        <v>129</v>
      </c>
      <c r="H2038" s="19">
        <v>18</v>
      </c>
      <c r="I2038" s="80">
        <v>1.32</v>
      </c>
      <c r="J2038" s="80">
        <v>23.83</v>
      </c>
      <c r="K2038" s="19" t="s">
        <v>184</v>
      </c>
      <c r="L2038" s="19" t="s">
        <v>2724</v>
      </c>
      <c r="Q2038" s="20">
        <v>24</v>
      </c>
      <c r="R2038" s="65" t="s">
        <v>2010</v>
      </c>
      <c r="T2038" s="19" t="s">
        <v>307</v>
      </c>
      <c r="V2038" s="19" t="s">
        <v>178</v>
      </c>
      <c r="W2038" s="19" t="s">
        <v>138</v>
      </c>
      <c r="Z2038" s="44" t="s">
        <v>2449</v>
      </c>
      <c r="AA2038" s="44" t="s">
        <v>180</v>
      </c>
      <c r="AC2038" s="19" t="s">
        <v>2725</v>
      </c>
    </row>
    <row r="2039" spans="1:29" x14ac:dyDescent="0.25">
      <c r="A2039" s="26">
        <v>278</v>
      </c>
      <c r="B2039" s="19" t="s">
        <v>2731</v>
      </c>
      <c r="C2039" s="44" t="s">
        <v>273</v>
      </c>
      <c r="D2039" s="19" t="s">
        <v>839</v>
      </c>
      <c r="E2039" s="19">
        <v>12</v>
      </c>
      <c r="F2039" s="19">
        <v>120</v>
      </c>
      <c r="G2039" s="19">
        <v>129</v>
      </c>
      <c r="H2039" s="19">
        <v>18</v>
      </c>
      <c r="I2039" s="80">
        <v>1.32</v>
      </c>
      <c r="J2039" s="80">
        <v>23.83</v>
      </c>
      <c r="K2039" s="19" t="s">
        <v>184</v>
      </c>
      <c r="L2039" s="19" t="s">
        <v>2724</v>
      </c>
      <c r="Q2039" s="20">
        <v>24</v>
      </c>
      <c r="R2039" s="65" t="s">
        <v>2010</v>
      </c>
      <c r="T2039" s="19" t="s">
        <v>307</v>
      </c>
      <c r="V2039" s="19" t="s">
        <v>178</v>
      </c>
      <c r="W2039" s="19" t="s">
        <v>138</v>
      </c>
      <c r="Z2039" s="44" t="s">
        <v>2449</v>
      </c>
      <c r="AA2039" s="44" t="s">
        <v>180</v>
      </c>
      <c r="AC2039" s="19" t="s">
        <v>2725</v>
      </c>
    </row>
    <row r="2040" spans="1:29" x14ac:dyDescent="0.25">
      <c r="A2040" s="26">
        <v>279</v>
      </c>
      <c r="B2040" s="19" t="s">
        <v>2732</v>
      </c>
      <c r="C2040" s="44" t="s">
        <v>273</v>
      </c>
      <c r="D2040" s="19" t="s">
        <v>839</v>
      </c>
      <c r="E2040" s="19">
        <v>12</v>
      </c>
      <c r="F2040" s="19">
        <v>120</v>
      </c>
      <c r="G2040" s="19">
        <v>129</v>
      </c>
      <c r="H2040" s="19">
        <v>18</v>
      </c>
      <c r="I2040" s="80">
        <v>1.32</v>
      </c>
      <c r="J2040" s="80">
        <v>23.83</v>
      </c>
      <c r="K2040" s="19" t="s">
        <v>184</v>
      </c>
      <c r="L2040" s="19" t="s">
        <v>2724</v>
      </c>
      <c r="Q2040" s="20">
        <v>24</v>
      </c>
      <c r="R2040" s="65" t="s">
        <v>2010</v>
      </c>
      <c r="T2040" s="19" t="s">
        <v>307</v>
      </c>
      <c r="V2040" s="19" t="s">
        <v>178</v>
      </c>
      <c r="W2040" s="19" t="s">
        <v>138</v>
      </c>
      <c r="Z2040" s="44" t="s">
        <v>2449</v>
      </c>
      <c r="AA2040" s="44" t="s">
        <v>180</v>
      </c>
      <c r="AC2040" s="19" t="s">
        <v>2725</v>
      </c>
    </row>
    <row r="2041" spans="1:29" x14ac:dyDescent="0.25">
      <c r="A2041" s="26">
        <v>280</v>
      </c>
      <c r="B2041" s="19" t="s">
        <v>2733</v>
      </c>
      <c r="C2041" s="44" t="s">
        <v>273</v>
      </c>
      <c r="D2041" s="19" t="s">
        <v>839</v>
      </c>
      <c r="E2041" s="19">
        <v>12</v>
      </c>
      <c r="F2041" s="19">
        <v>120</v>
      </c>
      <c r="G2041" s="19">
        <v>129</v>
      </c>
      <c r="H2041" s="19">
        <v>4</v>
      </c>
      <c r="I2041" s="80">
        <v>1.32</v>
      </c>
      <c r="J2041" s="80">
        <v>5.3</v>
      </c>
      <c r="K2041" s="19" t="s">
        <v>184</v>
      </c>
      <c r="L2041" s="19" t="s">
        <v>2724</v>
      </c>
      <c r="Q2041" s="20">
        <v>24</v>
      </c>
      <c r="R2041" s="65" t="s">
        <v>2010</v>
      </c>
      <c r="T2041" s="19" t="s">
        <v>307</v>
      </c>
      <c r="V2041" s="19" t="s">
        <v>178</v>
      </c>
      <c r="W2041" s="19" t="s">
        <v>138</v>
      </c>
      <c r="Z2041" s="44" t="s">
        <v>2449</v>
      </c>
      <c r="AA2041" s="44" t="s">
        <v>180</v>
      </c>
      <c r="AC2041" s="19" t="s">
        <v>2725</v>
      </c>
    </row>
    <row r="2042" spans="1:29" x14ac:dyDescent="0.25">
      <c r="A2042" s="26">
        <v>281</v>
      </c>
      <c r="B2042" s="19" t="s">
        <v>2734</v>
      </c>
      <c r="C2042" s="44" t="s">
        <v>273</v>
      </c>
      <c r="D2042" s="19" t="s">
        <v>839</v>
      </c>
      <c r="E2042" s="19">
        <v>12</v>
      </c>
      <c r="F2042" s="19">
        <v>120</v>
      </c>
      <c r="G2042" s="19">
        <v>129</v>
      </c>
      <c r="H2042" s="19">
        <v>4</v>
      </c>
      <c r="I2042" s="80">
        <v>1.32</v>
      </c>
      <c r="J2042" s="80">
        <v>5.3</v>
      </c>
      <c r="K2042" s="19" t="s">
        <v>184</v>
      </c>
      <c r="L2042" s="19" t="s">
        <v>2724</v>
      </c>
      <c r="Q2042" s="20">
        <v>24</v>
      </c>
      <c r="R2042" s="65" t="s">
        <v>2010</v>
      </c>
      <c r="T2042" s="19" t="s">
        <v>307</v>
      </c>
      <c r="V2042" s="19" t="s">
        <v>178</v>
      </c>
      <c r="W2042" s="19" t="s">
        <v>138</v>
      </c>
      <c r="Z2042" s="44" t="s">
        <v>2449</v>
      </c>
      <c r="AA2042" s="44" t="s">
        <v>180</v>
      </c>
      <c r="AC2042" s="19" t="s">
        <v>2725</v>
      </c>
    </row>
    <row r="2043" spans="1:29" x14ac:dyDescent="0.25">
      <c r="A2043" s="26">
        <v>282</v>
      </c>
      <c r="B2043" s="19" t="s">
        <v>2735</v>
      </c>
      <c r="C2043" s="44" t="s">
        <v>273</v>
      </c>
      <c r="D2043" s="19" t="s">
        <v>839</v>
      </c>
      <c r="E2043" s="19">
        <v>12</v>
      </c>
      <c r="F2043" s="19">
        <v>120</v>
      </c>
      <c r="G2043" s="19">
        <v>129</v>
      </c>
      <c r="H2043" s="19">
        <v>4</v>
      </c>
      <c r="I2043" s="80">
        <v>1.32</v>
      </c>
      <c r="J2043" s="80">
        <v>5.3</v>
      </c>
      <c r="K2043" s="19" t="s">
        <v>184</v>
      </c>
      <c r="L2043" s="19" t="s">
        <v>2724</v>
      </c>
      <c r="Q2043" s="20">
        <v>24</v>
      </c>
      <c r="R2043" s="65" t="s">
        <v>2010</v>
      </c>
      <c r="T2043" s="19" t="s">
        <v>307</v>
      </c>
      <c r="V2043" s="19" t="s">
        <v>178</v>
      </c>
      <c r="W2043" s="19" t="s">
        <v>138</v>
      </c>
      <c r="Z2043" s="44" t="s">
        <v>2449</v>
      </c>
      <c r="AA2043" s="44" t="s">
        <v>180</v>
      </c>
      <c r="AC2043" s="19" t="s">
        <v>2725</v>
      </c>
    </row>
    <row r="2044" spans="1:29" x14ac:dyDescent="0.25">
      <c r="A2044" s="26">
        <v>283</v>
      </c>
      <c r="B2044" s="19" t="s">
        <v>2736</v>
      </c>
      <c r="C2044" s="44" t="s">
        <v>273</v>
      </c>
      <c r="D2044" s="19" t="s">
        <v>839</v>
      </c>
      <c r="E2044" s="19">
        <v>12</v>
      </c>
      <c r="F2044" s="19">
        <v>120</v>
      </c>
      <c r="G2044" s="19">
        <v>129</v>
      </c>
      <c r="H2044" s="19">
        <v>4</v>
      </c>
      <c r="I2044" s="80">
        <v>1.32</v>
      </c>
      <c r="J2044" s="80">
        <v>5.3</v>
      </c>
      <c r="K2044" s="19" t="s">
        <v>184</v>
      </c>
      <c r="L2044" s="19" t="s">
        <v>2724</v>
      </c>
      <c r="Q2044" s="20">
        <v>24</v>
      </c>
      <c r="R2044" s="65" t="s">
        <v>2010</v>
      </c>
      <c r="T2044" s="19" t="s">
        <v>307</v>
      </c>
      <c r="V2044" s="19" t="s">
        <v>178</v>
      </c>
      <c r="W2044" s="19" t="s">
        <v>138</v>
      </c>
      <c r="Z2044" s="44" t="s">
        <v>2449</v>
      </c>
      <c r="AA2044" s="44" t="s">
        <v>180</v>
      </c>
      <c r="AC2044" s="19" t="s">
        <v>2725</v>
      </c>
    </row>
    <row r="2045" spans="1:29" x14ac:dyDescent="0.25">
      <c r="A2045" s="26">
        <v>284</v>
      </c>
      <c r="B2045" s="19" t="s">
        <v>2737</v>
      </c>
      <c r="C2045" s="44" t="s">
        <v>273</v>
      </c>
      <c r="D2045" s="19" t="s">
        <v>839</v>
      </c>
      <c r="E2045" s="19">
        <v>12</v>
      </c>
      <c r="F2045" s="19">
        <v>120</v>
      </c>
      <c r="G2045" s="19">
        <v>129</v>
      </c>
      <c r="H2045" s="19">
        <v>4</v>
      </c>
      <c r="I2045" s="80">
        <v>1.32</v>
      </c>
      <c r="J2045" s="80">
        <v>5.3</v>
      </c>
      <c r="K2045" s="19" t="s">
        <v>184</v>
      </c>
      <c r="L2045" s="19" t="s">
        <v>2724</v>
      </c>
      <c r="Q2045" s="20">
        <v>24</v>
      </c>
      <c r="R2045" s="65" t="s">
        <v>2010</v>
      </c>
      <c r="T2045" s="19" t="s">
        <v>307</v>
      </c>
      <c r="V2045" s="19" t="s">
        <v>178</v>
      </c>
      <c r="W2045" s="19" t="s">
        <v>138</v>
      </c>
      <c r="Z2045" s="44" t="s">
        <v>2449</v>
      </c>
      <c r="AA2045" s="44" t="s">
        <v>180</v>
      </c>
      <c r="AC2045" s="19" t="s">
        <v>2725</v>
      </c>
    </row>
    <row r="2046" spans="1:29" x14ac:dyDescent="0.25">
      <c r="A2046" s="26">
        <v>285</v>
      </c>
      <c r="B2046" s="19" t="s">
        <v>2738</v>
      </c>
      <c r="C2046" s="44" t="s">
        <v>273</v>
      </c>
      <c r="D2046" s="19" t="s">
        <v>839</v>
      </c>
      <c r="E2046" s="19">
        <v>12</v>
      </c>
      <c r="F2046" s="19">
        <v>120</v>
      </c>
      <c r="G2046" s="19">
        <v>129</v>
      </c>
      <c r="H2046" s="19">
        <v>4</v>
      </c>
      <c r="I2046" s="80">
        <v>1.32</v>
      </c>
      <c r="J2046" s="80">
        <v>5.3</v>
      </c>
      <c r="K2046" s="19" t="s">
        <v>184</v>
      </c>
      <c r="L2046" s="19" t="s">
        <v>2724</v>
      </c>
      <c r="Q2046" s="20">
        <v>24</v>
      </c>
      <c r="R2046" s="65" t="s">
        <v>2010</v>
      </c>
      <c r="T2046" s="19" t="s">
        <v>307</v>
      </c>
      <c r="V2046" s="19" t="s">
        <v>178</v>
      </c>
      <c r="W2046" s="19" t="s">
        <v>138</v>
      </c>
      <c r="Z2046" s="44" t="s">
        <v>2449</v>
      </c>
      <c r="AA2046" s="44" t="s">
        <v>180</v>
      </c>
      <c r="AC2046" s="19" t="s">
        <v>2725</v>
      </c>
    </row>
    <row r="2047" spans="1:29" x14ac:dyDescent="0.25">
      <c r="A2047" s="26">
        <v>286</v>
      </c>
      <c r="B2047" s="19" t="s">
        <v>2739</v>
      </c>
      <c r="C2047" s="44" t="s">
        <v>273</v>
      </c>
      <c r="D2047" s="19" t="s">
        <v>930</v>
      </c>
      <c r="E2047" s="19">
        <v>12</v>
      </c>
      <c r="F2047" s="19">
        <v>128</v>
      </c>
      <c r="G2047" s="19">
        <v>145</v>
      </c>
      <c r="H2047" s="19">
        <v>4</v>
      </c>
      <c r="I2047" s="80">
        <v>1.67</v>
      </c>
      <c r="J2047" s="80">
        <v>6.69</v>
      </c>
      <c r="K2047" s="19" t="s">
        <v>184</v>
      </c>
      <c r="L2047" s="19" t="s">
        <v>2724</v>
      </c>
      <c r="Q2047" s="20">
        <v>24</v>
      </c>
      <c r="R2047" s="65" t="s">
        <v>2010</v>
      </c>
      <c r="T2047" s="19" t="s">
        <v>307</v>
      </c>
      <c r="V2047" s="19" t="s">
        <v>178</v>
      </c>
      <c r="W2047" s="19" t="s">
        <v>138</v>
      </c>
      <c r="Z2047" s="44" t="s">
        <v>2449</v>
      </c>
      <c r="AA2047" s="44" t="s">
        <v>180</v>
      </c>
      <c r="AC2047" s="19" t="s">
        <v>2725</v>
      </c>
    </row>
    <row r="2048" spans="1:29" x14ac:dyDescent="0.25">
      <c r="A2048" s="26">
        <v>287</v>
      </c>
      <c r="B2048" s="19" t="s">
        <v>2481</v>
      </c>
      <c r="C2048" s="44" t="s">
        <v>273</v>
      </c>
      <c r="D2048" s="19" t="s">
        <v>930</v>
      </c>
      <c r="E2048" s="19">
        <v>12</v>
      </c>
      <c r="F2048" s="19">
        <v>128</v>
      </c>
      <c r="G2048" s="19">
        <v>145</v>
      </c>
      <c r="H2048" s="19">
        <v>7</v>
      </c>
      <c r="I2048" s="80">
        <v>1.67</v>
      </c>
      <c r="J2048" s="80">
        <v>11.71</v>
      </c>
      <c r="K2048" s="19" t="s">
        <v>184</v>
      </c>
      <c r="L2048" s="19" t="s">
        <v>2724</v>
      </c>
      <c r="Q2048" s="20">
        <v>24</v>
      </c>
      <c r="R2048" s="65" t="s">
        <v>2010</v>
      </c>
      <c r="T2048" s="19" t="s">
        <v>307</v>
      </c>
      <c r="V2048" s="19" t="s">
        <v>178</v>
      </c>
      <c r="W2048" s="19" t="s">
        <v>138</v>
      </c>
      <c r="Z2048" s="44" t="s">
        <v>2449</v>
      </c>
      <c r="AA2048" s="44" t="s">
        <v>180</v>
      </c>
      <c r="AC2048" s="19" t="s">
        <v>2725</v>
      </c>
    </row>
    <row r="2049" spans="1:29" x14ac:dyDescent="0.25">
      <c r="A2049" s="26">
        <v>288</v>
      </c>
      <c r="B2049" s="19" t="s">
        <v>2740</v>
      </c>
      <c r="C2049" s="44" t="s">
        <v>273</v>
      </c>
      <c r="D2049" s="19" t="s">
        <v>930</v>
      </c>
      <c r="E2049" s="19">
        <v>12</v>
      </c>
      <c r="F2049" s="19">
        <v>128</v>
      </c>
      <c r="G2049" s="19">
        <v>145</v>
      </c>
      <c r="H2049" s="19">
        <v>18</v>
      </c>
      <c r="I2049" s="80">
        <v>1.67</v>
      </c>
      <c r="J2049" s="80">
        <v>30.1</v>
      </c>
      <c r="K2049" s="19" t="s">
        <v>184</v>
      </c>
      <c r="L2049" s="19" t="s">
        <v>2724</v>
      </c>
      <c r="Q2049" s="20">
        <v>24</v>
      </c>
      <c r="R2049" s="65" t="s">
        <v>2010</v>
      </c>
      <c r="T2049" s="19" t="s">
        <v>307</v>
      </c>
      <c r="V2049" s="19" t="s">
        <v>178</v>
      </c>
      <c r="W2049" s="19" t="s">
        <v>138</v>
      </c>
      <c r="Z2049" s="44" t="s">
        <v>2449</v>
      </c>
      <c r="AA2049" s="44" t="s">
        <v>180</v>
      </c>
      <c r="AC2049" s="19" t="s">
        <v>2725</v>
      </c>
    </row>
    <row r="2050" spans="1:29" x14ac:dyDescent="0.25">
      <c r="A2050" s="26">
        <v>289</v>
      </c>
      <c r="B2050" s="19" t="s">
        <v>2741</v>
      </c>
      <c r="C2050" s="44" t="s">
        <v>273</v>
      </c>
      <c r="D2050" s="19" t="s">
        <v>930</v>
      </c>
      <c r="E2050" s="19">
        <v>12</v>
      </c>
      <c r="F2050" s="19">
        <v>128</v>
      </c>
      <c r="G2050" s="19">
        <v>145</v>
      </c>
      <c r="H2050" s="19">
        <v>12</v>
      </c>
      <c r="I2050" s="80">
        <v>1.67</v>
      </c>
      <c r="J2050" s="80">
        <v>20.07</v>
      </c>
      <c r="K2050" s="19" t="s">
        <v>184</v>
      </c>
      <c r="L2050" s="19" t="s">
        <v>2724</v>
      </c>
      <c r="Q2050" s="20">
        <v>24</v>
      </c>
      <c r="R2050" s="65" t="s">
        <v>2010</v>
      </c>
      <c r="T2050" s="19" t="s">
        <v>307</v>
      </c>
      <c r="V2050" s="19" t="s">
        <v>178</v>
      </c>
      <c r="W2050" s="19" t="s">
        <v>138</v>
      </c>
      <c r="Z2050" s="44" t="s">
        <v>2449</v>
      </c>
      <c r="AA2050" s="44" t="s">
        <v>180</v>
      </c>
      <c r="AC2050" s="19" t="s">
        <v>2725</v>
      </c>
    </row>
    <row r="2051" spans="1:29" x14ac:dyDescent="0.25">
      <c r="A2051" s="26">
        <v>290</v>
      </c>
      <c r="B2051" s="19" t="s">
        <v>2742</v>
      </c>
      <c r="C2051" s="44" t="s">
        <v>273</v>
      </c>
      <c r="D2051" s="19" t="s">
        <v>839</v>
      </c>
      <c r="E2051" s="19">
        <v>12</v>
      </c>
      <c r="F2051" s="19">
        <v>120</v>
      </c>
      <c r="G2051" s="19">
        <v>129</v>
      </c>
      <c r="H2051" s="19">
        <v>24</v>
      </c>
      <c r="I2051" s="80">
        <v>1.32</v>
      </c>
      <c r="J2051" s="80">
        <v>31.78</v>
      </c>
      <c r="K2051" s="19" t="s">
        <v>184</v>
      </c>
      <c r="L2051" s="19" t="s">
        <v>2724</v>
      </c>
      <c r="Q2051" s="20">
        <v>24</v>
      </c>
      <c r="R2051" s="65" t="s">
        <v>2010</v>
      </c>
      <c r="T2051" s="19" t="s">
        <v>307</v>
      </c>
      <c r="V2051" s="19" t="s">
        <v>178</v>
      </c>
      <c r="W2051" s="19" t="s">
        <v>138</v>
      </c>
      <c r="Z2051" s="44" t="s">
        <v>2449</v>
      </c>
      <c r="AA2051" s="44" t="s">
        <v>180</v>
      </c>
      <c r="AC2051" s="19" t="s">
        <v>2725</v>
      </c>
    </row>
    <row r="2052" spans="1:29" x14ac:dyDescent="0.25">
      <c r="A2052" s="26">
        <v>291</v>
      </c>
      <c r="B2052" s="19" t="s">
        <v>2743</v>
      </c>
      <c r="C2052" s="44" t="s">
        <v>273</v>
      </c>
      <c r="D2052" s="19" t="s">
        <v>839</v>
      </c>
      <c r="E2052" s="19">
        <v>12</v>
      </c>
      <c r="F2052" s="19">
        <v>120</v>
      </c>
      <c r="G2052" s="19">
        <v>129</v>
      </c>
      <c r="H2052" s="19">
        <v>24</v>
      </c>
      <c r="I2052" s="80">
        <v>1.32</v>
      </c>
      <c r="J2052" s="80">
        <v>31.78</v>
      </c>
      <c r="K2052" s="19" t="s">
        <v>184</v>
      </c>
      <c r="L2052" s="19" t="s">
        <v>2724</v>
      </c>
      <c r="Q2052" s="20">
        <v>24</v>
      </c>
      <c r="R2052" s="65" t="s">
        <v>2010</v>
      </c>
      <c r="T2052" s="19" t="s">
        <v>307</v>
      </c>
      <c r="V2052" s="19" t="s">
        <v>178</v>
      </c>
      <c r="W2052" s="19" t="s">
        <v>138</v>
      </c>
      <c r="Z2052" s="44" t="s">
        <v>2449</v>
      </c>
      <c r="AA2052" s="44" t="s">
        <v>180</v>
      </c>
      <c r="AC2052" s="19" t="s">
        <v>2725</v>
      </c>
    </row>
    <row r="2053" spans="1:29" x14ac:dyDescent="0.25">
      <c r="A2053" s="26">
        <v>292</v>
      </c>
      <c r="B2053" s="19" t="s">
        <v>2744</v>
      </c>
      <c r="C2053" s="44" t="s">
        <v>273</v>
      </c>
      <c r="D2053" s="19" t="s">
        <v>839</v>
      </c>
      <c r="E2053" s="19">
        <v>12</v>
      </c>
      <c r="F2053" s="19">
        <v>120</v>
      </c>
      <c r="G2053" s="19">
        <v>129</v>
      </c>
      <c r="H2053" s="19">
        <v>24</v>
      </c>
      <c r="I2053" s="80">
        <v>1.32</v>
      </c>
      <c r="J2053" s="80">
        <v>31.78</v>
      </c>
      <c r="K2053" s="19" t="s">
        <v>184</v>
      </c>
      <c r="L2053" s="19" t="s">
        <v>2724</v>
      </c>
      <c r="Q2053" s="20">
        <v>24</v>
      </c>
      <c r="R2053" s="65" t="s">
        <v>2010</v>
      </c>
      <c r="T2053" s="19" t="s">
        <v>307</v>
      </c>
      <c r="V2053" s="19" t="s">
        <v>178</v>
      </c>
      <c r="W2053" s="19" t="s">
        <v>138</v>
      </c>
      <c r="Z2053" s="44" t="s">
        <v>2449</v>
      </c>
      <c r="AA2053" s="44" t="s">
        <v>180</v>
      </c>
      <c r="AC2053" s="19" t="s">
        <v>2725</v>
      </c>
    </row>
    <row r="2054" spans="1:29" x14ac:dyDescent="0.25">
      <c r="A2054" s="26">
        <v>293</v>
      </c>
      <c r="B2054" s="19" t="s">
        <v>2745</v>
      </c>
      <c r="C2054" s="44" t="s">
        <v>273</v>
      </c>
      <c r="D2054" s="19" t="s">
        <v>839</v>
      </c>
      <c r="E2054" s="19">
        <v>12</v>
      </c>
      <c r="F2054" s="19">
        <v>120</v>
      </c>
      <c r="G2054" s="19">
        <v>129</v>
      </c>
      <c r="H2054" s="19">
        <v>12</v>
      </c>
      <c r="I2054" s="80">
        <v>1.32</v>
      </c>
      <c r="J2054" s="80">
        <v>15.89</v>
      </c>
      <c r="K2054" s="19" t="s">
        <v>184</v>
      </c>
      <c r="L2054" s="19" t="s">
        <v>2724</v>
      </c>
      <c r="Q2054" s="20">
        <v>24</v>
      </c>
      <c r="R2054" s="65" t="s">
        <v>2010</v>
      </c>
      <c r="T2054" s="19" t="s">
        <v>307</v>
      </c>
      <c r="V2054" s="19" t="s">
        <v>178</v>
      </c>
      <c r="W2054" s="19" t="s">
        <v>138</v>
      </c>
      <c r="Z2054" s="44" t="s">
        <v>2449</v>
      </c>
      <c r="AA2054" s="44" t="s">
        <v>180</v>
      </c>
      <c r="AC2054" s="19" t="s">
        <v>2725</v>
      </c>
    </row>
    <row r="2055" spans="1:29" x14ac:dyDescent="0.25">
      <c r="A2055" s="26">
        <v>294</v>
      </c>
      <c r="B2055" s="19" t="s">
        <v>2746</v>
      </c>
      <c r="C2055" s="44" t="s">
        <v>273</v>
      </c>
      <c r="D2055" s="19" t="s">
        <v>803</v>
      </c>
      <c r="E2055" s="19">
        <v>12</v>
      </c>
      <c r="F2055" s="19">
        <v>135</v>
      </c>
      <c r="G2055" s="19">
        <v>488</v>
      </c>
      <c r="H2055" s="19">
        <v>16</v>
      </c>
      <c r="I2055" s="80">
        <v>6.19</v>
      </c>
      <c r="J2055" s="80">
        <v>99.04</v>
      </c>
      <c r="K2055" s="19" t="s">
        <v>184</v>
      </c>
      <c r="L2055" s="19" t="s">
        <v>2724</v>
      </c>
      <c r="Q2055" s="20">
        <v>24</v>
      </c>
      <c r="R2055" s="65" t="s">
        <v>2010</v>
      </c>
      <c r="T2055" s="19" t="s">
        <v>307</v>
      </c>
      <c r="V2055" s="19" t="s">
        <v>178</v>
      </c>
      <c r="W2055" s="19" t="s">
        <v>138</v>
      </c>
      <c r="Z2055" s="44" t="s">
        <v>2449</v>
      </c>
      <c r="AA2055" s="44" t="s">
        <v>180</v>
      </c>
      <c r="AC2055" s="19" t="s">
        <v>2725</v>
      </c>
    </row>
    <row r="2056" spans="1:29" x14ac:dyDescent="0.25">
      <c r="A2056" s="26">
        <v>295</v>
      </c>
      <c r="B2056" s="19" t="s">
        <v>2747</v>
      </c>
      <c r="C2056" s="44" t="s">
        <v>273</v>
      </c>
      <c r="D2056" s="19" t="s">
        <v>803</v>
      </c>
      <c r="E2056" s="19">
        <v>12</v>
      </c>
      <c r="F2056" s="19">
        <v>135</v>
      </c>
      <c r="G2056" s="19">
        <v>488</v>
      </c>
      <c r="H2056" s="19">
        <v>16</v>
      </c>
      <c r="I2056" s="80">
        <v>6.19</v>
      </c>
      <c r="J2056" s="80">
        <v>99.04</v>
      </c>
      <c r="K2056" s="19" t="s">
        <v>184</v>
      </c>
      <c r="L2056" s="19" t="s">
        <v>2724</v>
      </c>
      <c r="Q2056" s="20">
        <v>24</v>
      </c>
      <c r="R2056" s="65" t="s">
        <v>2010</v>
      </c>
      <c r="T2056" s="19" t="s">
        <v>307</v>
      </c>
      <c r="V2056" s="19" t="s">
        <v>178</v>
      </c>
      <c r="W2056" s="19" t="s">
        <v>138</v>
      </c>
      <c r="Z2056" s="44" t="s">
        <v>2449</v>
      </c>
      <c r="AA2056" s="44" t="s">
        <v>180</v>
      </c>
      <c r="AC2056" s="19" t="s">
        <v>2725</v>
      </c>
    </row>
    <row r="2057" spans="1:29" x14ac:dyDescent="0.25">
      <c r="A2057" s="26">
        <v>296</v>
      </c>
      <c r="B2057" s="19" t="s">
        <v>2748</v>
      </c>
      <c r="C2057" s="44" t="s">
        <v>273</v>
      </c>
      <c r="D2057" s="19" t="s">
        <v>803</v>
      </c>
      <c r="E2057" s="19">
        <v>12</v>
      </c>
      <c r="F2057" s="19">
        <v>135</v>
      </c>
      <c r="G2057" s="19">
        <v>488</v>
      </c>
      <c r="H2057" s="19">
        <v>16</v>
      </c>
      <c r="I2057" s="80">
        <v>6.19</v>
      </c>
      <c r="J2057" s="80">
        <v>99.04</v>
      </c>
      <c r="K2057" s="19" t="s">
        <v>184</v>
      </c>
      <c r="L2057" s="19" t="s">
        <v>2724</v>
      </c>
      <c r="Q2057" s="20">
        <v>24</v>
      </c>
      <c r="R2057" s="65" t="s">
        <v>2010</v>
      </c>
      <c r="T2057" s="19" t="s">
        <v>307</v>
      </c>
      <c r="V2057" s="19" t="s">
        <v>178</v>
      </c>
      <c r="W2057" s="19" t="s">
        <v>138</v>
      </c>
      <c r="Z2057" s="44" t="s">
        <v>2449</v>
      </c>
      <c r="AA2057" s="44" t="s">
        <v>180</v>
      </c>
      <c r="AC2057" s="19" t="s">
        <v>2725</v>
      </c>
    </row>
    <row r="2058" spans="1:29" x14ac:dyDescent="0.25">
      <c r="A2058" s="26">
        <v>297</v>
      </c>
      <c r="B2058" s="19" t="s">
        <v>2749</v>
      </c>
      <c r="C2058" s="44" t="s">
        <v>273</v>
      </c>
      <c r="D2058" s="19" t="s">
        <v>803</v>
      </c>
      <c r="E2058" s="19">
        <v>12</v>
      </c>
      <c r="F2058" s="19">
        <v>135</v>
      </c>
      <c r="G2058" s="19">
        <v>488</v>
      </c>
      <c r="H2058" s="19">
        <v>4</v>
      </c>
      <c r="I2058" s="80">
        <v>6.19</v>
      </c>
      <c r="J2058" s="80">
        <v>24.76</v>
      </c>
      <c r="K2058" s="19" t="s">
        <v>184</v>
      </c>
      <c r="L2058" s="19" t="s">
        <v>2724</v>
      </c>
      <c r="Q2058" s="20">
        <v>24</v>
      </c>
      <c r="R2058" s="65" t="s">
        <v>2010</v>
      </c>
      <c r="T2058" s="19" t="s">
        <v>307</v>
      </c>
      <c r="V2058" s="19" t="s">
        <v>178</v>
      </c>
      <c r="W2058" s="19" t="s">
        <v>138</v>
      </c>
      <c r="Z2058" s="44" t="s">
        <v>2449</v>
      </c>
      <c r="AA2058" s="44" t="s">
        <v>180</v>
      </c>
      <c r="AC2058" s="19" t="s">
        <v>2725</v>
      </c>
    </row>
    <row r="2059" spans="1:29" x14ac:dyDescent="0.25">
      <c r="A2059" s="26">
        <v>298</v>
      </c>
      <c r="B2059" s="19" t="s">
        <v>2750</v>
      </c>
      <c r="C2059" s="44" t="s">
        <v>273</v>
      </c>
      <c r="D2059" s="19" t="s">
        <v>874</v>
      </c>
      <c r="E2059" s="19">
        <v>12</v>
      </c>
      <c r="F2059" s="19">
        <v>100</v>
      </c>
      <c r="G2059" s="19">
        <v>150</v>
      </c>
      <c r="H2059" s="19">
        <v>1</v>
      </c>
      <c r="I2059" s="80">
        <v>1.41</v>
      </c>
      <c r="J2059" s="80">
        <v>1.41</v>
      </c>
      <c r="K2059" s="19" t="s">
        <v>184</v>
      </c>
      <c r="L2059" s="19" t="s">
        <v>2724</v>
      </c>
      <c r="Q2059" s="20">
        <v>24</v>
      </c>
      <c r="R2059" s="65" t="s">
        <v>2010</v>
      </c>
      <c r="T2059" s="19" t="s">
        <v>307</v>
      </c>
      <c r="V2059" s="19" t="s">
        <v>178</v>
      </c>
      <c r="W2059" s="19" t="s">
        <v>138</v>
      </c>
      <c r="Z2059" s="44" t="s">
        <v>2449</v>
      </c>
      <c r="AA2059" s="44" t="s">
        <v>180</v>
      </c>
      <c r="AC2059" s="19" t="s">
        <v>2725</v>
      </c>
    </row>
    <row r="2060" spans="1:29" x14ac:dyDescent="0.25">
      <c r="A2060" s="26">
        <v>299</v>
      </c>
      <c r="B2060" s="19" t="s">
        <v>2751</v>
      </c>
      <c r="C2060" s="44" t="s">
        <v>273</v>
      </c>
      <c r="D2060" s="19" t="s">
        <v>803</v>
      </c>
      <c r="E2060" s="19">
        <v>12</v>
      </c>
      <c r="F2060" s="19">
        <v>135</v>
      </c>
      <c r="G2060" s="19">
        <v>488</v>
      </c>
      <c r="H2060" s="19">
        <v>4</v>
      </c>
      <c r="I2060" s="80">
        <v>6.19</v>
      </c>
      <c r="J2060" s="80">
        <v>24.76</v>
      </c>
      <c r="K2060" s="19" t="s">
        <v>184</v>
      </c>
      <c r="L2060" s="19" t="s">
        <v>2724</v>
      </c>
      <c r="Q2060" s="20">
        <v>24</v>
      </c>
      <c r="R2060" s="65" t="s">
        <v>2010</v>
      </c>
      <c r="T2060" s="19" t="s">
        <v>307</v>
      </c>
      <c r="V2060" s="19" t="s">
        <v>178</v>
      </c>
      <c r="W2060" s="19" t="s">
        <v>138</v>
      </c>
      <c r="Z2060" s="44" t="s">
        <v>2449</v>
      </c>
      <c r="AA2060" s="44" t="s">
        <v>180</v>
      </c>
      <c r="AC2060" s="19" t="s">
        <v>2725</v>
      </c>
    </row>
    <row r="2061" spans="1:29" x14ac:dyDescent="0.25">
      <c r="A2061" s="26">
        <v>300</v>
      </c>
      <c r="B2061" s="19" t="s">
        <v>2752</v>
      </c>
      <c r="C2061" s="44" t="s">
        <v>273</v>
      </c>
      <c r="D2061" s="19" t="s">
        <v>874</v>
      </c>
      <c r="E2061" s="19">
        <v>12</v>
      </c>
      <c r="F2061" s="19">
        <v>100</v>
      </c>
      <c r="G2061" s="19">
        <v>150</v>
      </c>
      <c r="H2061" s="19">
        <v>1</v>
      </c>
      <c r="I2061" s="80">
        <v>1.41</v>
      </c>
      <c r="J2061" s="80">
        <v>1.41</v>
      </c>
      <c r="K2061" s="19" t="s">
        <v>184</v>
      </c>
      <c r="L2061" s="19" t="s">
        <v>2724</v>
      </c>
      <c r="Q2061" s="20">
        <v>24</v>
      </c>
      <c r="R2061" s="65" t="s">
        <v>2010</v>
      </c>
      <c r="T2061" s="19" t="s">
        <v>307</v>
      </c>
      <c r="V2061" s="19" t="s">
        <v>178</v>
      </c>
      <c r="W2061" s="19" t="s">
        <v>138</v>
      </c>
      <c r="Z2061" s="44" t="s">
        <v>2449</v>
      </c>
      <c r="AA2061" s="44" t="s">
        <v>180</v>
      </c>
      <c r="AC2061" s="19" t="s">
        <v>2725</v>
      </c>
    </row>
    <row r="2062" spans="1:29" x14ac:dyDescent="0.25">
      <c r="A2062" s="26">
        <v>301</v>
      </c>
      <c r="B2062" s="19" t="s">
        <v>2753</v>
      </c>
      <c r="C2062" s="44" t="s">
        <v>273</v>
      </c>
      <c r="D2062" s="19" t="s">
        <v>803</v>
      </c>
      <c r="E2062" s="19">
        <v>12</v>
      </c>
      <c r="F2062" s="19">
        <v>135</v>
      </c>
      <c r="G2062" s="19">
        <v>488</v>
      </c>
      <c r="H2062" s="19">
        <v>4</v>
      </c>
      <c r="I2062" s="80">
        <v>6.19</v>
      </c>
      <c r="J2062" s="80">
        <v>24.76</v>
      </c>
      <c r="K2062" s="19" t="s">
        <v>184</v>
      </c>
      <c r="L2062" s="19" t="s">
        <v>2724</v>
      </c>
      <c r="Q2062" s="20">
        <v>24</v>
      </c>
      <c r="R2062" s="65" t="s">
        <v>2010</v>
      </c>
      <c r="T2062" s="19" t="s">
        <v>307</v>
      </c>
      <c r="V2062" s="19" t="s">
        <v>178</v>
      </c>
      <c r="W2062" s="19" t="s">
        <v>138</v>
      </c>
      <c r="Z2062" s="44" t="s">
        <v>2449</v>
      </c>
      <c r="AA2062" s="44" t="s">
        <v>180</v>
      </c>
      <c r="AC2062" s="19" t="s">
        <v>2725</v>
      </c>
    </row>
    <row r="2063" spans="1:29" x14ac:dyDescent="0.25">
      <c r="A2063" s="26">
        <v>302</v>
      </c>
      <c r="B2063" s="19" t="s">
        <v>2754</v>
      </c>
      <c r="C2063" s="44" t="s">
        <v>273</v>
      </c>
      <c r="D2063" s="19" t="s">
        <v>874</v>
      </c>
      <c r="E2063" s="19">
        <v>12</v>
      </c>
      <c r="F2063" s="19">
        <v>100</v>
      </c>
      <c r="G2063" s="19">
        <v>150</v>
      </c>
      <c r="H2063" s="19">
        <v>1</v>
      </c>
      <c r="I2063" s="80">
        <v>1.41</v>
      </c>
      <c r="J2063" s="80">
        <v>1.41</v>
      </c>
      <c r="K2063" s="19" t="s">
        <v>184</v>
      </c>
      <c r="L2063" s="19" t="s">
        <v>2724</v>
      </c>
      <c r="Q2063" s="20">
        <v>24</v>
      </c>
      <c r="R2063" s="65" t="s">
        <v>2010</v>
      </c>
      <c r="T2063" s="19" t="s">
        <v>307</v>
      </c>
      <c r="V2063" s="19" t="s">
        <v>178</v>
      </c>
      <c r="W2063" s="19" t="s">
        <v>138</v>
      </c>
      <c r="Z2063" s="44" t="s">
        <v>2449</v>
      </c>
      <c r="AA2063" s="44" t="s">
        <v>180</v>
      </c>
      <c r="AC2063" s="19" t="s">
        <v>2725</v>
      </c>
    </row>
    <row r="2064" spans="1:29" x14ac:dyDescent="0.25">
      <c r="A2064" s="26">
        <v>303</v>
      </c>
      <c r="B2064" s="19" t="s">
        <v>2755</v>
      </c>
      <c r="C2064" s="44" t="s">
        <v>273</v>
      </c>
      <c r="D2064" s="19" t="s">
        <v>803</v>
      </c>
      <c r="E2064" s="19">
        <v>12</v>
      </c>
      <c r="F2064" s="19">
        <v>135</v>
      </c>
      <c r="G2064" s="19">
        <v>488</v>
      </c>
      <c r="H2064" s="19">
        <v>4</v>
      </c>
      <c r="I2064" s="80">
        <v>6.19</v>
      </c>
      <c r="J2064" s="80">
        <v>24.76</v>
      </c>
      <c r="K2064" s="19" t="s">
        <v>184</v>
      </c>
      <c r="L2064" s="19" t="s">
        <v>2724</v>
      </c>
      <c r="Q2064" s="20">
        <v>24</v>
      </c>
      <c r="R2064" s="65" t="s">
        <v>2010</v>
      </c>
      <c r="T2064" s="19" t="s">
        <v>307</v>
      </c>
      <c r="V2064" s="19" t="s">
        <v>178</v>
      </c>
      <c r="W2064" s="19" t="s">
        <v>138</v>
      </c>
      <c r="Z2064" s="44" t="s">
        <v>2449</v>
      </c>
      <c r="AA2064" s="44" t="s">
        <v>180</v>
      </c>
      <c r="AC2064" s="19" t="s">
        <v>2725</v>
      </c>
    </row>
    <row r="2065" spans="1:29" x14ac:dyDescent="0.25">
      <c r="A2065" s="26">
        <v>304</v>
      </c>
      <c r="B2065" s="19" t="s">
        <v>2756</v>
      </c>
      <c r="C2065" s="44" t="s">
        <v>273</v>
      </c>
      <c r="D2065" s="19" t="s">
        <v>874</v>
      </c>
      <c r="E2065" s="19">
        <v>12</v>
      </c>
      <c r="F2065" s="19">
        <v>100</v>
      </c>
      <c r="G2065" s="19">
        <v>150</v>
      </c>
      <c r="H2065" s="19">
        <v>1</v>
      </c>
      <c r="I2065" s="80">
        <v>1.41</v>
      </c>
      <c r="J2065" s="80">
        <v>1.41</v>
      </c>
      <c r="K2065" s="19" t="s">
        <v>184</v>
      </c>
      <c r="L2065" s="19" t="s">
        <v>2724</v>
      </c>
      <c r="Q2065" s="20">
        <v>24</v>
      </c>
      <c r="R2065" s="65" t="s">
        <v>2010</v>
      </c>
      <c r="T2065" s="19" t="s">
        <v>307</v>
      </c>
      <c r="V2065" s="19" t="s">
        <v>178</v>
      </c>
      <c r="W2065" s="19" t="s">
        <v>138</v>
      </c>
      <c r="Z2065" s="44" t="s">
        <v>2449</v>
      </c>
      <c r="AA2065" s="44" t="s">
        <v>180</v>
      </c>
      <c r="AC2065" s="19" t="s">
        <v>2725</v>
      </c>
    </row>
    <row r="2066" spans="1:29" x14ac:dyDescent="0.25">
      <c r="A2066" s="26">
        <v>305</v>
      </c>
      <c r="B2066" s="19" t="s">
        <v>2757</v>
      </c>
      <c r="C2066" s="44" t="s">
        <v>273</v>
      </c>
      <c r="D2066" s="19" t="s">
        <v>803</v>
      </c>
      <c r="E2066" s="19">
        <v>12</v>
      </c>
      <c r="F2066" s="19">
        <v>135</v>
      </c>
      <c r="G2066" s="19">
        <v>488</v>
      </c>
      <c r="H2066" s="19">
        <v>4</v>
      </c>
      <c r="I2066" s="80">
        <v>6.19</v>
      </c>
      <c r="J2066" s="80">
        <v>24.76</v>
      </c>
      <c r="K2066" s="19" t="s">
        <v>184</v>
      </c>
      <c r="L2066" s="19" t="s">
        <v>2724</v>
      </c>
      <c r="Q2066" s="20">
        <v>24</v>
      </c>
      <c r="R2066" s="65" t="s">
        <v>2010</v>
      </c>
      <c r="T2066" s="19" t="s">
        <v>307</v>
      </c>
      <c r="V2066" s="19" t="s">
        <v>178</v>
      </c>
      <c r="W2066" s="19" t="s">
        <v>138</v>
      </c>
      <c r="Z2066" s="44" t="s">
        <v>2449</v>
      </c>
      <c r="AA2066" s="44" t="s">
        <v>180</v>
      </c>
      <c r="AC2066" s="19" t="s">
        <v>2725</v>
      </c>
    </row>
    <row r="2067" spans="1:29" x14ac:dyDescent="0.25">
      <c r="A2067" s="26">
        <v>306</v>
      </c>
      <c r="B2067" s="19" t="s">
        <v>2758</v>
      </c>
      <c r="C2067" s="44" t="s">
        <v>273</v>
      </c>
      <c r="D2067" s="19" t="s">
        <v>874</v>
      </c>
      <c r="E2067" s="19">
        <v>12</v>
      </c>
      <c r="F2067" s="19">
        <v>100</v>
      </c>
      <c r="G2067" s="19">
        <v>150</v>
      </c>
      <c r="H2067" s="19">
        <v>1</v>
      </c>
      <c r="I2067" s="80">
        <v>1.41</v>
      </c>
      <c r="J2067" s="80">
        <v>1.41</v>
      </c>
      <c r="K2067" s="19" t="s">
        <v>184</v>
      </c>
      <c r="L2067" s="19" t="s">
        <v>2724</v>
      </c>
      <c r="Q2067" s="20">
        <v>24</v>
      </c>
      <c r="R2067" s="65" t="s">
        <v>2010</v>
      </c>
      <c r="T2067" s="19" t="s">
        <v>307</v>
      </c>
      <c r="V2067" s="19" t="s">
        <v>178</v>
      </c>
      <c r="W2067" s="19" t="s">
        <v>138</v>
      </c>
      <c r="Z2067" s="44" t="s">
        <v>2449</v>
      </c>
      <c r="AA2067" s="44" t="s">
        <v>180</v>
      </c>
      <c r="AC2067" s="19" t="s">
        <v>2725</v>
      </c>
    </row>
    <row r="2068" spans="1:29" x14ac:dyDescent="0.25">
      <c r="A2068" s="26">
        <v>307</v>
      </c>
      <c r="B2068" s="19" t="s">
        <v>2759</v>
      </c>
      <c r="C2068" s="44" t="s">
        <v>273</v>
      </c>
      <c r="D2068" s="19" t="s">
        <v>803</v>
      </c>
      <c r="E2068" s="19">
        <v>12</v>
      </c>
      <c r="F2068" s="19">
        <v>135</v>
      </c>
      <c r="G2068" s="19">
        <v>488</v>
      </c>
      <c r="H2068" s="19">
        <v>4</v>
      </c>
      <c r="I2068" s="80">
        <v>6.19</v>
      </c>
      <c r="J2068" s="80">
        <v>24.76</v>
      </c>
      <c r="K2068" s="19" t="s">
        <v>184</v>
      </c>
      <c r="L2068" s="19" t="s">
        <v>2724</v>
      </c>
      <c r="Q2068" s="20">
        <v>24</v>
      </c>
      <c r="R2068" s="65" t="s">
        <v>2010</v>
      </c>
      <c r="T2068" s="19" t="s">
        <v>307</v>
      </c>
      <c r="V2068" s="19" t="s">
        <v>178</v>
      </c>
      <c r="W2068" s="19" t="s">
        <v>138</v>
      </c>
      <c r="Z2068" s="44" t="s">
        <v>2449</v>
      </c>
      <c r="AA2068" s="44" t="s">
        <v>180</v>
      </c>
      <c r="AC2068" s="19" t="s">
        <v>2725</v>
      </c>
    </row>
    <row r="2069" spans="1:29" x14ac:dyDescent="0.25">
      <c r="A2069" s="26">
        <v>308</v>
      </c>
      <c r="B2069" s="19" t="s">
        <v>2760</v>
      </c>
      <c r="C2069" s="44" t="s">
        <v>273</v>
      </c>
      <c r="D2069" s="19" t="s">
        <v>874</v>
      </c>
      <c r="E2069" s="19">
        <v>12</v>
      </c>
      <c r="F2069" s="19">
        <v>100</v>
      </c>
      <c r="G2069" s="19">
        <v>150</v>
      </c>
      <c r="H2069" s="19">
        <v>1</v>
      </c>
      <c r="I2069" s="80">
        <v>1.41</v>
      </c>
      <c r="J2069" s="80">
        <v>1.41</v>
      </c>
      <c r="K2069" s="19" t="s">
        <v>184</v>
      </c>
      <c r="L2069" s="19" t="s">
        <v>2724</v>
      </c>
      <c r="Q2069" s="20">
        <v>24</v>
      </c>
      <c r="R2069" s="65" t="s">
        <v>2010</v>
      </c>
      <c r="T2069" s="19" t="s">
        <v>307</v>
      </c>
      <c r="V2069" s="19" t="s">
        <v>178</v>
      </c>
      <c r="W2069" s="19" t="s">
        <v>138</v>
      </c>
      <c r="Z2069" s="44" t="s">
        <v>2449</v>
      </c>
      <c r="AA2069" s="44" t="s">
        <v>180</v>
      </c>
      <c r="AC2069" s="19" t="s">
        <v>2725</v>
      </c>
    </row>
    <row r="2070" spans="1:29" x14ac:dyDescent="0.25">
      <c r="A2070" s="26">
        <v>309</v>
      </c>
      <c r="B2070" s="19" t="s">
        <v>2761</v>
      </c>
      <c r="C2070" s="44" t="s">
        <v>273</v>
      </c>
      <c r="D2070" s="19" t="s">
        <v>803</v>
      </c>
      <c r="E2070" s="19">
        <v>12</v>
      </c>
      <c r="F2070" s="19">
        <v>135</v>
      </c>
      <c r="G2070" s="19">
        <v>488</v>
      </c>
      <c r="H2070" s="19">
        <v>4</v>
      </c>
      <c r="I2070" s="80">
        <v>6.19</v>
      </c>
      <c r="J2070" s="80">
        <v>24.76</v>
      </c>
      <c r="K2070" s="19" t="s">
        <v>184</v>
      </c>
      <c r="L2070" s="19" t="s">
        <v>2724</v>
      </c>
      <c r="Q2070" s="20">
        <v>24</v>
      </c>
      <c r="R2070" s="65" t="s">
        <v>2010</v>
      </c>
      <c r="T2070" s="19" t="s">
        <v>307</v>
      </c>
      <c r="V2070" s="19" t="s">
        <v>178</v>
      </c>
      <c r="W2070" s="19" t="s">
        <v>138</v>
      </c>
      <c r="Z2070" s="44" t="s">
        <v>2449</v>
      </c>
      <c r="AA2070" s="44" t="s">
        <v>180</v>
      </c>
      <c r="AC2070" s="19" t="s">
        <v>2725</v>
      </c>
    </row>
    <row r="2071" spans="1:29" x14ac:dyDescent="0.25">
      <c r="A2071" s="26">
        <v>310</v>
      </c>
      <c r="B2071" s="19" t="s">
        <v>2762</v>
      </c>
      <c r="C2071" s="44" t="s">
        <v>273</v>
      </c>
      <c r="D2071" s="19" t="s">
        <v>874</v>
      </c>
      <c r="E2071" s="19">
        <v>12</v>
      </c>
      <c r="F2071" s="19">
        <v>100</v>
      </c>
      <c r="G2071" s="19">
        <v>150</v>
      </c>
      <c r="H2071" s="19">
        <v>1</v>
      </c>
      <c r="I2071" s="80">
        <v>1.41</v>
      </c>
      <c r="J2071" s="80">
        <v>1.41</v>
      </c>
      <c r="K2071" s="19" t="s">
        <v>184</v>
      </c>
      <c r="L2071" s="19" t="s">
        <v>2724</v>
      </c>
      <c r="Q2071" s="20">
        <v>24</v>
      </c>
      <c r="R2071" s="65" t="s">
        <v>2010</v>
      </c>
      <c r="T2071" s="19" t="s">
        <v>307</v>
      </c>
      <c r="V2071" s="19" t="s">
        <v>178</v>
      </c>
      <c r="W2071" s="19" t="s">
        <v>138</v>
      </c>
      <c r="Z2071" s="44" t="s">
        <v>2449</v>
      </c>
      <c r="AA2071" s="44" t="s">
        <v>180</v>
      </c>
      <c r="AC2071" s="19" t="s">
        <v>2725</v>
      </c>
    </row>
    <row r="2072" spans="1:29" x14ac:dyDescent="0.25">
      <c r="A2072" s="26">
        <v>311</v>
      </c>
      <c r="B2072" s="19" t="s">
        <v>2763</v>
      </c>
      <c r="C2072" s="44" t="s">
        <v>273</v>
      </c>
      <c r="D2072" s="19" t="s">
        <v>803</v>
      </c>
      <c r="E2072" s="19">
        <v>12</v>
      </c>
      <c r="F2072" s="19">
        <v>135</v>
      </c>
      <c r="G2072" s="19">
        <v>488</v>
      </c>
      <c r="H2072" s="19">
        <v>4</v>
      </c>
      <c r="I2072" s="80">
        <v>6.19</v>
      </c>
      <c r="J2072" s="80">
        <v>24.76</v>
      </c>
      <c r="K2072" s="19" t="s">
        <v>184</v>
      </c>
      <c r="L2072" s="19" t="s">
        <v>2724</v>
      </c>
      <c r="Q2072" s="20">
        <v>24</v>
      </c>
      <c r="R2072" s="65" t="s">
        <v>2010</v>
      </c>
      <c r="T2072" s="19" t="s">
        <v>307</v>
      </c>
      <c r="V2072" s="19" t="s">
        <v>178</v>
      </c>
      <c r="W2072" s="19" t="s">
        <v>138</v>
      </c>
      <c r="Z2072" s="44" t="s">
        <v>2449</v>
      </c>
      <c r="AA2072" s="44" t="s">
        <v>180</v>
      </c>
      <c r="AC2072" s="19" t="s">
        <v>2725</v>
      </c>
    </row>
    <row r="2073" spans="1:29" x14ac:dyDescent="0.25">
      <c r="A2073" s="26">
        <v>312</v>
      </c>
      <c r="B2073" s="19" t="s">
        <v>2764</v>
      </c>
      <c r="C2073" s="44" t="s">
        <v>273</v>
      </c>
      <c r="D2073" s="19" t="s">
        <v>874</v>
      </c>
      <c r="E2073" s="19">
        <v>12</v>
      </c>
      <c r="F2073" s="19">
        <v>100</v>
      </c>
      <c r="G2073" s="19">
        <v>150</v>
      </c>
      <c r="H2073" s="19">
        <v>1</v>
      </c>
      <c r="I2073" s="80">
        <v>1.41</v>
      </c>
      <c r="J2073" s="80">
        <v>1.41</v>
      </c>
      <c r="K2073" s="19" t="s">
        <v>184</v>
      </c>
      <c r="L2073" s="19" t="s">
        <v>2724</v>
      </c>
      <c r="Q2073" s="20">
        <v>24</v>
      </c>
      <c r="R2073" s="65" t="s">
        <v>2010</v>
      </c>
      <c r="T2073" s="19" t="s">
        <v>307</v>
      </c>
      <c r="V2073" s="19" t="s">
        <v>178</v>
      </c>
      <c r="W2073" s="19" t="s">
        <v>138</v>
      </c>
      <c r="Z2073" s="44" t="s">
        <v>2449</v>
      </c>
      <c r="AA2073" s="44" t="s">
        <v>180</v>
      </c>
      <c r="AC2073" s="19" t="s">
        <v>2725</v>
      </c>
    </row>
    <row r="2074" spans="1:29" x14ac:dyDescent="0.25">
      <c r="A2074" s="26">
        <v>313</v>
      </c>
      <c r="B2074" s="19" t="s">
        <v>2765</v>
      </c>
      <c r="C2074" s="44" t="s">
        <v>273</v>
      </c>
      <c r="D2074" s="19" t="s">
        <v>814</v>
      </c>
      <c r="E2074" s="19">
        <v>12</v>
      </c>
      <c r="F2074" s="19">
        <v>1460</v>
      </c>
      <c r="G2074" s="19">
        <v>6688</v>
      </c>
      <c r="H2074" s="19">
        <v>1</v>
      </c>
      <c r="I2074" s="80">
        <v>917.29</v>
      </c>
      <c r="J2074" s="80">
        <v>917.29</v>
      </c>
      <c r="K2074" s="19" t="s">
        <v>184</v>
      </c>
      <c r="L2074" s="19" t="s">
        <v>2724</v>
      </c>
      <c r="P2074" s="19" t="s">
        <v>138</v>
      </c>
      <c r="Q2074" s="20">
        <v>24</v>
      </c>
      <c r="R2074" s="65" t="s">
        <v>2010</v>
      </c>
      <c r="T2074" s="19" t="s">
        <v>307</v>
      </c>
      <c r="V2074" s="19" t="s">
        <v>178</v>
      </c>
      <c r="Y2074" s="19" t="s">
        <v>138</v>
      </c>
      <c r="Z2074" s="44" t="s">
        <v>2449</v>
      </c>
      <c r="AA2074" s="44" t="s">
        <v>180</v>
      </c>
      <c r="AC2074" s="19" t="s">
        <v>2725</v>
      </c>
    </row>
    <row r="2075" spans="1:29" x14ac:dyDescent="0.25">
      <c r="A2075" s="26">
        <v>314</v>
      </c>
      <c r="B2075" s="19" t="s">
        <v>2557</v>
      </c>
      <c r="C2075" s="44" t="s">
        <v>273</v>
      </c>
      <c r="D2075" s="19" t="s">
        <v>1239</v>
      </c>
      <c r="E2075" s="19">
        <v>12</v>
      </c>
      <c r="F2075" s="19">
        <v>130</v>
      </c>
      <c r="G2075" s="19">
        <v>663</v>
      </c>
      <c r="H2075" s="19">
        <v>2</v>
      </c>
      <c r="I2075" s="80">
        <v>8.11</v>
      </c>
      <c r="J2075" s="80">
        <v>16.22</v>
      </c>
      <c r="K2075" s="19" t="s">
        <v>184</v>
      </c>
      <c r="L2075" s="19" t="s">
        <v>2724</v>
      </c>
      <c r="Q2075" s="20">
        <v>24</v>
      </c>
      <c r="R2075" s="65" t="s">
        <v>2010</v>
      </c>
      <c r="T2075" s="19" t="s">
        <v>307</v>
      </c>
      <c r="V2075" s="19" t="s">
        <v>178</v>
      </c>
      <c r="W2075" s="19" t="s">
        <v>138</v>
      </c>
      <c r="Z2075" s="44" t="s">
        <v>2449</v>
      </c>
      <c r="AA2075" s="44" t="s">
        <v>180</v>
      </c>
      <c r="AC2075" s="19" t="s">
        <v>2725</v>
      </c>
    </row>
    <row r="2076" spans="1:29" x14ac:dyDescent="0.25">
      <c r="A2076" s="26">
        <v>315</v>
      </c>
      <c r="B2076" s="19" t="s">
        <v>2766</v>
      </c>
      <c r="C2076" s="44" t="s">
        <v>273</v>
      </c>
      <c r="D2076" s="19" t="s">
        <v>1493</v>
      </c>
      <c r="E2076" s="19">
        <v>12</v>
      </c>
      <c r="F2076" s="19">
        <v>238</v>
      </c>
      <c r="G2076" s="19">
        <v>1280</v>
      </c>
      <c r="H2076" s="19">
        <v>1</v>
      </c>
      <c r="I2076" s="80">
        <v>28.7</v>
      </c>
      <c r="J2076" s="80">
        <v>28.7</v>
      </c>
      <c r="K2076" s="19" t="s">
        <v>184</v>
      </c>
      <c r="L2076" s="19" t="s">
        <v>2724</v>
      </c>
      <c r="O2076" s="19" t="s">
        <v>138</v>
      </c>
      <c r="Q2076" s="20">
        <v>24</v>
      </c>
      <c r="R2076" s="65" t="s">
        <v>2010</v>
      </c>
      <c r="T2076" s="19" t="s">
        <v>307</v>
      </c>
      <c r="V2076" s="19" t="s">
        <v>178</v>
      </c>
      <c r="Z2076" s="44" t="s">
        <v>2449</v>
      </c>
      <c r="AA2076" s="44" t="s">
        <v>180</v>
      </c>
      <c r="AC2076" s="19" t="s">
        <v>2725</v>
      </c>
    </row>
    <row r="2077" spans="1:29" x14ac:dyDescent="0.25">
      <c r="A2077" s="26">
        <v>316</v>
      </c>
      <c r="B2077" s="19" t="s">
        <v>2767</v>
      </c>
      <c r="C2077" s="44" t="s">
        <v>273</v>
      </c>
      <c r="D2077" s="19" t="s">
        <v>1493</v>
      </c>
      <c r="E2077" s="19">
        <v>12</v>
      </c>
      <c r="F2077" s="19">
        <v>238</v>
      </c>
      <c r="G2077" s="19">
        <v>1280</v>
      </c>
      <c r="H2077" s="19">
        <v>1</v>
      </c>
      <c r="I2077" s="80">
        <v>28.7</v>
      </c>
      <c r="J2077" s="80">
        <v>28.7</v>
      </c>
      <c r="K2077" s="19" t="s">
        <v>184</v>
      </c>
      <c r="L2077" s="19" t="s">
        <v>2724</v>
      </c>
      <c r="O2077" s="19" t="s">
        <v>138</v>
      </c>
      <c r="Q2077" s="20">
        <v>24</v>
      </c>
      <c r="R2077" s="65" t="s">
        <v>2010</v>
      </c>
      <c r="T2077" s="19" t="s">
        <v>307</v>
      </c>
      <c r="V2077" s="19" t="s">
        <v>178</v>
      </c>
      <c r="Z2077" s="44" t="s">
        <v>2449</v>
      </c>
      <c r="AA2077" s="44" t="s">
        <v>180</v>
      </c>
      <c r="AC2077" s="19" t="s">
        <v>2725</v>
      </c>
    </row>
    <row r="2078" spans="1:29" x14ac:dyDescent="0.25">
      <c r="A2078" s="26">
        <v>317</v>
      </c>
      <c r="B2078" s="19" t="s">
        <v>2768</v>
      </c>
      <c r="C2078" s="44" t="s">
        <v>273</v>
      </c>
      <c r="D2078" s="19" t="s">
        <v>839</v>
      </c>
      <c r="E2078" s="19">
        <v>12</v>
      </c>
      <c r="F2078" s="19">
        <v>120</v>
      </c>
      <c r="G2078" s="19">
        <v>129</v>
      </c>
      <c r="H2078" s="19">
        <v>24</v>
      </c>
      <c r="I2078" s="80">
        <v>1.32</v>
      </c>
      <c r="J2078" s="80">
        <v>31.78</v>
      </c>
      <c r="K2078" s="19" t="s">
        <v>184</v>
      </c>
      <c r="L2078" s="19" t="s">
        <v>2769</v>
      </c>
      <c r="Q2078" s="20">
        <v>24</v>
      </c>
      <c r="R2078" s="65" t="s">
        <v>2010</v>
      </c>
      <c r="T2078" s="19" t="s">
        <v>307</v>
      </c>
      <c r="V2078" s="19" t="s">
        <v>178</v>
      </c>
      <c r="W2078" s="19" t="s">
        <v>138</v>
      </c>
      <c r="Z2078" s="44" t="s">
        <v>2449</v>
      </c>
      <c r="AA2078" s="44" t="s">
        <v>180</v>
      </c>
      <c r="AC2078" s="19" t="s">
        <v>2770</v>
      </c>
    </row>
    <row r="2079" spans="1:29" x14ac:dyDescent="0.25">
      <c r="A2079" s="26">
        <v>318</v>
      </c>
      <c r="B2079" s="19" t="s">
        <v>2771</v>
      </c>
      <c r="C2079" s="44" t="s">
        <v>273</v>
      </c>
      <c r="D2079" s="19" t="s">
        <v>839</v>
      </c>
      <c r="E2079" s="19">
        <v>12</v>
      </c>
      <c r="F2079" s="19">
        <v>120</v>
      </c>
      <c r="G2079" s="19">
        <v>129</v>
      </c>
      <c r="H2079" s="19">
        <v>24</v>
      </c>
      <c r="I2079" s="80">
        <v>1.32</v>
      </c>
      <c r="J2079" s="80">
        <v>31.78</v>
      </c>
      <c r="K2079" s="19" t="s">
        <v>184</v>
      </c>
      <c r="L2079" s="19" t="s">
        <v>2769</v>
      </c>
      <c r="Q2079" s="20">
        <v>24</v>
      </c>
      <c r="R2079" s="65" t="s">
        <v>2010</v>
      </c>
      <c r="T2079" s="19" t="s">
        <v>307</v>
      </c>
      <c r="V2079" s="19" t="s">
        <v>178</v>
      </c>
      <c r="W2079" s="19" t="s">
        <v>138</v>
      </c>
      <c r="Z2079" s="44" t="s">
        <v>2449</v>
      </c>
      <c r="AA2079" s="44" t="s">
        <v>180</v>
      </c>
      <c r="AC2079" s="19" t="s">
        <v>2770</v>
      </c>
    </row>
    <row r="2080" spans="1:29" x14ac:dyDescent="0.25">
      <c r="A2080" s="26">
        <v>319</v>
      </c>
      <c r="B2080" s="19" t="s">
        <v>2772</v>
      </c>
      <c r="C2080" s="44" t="s">
        <v>273</v>
      </c>
      <c r="D2080" s="19" t="s">
        <v>839</v>
      </c>
      <c r="E2080" s="19">
        <v>12</v>
      </c>
      <c r="F2080" s="19">
        <v>120</v>
      </c>
      <c r="G2080" s="19">
        <v>129</v>
      </c>
      <c r="H2080" s="19">
        <v>12</v>
      </c>
      <c r="I2080" s="80">
        <v>1.32</v>
      </c>
      <c r="J2080" s="80">
        <v>15.89</v>
      </c>
      <c r="K2080" s="19" t="s">
        <v>184</v>
      </c>
      <c r="L2080" s="19" t="s">
        <v>2769</v>
      </c>
      <c r="Q2080" s="20">
        <v>24</v>
      </c>
      <c r="R2080" s="65" t="s">
        <v>2010</v>
      </c>
      <c r="T2080" s="19" t="s">
        <v>307</v>
      </c>
      <c r="V2080" s="19" t="s">
        <v>178</v>
      </c>
      <c r="W2080" s="19" t="s">
        <v>138</v>
      </c>
      <c r="Z2080" s="44" t="s">
        <v>2449</v>
      </c>
      <c r="AA2080" s="44" t="s">
        <v>180</v>
      </c>
      <c r="AC2080" s="19" t="s">
        <v>2770</v>
      </c>
    </row>
    <row r="2081" spans="1:29" x14ac:dyDescent="0.25">
      <c r="A2081" s="26">
        <v>320</v>
      </c>
      <c r="B2081" s="19" t="s">
        <v>2773</v>
      </c>
      <c r="C2081" s="44" t="s">
        <v>273</v>
      </c>
      <c r="D2081" s="19" t="s">
        <v>812</v>
      </c>
      <c r="E2081" s="19">
        <v>12</v>
      </c>
      <c r="F2081" s="19">
        <v>490</v>
      </c>
      <c r="G2081" s="19">
        <v>6464</v>
      </c>
      <c r="H2081" s="19">
        <v>1</v>
      </c>
      <c r="I2081" s="80">
        <v>298.16000000000003</v>
      </c>
      <c r="J2081" s="80">
        <v>298.16000000000003</v>
      </c>
      <c r="K2081" s="19" t="s">
        <v>184</v>
      </c>
      <c r="L2081" s="19" t="s">
        <v>2769</v>
      </c>
      <c r="Q2081" s="20">
        <v>24</v>
      </c>
      <c r="R2081" s="65" t="s">
        <v>2010</v>
      </c>
      <c r="T2081" s="19" t="s">
        <v>307</v>
      </c>
      <c r="V2081" s="19" t="s">
        <v>178</v>
      </c>
      <c r="Y2081" s="19" t="s">
        <v>138</v>
      </c>
      <c r="Z2081" s="44" t="s">
        <v>2449</v>
      </c>
      <c r="AA2081" s="44" t="s">
        <v>180</v>
      </c>
      <c r="AC2081" s="19" t="s">
        <v>2770</v>
      </c>
    </row>
    <row r="2082" spans="1:29" x14ac:dyDescent="0.25">
      <c r="A2082" s="26">
        <v>321</v>
      </c>
      <c r="B2082" s="19" t="s">
        <v>2774</v>
      </c>
      <c r="C2082" s="44" t="s">
        <v>273</v>
      </c>
      <c r="D2082" s="19" t="s">
        <v>930</v>
      </c>
      <c r="E2082" s="19">
        <v>12</v>
      </c>
      <c r="F2082" s="19">
        <v>128</v>
      </c>
      <c r="G2082" s="19">
        <v>145</v>
      </c>
      <c r="H2082" s="19">
        <v>4</v>
      </c>
      <c r="I2082" s="80">
        <v>1.67</v>
      </c>
      <c r="J2082" s="80">
        <v>6.69</v>
      </c>
      <c r="K2082" s="19" t="s">
        <v>184</v>
      </c>
      <c r="L2082" s="19" t="s">
        <v>2769</v>
      </c>
      <c r="Q2082" s="20">
        <v>24</v>
      </c>
      <c r="R2082" s="65" t="s">
        <v>2010</v>
      </c>
      <c r="T2082" s="19" t="s">
        <v>307</v>
      </c>
      <c r="V2082" s="19" t="s">
        <v>178</v>
      </c>
      <c r="W2082" s="19" t="s">
        <v>138</v>
      </c>
      <c r="Z2082" s="44" t="s">
        <v>2449</v>
      </c>
      <c r="AA2082" s="44" t="s">
        <v>180</v>
      </c>
      <c r="AC2082" s="19" t="s">
        <v>2770</v>
      </c>
    </row>
    <row r="2083" spans="1:29" x14ac:dyDescent="0.25">
      <c r="A2083" s="26">
        <v>322</v>
      </c>
      <c r="B2083" s="19" t="s">
        <v>2745</v>
      </c>
      <c r="C2083" s="44" t="s">
        <v>273</v>
      </c>
      <c r="D2083" s="19" t="s">
        <v>839</v>
      </c>
      <c r="E2083" s="19">
        <v>12</v>
      </c>
      <c r="F2083" s="19">
        <v>120</v>
      </c>
      <c r="G2083" s="19">
        <v>129</v>
      </c>
      <c r="H2083" s="19">
        <v>12</v>
      </c>
      <c r="I2083" s="80">
        <v>1.32</v>
      </c>
      <c r="J2083" s="80">
        <v>15.89</v>
      </c>
      <c r="K2083" s="19" t="s">
        <v>184</v>
      </c>
      <c r="L2083" s="19" t="s">
        <v>2769</v>
      </c>
      <c r="Q2083" s="20">
        <v>24</v>
      </c>
      <c r="R2083" s="65" t="s">
        <v>2010</v>
      </c>
      <c r="T2083" s="19" t="s">
        <v>307</v>
      </c>
      <c r="V2083" s="19" t="s">
        <v>178</v>
      </c>
      <c r="W2083" s="19" t="s">
        <v>138</v>
      </c>
      <c r="Z2083" s="44" t="s">
        <v>2449</v>
      </c>
      <c r="AA2083" s="44" t="s">
        <v>180</v>
      </c>
      <c r="AC2083" s="19" t="s">
        <v>2770</v>
      </c>
    </row>
    <row r="2084" spans="1:29" x14ac:dyDescent="0.25">
      <c r="A2084" s="26">
        <v>323</v>
      </c>
      <c r="B2084" s="19" t="s">
        <v>2775</v>
      </c>
      <c r="C2084" s="44" t="s">
        <v>273</v>
      </c>
      <c r="D2084" s="19" t="s">
        <v>839</v>
      </c>
      <c r="E2084" s="19">
        <v>12</v>
      </c>
      <c r="F2084" s="19">
        <v>120</v>
      </c>
      <c r="G2084" s="19">
        <v>129</v>
      </c>
      <c r="H2084" s="19">
        <v>24</v>
      </c>
      <c r="I2084" s="80">
        <v>1.32</v>
      </c>
      <c r="J2084" s="80">
        <v>31.78</v>
      </c>
      <c r="K2084" s="19" t="s">
        <v>184</v>
      </c>
      <c r="L2084" s="19" t="s">
        <v>2769</v>
      </c>
      <c r="Q2084" s="20">
        <v>24</v>
      </c>
      <c r="R2084" s="65" t="s">
        <v>2010</v>
      </c>
      <c r="T2084" s="19" t="s">
        <v>307</v>
      </c>
      <c r="V2084" s="19" t="s">
        <v>178</v>
      </c>
      <c r="W2084" s="19" t="s">
        <v>138</v>
      </c>
      <c r="Z2084" s="44" t="s">
        <v>2449</v>
      </c>
      <c r="AA2084" s="44" t="s">
        <v>180</v>
      </c>
      <c r="AC2084" s="19" t="s">
        <v>2770</v>
      </c>
    </row>
    <row r="2085" spans="1:29" x14ac:dyDescent="0.25">
      <c r="A2085" s="26">
        <v>324</v>
      </c>
      <c r="B2085" s="19" t="s">
        <v>2776</v>
      </c>
      <c r="C2085" s="44" t="s">
        <v>273</v>
      </c>
      <c r="D2085" s="19" t="s">
        <v>839</v>
      </c>
      <c r="E2085" s="19">
        <v>12</v>
      </c>
      <c r="F2085" s="19">
        <v>120</v>
      </c>
      <c r="G2085" s="19">
        <v>129</v>
      </c>
      <c r="H2085" s="19">
        <v>24</v>
      </c>
      <c r="I2085" s="80">
        <v>1.32</v>
      </c>
      <c r="J2085" s="80">
        <v>31.78</v>
      </c>
      <c r="K2085" s="19" t="s">
        <v>184</v>
      </c>
      <c r="L2085" s="19" t="s">
        <v>2769</v>
      </c>
      <c r="Q2085" s="20">
        <v>24</v>
      </c>
      <c r="R2085" s="65" t="s">
        <v>2010</v>
      </c>
      <c r="T2085" s="19" t="s">
        <v>307</v>
      </c>
      <c r="V2085" s="19" t="s">
        <v>178</v>
      </c>
      <c r="W2085" s="19" t="s">
        <v>138</v>
      </c>
      <c r="Z2085" s="44" t="s">
        <v>2449</v>
      </c>
      <c r="AA2085" s="44" t="s">
        <v>180</v>
      </c>
      <c r="AC2085" s="19" t="s">
        <v>2770</v>
      </c>
    </row>
    <row r="2086" spans="1:29" x14ac:dyDescent="0.25">
      <c r="A2086" s="26">
        <v>325</v>
      </c>
      <c r="B2086" s="19" t="s">
        <v>2777</v>
      </c>
      <c r="C2086" s="44" t="s">
        <v>273</v>
      </c>
      <c r="D2086" s="19" t="s">
        <v>839</v>
      </c>
      <c r="E2086" s="19">
        <v>12</v>
      </c>
      <c r="F2086" s="19">
        <v>120</v>
      </c>
      <c r="G2086" s="19">
        <v>129</v>
      </c>
      <c r="H2086" s="19">
        <v>24</v>
      </c>
      <c r="I2086" s="80">
        <v>1.32</v>
      </c>
      <c r="J2086" s="80">
        <v>31.78</v>
      </c>
      <c r="K2086" s="19" t="s">
        <v>184</v>
      </c>
      <c r="L2086" s="19" t="s">
        <v>2769</v>
      </c>
      <c r="Q2086" s="20">
        <v>24</v>
      </c>
      <c r="R2086" s="65" t="s">
        <v>2010</v>
      </c>
      <c r="T2086" s="19" t="s">
        <v>307</v>
      </c>
      <c r="V2086" s="19" t="s">
        <v>178</v>
      </c>
      <c r="W2086" s="19" t="s">
        <v>138</v>
      </c>
      <c r="Z2086" s="44" t="s">
        <v>2449</v>
      </c>
      <c r="AA2086" s="44" t="s">
        <v>180</v>
      </c>
      <c r="AC2086" s="19" t="s">
        <v>2770</v>
      </c>
    </row>
    <row r="2087" spans="1:29" x14ac:dyDescent="0.25">
      <c r="A2087" s="26">
        <v>326</v>
      </c>
      <c r="B2087" s="19" t="s">
        <v>2778</v>
      </c>
      <c r="C2087" s="44" t="s">
        <v>273</v>
      </c>
      <c r="D2087" s="19" t="s">
        <v>839</v>
      </c>
      <c r="E2087" s="19">
        <v>12</v>
      </c>
      <c r="F2087" s="19">
        <v>120</v>
      </c>
      <c r="G2087" s="19">
        <v>129</v>
      </c>
      <c r="H2087" s="19">
        <v>24</v>
      </c>
      <c r="I2087" s="80">
        <v>1.32</v>
      </c>
      <c r="J2087" s="80">
        <v>31.78</v>
      </c>
      <c r="K2087" s="19" t="s">
        <v>184</v>
      </c>
      <c r="L2087" s="19" t="s">
        <v>2769</v>
      </c>
      <c r="Q2087" s="20">
        <v>24</v>
      </c>
      <c r="R2087" s="65" t="s">
        <v>2010</v>
      </c>
      <c r="T2087" s="19" t="s">
        <v>307</v>
      </c>
      <c r="V2087" s="19" t="s">
        <v>178</v>
      </c>
      <c r="W2087" s="19" t="s">
        <v>138</v>
      </c>
      <c r="Z2087" s="44" t="s">
        <v>2449</v>
      </c>
      <c r="AA2087" s="44" t="s">
        <v>180</v>
      </c>
      <c r="AC2087" s="19" t="s">
        <v>2770</v>
      </c>
    </row>
    <row r="2088" spans="1:29" x14ac:dyDescent="0.25">
      <c r="A2088" s="26">
        <v>327</v>
      </c>
      <c r="B2088" s="19" t="s">
        <v>2779</v>
      </c>
      <c r="C2088" s="44" t="s">
        <v>273</v>
      </c>
      <c r="D2088" s="19" t="s">
        <v>839</v>
      </c>
      <c r="E2088" s="19">
        <v>12</v>
      </c>
      <c r="F2088" s="19">
        <v>120</v>
      </c>
      <c r="G2088" s="19">
        <v>129</v>
      </c>
      <c r="H2088" s="19">
        <v>24</v>
      </c>
      <c r="I2088" s="80">
        <v>1.32</v>
      </c>
      <c r="J2088" s="80">
        <v>31.78</v>
      </c>
      <c r="K2088" s="19" t="s">
        <v>184</v>
      </c>
      <c r="L2088" s="19" t="s">
        <v>2769</v>
      </c>
      <c r="Q2088" s="20">
        <v>24</v>
      </c>
      <c r="R2088" s="65" t="s">
        <v>2010</v>
      </c>
      <c r="T2088" s="19" t="s">
        <v>307</v>
      </c>
      <c r="V2088" s="19" t="s">
        <v>178</v>
      </c>
      <c r="W2088" s="19" t="s">
        <v>138</v>
      </c>
      <c r="Z2088" s="44" t="s">
        <v>2449</v>
      </c>
      <c r="AA2088" s="44" t="s">
        <v>180</v>
      </c>
      <c r="AC2088" s="19" t="s">
        <v>2770</v>
      </c>
    </row>
    <row r="2089" spans="1:29" x14ac:dyDescent="0.25">
      <c r="A2089" s="26">
        <v>328</v>
      </c>
      <c r="B2089" s="19" t="s">
        <v>2780</v>
      </c>
      <c r="C2089" s="44" t="s">
        <v>273</v>
      </c>
      <c r="D2089" s="19" t="s">
        <v>839</v>
      </c>
      <c r="E2089" s="19">
        <v>12</v>
      </c>
      <c r="F2089" s="19">
        <v>120</v>
      </c>
      <c r="G2089" s="19">
        <v>129</v>
      </c>
      <c r="H2089" s="19">
        <v>24</v>
      </c>
      <c r="I2089" s="80">
        <v>1.32</v>
      </c>
      <c r="J2089" s="80">
        <v>31.78</v>
      </c>
      <c r="K2089" s="19" t="s">
        <v>184</v>
      </c>
      <c r="L2089" s="19" t="s">
        <v>2769</v>
      </c>
      <c r="Q2089" s="20">
        <v>24</v>
      </c>
      <c r="R2089" s="65" t="s">
        <v>2010</v>
      </c>
      <c r="T2089" s="19" t="s">
        <v>307</v>
      </c>
      <c r="V2089" s="19" t="s">
        <v>178</v>
      </c>
      <c r="W2089" s="19" t="s">
        <v>138</v>
      </c>
      <c r="Z2089" s="44" t="s">
        <v>2449</v>
      </c>
      <c r="AA2089" s="44" t="s">
        <v>180</v>
      </c>
      <c r="AC2089" s="19" t="s">
        <v>2770</v>
      </c>
    </row>
    <row r="2090" spans="1:29" x14ac:dyDescent="0.25">
      <c r="A2090" s="26">
        <v>329</v>
      </c>
      <c r="B2090" s="19" t="s">
        <v>2781</v>
      </c>
      <c r="C2090" s="44" t="s">
        <v>273</v>
      </c>
      <c r="D2090" s="19" t="s">
        <v>839</v>
      </c>
      <c r="E2090" s="19">
        <v>12</v>
      </c>
      <c r="F2090" s="19">
        <v>120</v>
      </c>
      <c r="G2090" s="19">
        <v>129</v>
      </c>
      <c r="H2090" s="19">
        <v>18</v>
      </c>
      <c r="I2090" s="80">
        <v>1.32</v>
      </c>
      <c r="J2090" s="80">
        <v>23.83</v>
      </c>
      <c r="K2090" s="19" t="s">
        <v>184</v>
      </c>
      <c r="L2090" s="19" t="s">
        <v>2769</v>
      </c>
      <c r="Q2090" s="20">
        <v>24</v>
      </c>
      <c r="R2090" s="65" t="s">
        <v>2010</v>
      </c>
      <c r="T2090" s="19" t="s">
        <v>307</v>
      </c>
      <c r="V2090" s="19" t="s">
        <v>178</v>
      </c>
      <c r="W2090" s="19" t="s">
        <v>138</v>
      </c>
      <c r="Z2090" s="44" t="s">
        <v>2449</v>
      </c>
      <c r="AA2090" s="44" t="s">
        <v>180</v>
      </c>
      <c r="AC2090" s="19" t="s">
        <v>2770</v>
      </c>
    </row>
    <row r="2091" spans="1:29" x14ac:dyDescent="0.25">
      <c r="A2091" s="26">
        <v>330</v>
      </c>
      <c r="B2091" s="19" t="s">
        <v>2782</v>
      </c>
      <c r="C2091" s="44" t="s">
        <v>273</v>
      </c>
      <c r="D2091" s="19" t="s">
        <v>839</v>
      </c>
      <c r="E2091" s="19">
        <v>12</v>
      </c>
      <c r="F2091" s="19">
        <v>120</v>
      </c>
      <c r="G2091" s="19">
        <v>129</v>
      </c>
      <c r="H2091" s="19">
        <v>18</v>
      </c>
      <c r="I2091" s="80">
        <v>1.32</v>
      </c>
      <c r="J2091" s="80">
        <v>23.83</v>
      </c>
      <c r="K2091" s="19" t="s">
        <v>184</v>
      </c>
      <c r="L2091" s="19" t="s">
        <v>2769</v>
      </c>
      <c r="Q2091" s="20">
        <v>24</v>
      </c>
      <c r="R2091" s="65" t="s">
        <v>2010</v>
      </c>
      <c r="T2091" s="19" t="s">
        <v>307</v>
      </c>
      <c r="V2091" s="19" t="s">
        <v>178</v>
      </c>
      <c r="W2091" s="19" t="s">
        <v>138</v>
      </c>
      <c r="Z2091" s="44" t="s">
        <v>2449</v>
      </c>
      <c r="AA2091" s="44" t="s">
        <v>180</v>
      </c>
      <c r="AC2091" s="19" t="s">
        <v>2770</v>
      </c>
    </row>
    <row r="2092" spans="1:29" x14ac:dyDescent="0.25">
      <c r="A2092" s="26">
        <v>331</v>
      </c>
      <c r="B2092" s="19" t="s">
        <v>2783</v>
      </c>
      <c r="C2092" s="44" t="s">
        <v>273</v>
      </c>
      <c r="D2092" s="19" t="s">
        <v>839</v>
      </c>
      <c r="E2092" s="19">
        <v>12</v>
      </c>
      <c r="F2092" s="19">
        <v>120</v>
      </c>
      <c r="G2092" s="19">
        <v>129</v>
      </c>
      <c r="H2092" s="19">
        <v>18</v>
      </c>
      <c r="I2092" s="80">
        <v>1.32</v>
      </c>
      <c r="J2092" s="80">
        <v>23.83</v>
      </c>
      <c r="K2092" s="19" t="s">
        <v>184</v>
      </c>
      <c r="L2092" s="19" t="s">
        <v>2769</v>
      </c>
      <c r="Q2092" s="20">
        <v>24</v>
      </c>
      <c r="R2092" s="65" t="s">
        <v>2010</v>
      </c>
      <c r="T2092" s="19" t="s">
        <v>307</v>
      </c>
      <c r="V2092" s="19" t="s">
        <v>178</v>
      </c>
      <c r="W2092" s="19" t="s">
        <v>138</v>
      </c>
      <c r="Z2092" s="44" t="s">
        <v>2449</v>
      </c>
      <c r="AA2092" s="44" t="s">
        <v>180</v>
      </c>
      <c r="AC2092" s="19" t="s">
        <v>2770</v>
      </c>
    </row>
    <row r="2093" spans="1:29" x14ac:dyDescent="0.25">
      <c r="A2093" s="26">
        <v>332</v>
      </c>
      <c r="B2093" s="19" t="s">
        <v>2784</v>
      </c>
      <c r="C2093" s="44" t="s">
        <v>273</v>
      </c>
      <c r="D2093" s="19" t="s">
        <v>839</v>
      </c>
      <c r="E2093" s="19">
        <v>12</v>
      </c>
      <c r="F2093" s="19">
        <v>120</v>
      </c>
      <c r="G2093" s="19">
        <v>129</v>
      </c>
      <c r="H2093" s="19">
        <v>18</v>
      </c>
      <c r="I2093" s="80">
        <v>1.32</v>
      </c>
      <c r="J2093" s="80">
        <v>23.83</v>
      </c>
      <c r="K2093" s="19" t="s">
        <v>184</v>
      </c>
      <c r="L2093" s="19" t="s">
        <v>2769</v>
      </c>
      <c r="Q2093" s="20">
        <v>24</v>
      </c>
      <c r="R2093" s="65" t="s">
        <v>2010</v>
      </c>
      <c r="T2093" s="19" t="s">
        <v>307</v>
      </c>
      <c r="V2093" s="19" t="s">
        <v>178</v>
      </c>
      <c r="W2093" s="19" t="s">
        <v>138</v>
      </c>
      <c r="Z2093" s="44" t="s">
        <v>2449</v>
      </c>
      <c r="AA2093" s="44" t="s">
        <v>180</v>
      </c>
      <c r="AC2093" s="19" t="s">
        <v>2770</v>
      </c>
    </row>
    <row r="2094" spans="1:29" x14ac:dyDescent="0.25">
      <c r="A2094" s="26">
        <v>333</v>
      </c>
      <c r="B2094" s="19" t="s">
        <v>2785</v>
      </c>
      <c r="C2094" s="44" t="s">
        <v>273</v>
      </c>
      <c r="D2094" s="19" t="s">
        <v>839</v>
      </c>
      <c r="E2094" s="19">
        <v>12</v>
      </c>
      <c r="F2094" s="19">
        <v>120</v>
      </c>
      <c r="G2094" s="19">
        <v>129</v>
      </c>
      <c r="H2094" s="19">
        <v>18</v>
      </c>
      <c r="I2094" s="80">
        <v>1.32</v>
      </c>
      <c r="J2094" s="80">
        <v>23.83</v>
      </c>
      <c r="K2094" s="19" t="s">
        <v>184</v>
      </c>
      <c r="L2094" s="19" t="s">
        <v>2769</v>
      </c>
      <c r="Q2094" s="20">
        <v>24</v>
      </c>
      <c r="R2094" s="65" t="s">
        <v>2010</v>
      </c>
      <c r="T2094" s="19" t="s">
        <v>307</v>
      </c>
      <c r="V2094" s="19" t="s">
        <v>178</v>
      </c>
      <c r="W2094" s="19" t="s">
        <v>138</v>
      </c>
      <c r="Z2094" s="44" t="s">
        <v>2449</v>
      </c>
      <c r="AA2094" s="44" t="s">
        <v>180</v>
      </c>
      <c r="AC2094" s="19" t="s">
        <v>2770</v>
      </c>
    </row>
    <row r="2095" spans="1:29" x14ac:dyDescent="0.25">
      <c r="A2095" s="26">
        <v>334</v>
      </c>
      <c r="B2095" s="19" t="s">
        <v>2786</v>
      </c>
      <c r="C2095" s="44" t="s">
        <v>273</v>
      </c>
      <c r="D2095" s="19" t="s">
        <v>839</v>
      </c>
      <c r="E2095" s="19">
        <v>12</v>
      </c>
      <c r="F2095" s="19">
        <v>120</v>
      </c>
      <c r="G2095" s="19">
        <v>129</v>
      </c>
      <c r="H2095" s="19">
        <v>4</v>
      </c>
      <c r="I2095" s="80">
        <v>1.32</v>
      </c>
      <c r="J2095" s="80">
        <v>5.3</v>
      </c>
      <c r="K2095" s="19" t="s">
        <v>184</v>
      </c>
      <c r="L2095" s="19" t="s">
        <v>2769</v>
      </c>
      <c r="Q2095" s="20">
        <v>24</v>
      </c>
      <c r="R2095" s="65" t="s">
        <v>2010</v>
      </c>
      <c r="T2095" s="19" t="s">
        <v>307</v>
      </c>
      <c r="V2095" s="19" t="s">
        <v>178</v>
      </c>
      <c r="W2095" s="19" t="s">
        <v>138</v>
      </c>
      <c r="Z2095" s="44" t="s">
        <v>2449</v>
      </c>
      <c r="AA2095" s="44" t="s">
        <v>180</v>
      </c>
      <c r="AC2095" s="19" t="s">
        <v>2770</v>
      </c>
    </row>
    <row r="2096" spans="1:29" x14ac:dyDescent="0.25">
      <c r="A2096" s="26">
        <v>335</v>
      </c>
      <c r="B2096" s="19" t="s">
        <v>2787</v>
      </c>
      <c r="C2096" s="44" t="s">
        <v>273</v>
      </c>
      <c r="D2096" s="19" t="s">
        <v>839</v>
      </c>
      <c r="E2096" s="19">
        <v>12</v>
      </c>
      <c r="F2096" s="19">
        <v>120</v>
      </c>
      <c r="G2096" s="19">
        <v>129</v>
      </c>
      <c r="H2096" s="19">
        <v>4</v>
      </c>
      <c r="I2096" s="80">
        <v>1.32</v>
      </c>
      <c r="J2096" s="80">
        <v>5.3</v>
      </c>
      <c r="K2096" s="19" t="s">
        <v>184</v>
      </c>
      <c r="L2096" s="19" t="s">
        <v>2769</v>
      </c>
      <c r="Q2096" s="20">
        <v>24</v>
      </c>
      <c r="R2096" s="65" t="s">
        <v>2010</v>
      </c>
      <c r="T2096" s="19" t="s">
        <v>307</v>
      </c>
      <c r="V2096" s="19" t="s">
        <v>178</v>
      </c>
      <c r="W2096" s="19" t="s">
        <v>138</v>
      </c>
      <c r="Z2096" s="44" t="s">
        <v>2449</v>
      </c>
      <c r="AA2096" s="44" t="s">
        <v>180</v>
      </c>
      <c r="AC2096" s="19" t="s">
        <v>2770</v>
      </c>
    </row>
    <row r="2097" spans="1:29" x14ac:dyDescent="0.25">
      <c r="A2097" s="26">
        <v>336</v>
      </c>
      <c r="B2097" s="19" t="s">
        <v>2788</v>
      </c>
      <c r="C2097" s="44" t="s">
        <v>273</v>
      </c>
      <c r="D2097" s="19" t="s">
        <v>839</v>
      </c>
      <c r="E2097" s="19">
        <v>12</v>
      </c>
      <c r="F2097" s="19">
        <v>120</v>
      </c>
      <c r="G2097" s="19">
        <v>129</v>
      </c>
      <c r="H2097" s="19">
        <v>4</v>
      </c>
      <c r="I2097" s="80">
        <v>1.32</v>
      </c>
      <c r="J2097" s="80">
        <v>5.3</v>
      </c>
      <c r="K2097" s="19" t="s">
        <v>184</v>
      </c>
      <c r="L2097" s="19" t="s">
        <v>2769</v>
      </c>
      <c r="Q2097" s="20">
        <v>24</v>
      </c>
      <c r="R2097" s="65" t="s">
        <v>2010</v>
      </c>
      <c r="T2097" s="19" t="s">
        <v>307</v>
      </c>
      <c r="V2097" s="19" t="s">
        <v>178</v>
      </c>
      <c r="W2097" s="19" t="s">
        <v>138</v>
      </c>
      <c r="Z2097" s="44" t="s">
        <v>2449</v>
      </c>
      <c r="AA2097" s="44" t="s">
        <v>180</v>
      </c>
      <c r="AC2097" s="19" t="s">
        <v>2770</v>
      </c>
    </row>
    <row r="2098" spans="1:29" x14ac:dyDescent="0.25">
      <c r="A2098" s="26">
        <v>337</v>
      </c>
      <c r="B2098" s="19" t="s">
        <v>2789</v>
      </c>
      <c r="C2098" s="44" t="s">
        <v>273</v>
      </c>
      <c r="D2098" s="19" t="s">
        <v>839</v>
      </c>
      <c r="E2098" s="19">
        <v>12</v>
      </c>
      <c r="F2098" s="19">
        <v>120</v>
      </c>
      <c r="G2098" s="19">
        <v>129</v>
      </c>
      <c r="H2098" s="19">
        <v>4</v>
      </c>
      <c r="I2098" s="80">
        <v>1.32</v>
      </c>
      <c r="J2098" s="80">
        <v>5.3</v>
      </c>
      <c r="K2098" s="19" t="s">
        <v>184</v>
      </c>
      <c r="L2098" s="19" t="s">
        <v>2769</v>
      </c>
      <c r="Q2098" s="20">
        <v>24</v>
      </c>
      <c r="R2098" s="65" t="s">
        <v>2010</v>
      </c>
      <c r="T2098" s="19" t="s">
        <v>307</v>
      </c>
      <c r="V2098" s="19" t="s">
        <v>178</v>
      </c>
      <c r="W2098" s="19" t="s">
        <v>138</v>
      </c>
      <c r="Z2098" s="44" t="s">
        <v>2449</v>
      </c>
      <c r="AA2098" s="44" t="s">
        <v>180</v>
      </c>
      <c r="AC2098" s="19" t="s">
        <v>2770</v>
      </c>
    </row>
    <row r="2099" spans="1:29" x14ac:dyDescent="0.25">
      <c r="A2099" s="26">
        <v>338</v>
      </c>
      <c r="B2099" s="19" t="s">
        <v>2790</v>
      </c>
      <c r="C2099" s="44" t="s">
        <v>273</v>
      </c>
      <c r="D2099" s="19" t="s">
        <v>839</v>
      </c>
      <c r="E2099" s="19">
        <v>12</v>
      </c>
      <c r="F2099" s="19">
        <v>120</v>
      </c>
      <c r="G2099" s="19">
        <v>129</v>
      </c>
      <c r="H2099" s="19">
        <v>4</v>
      </c>
      <c r="I2099" s="80">
        <v>1.32</v>
      </c>
      <c r="J2099" s="80">
        <v>5.3</v>
      </c>
      <c r="K2099" s="19" t="s">
        <v>184</v>
      </c>
      <c r="L2099" s="19" t="s">
        <v>2769</v>
      </c>
      <c r="Q2099" s="20">
        <v>24</v>
      </c>
      <c r="R2099" s="65" t="s">
        <v>2010</v>
      </c>
      <c r="T2099" s="19" t="s">
        <v>307</v>
      </c>
      <c r="V2099" s="19" t="s">
        <v>178</v>
      </c>
      <c r="W2099" s="19" t="s">
        <v>138</v>
      </c>
      <c r="Z2099" s="44" t="s">
        <v>2449</v>
      </c>
      <c r="AA2099" s="44" t="s">
        <v>180</v>
      </c>
      <c r="AC2099" s="19" t="s">
        <v>2770</v>
      </c>
    </row>
    <row r="2100" spans="1:29" x14ac:dyDescent="0.25">
      <c r="A2100" s="26">
        <v>339</v>
      </c>
      <c r="B2100" s="19" t="s">
        <v>2791</v>
      </c>
      <c r="C2100" s="44" t="s">
        <v>273</v>
      </c>
      <c r="D2100" s="19" t="s">
        <v>839</v>
      </c>
      <c r="E2100" s="19">
        <v>12</v>
      </c>
      <c r="F2100" s="19">
        <v>120</v>
      </c>
      <c r="G2100" s="19">
        <v>129</v>
      </c>
      <c r="H2100" s="19">
        <v>4</v>
      </c>
      <c r="I2100" s="80">
        <v>1.32</v>
      </c>
      <c r="J2100" s="80">
        <v>5.3</v>
      </c>
      <c r="K2100" s="19" t="s">
        <v>184</v>
      </c>
      <c r="L2100" s="19" t="s">
        <v>2769</v>
      </c>
      <c r="Q2100" s="20">
        <v>24</v>
      </c>
      <c r="R2100" s="65" t="s">
        <v>2010</v>
      </c>
      <c r="T2100" s="19" t="s">
        <v>307</v>
      </c>
      <c r="V2100" s="19" t="s">
        <v>178</v>
      </c>
      <c r="W2100" s="19" t="s">
        <v>138</v>
      </c>
      <c r="Z2100" s="44" t="s">
        <v>2449</v>
      </c>
      <c r="AA2100" s="44" t="s">
        <v>180</v>
      </c>
      <c r="AC2100" s="19" t="s">
        <v>2770</v>
      </c>
    </row>
    <row r="2101" spans="1:29" x14ac:dyDescent="0.25">
      <c r="A2101" s="26">
        <v>340</v>
      </c>
      <c r="B2101" s="19" t="s">
        <v>2792</v>
      </c>
      <c r="C2101" s="44" t="s">
        <v>273</v>
      </c>
      <c r="D2101" s="19" t="s">
        <v>839</v>
      </c>
      <c r="E2101" s="19">
        <v>12</v>
      </c>
      <c r="F2101" s="19">
        <v>120</v>
      </c>
      <c r="G2101" s="19">
        <v>129</v>
      </c>
      <c r="H2101" s="19">
        <v>24</v>
      </c>
      <c r="I2101" s="80">
        <v>1.32</v>
      </c>
      <c r="J2101" s="80">
        <v>31.78</v>
      </c>
      <c r="K2101" s="19" t="s">
        <v>184</v>
      </c>
      <c r="L2101" s="19" t="s">
        <v>2769</v>
      </c>
      <c r="Q2101" s="20">
        <v>24</v>
      </c>
      <c r="R2101" s="65" t="s">
        <v>2010</v>
      </c>
      <c r="T2101" s="19" t="s">
        <v>307</v>
      </c>
      <c r="V2101" s="19" t="s">
        <v>178</v>
      </c>
      <c r="W2101" s="19" t="s">
        <v>138</v>
      </c>
      <c r="Z2101" s="44" t="s">
        <v>2449</v>
      </c>
      <c r="AA2101" s="44" t="s">
        <v>180</v>
      </c>
      <c r="AC2101" s="19" t="s">
        <v>2770</v>
      </c>
    </row>
    <row r="2102" spans="1:29" x14ac:dyDescent="0.25">
      <c r="A2102" s="26">
        <v>341</v>
      </c>
      <c r="B2102" s="19" t="s">
        <v>2793</v>
      </c>
      <c r="C2102" s="44" t="s">
        <v>273</v>
      </c>
      <c r="D2102" s="19" t="s">
        <v>839</v>
      </c>
      <c r="E2102" s="19">
        <v>12</v>
      </c>
      <c r="F2102" s="19">
        <v>120</v>
      </c>
      <c r="G2102" s="19">
        <v>129</v>
      </c>
      <c r="H2102" s="19">
        <v>24</v>
      </c>
      <c r="I2102" s="80">
        <v>1.32</v>
      </c>
      <c r="J2102" s="80">
        <v>31.78</v>
      </c>
      <c r="K2102" s="19" t="s">
        <v>184</v>
      </c>
      <c r="L2102" s="19" t="s">
        <v>2769</v>
      </c>
      <c r="Q2102" s="20">
        <v>24</v>
      </c>
      <c r="R2102" s="65" t="s">
        <v>2010</v>
      </c>
      <c r="T2102" s="19" t="s">
        <v>307</v>
      </c>
      <c r="V2102" s="19" t="s">
        <v>178</v>
      </c>
      <c r="W2102" s="19" t="s">
        <v>138</v>
      </c>
      <c r="Z2102" s="44" t="s">
        <v>2449</v>
      </c>
      <c r="AA2102" s="44" t="s">
        <v>180</v>
      </c>
      <c r="AC2102" s="19" t="s">
        <v>2770</v>
      </c>
    </row>
    <row r="2103" spans="1:29" x14ac:dyDescent="0.25">
      <c r="A2103" s="26">
        <v>342</v>
      </c>
      <c r="B2103" s="19" t="s">
        <v>2794</v>
      </c>
      <c r="C2103" s="44" t="s">
        <v>273</v>
      </c>
      <c r="D2103" s="19" t="s">
        <v>839</v>
      </c>
      <c r="E2103" s="19">
        <v>12</v>
      </c>
      <c r="F2103" s="19">
        <v>120</v>
      </c>
      <c r="G2103" s="19">
        <v>129</v>
      </c>
      <c r="H2103" s="19">
        <v>24</v>
      </c>
      <c r="I2103" s="80">
        <v>1.32</v>
      </c>
      <c r="J2103" s="80">
        <v>31.78</v>
      </c>
      <c r="K2103" s="19" t="s">
        <v>184</v>
      </c>
      <c r="L2103" s="19" t="s">
        <v>2769</v>
      </c>
      <c r="Q2103" s="20">
        <v>24</v>
      </c>
      <c r="R2103" s="65" t="s">
        <v>2010</v>
      </c>
      <c r="T2103" s="19" t="s">
        <v>307</v>
      </c>
      <c r="V2103" s="19" t="s">
        <v>178</v>
      </c>
      <c r="W2103" s="19" t="s">
        <v>138</v>
      </c>
      <c r="Z2103" s="44" t="s">
        <v>2449</v>
      </c>
      <c r="AA2103" s="44" t="s">
        <v>180</v>
      </c>
      <c r="AC2103" s="19" t="s">
        <v>2770</v>
      </c>
    </row>
    <row r="2104" spans="1:29" x14ac:dyDescent="0.25">
      <c r="A2104" s="26">
        <v>343</v>
      </c>
      <c r="B2104" s="19" t="s">
        <v>2795</v>
      </c>
      <c r="C2104" s="44" t="s">
        <v>273</v>
      </c>
      <c r="D2104" s="19" t="s">
        <v>839</v>
      </c>
      <c r="E2104" s="19">
        <v>12</v>
      </c>
      <c r="F2104" s="19">
        <v>120</v>
      </c>
      <c r="G2104" s="19">
        <v>129</v>
      </c>
      <c r="H2104" s="19">
        <v>24</v>
      </c>
      <c r="I2104" s="80">
        <v>1.32</v>
      </c>
      <c r="J2104" s="80">
        <v>31.78</v>
      </c>
      <c r="K2104" s="19" t="s">
        <v>184</v>
      </c>
      <c r="L2104" s="19" t="s">
        <v>2769</v>
      </c>
      <c r="Q2104" s="20">
        <v>24</v>
      </c>
      <c r="R2104" s="65" t="s">
        <v>2010</v>
      </c>
      <c r="T2104" s="19" t="s">
        <v>307</v>
      </c>
      <c r="V2104" s="19" t="s">
        <v>178</v>
      </c>
      <c r="W2104" s="19" t="s">
        <v>138</v>
      </c>
      <c r="Z2104" s="44" t="s">
        <v>2449</v>
      </c>
      <c r="AA2104" s="44" t="s">
        <v>180</v>
      </c>
      <c r="AC2104" s="19" t="s">
        <v>2770</v>
      </c>
    </row>
    <row r="2105" spans="1:29" x14ac:dyDescent="0.25">
      <c r="A2105" s="26">
        <v>344</v>
      </c>
      <c r="B2105" s="19" t="s">
        <v>2796</v>
      </c>
      <c r="C2105" s="44" t="s">
        <v>273</v>
      </c>
      <c r="D2105" s="19" t="s">
        <v>839</v>
      </c>
      <c r="E2105" s="19">
        <v>12</v>
      </c>
      <c r="F2105" s="19">
        <v>120</v>
      </c>
      <c r="G2105" s="19">
        <v>129</v>
      </c>
      <c r="H2105" s="19">
        <v>24</v>
      </c>
      <c r="I2105" s="80">
        <v>1.32</v>
      </c>
      <c r="J2105" s="80">
        <v>31.78</v>
      </c>
      <c r="K2105" s="19" t="s">
        <v>184</v>
      </c>
      <c r="L2105" s="19" t="s">
        <v>2769</v>
      </c>
      <c r="Q2105" s="20">
        <v>24</v>
      </c>
      <c r="R2105" s="65" t="s">
        <v>2010</v>
      </c>
      <c r="T2105" s="19" t="s">
        <v>307</v>
      </c>
      <c r="V2105" s="19" t="s">
        <v>178</v>
      </c>
      <c r="W2105" s="19" t="s">
        <v>138</v>
      </c>
      <c r="Z2105" s="44" t="s">
        <v>2449</v>
      </c>
      <c r="AA2105" s="44" t="s">
        <v>180</v>
      </c>
      <c r="AC2105" s="19" t="s">
        <v>2770</v>
      </c>
    </row>
    <row r="2106" spans="1:29" x14ac:dyDescent="0.25">
      <c r="A2106" s="26">
        <v>345</v>
      </c>
      <c r="B2106" s="19" t="s">
        <v>2797</v>
      </c>
      <c r="C2106" s="44" t="s">
        <v>273</v>
      </c>
      <c r="D2106" s="19" t="s">
        <v>839</v>
      </c>
      <c r="E2106" s="19">
        <v>12</v>
      </c>
      <c r="F2106" s="19">
        <v>120</v>
      </c>
      <c r="G2106" s="19">
        <v>129</v>
      </c>
      <c r="H2106" s="19">
        <v>24</v>
      </c>
      <c r="I2106" s="80">
        <v>1.32</v>
      </c>
      <c r="J2106" s="80">
        <v>31.78</v>
      </c>
      <c r="K2106" s="19" t="s">
        <v>184</v>
      </c>
      <c r="L2106" s="19" t="s">
        <v>2769</v>
      </c>
      <c r="Q2106" s="20">
        <v>24</v>
      </c>
      <c r="R2106" s="65" t="s">
        <v>2010</v>
      </c>
      <c r="T2106" s="19" t="s">
        <v>307</v>
      </c>
      <c r="V2106" s="19" t="s">
        <v>178</v>
      </c>
      <c r="W2106" s="19" t="s">
        <v>138</v>
      </c>
      <c r="Z2106" s="44" t="s">
        <v>2449</v>
      </c>
      <c r="AA2106" s="44" t="s">
        <v>180</v>
      </c>
      <c r="AC2106" s="19" t="s">
        <v>2770</v>
      </c>
    </row>
    <row r="2107" spans="1:29" x14ac:dyDescent="0.25">
      <c r="A2107" s="26">
        <v>346</v>
      </c>
      <c r="B2107" s="19" t="s">
        <v>2798</v>
      </c>
      <c r="C2107" s="44" t="s">
        <v>273</v>
      </c>
      <c r="D2107" s="19" t="s">
        <v>839</v>
      </c>
      <c r="E2107" s="19">
        <v>12</v>
      </c>
      <c r="F2107" s="19">
        <v>120</v>
      </c>
      <c r="G2107" s="19">
        <v>129</v>
      </c>
      <c r="H2107" s="19">
        <v>24</v>
      </c>
      <c r="I2107" s="80">
        <v>1.32</v>
      </c>
      <c r="J2107" s="80">
        <v>31.78</v>
      </c>
      <c r="K2107" s="19" t="s">
        <v>184</v>
      </c>
      <c r="L2107" s="19" t="s">
        <v>2769</v>
      </c>
      <c r="Q2107" s="20">
        <v>24</v>
      </c>
      <c r="R2107" s="65" t="s">
        <v>2010</v>
      </c>
      <c r="T2107" s="19" t="s">
        <v>307</v>
      </c>
      <c r="V2107" s="19" t="s">
        <v>178</v>
      </c>
      <c r="W2107" s="19" t="s">
        <v>138</v>
      </c>
      <c r="Z2107" s="44" t="s">
        <v>2449</v>
      </c>
      <c r="AA2107" s="44" t="s">
        <v>180</v>
      </c>
      <c r="AC2107" s="19" t="s">
        <v>2770</v>
      </c>
    </row>
    <row r="2108" spans="1:29" x14ac:dyDescent="0.25">
      <c r="A2108" s="26">
        <v>347</v>
      </c>
      <c r="B2108" s="19" t="s">
        <v>2799</v>
      </c>
      <c r="C2108" s="44" t="s">
        <v>273</v>
      </c>
      <c r="D2108" s="19" t="s">
        <v>839</v>
      </c>
      <c r="E2108" s="19">
        <v>12</v>
      </c>
      <c r="F2108" s="19">
        <v>120</v>
      </c>
      <c r="G2108" s="19">
        <v>129</v>
      </c>
      <c r="H2108" s="19">
        <v>24</v>
      </c>
      <c r="I2108" s="80">
        <v>1.32</v>
      </c>
      <c r="J2108" s="80">
        <v>31.78</v>
      </c>
      <c r="K2108" s="19" t="s">
        <v>184</v>
      </c>
      <c r="L2108" s="19" t="s">
        <v>2769</v>
      </c>
      <c r="Q2108" s="20">
        <v>24</v>
      </c>
      <c r="R2108" s="65" t="s">
        <v>2010</v>
      </c>
      <c r="T2108" s="19" t="s">
        <v>307</v>
      </c>
      <c r="V2108" s="19" t="s">
        <v>178</v>
      </c>
      <c r="W2108" s="19" t="s">
        <v>138</v>
      </c>
      <c r="Z2108" s="44" t="s">
        <v>2449</v>
      </c>
      <c r="AA2108" s="44" t="s">
        <v>180</v>
      </c>
      <c r="AC2108" s="19" t="s">
        <v>2770</v>
      </c>
    </row>
    <row r="2109" spans="1:29" x14ac:dyDescent="0.25">
      <c r="A2109" s="26">
        <v>348</v>
      </c>
      <c r="B2109" s="19" t="s">
        <v>2800</v>
      </c>
      <c r="C2109" s="44" t="s">
        <v>273</v>
      </c>
      <c r="D2109" s="19" t="s">
        <v>839</v>
      </c>
      <c r="E2109" s="19">
        <v>12</v>
      </c>
      <c r="F2109" s="19">
        <v>120</v>
      </c>
      <c r="G2109" s="19">
        <v>129</v>
      </c>
      <c r="H2109" s="19">
        <v>24</v>
      </c>
      <c r="I2109" s="80">
        <v>1.32</v>
      </c>
      <c r="J2109" s="80">
        <v>31.78</v>
      </c>
      <c r="K2109" s="19" t="s">
        <v>184</v>
      </c>
      <c r="L2109" s="19" t="s">
        <v>2769</v>
      </c>
      <c r="Q2109" s="20">
        <v>24</v>
      </c>
      <c r="R2109" s="65" t="s">
        <v>2010</v>
      </c>
      <c r="T2109" s="19" t="s">
        <v>307</v>
      </c>
      <c r="V2109" s="19" t="s">
        <v>178</v>
      </c>
      <c r="W2109" s="19" t="s">
        <v>138</v>
      </c>
      <c r="Z2109" s="44" t="s">
        <v>2449</v>
      </c>
      <c r="AA2109" s="44" t="s">
        <v>180</v>
      </c>
      <c r="AC2109" s="19" t="s">
        <v>2770</v>
      </c>
    </row>
    <row r="2110" spans="1:29" x14ac:dyDescent="0.25">
      <c r="A2110" s="26">
        <v>349</v>
      </c>
      <c r="B2110" s="19" t="s">
        <v>2801</v>
      </c>
      <c r="C2110" s="44" t="s">
        <v>273</v>
      </c>
      <c r="D2110" s="19" t="s">
        <v>839</v>
      </c>
      <c r="E2110" s="19">
        <v>12</v>
      </c>
      <c r="F2110" s="19">
        <v>120</v>
      </c>
      <c r="G2110" s="19">
        <v>129</v>
      </c>
      <c r="H2110" s="19">
        <v>24</v>
      </c>
      <c r="I2110" s="80">
        <v>1.32</v>
      </c>
      <c r="J2110" s="80">
        <v>31.78</v>
      </c>
      <c r="K2110" s="19" t="s">
        <v>184</v>
      </c>
      <c r="L2110" s="19" t="s">
        <v>2769</v>
      </c>
      <c r="Q2110" s="20">
        <v>24</v>
      </c>
      <c r="R2110" s="65" t="s">
        <v>2010</v>
      </c>
      <c r="T2110" s="19" t="s">
        <v>307</v>
      </c>
      <c r="V2110" s="19" t="s">
        <v>178</v>
      </c>
      <c r="W2110" s="19" t="s">
        <v>138</v>
      </c>
      <c r="Z2110" s="44" t="s">
        <v>2449</v>
      </c>
      <c r="AA2110" s="44" t="s">
        <v>180</v>
      </c>
      <c r="AC2110" s="19" t="s">
        <v>2770</v>
      </c>
    </row>
    <row r="2111" spans="1:29" x14ac:dyDescent="0.25">
      <c r="A2111" s="26">
        <v>350</v>
      </c>
      <c r="B2111" s="19" t="s">
        <v>2802</v>
      </c>
      <c r="C2111" s="44" t="s">
        <v>273</v>
      </c>
      <c r="D2111" s="19" t="s">
        <v>839</v>
      </c>
      <c r="E2111" s="19">
        <v>12</v>
      </c>
      <c r="F2111" s="19">
        <v>120</v>
      </c>
      <c r="G2111" s="19">
        <v>129</v>
      </c>
      <c r="H2111" s="19">
        <v>18</v>
      </c>
      <c r="I2111" s="80">
        <v>1.32</v>
      </c>
      <c r="J2111" s="80">
        <v>23.83</v>
      </c>
      <c r="K2111" s="19" t="s">
        <v>184</v>
      </c>
      <c r="L2111" s="19" t="s">
        <v>2769</v>
      </c>
      <c r="Q2111" s="20">
        <v>24</v>
      </c>
      <c r="R2111" s="65" t="s">
        <v>2010</v>
      </c>
      <c r="T2111" s="19" t="s">
        <v>307</v>
      </c>
      <c r="V2111" s="19" t="s">
        <v>178</v>
      </c>
      <c r="W2111" s="19" t="s">
        <v>138</v>
      </c>
      <c r="Z2111" s="44" t="s">
        <v>2449</v>
      </c>
      <c r="AA2111" s="44" t="s">
        <v>180</v>
      </c>
      <c r="AC2111" s="19" t="s">
        <v>2770</v>
      </c>
    </row>
    <row r="2112" spans="1:29" x14ac:dyDescent="0.25">
      <c r="A2112" s="26">
        <v>351</v>
      </c>
      <c r="B2112" s="19" t="s">
        <v>2803</v>
      </c>
      <c r="C2112" s="44" t="s">
        <v>273</v>
      </c>
      <c r="D2112" s="19" t="s">
        <v>839</v>
      </c>
      <c r="E2112" s="19">
        <v>12</v>
      </c>
      <c r="F2112" s="19">
        <v>120</v>
      </c>
      <c r="G2112" s="19">
        <v>129</v>
      </c>
      <c r="H2112" s="19">
        <v>18</v>
      </c>
      <c r="I2112" s="80">
        <v>1.32</v>
      </c>
      <c r="J2112" s="80">
        <v>23.83</v>
      </c>
      <c r="K2112" s="19" t="s">
        <v>184</v>
      </c>
      <c r="L2112" s="19" t="s">
        <v>2769</v>
      </c>
      <c r="Q2112" s="20">
        <v>24</v>
      </c>
      <c r="R2112" s="65" t="s">
        <v>2010</v>
      </c>
      <c r="T2112" s="19" t="s">
        <v>307</v>
      </c>
      <c r="V2112" s="19" t="s">
        <v>178</v>
      </c>
      <c r="W2112" s="19" t="s">
        <v>138</v>
      </c>
      <c r="Z2112" s="44" t="s">
        <v>2449</v>
      </c>
      <c r="AA2112" s="44" t="s">
        <v>180</v>
      </c>
      <c r="AC2112" s="19" t="s">
        <v>2770</v>
      </c>
    </row>
    <row r="2113" spans="1:29" x14ac:dyDescent="0.25">
      <c r="A2113" s="26">
        <v>352</v>
      </c>
      <c r="B2113" s="19" t="s">
        <v>2804</v>
      </c>
      <c r="C2113" s="44" t="s">
        <v>273</v>
      </c>
      <c r="D2113" s="19" t="s">
        <v>839</v>
      </c>
      <c r="E2113" s="19">
        <v>12</v>
      </c>
      <c r="F2113" s="19">
        <v>120</v>
      </c>
      <c r="G2113" s="19">
        <v>129</v>
      </c>
      <c r="H2113" s="19">
        <v>18</v>
      </c>
      <c r="I2113" s="80">
        <v>1.32</v>
      </c>
      <c r="J2113" s="80">
        <v>23.83</v>
      </c>
      <c r="K2113" s="19" t="s">
        <v>184</v>
      </c>
      <c r="L2113" s="19" t="s">
        <v>2769</v>
      </c>
      <c r="Q2113" s="20">
        <v>24</v>
      </c>
      <c r="R2113" s="65" t="s">
        <v>2010</v>
      </c>
      <c r="T2113" s="19" t="s">
        <v>307</v>
      </c>
      <c r="V2113" s="19" t="s">
        <v>178</v>
      </c>
      <c r="W2113" s="19" t="s">
        <v>138</v>
      </c>
      <c r="Z2113" s="44" t="s">
        <v>2449</v>
      </c>
      <c r="AA2113" s="44" t="s">
        <v>180</v>
      </c>
      <c r="AC2113" s="19" t="s">
        <v>2770</v>
      </c>
    </row>
    <row r="2114" spans="1:29" x14ac:dyDescent="0.25">
      <c r="A2114" s="26">
        <v>353</v>
      </c>
      <c r="B2114" s="19" t="s">
        <v>2805</v>
      </c>
      <c r="C2114" s="44" t="s">
        <v>273</v>
      </c>
      <c r="D2114" s="19" t="s">
        <v>839</v>
      </c>
      <c r="E2114" s="19">
        <v>12</v>
      </c>
      <c r="F2114" s="19">
        <v>120</v>
      </c>
      <c r="G2114" s="19">
        <v>129</v>
      </c>
      <c r="H2114" s="19">
        <v>18</v>
      </c>
      <c r="I2114" s="80">
        <v>1.32</v>
      </c>
      <c r="J2114" s="80">
        <v>23.83</v>
      </c>
      <c r="K2114" s="19" t="s">
        <v>184</v>
      </c>
      <c r="L2114" s="19" t="s">
        <v>2769</v>
      </c>
      <c r="Q2114" s="20">
        <v>24</v>
      </c>
      <c r="R2114" s="65" t="s">
        <v>2010</v>
      </c>
      <c r="T2114" s="19" t="s">
        <v>307</v>
      </c>
      <c r="V2114" s="19" t="s">
        <v>178</v>
      </c>
      <c r="W2114" s="19" t="s">
        <v>138</v>
      </c>
      <c r="Z2114" s="44" t="s">
        <v>2449</v>
      </c>
      <c r="AA2114" s="44" t="s">
        <v>180</v>
      </c>
      <c r="AC2114" s="19" t="s">
        <v>2770</v>
      </c>
    </row>
    <row r="2115" spans="1:29" x14ac:dyDescent="0.25">
      <c r="A2115" s="26">
        <v>354</v>
      </c>
      <c r="B2115" s="19" t="s">
        <v>2806</v>
      </c>
      <c r="C2115" s="44" t="s">
        <v>273</v>
      </c>
      <c r="D2115" s="19" t="s">
        <v>839</v>
      </c>
      <c r="E2115" s="19">
        <v>12</v>
      </c>
      <c r="F2115" s="19">
        <v>120</v>
      </c>
      <c r="G2115" s="19">
        <v>129</v>
      </c>
      <c r="H2115" s="19">
        <v>18</v>
      </c>
      <c r="I2115" s="80">
        <v>1.32</v>
      </c>
      <c r="J2115" s="80">
        <v>23.83</v>
      </c>
      <c r="K2115" s="19" t="s">
        <v>184</v>
      </c>
      <c r="L2115" s="19" t="s">
        <v>2769</v>
      </c>
      <c r="Q2115" s="20">
        <v>24</v>
      </c>
      <c r="R2115" s="65" t="s">
        <v>2010</v>
      </c>
      <c r="T2115" s="19" t="s">
        <v>307</v>
      </c>
      <c r="V2115" s="19" t="s">
        <v>178</v>
      </c>
      <c r="W2115" s="19" t="s">
        <v>138</v>
      </c>
      <c r="Z2115" s="44" t="s">
        <v>2449</v>
      </c>
      <c r="AA2115" s="44" t="s">
        <v>180</v>
      </c>
      <c r="AC2115" s="19" t="s">
        <v>2770</v>
      </c>
    </row>
    <row r="2116" spans="1:29" x14ac:dyDescent="0.25">
      <c r="A2116" s="26">
        <v>355</v>
      </c>
      <c r="B2116" s="19" t="s">
        <v>2807</v>
      </c>
      <c r="C2116" s="44" t="s">
        <v>273</v>
      </c>
      <c r="D2116" s="19" t="s">
        <v>839</v>
      </c>
      <c r="E2116" s="19">
        <v>12</v>
      </c>
      <c r="F2116" s="19">
        <v>120</v>
      </c>
      <c r="G2116" s="19">
        <v>129</v>
      </c>
      <c r="H2116" s="19">
        <v>4</v>
      </c>
      <c r="I2116" s="80">
        <v>1.32</v>
      </c>
      <c r="J2116" s="80">
        <v>5.3</v>
      </c>
      <c r="K2116" s="19" t="s">
        <v>184</v>
      </c>
      <c r="L2116" s="19" t="s">
        <v>2769</v>
      </c>
      <c r="Q2116" s="20">
        <v>24</v>
      </c>
      <c r="R2116" s="65" t="s">
        <v>2010</v>
      </c>
      <c r="T2116" s="19" t="s">
        <v>307</v>
      </c>
      <c r="V2116" s="19" t="s">
        <v>178</v>
      </c>
      <c r="W2116" s="19" t="s">
        <v>138</v>
      </c>
      <c r="Z2116" s="44" t="s">
        <v>2449</v>
      </c>
      <c r="AA2116" s="44" t="s">
        <v>180</v>
      </c>
      <c r="AC2116" s="19" t="s">
        <v>2770</v>
      </c>
    </row>
    <row r="2117" spans="1:29" x14ac:dyDescent="0.25">
      <c r="A2117" s="26">
        <v>356</v>
      </c>
      <c r="B2117" s="19" t="s">
        <v>2808</v>
      </c>
      <c r="C2117" s="44" t="s">
        <v>273</v>
      </c>
      <c r="D2117" s="19" t="s">
        <v>839</v>
      </c>
      <c r="E2117" s="19">
        <v>12</v>
      </c>
      <c r="F2117" s="19">
        <v>120</v>
      </c>
      <c r="G2117" s="19">
        <v>129</v>
      </c>
      <c r="H2117" s="19">
        <v>4</v>
      </c>
      <c r="I2117" s="80">
        <v>1.32</v>
      </c>
      <c r="J2117" s="80">
        <v>5.3</v>
      </c>
      <c r="K2117" s="19" t="s">
        <v>184</v>
      </c>
      <c r="L2117" s="19" t="s">
        <v>2769</v>
      </c>
      <c r="Q2117" s="20">
        <v>24</v>
      </c>
      <c r="R2117" s="65" t="s">
        <v>2010</v>
      </c>
      <c r="T2117" s="19" t="s">
        <v>307</v>
      </c>
      <c r="V2117" s="19" t="s">
        <v>178</v>
      </c>
      <c r="W2117" s="19" t="s">
        <v>138</v>
      </c>
      <c r="Z2117" s="44" t="s">
        <v>2449</v>
      </c>
      <c r="AA2117" s="44" t="s">
        <v>180</v>
      </c>
      <c r="AC2117" s="19" t="s">
        <v>2770</v>
      </c>
    </row>
    <row r="2118" spans="1:29" x14ac:dyDescent="0.25">
      <c r="A2118" s="26">
        <v>357</v>
      </c>
      <c r="B2118" s="19" t="s">
        <v>2809</v>
      </c>
      <c r="C2118" s="44" t="s">
        <v>273</v>
      </c>
      <c r="D2118" s="19" t="s">
        <v>839</v>
      </c>
      <c r="E2118" s="19">
        <v>12</v>
      </c>
      <c r="F2118" s="19">
        <v>120</v>
      </c>
      <c r="G2118" s="19">
        <v>129</v>
      </c>
      <c r="H2118" s="19">
        <v>4</v>
      </c>
      <c r="I2118" s="80">
        <v>1.32</v>
      </c>
      <c r="J2118" s="80">
        <v>5.3</v>
      </c>
      <c r="K2118" s="19" t="s">
        <v>184</v>
      </c>
      <c r="L2118" s="19" t="s">
        <v>2769</v>
      </c>
      <c r="Q2118" s="20">
        <v>24</v>
      </c>
      <c r="R2118" s="65" t="s">
        <v>2010</v>
      </c>
      <c r="T2118" s="19" t="s">
        <v>307</v>
      </c>
      <c r="V2118" s="19" t="s">
        <v>178</v>
      </c>
      <c r="W2118" s="19" t="s">
        <v>138</v>
      </c>
      <c r="Z2118" s="44" t="s">
        <v>2449</v>
      </c>
      <c r="AA2118" s="44" t="s">
        <v>180</v>
      </c>
      <c r="AC2118" s="19" t="s">
        <v>2770</v>
      </c>
    </row>
    <row r="2119" spans="1:29" x14ac:dyDescent="0.25">
      <c r="A2119" s="26">
        <v>358</v>
      </c>
      <c r="B2119" s="19" t="s">
        <v>2810</v>
      </c>
      <c r="C2119" s="44" t="s">
        <v>273</v>
      </c>
      <c r="D2119" s="19" t="s">
        <v>839</v>
      </c>
      <c r="E2119" s="19">
        <v>12</v>
      </c>
      <c r="F2119" s="19">
        <v>120</v>
      </c>
      <c r="G2119" s="19">
        <v>129</v>
      </c>
      <c r="H2119" s="19">
        <v>4</v>
      </c>
      <c r="I2119" s="80">
        <v>1.32</v>
      </c>
      <c r="J2119" s="80">
        <v>5.3</v>
      </c>
      <c r="K2119" s="19" t="s">
        <v>184</v>
      </c>
      <c r="L2119" s="19" t="s">
        <v>2769</v>
      </c>
      <c r="Q2119" s="20">
        <v>24</v>
      </c>
      <c r="R2119" s="65" t="s">
        <v>2010</v>
      </c>
      <c r="T2119" s="19" t="s">
        <v>307</v>
      </c>
      <c r="V2119" s="19" t="s">
        <v>178</v>
      </c>
      <c r="W2119" s="19" t="s">
        <v>138</v>
      </c>
      <c r="Z2119" s="44" t="s">
        <v>2449</v>
      </c>
      <c r="AA2119" s="44" t="s">
        <v>180</v>
      </c>
      <c r="AC2119" s="19" t="s">
        <v>2770</v>
      </c>
    </row>
    <row r="2120" spans="1:29" x14ac:dyDescent="0.25">
      <c r="A2120" s="26">
        <v>359</v>
      </c>
      <c r="B2120" s="19" t="s">
        <v>2811</v>
      </c>
      <c r="C2120" s="44" t="s">
        <v>273</v>
      </c>
      <c r="D2120" s="19" t="s">
        <v>839</v>
      </c>
      <c r="E2120" s="19">
        <v>12</v>
      </c>
      <c r="F2120" s="19">
        <v>120</v>
      </c>
      <c r="G2120" s="19">
        <v>129</v>
      </c>
      <c r="H2120" s="19">
        <v>4</v>
      </c>
      <c r="I2120" s="80">
        <v>1.32</v>
      </c>
      <c r="J2120" s="80">
        <v>5.3</v>
      </c>
      <c r="K2120" s="19" t="s">
        <v>184</v>
      </c>
      <c r="L2120" s="19" t="s">
        <v>2769</v>
      </c>
      <c r="Q2120" s="20">
        <v>24</v>
      </c>
      <c r="R2120" s="65" t="s">
        <v>2010</v>
      </c>
      <c r="T2120" s="19" t="s">
        <v>307</v>
      </c>
      <c r="V2120" s="19" t="s">
        <v>178</v>
      </c>
      <c r="W2120" s="19" t="s">
        <v>138</v>
      </c>
      <c r="Z2120" s="44" t="s">
        <v>2449</v>
      </c>
      <c r="AA2120" s="44" t="s">
        <v>180</v>
      </c>
      <c r="AC2120" s="19" t="s">
        <v>2770</v>
      </c>
    </row>
    <row r="2121" spans="1:29" x14ac:dyDescent="0.25">
      <c r="A2121" s="26">
        <v>360</v>
      </c>
      <c r="B2121" s="19" t="s">
        <v>2812</v>
      </c>
      <c r="C2121" s="44" t="s">
        <v>273</v>
      </c>
      <c r="D2121" s="19" t="s">
        <v>839</v>
      </c>
      <c r="E2121" s="19">
        <v>12</v>
      </c>
      <c r="F2121" s="19">
        <v>120</v>
      </c>
      <c r="G2121" s="19">
        <v>129</v>
      </c>
      <c r="H2121" s="19">
        <v>4</v>
      </c>
      <c r="I2121" s="80">
        <v>1.32</v>
      </c>
      <c r="J2121" s="80">
        <v>5.3</v>
      </c>
      <c r="K2121" s="19" t="s">
        <v>184</v>
      </c>
      <c r="L2121" s="19" t="s">
        <v>2769</v>
      </c>
      <c r="Q2121" s="20">
        <v>24</v>
      </c>
      <c r="R2121" s="65" t="s">
        <v>2010</v>
      </c>
      <c r="T2121" s="19" t="s">
        <v>307</v>
      </c>
      <c r="V2121" s="19" t="s">
        <v>178</v>
      </c>
      <c r="W2121" s="19" t="s">
        <v>138</v>
      </c>
      <c r="Z2121" s="44" t="s">
        <v>2449</v>
      </c>
      <c r="AA2121" s="44" t="s">
        <v>180</v>
      </c>
      <c r="AC2121" s="19" t="s">
        <v>2770</v>
      </c>
    </row>
    <row r="2122" spans="1:29" x14ac:dyDescent="0.25">
      <c r="A2122" s="26">
        <v>361</v>
      </c>
      <c r="B2122" s="19" t="s">
        <v>2617</v>
      </c>
      <c r="C2122" s="44" t="s">
        <v>273</v>
      </c>
      <c r="D2122" s="19" t="s">
        <v>914</v>
      </c>
      <c r="E2122" s="19">
        <v>12</v>
      </c>
      <c r="F2122" s="19">
        <v>95</v>
      </c>
      <c r="G2122" s="19">
        <v>263</v>
      </c>
      <c r="H2122" s="19">
        <v>5</v>
      </c>
      <c r="I2122" s="80">
        <v>2.34</v>
      </c>
      <c r="J2122" s="80">
        <v>11.69</v>
      </c>
      <c r="K2122" s="19" t="s">
        <v>184</v>
      </c>
      <c r="L2122" s="19" t="s">
        <v>2769</v>
      </c>
      <c r="Q2122" s="20">
        <v>24</v>
      </c>
      <c r="R2122" s="65" t="s">
        <v>2010</v>
      </c>
      <c r="T2122" s="19" t="s">
        <v>307</v>
      </c>
      <c r="V2122" s="19" t="s">
        <v>178</v>
      </c>
      <c r="W2122" s="19" t="s">
        <v>138</v>
      </c>
      <c r="Z2122" s="44" t="s">
        <v>2449</v>
      </c>
      <c r="AA2122" s="44" t="s">
        <v>180</v>
      </c>
      <c r="AC2122" s="19" t="s">
        <v>2770</v>
      </c>
    </row>
    <row r="2123" spans="1:29" x14ac:dyDescent="0.25">
      <c r="A2123" s="26">
        <v>362</v>
      </c>
      <c r="B2123" s="19" t="s">
        <v>2813</v>
      </c>
      <c r="C2123" s="44" t="s">
        <v>273</v>
      </c>
      <c r="D2123" s="19" t="s">
        <v>814</v>
      </c>
      <c r="E2123" s="19">
        <v>12</v>
      </c>
      <c r="F2123" s="19">
        <v>1460</v>
      </c>
      <c r="G2123" s="19">
        <v>6688</v>
      </c>
      <c r="H2123" s="19">
        <v>1</v>
      </c>
      <c r="I2123" s="80">
        <v>917.29</v>
      </c>
      <c r="J2123" s="80">
        <v>917.29</v>
      </c>
      <c r="K2123" s="19" t="s">
        <v>184</v>
      </c>
      <c r="L2123" s="19" t="s">
        <v>2769</v>
      </c>
      <c r="P2123" s="19" t="s">
        <v>138</v>
      </c>
      <c r="Q2123" s="20">
        <v>24</v>
      </c>
      <c r="R2123" s="65" t="s">
        <v>2010</v>
      </c>
      <c r="T2123" s="19" t="s">
        <v>307</v>
      </c>
      <c r="V2123" s="19" t="s">
        <v>178</v>
      </c>
      <c r="Y2123" s="19" t="s">
        <v>138</v>
      </c>
      <c r="Z2123" s="44" t="s">
        <v>2449</v>
      </c>
      <c r="AA2123" s="44" t="s">
        <v>180</v>
      </c>
      <c r="AC2123" s="19" t="s">
        <v>2770</v>
      </c>
    </row>
    <row r="2124" spans="1:29" x14ac:dyDescent="0.25">
      <c r="A2124" s="26">
        <v>363</v>
      </c>
      <c r="B2124" s="19" t="s">
        <v>2772</v>
      </c>
      <c r="C2124" s="44" t="s">
        <v>273</v>
      </c>
      <c r="D2124" s="19" t="s">
        <v>839</v>
      </c>
      <c r="E2124" s="19">
        <v>12</v>
      </c>
      <c r="F2124" s="19">
        <v>120</v>
      </c>
      <c r="G2124" s="19">
        <v>129</v>
      </c>
      <c r="H2124" s="19">
        <v>12</v>
      </c>
      <c r="I2124" s="80">
        <v>1.32</v>
      </c>
      <c r="J2124" s="80">
        <v>15.89</v>
      </c>
      <c r="K2124" s="19" t="s">
        <v>184</v>
      </c>
      <c r="L2124" s="19" t="s">
        <v>2814</v>
      </c>
      <c r="Q2124" s="20">
        <v>24</v>
      </c>
      <c r="R2124" s="65" t="s">
        <v>2010</v>
      </c>
      <c r="T2124" s="19" t="s">
        <v>307</v>
      </c>
      <c r="V2124" s="19" t="s">
        <v>178</v>
      </c>
      <c r="W2124" s="19" t="s">
        <v>138</v>
      </c>
      <c r="Z2124" s="44" t="s">
        <v>2449</v>
      </c>
      <c r="AA2124" s="44" t="s">
        <v>180</v>
      </c>
      <c r="AC2124" s="19" t="s">
        <v>2815</v>
      </c>
    </row>
    <row r="2125" spans="1:29" x14ac:dyDescent="0.25">
      <c r="A2125" s="26">
        <v>364</v>
      </c>
      <c r="B2125" s="19" t="s">
        <v>2816</v>
      </c>
      <c r="C2125" s="44" t="s">
        <v>273</v>
      </c>
      <c r="D2125" s="19" t="s">
        <v>839</v>
      </c>
      <c r="E2125" s="19">
        <v>12</v>
      </c>
      <c r="F2125" s="19">
        <v>120</v>
      </c>
      <c r="G2125" s="19">
        <v>129</v>
      </c>
      <c r="H2125" s="19">
        <v>4</v>
      </c>
      <c r="I2125" s="80">
        <v>1.32</v>
      </c>
      <c r="J2125" s="80">
        <v>5.3</v>
      </c>
      <c r="K2125" s="19" t="s">
        <v>184</v>
      </c>
      <c r="L2125" s="19" t="s">
        <v>2814</v>
      </c>
      <c r="Q2125" s="20">
        <v>24</v>
      </c>
      <c r="R2125" s="65" t="s">
        <v>2010</v>
      </c>
      <c r="T2125" s="19" t="s">
        <v>307</v>
      </c>
      <c r="V2125" s="19" t="s">
        <v>178</v>
      </c>
      <c r="W2125" s="19" t="s">
        <v>138</v>
      </c>
      <c r="Z2125" s="44" t="s">
        <v>2449</v>
      </c>
      <c r="AA2125" s="44" t="s">
        <v>180</v>
      </c>
      <c r="AC2125" s="19" t="s">
        <v>2815</v>
      </c>
    </row>
    <row r="2126" spans="1:29" x14ac:dyDescent="0.25">
      <c r="A2126" s="26">
        <v>365</v>
      </c>
      <c r="B2126" s="19" t="s">
        <v>2817</v>
      </c>
      <c r="C2126" s="44" t="s">
        <v>273</v>
      </c>
      <c r="D2126" s="19" t="s">
        <v>839</v>
      </c>
      <c r="E2126" s="19">
        <v>12</v>
      </c>
      <c r="F2126" s="19">
        <v>120</v>
      </c>
      <c r="G2126" s="19">
        <v>129</v>
      </c>
      <c r="H2126" s="19">
        <v>4</v>
      </c>
      <c r="I2126" s="80">
        <v>1.32</v>
      </c>
      <c r="J2126" s="80">
        <v>5.3</v>
      </c>
      <c r="K2126" s="19" t="s">
        <v>184</v>
      </c>
      <c r="L2126" s="19" t="s">
        <v>2814</v>
      </c>
      <c r="Q2126" s="20">
        <v>24</v>
      </c>
      <c r="R2126" s="65" t="s">
        <v>2010</v>
      </c>
      <c r="T2126" s="19" t="s">
        <v>307</v>
      </c>
      <c r="V2126" s="19" t="s">
        <v>178</v>
      </c>
      <c r="W2126" s="19" t="s">
        <v>138</v>
      </c>
      <c r="Z2126" s="44" t="s">
        <v>2449</v>
      </c>
      <c r="AA2126" s="44" t="s">
        <v>180</v>
      </c>
      <c r="AC2126" s="19" t="s">
        <v>2815</v>
      </c>
    </row>
    <row r="2127" spans="1:29" x14ac:dyDescent="0.25">
      <c r="A2127" s="26">
        <v>366</v>
      </c>
      <c r="B2127" s="19" t="s">
        <v>2818</v>
      </c>
      <c r="C2127" s="44" t="s">
        <v>273</v>
      </c>
      <c r="D2127" s="19" t="s">
        <v>812</v>
      </c>
      <c r="E2127" s="19">
        <v>12</v>
      </c>
      <c r="F2127" s="19">
        <v>490</v>
      </c>
      <c r="G2127" s="19">
        <v>6464</v>
      </c>
      <c r="H2127" s="19">
        <v>1</v>
      </c>
      <c r="I2127" s="80">
        <v>298.16000000000003</v>
      </c>
      <c r="J2127" s="80">
        <v>298.16000000000003</v>
      </c>
      <c r="K2127" s="19" t="s">
        <v>184</v>
      </c>
      <c r="L2127" s="19" t="s">
        <v>2814</v>
      </c>
      <c r="Q2127" s="20">
        <v>24</v>
      </c>
      <c r="R2127" s="65" t="s">
        <v>2010</v>
      </c>
      <c r="T2127" s="19" t="s">
        <v>307</v>
      </c>
      <c r="V2127" s="19" t="s">
        <v>178</v>
      </c>
      <c r="Y2127" s="19" t="s">
        <v>138</v>
      </c>
      <c r="Z2127" s="44" t="s">
        <v>2449</v>
      </c>
      <c r="AA2127" s="44" t="s">
        <v>180</v>
      </c>
      <c r="AC2127" s="19" t="s">
        <v>2815</v>
      </c>
    </row>
    <row r="2128" spans="1:29" x14ac:dyDescent="0.25">
      <c r="A2128" s="26">
        <v>367</v>
      </c>
      <c r="B2128" s="19" t="s">
        <v>2819</v>
      </c>
      <c r="C2128" s="44" t="s">
        <v>273</v>
      </c>
      <c r="D2128" s="19" t="s">
        <v>812</v>
      </c>
      <c r="E2128" s="19">
        <v>12</v>
      </c>
      <c r="F2128" s="19">
        <v>490</v>
      </c>
      <c r="G2128" s="19">
        <v>6464</v>
      </c>
      <c r="H2128" s="19">
        <v>1</v>
      </c>
      <c r="I2128" s="80">
        <v>298.16000000000003</v>
      </c>
      <c r="J2128" s="80">
        <v>298.16000000000003</v>
      </c>
      <c r="K2128" s="19" t="s">
        <v>184</v>
      </c>
      <c r="L2128" s="19" t="s">
        <v>2814</v>
      </c>
      <c r="Q2128" s="20">
        <v>24</v>
      </c>
      <c r="R2128" s="65" t="s">
        <v>2010</v>
      </c>
      <c r="T2128" s="19" t="s">
        <v>307</v>
      </c>
      <c r="V2128" s="19" t="s">
        <v>178</v>
      </c>
      <c r="Y2128" s="19" t="s">
        <v>138</v>
      </c>
      <c r="Z2128" s="44" t="s">
        <v>2449</v>
      </c>
      <c r="AA2128" s="44" t="s">
        <v>180</v>
      </c>
      <c r="AC2128" s="19" t="s">
        <v>2815</v>
      </c>
    </row>
    <row r="2129" spans="1:29" x14ac:dyDescent="0.25">
      <c r="A2129" s="26">
        <v>368</v>
      </c>
      <c r="B2129" s="19" t="s">
        <v>2820</v>
      </c>
      <c r="C2129" s="44" t="s">
        <v>273</v>
      </c>
      <c r="D2129" s="19" t="s">
        <v>812</v>
      </c>
      <c r="E2129" s="19">
        <v>12</v>
      </c>
      <c r="F2129" s="19">
        <v>490</v>
      </c>
      <c r="G2129" s="19">
        <v>6464</v>
      </c>
      <c r="H2129" s="19">
        <v>1</v>
      </c>
      <c r="I2129" s="80">
        <v>298.16000000000003</v>
      </c>
      <c r="J2129" s="80">
        <v>298.16000000000003</v>
      </c>
      <c r="K2129" s="19" t="s">
        <v>184</v>
      </c>
      <c r="L2129" s="19" t="s">
        <v>2814</v>
      </c>
      <c r="Q2129" s="20">
        <v>24</v>
      </c>
      <c r="R2129" s="65" t="s">
        <v>2010</v>
      </c>
      <c r="T2129" s="19" t="s">
        <v>307</v>
      </c>
      <c r="V2129" s="19" t="s">
        <v>178</v>
      </c>
      <c r="Y2129" s="19" t="s">
        <v>138</v>
      </c>
      <c r="Z2129" s="44" t="s">
        <v>2449</v>
      </c>
      <c r="AA2129" s="44" t="s">
        <v>180</v>
      </c>
      <c r="AC2129" s="19" t="s">
        <v>2815</v>
      </c>
    </row>
    <row r="2130" spans="1:29" x14ac:dyDescent="0.25">
      <c r="A2130" s="26">
        <v>369</v>
      </c>
      <c r="B2130" s="19" t="s">
        <v>2821</v>
      </c>
      <c r="C2130" s="44" t="s">
        <v>273</v>
      </c>
      <c r="D2130" s="19" t="s">
        <v>812</v>
      </c>
      <c r="E2130" s="19">
        <v>12</v>
      </c>
      <c r="F2130" s="19">
        <v>490</v>
      </c>
      <c r="G2130" s="19">
        <v>6464</v>
      </c>
      <c r="H2130" s="19">
        <v>1</v>
      </c>
      <c r="I2130" s="80">
        <v>298.16000000000003</v>
      </c>
      <c r="J2130" s="80">
        <v>298.16000000000003</v>
      </c>
      <c r="K2130" s="19" t="s">
        <v>184</v>
      </c>
      <c r="L2130" s="19" t="s">
        <v>2814</v>
      </c>
      <c r="Q2130" s="20">
        <v>24</v>
      </c>
      <c r="R2130" s="65" t="s">
        <v>2010</v>
      </c>
      <c r="T2130" s="19" t="s">
        <v>307</v>
      </c>
      <c r="V2130" s="19" t="s">
        <v>178</v>
      </c>
      <c r="Y2130" s="19" t="s">
        <v>138</v>
      </c>
      <c r="Z2130" s="44" t="s">
        <v>2449</v>
      </c>
      <c r="AA2130" s="44" t="s">
        <v>180</v>
      </c>
      <c r="AC2130" s="19" t="s">
        <v>2815</v>
      </c>
    </row>
    <row r="2131" spans="1:29" x14ac:dyDescent="0.25">
      <c r="A2131" s="26">
        <v>370</v>
      </c>
      <c r="B2131" s="19" t="s">
        <v>2822</v>
      </c>
      <c r="C2131" s="44" t="s">
        <v>273</v>
      </c>
      <c r="D2131" s="19" t="s">
        <v>839</v>
      </c>
      <c r="E2131" s="19">
        <v>12</v>
      </c>
      <c r="F2131" s="19">
        <v>120</v>
      </c>
      <c r="G2131" s="19">
        <v>129</v>
      </c>
      <c r="H2131" s="19">
        <v>4</v>
      </c>
      <c r="I2131" s="80">
        <v>1.32</v>
      </c>
      <c r="J2131" s="80">
        <v>5.3</v>
      </c>
      <c r="K2131" s="19" t="s">
        <v>184</v>
      </c>
      <c r="L2131" s="19" t="s">
        <v>2814</v>
      </c>
      <c r="Q2131" s="20">
        <v>24</v>
      </c>
      <c r="R2131" s="65" t="s">
        <v>2010</v>
      </c>
      <c r="T2131" s="19" t="s">
        <v>307</v>
      </c>
      <c r="V2131" s="19" t="s">
        <v>178</v>
      </c>
      <c r="W2131" s="19" t="s">
        <v>138</v>
      </c>
      <c r="Z2131" s="44" t="s">
        <v>2449</v>
      </c>
      <c r="AA2131" s="44" t="s">
        <v>180</v>
      </c>
      <c r="AC2131" s="19" t="s">
        <v>2815</v>
      </c>
    </row>
    <row r="2132" spans="1:29" x14ac:dyDescent="0.25">
      <c r="A2132" s="26">
        <v>371</v>
      </c>
      <c r="B2132" s="19" t="s">
        <v>2823</v>
      </c>
      <c r="C2132" s="44" t="s">
        <v>273</v>
      </c>
      <c r="D2132" s="19" t="s">
        <v>839</v>
      </c>
      <c r="E2132" s="19">
        <v>12</v>
      </c>
      <c r="F2132" s="19">
        <v>120</v>
      </c>
      <c r="G2132" s="19">
        <v>129</v>
      </c>
      <c r="H2132" s="19">
        <v>4</v>
      </c>
      <c r="I2132" s="80">
        <v>1.32</v>
      </c>
      <c r="J2132" s="80">
        <v>5.3</v>
      </c>
      <c r="K2132" s="19" t="s">
        <v>184</v>
      </c>
      <c r="L2132" s="19" t="s">
        <v>2814</v>
      </c>
      <c r="Q2132" s="20">
        <v>24</v>
      </c>
      <c r="R2132" s="65" t="s">
        <v>2010</v>
      </c>
      <c r="T2132" s="19" t="s">
        <v>307</v>
      </c>
      <c r="V2132" s="19" t="s">
        <v>178</v>
      </c>
      <c r="W2132" s="19" t="s">
        <v>138</v>
      </c>
      <c r="Z2132" s="44" t="s">
        <v>2449</v>
      </c>
      <c r="AA2132" s="44" t="s">
        <v>180</v>
      </c>
      <c r="AC2132" s="19" t="s">
        <v>2815</v>
      </c>
    </row>
    <row r="2133" spans="1:29" x14ac:dyDescent="0.25">
      <c r="A2133" s="26">
        <v>372</v>
      </c>
      <c r="B2133" s="19" t="s">
        <v>2824</v>
      </c>
      <c r="C2133" s="44" t="s">
        <v>273</v>
      </c>
      <c r="D2133" s="19" t="s">
        <v>839</v>
      </c>
      <c r="E2133" s="19">
        <v>12</v>
      </c>
      <c r="F2133" s="19">
        <v>120</v>
      </c>
      <c r="G2133" s="19">
        <v>129</v>
      </c>
      <c r="H2133" s="19">
        <v>4</v>
      </c>
      <c r="I2133" s="80">
        <v>1.32</v>
      </c>
      <c r="J2133" s="80">
        <v>5.3</v>
      </c>
      <c r="K2133" s="19" t="s">
        <v>184</v>
      </c>
      <c r="L2133" s="19" t="s">
        <v>2814</v>
      </c>
      <c r="Q2133" s="20">
        <v>24</v>
      </c>
      <c r="R2133" s="65" t="s">
        <v>2010</v>
      </c>
      <c r="T2133" s="19" t="s">
        <v>307</v>
      </c>
      <c r="V2133" s="19" t="s">
        <v>178</v>
      </c>
      <c r="W2133" s="19" t="s">
        <v>138</v>
      </c>
      <c r="Z2133" s="44" t="s">
        <v>2449</v>
      </c>
      <c r="AA2133" s="44" t="s">
        <v>180</v>
      </c>
      <c r="AC2133" s="19" t="s">
        <v>2815</v>
      </c>
    </row>
    <row r="2134" spans="1:29" x14ac:dyDescent="0.25">
      <c r="A2134" s="26">
        <v>373</v>
      </c>
      <c r="B2134" s="19" t="s">
        <v>2825</v>
      </c>
      <c r="C2134" s="44" t="s">
        <v>273</v>
      </c>
      <c r="D2134" s="19" t="s">
        <v>839</v>
      </c>
      <c r="E2134" s="19">
        <v>12</v>
      </c>
      <c r="F2134" s="19">
        <v>120</v>
      </c>
      <c r="G2134" s="19">
        <v>129</v>
      </c>
      <c r="H2134" s="19">
        <v>4</v>
      </c>
      <c r="I2134" s="80">
        <v>1.32</v>
      </c>
      <c r="J2134" s="80">
        <v>5.3</v>
      </c>
      <c r="K2134" s="19" t="s">
        <v>184</v>
      </c>
      <c r="L2134" s="19" t="s">
        <v>2814</v>
      </c>
      <c r="Q2134" s="20">
        <v>24</v>
      </c>
      <c r="R2134" s="65" t="s">
        <v>2010</v>
      </c>
      <c r="T2134" s="19" t="s">
        <v>307</v>
      </c>
      <c r="V2134" s="19" t="s">
        <v>178</v>
      </c>
      <c r="W2134" s="19" t="s">
        <v>138</v>
      </c>
      <c r="Z2134" s="44" t="s">
        <v>2449</v>
      </c>
      <c r="AA2134" s="44" t="s">
        <v>180</v>
      </c>
      <c r="AC2134" s="19" t="s">
        <v>2815</v>
      </c>
    </row>
    <row r="2135" spans="1:29" x14ac:dyDescent="0.25">
      <c r="A2135" s="26">
        <v>374</v>
      </c>
      <c r="B2135" s="19" t="s">
        <v>2826</v>
      </c>
      <c r="C2135" s="44" t="s">
        <v>273</v>
      </c>
      <c r="D2135" s="19" t="s">
        <v>812</v>
      </c>
      <c r="E2135" s="19">
        <v>12</v>
      </c>
      <c r="F2135" s="19">
        <v>490</v>
      </c>
      <c r="G2135" s="19">
        <v>6464</v>
      </c>
      <c r="H2135" s="19">
        <v>1</v>
      </c>
      <c r="I2135" s="80">
        <v>298.16000000000003</v>
      </c>
      <c r="J2135" s="80">
        <v>298.16000000000003</v>
      </c>
      <c r="K2135" s="19" t="s">
        <v>184</v>
      </c>
      <c r="L2135" s="19" t="s">
        <v>2827</v>
      </c>
      <c r="Q2135" s="20">
        <v>24</v>
      </c>
      <c r="R2135" s="65" t="s">
        <v>2010</v>
      </c>
      <c r="T2135" s="19" t="s">
        <v>307</v>
      </c>
      <c r="V2135" s="19" t="s">
        <v>178</v>
      </c>
      <c r="Y2135" s="19" t="s">
        <v>138</v>
      </c>
      <c r="Z2135" s="44" t="s">
        <v>2449</v>
      </c>
      <c r="AA2135" s="44" t="s">
        <v>180</v>
      </c>
      <c r="AC2135" s="19" t="s">
        <v>2828</v>
      </c>
    </row>
    <row r="2136" spans="1:29" x14ac:dyDescent="0.25">
      <c r="A2136" s="26">
        <v>375</v>
      </c>
      <c r="B2136" s="19" t="s">
        <v>2829</v>
      </c>
      <c r="C2136" s="44" t="s">
        <v>273</v>
      </c>
      <c r="D2136" s="19" t="s">
        <v>812</v>
      </c>
      <c r="E2136" s="19">
        <v>12</v>
      </c>
      <c r="F2136" s="19">
        <v>490</v>
      </c>
      <c r="G2136" s="19">
        <v>6464</v>
      </c>
      <c r="H2136" s="19">
        <v>1</v>
      </c>
      <c r="I2136" s="80">
        <v>298.16000000000003</v>
      </c>
      <c r="J2136" s="80">
        <v>298.16000000000003</v>
      </c>
      <c r="K2136" s="19" t="s">
        <v>184</v>
      </c>
      <c r="L2136" s="19" t="s">
        <v>2827</v>
      </c>
      <c r="Q2136" s="20">
        <v>24</v>
      </c>
      <c r="R2136" s="65" t="s">
        <v>2010</v>
      </c>
      <c r="T2136" s="19" t="s">
        <v>307</v>
      </c>
      <c r="V2136" s="19" t="s">
        <v>178</v>
      </c>
      <c r="Y2136" s="19" t="s">
        <v>138</v>
      </c>
      <c r="Z2136" s="44" t="s">
        <v>2449</v>
      </c>
      <c r="AA2136" s="44" t="s">
        <v>180</v>
      </c>
      <c r="AC2136" s="19" t="s">
        <v>2828</v>
      </c>
    </row>
    <row r="2137" spans="1:29" x14ac:dyDescent="0.25">
      <c r="A2137" s="26">
        <v>376</v>
      </c>
      <c r="B2137" s="19" t="s">
        <v>2830</v>
      </c>
      <c r="C2137" s="44" t="s">
        <v>273</v>
      </c>
      <c r="D2137" s="19" t="s">
        <v>812</v>
      </c>
      <c r="E2137" s="19">
        <v>12</v>
      </c>
      <c r="F2137" s="19">
        <v>490</v>
      </c>
      <c r="G2137" s="19">
        <v>6464</v>
      </c>
      <c r="H2137" s="19">
        <v>1</v>
      </c>
      <c r="I2137" s="80">
        <v>298.16000000000003</v>
      </c>
      <c r="J2137" s="80">
        <v>298.16000000000003</v>
      </c>
      <c r="K2137" s="19" t="s">
        <v>184</v>
      </c>
      <c r="L2137" s="19" t="s">
        <v>2827</v>
      </c>
      <c r="Q2137" s="20">
        <v>24</v>
      </c>
      <c r="R2137" s="65" t="s">
        <v>2010</v>
      </c>
      <c r="T2137" s="19" t="s">
        <v>307</v>
      </c>
      <c r="V2137" s="19" t="s">
        <v>178</v>
      </c>
      <c r="Y2137" s="19" t="s">
        <v>138</v>
      </c>
      <c r="Z2137" s="44" t="s">
        <v>2449</v>
      </c>
      <c r="AA2137" s="44" t="s">
        <v>180</v>
      </c>
      <c r="AC2137" s="19" t="s">
        <v>2828</v>
      </c>
    </row>
    <row r="2138" spans="1:29" x14ac:dyDescent="0.25">
      <c r="A2138" s="26">
        <v>377</v>
      </c>
      <c r="B2138" s="19" t="s">
        <v>2831</v>
      </c>
      <c r="C2138" s="44" t="s">
        <v>273</v>
      </c>
      <c r="D2138" s="19" t="s">
        <v>812</v>
      </c>
      <c r="E2138" s="19">
        <v>12</v>
      </c>
      <c r="F2138" s="19">
        <v>490</v>
      </c>
      <c r="G2138" s="19">
        <v>6464</v>
      </c>
      <c r="H2138" s="19">
        <v>1</v>
      </c>
      <c r="I2138" s="80">
        <v>298.16000000000003</v>
      </c>
      <c r="J2138" s="80">
        <v>298.16000000000003</v>
      </c>
      <c r="K2138" s="19" t="s">
        <v>184</v>
      </c>
      <c r="L2138" s="19" t="s">
        <v>2827</v>
      </c>
      <c r="Q2138" s="20">
        <v>24</v>
      </c>
      <c r="R2138" s="65" t="s">
        <v>2010</v>
      </c>
      <c r="T2138" s="19" t="s">
        <v>307</v>
      </c>
      <c r="V2138" s="19" t="s">
        <v>178</v>
      </c>
      <c r="Y2138" s="19" t="s">
        <v>138</v>
      </c>
      <c r="Z2138" s="44" t="s">
        <v>2449</v>
      </c>
      <c r="AA2138" s="44" t="s">
        <v>180</v>
      </c>
      <c r="AC2138" s="19" t="s">
        <v>2828</v>
      </c>
    </row>
    <row r="2139" spans="1:29" x14ac:dyDescent="0.25">
      <c r="A2139" s="26">
        <v>378</v>
      </c>
      <c r="B2139" s="19" t="s">
        <v>2832</v>
      </c>
      <c r="C2139" s="44" t="s">
        <v>273</v>
      </c>
      <c r="D2139" s="19" t="s">
        <v>812</v>
      </c>
      <c r="E2139" s="19">
        <v>12</v>
      </c>
      <c r="F2139" s="19">
        <v>490</v>
      </c>
      <c r="G2139" s="19">
        <v>6464</v>
      </c>
      <c r="H2139" s="19">
        <v>1</v>
      </c>
      <c r="I2139" s="80">
        <v>298.16000000000003</v>
      </c>
      <c r="J2139" s="80">
        <v>298.16000000000003</v>
      </c>
      <c r="K2139" s="19" t="s">
        <v>184</v>
      </c>
      <c r="L2139" s="19" t="s">
        <v>2833</v>
      </c>
      <c r="Q2139" s="20">
        <v>24</v>
      </c>
      <c r="R2139" s="65" t="s">
        <v>2010</v>
      </c>
      <c r="T2139" s="19" t="s">
        <v>307</v>
      </c>
      <c r="V2139" s="19" t="s">
        <v>178</v>
      </c>
      <c r="Y2139" s="19" t="s">
        <v>138</v>
      </c>
      <c r="Z2139" s="44" t="s">
        <v>2449</v>
      </c>
      <c r="AA2139" s="44" t="s">
        <v>180</v>
      </c>
      <c r="AC2139" s="19" t="s">
        <v>2834</v>
      </c>
    </row>
    <row r="2140" spans="1:29" x14ac:dyDescent="0.25">
      <c r="A2140" s="26">
        <v>379</v>
      </c>
      <c r="B2140" s="19" t="s">
        <v>2835</v>
      </c>
      <c r="C2140" s="44" t="s">
        <v>273</v>
      </c>
      <c r="D2140" s="19" t="s">
        <v>812</v>
      </c>
      <c r="E2140" s="19">
        <v>12</v>
      </c>
      <c r="F2140" s="19">
        <v>490</v>
      </c>
      <c r="G2140" s="19">
        <v>6464</v>
      </c>
      <c r="H2140" s="19">
        <v>1</v>
      </c>
      <c r="I2140" s="80">
        <v>298.16000000000003</v>
      </c>
      <c r="J2140" s="80">
        <v>298.16000000000003</v>
      </c>
      <c r="K2140" s="19" t="s">
        <v>184</v>
      </c>
      <c r="L2140" s="19" t="s">
        <v>2833</v>
      </c>
      <c r="Q2140" s="20">
        <v>24</v>
      </c>
      <c r="R2140" s="65" t="s">
        <v>2010</v>
      </c>
      <c r="T2140" s="19" t="s">
        <v>307</v>
      </c>
      <c r="V2140" s="19" t="s">
        <v>178</v>
      </c>
      <c r="Y2140" s="19" t="s">
        <v>138</v>
      </c>
      <c r="Z2140" s="44" t="s">
        <v>2449</v>
      </c>
      <c r="AA2140" s="44" t="s">
        <v>180</v>
      </c>
      <c r="AC2140" s="19" t="s">
        <v>2834</v>
      </c>
    </row>
    <row r="2141" spans="1:29" x14ac:dyDescent="0.25">
      <c r="A2141" s="26">
        <v>380</v>
      </c>
      <c r="B2141" s="19" t="s">
        <v>2836</v>
      </c>
      <c r="C2141" s="44" t="s">
        <v>273</v>
      </c>
      <c r="D2141" s="19" t="s">
        <v>812</v>
      </c>
      <c r="E2141" s="19">
        <v>12</v>
      </c>
      <c r="F2141" s="19">
        <v>490</v>
      </c>
      <c r="G2141" s="19">
        <v>6464</v>
      </c>
      <c r="H2141" s="19">
        <v>1</v>
      </c>
      <c r="I2141" s="80">
        <v>298.16000000000003</v>
      </c>
      <c r="J2141" s="80">
        <v>298.16000000000003</v>
      </c>
      <c r="K2141" s="19" t="s">
        <v>184</v>
      </c>
      <c r="L2141" s="19" t="s">
        <v>2833</v>
      </c>
      <c r="Q2141" s="20">
        <v>24</v>
      </c>
      <c r="R2141" s="65" t="s">
        <v>2010</v>
      </c>
      <c r="T2141" s="19" t="s">
        <v>307</v>
      </c>
      <c r="V2141" s="19" t="s">
        <v>178</v>
      </c>
      <c r="Y2141" s="19" t="s">
        <v>138</v>
      </c>
      <c r="Z2141" s="44" t="s">
        <v>2449</v>
      </c>
      <c r="AA2141" s="44" t="s">
        <v>180</v>
      </c>
      <c r="AC2141" s="19" t="s">
        <v>2834</v>
      </c>
    </row>
    <row r="2142" spans="1:29" x14ac:dyDescent="0.25">
      <c r="A2142" s="26">
        <v>381</v>
      </c>
      <c r="B2142" s="19" t="s">
        <v>2837</v>
      </c>
      <c r="C2142" s="44" t="s">
        <v>273</v>
      </c>
      <c r="D2142" s="19" t="s">
        <v>812</v>
      </c>
      <c r="E2142" s="19">
        <v>12</v>
      </c>
      <c r="F2142" s="19">
        <v>490</v>
      </c>
      <c r="G2142" s="19">
        <v>6464</v>
      </c>
      <c r="H2142" s="19">
        <v>1</v>
      </c>
      <c r="I2142" s="80">
        <v>298.16000000000003</v>
      </c>
      <c r="J2142" s="80">
        <v>298.16000000000003</v>
      </c>
      <c r="K2142" s="19" t="s">
        <v>184</v>
      </c>
      <c r="L2142" s="19" t="s">
        <v>2833</v>
      </c>
      <c r="Q2142" s="20">
        <v>24</v>
      </c>
      <c r="R2142" s="65" t="s">
        <v>2010</v>
      </c>
      <c r="T2142" s="19" t="s">
        <v>307</v>
      </c>
      <c r="V2142" s="19" t="s">
        <v>178</v>
      </c>
      <c r="Y2142" s="19" t="s">
        <v>138</v>
      </c>
      <c r="Z2142" s="44" t="s">
        <v>2449</v>
      </c>
      <c r="AA2142" s="44" t="s">
        <v>180</v>
      </c>
      <c r="AC2142" s="19" t="s">
        <v>2834</v>
      </c>
    </row>
    <row r="2143" spans="1:29" x14ac:dyDescent="0.25">
      <c r="A2143" s="26">
        <v>382</v>
      </c>
      <c r="B2143" s="19" t="s">
        <v>2838</v>
      </c>
      <c r="C2143" s="44" t="s">
        <v>273</v>
      </c>
      <c r="D2143" s="19" t="s">
        <v>812</v>
      </c>
      <c r="E2143" s="19">
        <v>12</v>
      </c>
      <c r="F2143" s="19">
        <v>490</v>
      </c>
      <c r="G2143" s="19">
        <v>6464</v>
      </c>
      <c r="H2143" s="19">
        <v>1</v>
      </c>
      <c r="I2143" s="80">
        <v>298.26</v>
      </c>
      <c r="J2143" s="80">
        <v>298.26</v>
      </c>
      <c r="K2143" s="19" t="s">
        <v>184</v>
      </c>
      <c r="L2143" s="19" t="s">
        <v>2839</v>
      </c>
      <c r="Q2143" s="20">
        <v>24</v>
      </c>
      <c r="R2143" s="65" t="s">
        <v>2010</v>
      </c>
      <c r="T2143" s="19" t="s">
        <v>307</v>
      </c>
      <c r="V2143" s="19" t="s">
        <v>178</v>
      </c>
      <c r="Y2143" s="19" t="s">
        <v>138</v>
      </c>
      <c r="Z2143" s="44" t="s">
        <v>2449</v>
      </c>
      <c r="AA2143" s="44" t="s">
        <v>180</v>
      </c>
      <c r="AC2143" s="19" t="s">
        <v>2840</v>
      </c>
    </row>
    <row r="2144" spans="1:29" x14ac:dyDescent="0.25">
      <c r="A2144" s="26">
        <v>383</v>
      </c>
      <c r="B2144" s="19" t="s">
        <v>2841</v>
      </c>
      <c r="C2144" s="44" t="s">
        <v>273</v>
      </c>
      <c r="D2144" s="19" t="s">
        <v>812</v>
      </c>
      <c r="E2144" s="19">
        <v>12</v>
      </c>
      <c r="F2144" s="19">
        <v>490</v>
      </c>
      <c r="G2144" s="19">
        <v>6464</v>
      </c>
      <c r="H2144" s="19">
        <v>1</v>
      </c>
      <c r="I2144" s="80">
        <v>298.26</v>
      </c>
      <c r="J2144" s="80">
        <v>298.26</v>
      </c>
      <c r="K2144" s="19" t="s">
        <v>184</v>
      </c>
      <c r="L2144" s="19" t="s">
        <v>2839</v>
      </c>
      <c r="Q2144" s="20">
        <v>24</v>
      </c>
      <c r="R2144" s="65" t="s">
        <v>2010</v>
      </c>
      <c r="T2144" s="19" t="s">
        <v>307</v>
      </c>
      <c r="V2144" s="19" t="s">
        <v>178</v>
      </c>
      <c r="Y2144" s="19" t="s">
        <v>138</v>
      </c>
      <c r="Z2144" s="44" t="s">
        <v>2449</v>
      </c>
      <c r="AA2144" s="44" t="s">
        <v>180</v>
      </c>
      <c r="AC2144" s="19" t="s">
        <v>2840</v>
      </c>
    </row>
    <row r="2145" spans="1:29" x14ac:dyDescent="0.25">
      <c r="A2145" s="26">
        <v>384</v>
      </c>
      <c r="B2145" s="19" t="s">
        <v>2842</v>
      </c>
      <c r="C2145" s="44" t="s">
        <v>273</v>
      </c>
      <c r="D2145" s="19" t="s">
        <v>1334</v>
      </c>
      <c r="E2145" s="19">
        <v>16</v>
      </c>
      <c r="F2145" s="19">
        <v>210</v>
      </c>
      <c r="G2145" s="19">
        <v>750</v>
      </c>
      <c r="H2145" s="19">
        <v>12</v>
      </c>
      <c r="I2145" s="80">
        <v>19.61</v>
      </c>
      <c r="J2145" s="80">
        <v>235.33</v>
      </c>
      <c r="K2145" s="19" t="s">
        <v>2843</v>
      </c>
      <c r="L2145" s="19" t="s">
        <v>2844</v>
      </c>
      <c r="Q2145" s="20">
        <v>24</v>
      </c>
      <c r="R2145" s="65" t="s">
        <v>2010</v>
      </c>
      <c r="T2145" s="19" t="s">
        <v>307</v>
      </c>
      <c r="V2145" s="19" t="s">
        <v>178</v>
      </c>
      <c r="W2145" s="19" t="s">
        <v>138</v>
      </c>
      <c r="Z2145" s="44" t="s">
        <v>2449</v>
      </c>
      <c r="AA2145" s="44" t="s">
        <v>2845</v>
      </c>
      <c r="AC2145" s="19" t="s">
        <v>2846</v>
      </c>
    </row>
    <row r="2146" spans="1:29" x14ac:dyDescent="0.25">
      <c r="A2146" s="26">
        <v>385</v>
      </c>
      <c r="B2146" s="19" t="s">
        <v>2847</v>
      </c>
      <c r="C2146" s="44" t="s">
        <v>273</v>
      </c>
      <c r="D2146" s="19" t="s">
        <v>2266</v>
      </c>
      <c r="E2146" s="19">
        <v>16</v>
      </c>
      <c r="F2146" s="19">
        <v>190</v>
      </c>
      <c r="G2146" s="19">
        <v>251</v>
      </c>
      <c r="H2146" s="19">
        <v>10</v>
      </c>
      <c r="I2146" s="80">
        <v>5.96</v>
      </c>
      <c r="J2146" s="80">
        <v>59.65</v>
      </c>
      <c r="K2146" s="19" t="s">
        <v>2843</v>
      </c>
      <c r="L2146" s="19" t="s">
        <v>2844</v>
      </c>
      <c r="Q2146" s="20">
        <v>24</v>
      </c>
      <c r="R2146" s="65" t="s">
        <v>2010</v>
      </c>
      <c r="T2146" s="19" t="s">
        <v>307</v>
      </c>
      <c r="V2146" s="19" t="s">
        <v>178</v>
      </c>
      <c r="W2146" s="19" t="s">
        <v>138</v>
      </c>
      <c r="Z2146" s="44" t="s">
        <v>2449</v>
      </c>
      <c r="AA2146" s="44" t="s">
        <v>2845</v>
      </c>
      <c r="AC2146" s="19" t="s">
        <v>2846</v>
      </c>
    </row>
    <row r="2147" spans="1:29" x14ac:dyDescent="0.25">
      <c r="A2147" s="26">
        <v>386</v>
      </c>
      <c r="B2147" s="19" t="s">
        <v>2848</v>
      </c>
      <c r="C2147" s="44" t="s">
        <v>273</v>
      </c>
      <c r="D2147" s="19" t="s">
        <v>1338</v>
      </c>
      <c r="E2147" s="19">
        <v>16</v>
      </c>
      <c r="F2147" s="19">
        <v>210</v>
      </c>
      <c r="G2147" s="19">
        <v>651</v>
      </c>
      <c r="H2147" s="19">
        <v>10</v>
      </c>
      <c r="I2147" s="80">
        <v>17.149999999999999</v>
      </c>
      <c r="J2147" s="80">
        <v>171.53</v>
      </c>
      <c r="K2147" s="19" t="s">
        <v>2843</v>
      </c>
      <c r="L2147" s="19" t="s">
        <v>2844</v>
      </c>
      <c r="Q2147" s="20">
        <v>24</v>
      </c>
      <c r="R2147" s="65" t="s">
        <v>2010</v>
      </c>
      <c r="T2147" s="19" t="s">
        <v>307</v>
      </c>
      <c r="V2147" s="19" t="s">
        <v>178</v>
      </c>
      <c r="W2147" s="19" t="s">
        <v>138</v>
      </c>
      <c r="Z2147" s="44" t="s">
        <v>2449</v>
      </c>
      <c r="AA2147" s="44" t="s">
        <v>2845</v>
      </c>
      <c r="AC2147" s="19" t="s">
        <v>2846</v>
      </c>
    </row>
    <row r="2148" spans="1:29" x14ac:dyDescent="0.25">
      <c r="A2148" s="26">
        <v>387</v>
      </c>
      <c r="B2148" s="19" t="s">
        <v>2849</v>
      </c>
      <c r="C2148" s="44" t="s">
        <v>273</v>
      </c>
      <c r="D2148" s="19" t="s">
        <v>1334</v>
      </c>
      <c r="E2148" s="19">
        <v>16</v>
      </c>
      <c r="F2148" s="19">
        <v>210</v>
      </c>
      <c r="G2148" s="19">
        <v>750</v>
      </c>
      <c r="H2148" s="19">
        <v>12</v>
      </c>
      <c r="I2148" s="80">
        <v>19.61</v>
      </c>
      <c r="J2148" s="80">
        <v>235.33</v>
      </c>
      <c r="K2148" s="19" t="s">
        <v>2843</v>
      </c>
      <c r="L2148" s="19" t="s">
        <v>2844</v>
      </c>
      <c r="Q2148" s="20">
        <v>24</v>
      </c>
      <c r="R2148" s="65" t="s">
        <v>2010</v>
      </c>
      <c r="T2148" s="19" t="s">
        <v>307</v>
      </c>
      <c r="V2148" s="19" t="s">
        <v>178</v>
      </c>
      <c r="W2148" s="19" t="s">
        <v>138</v>
      </c>
      <c r="Z2148" s="44" t="s">
        <v>2449</v>
      </c>
      <c r="AA2148" s="44" t="s">
        <v>2845</v>
      </c>
      <c r="AC2148" s="19" t="s">
        <v>2846</v>
      </c>
    </row>
    <row r="2149" spans="1:29" x14ac:dyDescent="0.25">
      <c r="A2149" s="26">
        <v>388</v>
      </c>
      <c r="B2149" s="19" t="s">
        <v>2850</v>
      </c>
      <c r="C2149" s="44" t="s">
        <v>273</v>
      </c>
      <c r="D2149" s="19" t="s">
        <v>2266</v>
      </c>
      <c r="E2149" s="19">
        <v>16</v>
      </c>
      <c r="F2149" s="19">
        <v>190</v>
      </c>
      <c r="G2149" s="19">
        <v>251</v>
      </c>
      <c r="H2149" s="19">
        <v>10</v>
      </c>
      <c r="I2149" s="80">
        <v>5.96</v>
      </c>
      <c r="J2149" s="80">
        <v>59.65</v>
      </c>
      <c r="K2149" s="19" t="s">
        <v>2843</v>
      </c>
      <c r="L2149" s="19" t="s">
        <v>2844</v>
      </c>
      <c r="Q2149" s="20">
        <v>24</v>
      </c>
      <c r="R2149" s="65" t="s">
        <v>2010</v>
      </c>
      <c r="T2149" s="19" t="s">
        <v>307</v>
      </c>
      <c r="V2149" s="19" t="s">
        <v>178</v>
      </c>
      <c r="W2149" s="19" t="s">
        <v>138</v>
      </c>
      <c r="Z2149" s="44" t="s">
        <v>2449</v>
      </c>
      <c r="AA2149" s="44" t="s">
        <v>2845</v>
      </c>
      <c r="AC2149" s="19" t="s">
        <v>2846</v>
      </c>
    </row>
    <row r="2150" spans="1:29" x14ac:dyDescent="0.25">
      <c r="A2150" s="26">
        <v>389</v>
      </c>
      <c r="B2150" s="19" t="s">
        <v>2851</v>
      </c>
      <c r="C2150" s="44" t="s">
        <v>273</v>
      </c>
      <c r="D2150" s="19" t="s">
        <v>1338</v>
      </c>
      <c r="E2150" s="19">
        <v>16</v>
      </c>
      <c r="F2150" s="19">
        <v>210</v>
      </c>
      <c r="G2150" s="19">
        <v>651</v>
      </c>
      <c r="H2150" s="19">
        <v>10</v>
      </c>
      <c r="I2150" s="80">
        <v>17.149999999999999</v>
      </c>
      <c r="J2150" s="80">
        <v>171.53</v>
      </c>
      <c r="K2150" s="19" t="s">
        <v>2843</v>
      </c>
      <c r="L2150" s="19" t="s">
        <v>2844</v>
      </c>
      <c r="Q2150" s="20">
        <v>24</v>
      </c>
      <c r="R2150" s="65" t="s">
        <v>2010</v>
      </c>
      <c r="T2150" s="19" t="s">
        <v>307</v>
      </c>
      <c r="V2150" s="19" t="s">
        <v>178</v>
      </c>
      <c r="W2150" s="19" t="s">
        <v>138</v>
      </c>
      <c r="Z2150" s="44" t="s">
        <v>2449</v>
      </c>
      <c r="AA2150" s="44" t="s">
        <v>2845</v>
      </c>
      <c r="AC2150" s="19" t="s">
        <v>2846</v>
      </c>
    </row>
    <row r="2151" spans="1:29" x14ac:dyDescent="0.25">
      <c r="A2151" s="26">
        <v>390</v>
      </c>
      <c r="B2151" s="19" t="s">
        <v>2852</v>
      </c>
      <c r="C2151" s="44" t="s">
        <v>273</v>
      </c>
      <c r="D2151" s="19" t="s">
        <v>1338</v>
      </c>
      <c r="E2151" s="19">
        <v>16</v>
      </c>
      <c r="F2151" s="19">
        <v>210</v>
      </c>
      <c r="G2151" s="19">
        <v>651</v>
      </c>
      <c r="H2151" s="19">
        <v>2</v>
      </c>
      <c r="I2151" s="80">
        <v>17.16</v>
      </c>
      <c r="J2151" s="80">
        <v>34.31</v>
      </c>
      <c r="K2151" s="19" t="s">
        <v>2843</v>
      </c>
      <c r="L2151" s="19" t="s">
        <v>2844</v>
      </c>
      <c r="Q2151" s="20">
        <v>24</v>
      </c>
      <c r="R2151" s="65" t="s">
        <v>2010</v>
      </c>
      <c r="T2151" s="19" t="s">
        <v>307</v>
      </c>
      <c r="V2151" s="19" t="s">
        <v>178</v>
      </c>
      <c r="W2151" s="19" t="s">
        <v>138</v>
      </c>
      <c r="Z2151" s="44" t="s">
        <v>2449</v>
      </c>
      <c r="AA2151" s="44" t="s">
        <v>2845</v>
      </c>
      <c r="AC2151" s="19" t="s">
        <v>2846</v>
      </c>
    </row>
    <row r="2152" spans="1:29" x14ac:dyDescent="0.25">
      <c r="A2152" s="26">
        <v>391</v>
      </c>
      <c r="B2152" s="19" t="s">
        <v>2853</v>
      </c>
      <c r="C2152" s="44" t="s">
        <v>273</v>
      </c>
      <c r="D2152" s="19" t="s">
        <v>1338</v>
      </c>
      <c r="E2152" s="19">
        <v>16</v>
      </c>
      <c r="F2152" s="19">
        <v>210</v>
      </c>
      <c r="G2152" s="19">
        <v>651</v>
      </c>
      <c r="H2152" s="19">
        <v>2</v>
      </c>
      <c r="I2152" s="80">
        <v>17.16</v>
      </c>
      <c r="J2152" s="80">
        <v>34.31</v>
      </c>
      <c r="K2152" s="19" t="s">
        <v>2843</v>
      </c>
      <c r="L2152" s="19" t="s">
        <v>2844</v>
      </c>
      <c r="Q2152" s="20">
        <v>24</v>
      </c>
      <c r="R2152" s="65" t="s">
        <v>2010</v>
      </c>
      <c r="T2152" s="19" t="s">
        <v>307</v>
      </c>
      <c r="V2152" s="19" t="s">
        <v>178</v>
      </c>
      <c r="W2152" s="19" t="s">
        <v>138</v>
      </c>
      <c r="Z2152" s="44" t="s">
        <v>2449</v>
      </c>
      <c r="AA2152" s="44" t="s">
        <v>2845</v>
      </c>
      <c r="AC2152" s="19" t="s">
        <v>2846</v>
      </c>
    </row>
    <row r="2153" spans="1:29" x14ac:dyDescent="0.25">
      <c r="A2153" s="26">
        <v>392</v>
      </c>
      <c r="B2153" s="19" t="s">
        <v>2854</v>
      </c>
      <c r="C2153" s="44" t="s">
        <v>273</v>
      </c>
      <c r="D2153" s="19" t="s">
        <v>1334</v>
      </c>
      <c r="E2153" s="19">
        <v>16</v>
      </c>
      <c r="F2153" s="19">
        <v>210</v>
      </c>
      <c r="G2153" s="19">
        <v>750</v>
      </c>
      <c r="H2153" s="19">
        <v>12</v>
      </c>
      <c r="I2153" s="80">
        <v>19.61</v>
      </c>
      <c r="J2153" s="80">
        <v>235.33</v>
      </c>
      <c r="K2153" s="19" t="s">
        <v>2843</v>
      </c>
      <c r="L2153" s="19" t="s">
        <v>2844</v>
      </c>
      <c r="Q2153" s="20">
        <v>24</v>
      </c>
      <c r="R2153" s="65" t="s">
        <v>2010</v>
      </c>
      <c r="T2153" s="19" t="s">
        <v>307</v>
      </c>
      <c r="V2153" s="19" t="s">
        <v>178</v>
      </c>
      <c r="W2153" s="19" t="s">
        <v>138</v>
      </c>
      <c r="Z2153" s="44" t="s">
        <v>2449</v>
      </c>
      <c r="AA2153" s="44" t="s">
        <v>2845</v>
      </c>
      <c r="AC2153" s="19" t="s">
        <v>2846</v>
      </c>
    </row>
    <row r="2154" spans="1:29" x14ac:dyDescent="0.25">
      <c r="A2154" s="26">
        <v>393</v>
      </c>
      <c r="B2154" s="19" t="s">
        <v>2855</v>
      </c>
      <c r="C2154" s="44" t="s">
        <v>273</v>
      </c>
      <c r="D2154" s="19" t="s">
        <v>2266</v>
      </c>
      <c r="E2154" s="19">
        <v>16</v>
      </c>
      <c r="F2154" s="19">
        <v>190</v>
      </c>
      <c r="G2154" s="19">
        <v>251</v>
      </c>
      <c r="H2154" s="19">
        <v>8</v>
      </c>
      <c r="I2154" s="80">
        <v>5.96</v>
      </c>
      <c r="J2154" s="80">
        <v>47.72</v>
      </c>
      <c r="K2154" s="19" t="s">
        <v>2843</v>
      </c>
      <c r="L2154" s="19" t="s">
        <v>2844</v>
      </c>
      <c r="Q2154" s="20">
        <v>24</v>
      </c>
      <c r="R2154" s="65" t="s">
        <v>2010</v>
      </c>
      <c r="T2154" s="19" t="s">
        <v>307</v>
      </c>
      <c r="V2154" s="19" t="s">
        <v>178</v>
      </c>
      <c r="W2154" s="19" t="s">
        <v>138</v>
      </c>
      <c r="Z2154" s="44" t="s">
        <v>2449</v>
      </c>
      <c r="AA2154" s="44" t="s">
        <v>2845</v>
      </c>
      <c r="AC2154" s="19" t="s">
        <v>2846</v>
      </c>
    </row>
    <row r="2155" spans="1:29" x14ac:dyDescent="0.25">
      <c r="A2155" s="26">
        <v>394</v>
      </c>
      <c r="B2155" s="19" t="s">
        <v>2856</v>
      </c>
      <c r="C2155" s="44" t="s">
        <v>273</v>
      </c>
      <c r="D2155" s="19" t="s">
        <v>1338</v>
      </c>
      <c r="E2155" s="19">
        <v>16</v>
      </c>
      <c r="F2155" s="19">
        <v>210</v>
      </c>
      <c r="G2155" s="19">
        <v>651</v>
      </c>
      <c r="H2155" s="19">
        <v>10</v>
      </c>
      <c r="I2155" s="80">
        <v>17.149999999999999</v>
      </c>
      <c r="J2155" s="80">
        <v>171.53</v>
      </c>
      <c r="K2155" s="19" t="s">
        <v>2843</v>
      </c>
      <c r="L2155" s="19" t="s">
        <v>2844</v>
      </c>
      <c r="Q2155" s="20">
        <v>24</v>
      </c>
      <c r="R2155" s="65" t="s">
        <v>2010</v>
      </c>
      <c r="T2155" s="19" t="s">
        <v>307</v>
      </c>
      <c r="V2155" s="19" t="s">
        <v>178</v>
      </c>
      <c r="W2155" s="19" t="s">
        <v>138</v>
      </c>
      <c r="Z2155" s="44" t="s">
        <v>2449</v>
      </c>
      <c r="AA2155" s="44" t="s">
        <v>2845</v>
      </c>
      <c r="AC2155" s="19" t="s">
        <v>2846</v>
      </c>
    </row>
    <row r="2156" spans="1:29" x14ac:dyDescent="0.25">
      <c r="A2156" s="26">
        <v>395</v>
      </c>
      <c r="B2156" s="19" t="s">
        <v>2857</v>
      </c>
      <c r="C2156" s="44" t="s">
        <v>273</v>
      </c>
      <c r="D2156" s="19" t="s">
        <v>1334</v>
      </c>
      <c r="E2156" s="19">
        <v>16</v>
      </c>
      <c r="F2156" s="19">
        <v>210</v>
      </c>
      <c r="G2156" s="19">
        <v>750</v>
      </c>
      <c r="H2156" s="19">
        <v>12</v>
      </c>
      <c r="I2156" s="80">
        <v>19.61</v>
      </c>
      <c r="J2156" s="80">
        <v>235.33</v>
      </c>
      <c r="K2156" s="19" t="s">
        <v>2843</v>
      </c>
      <c r="L2156" s="19" t="s">
        <v>2844</v>
      </c>
      <c r="Q2156" s="20">
        <v>24</v>
      </c>
      <c r="R2156" s="65" t="s">
        <v>2010</v>
      </c>
      <c r="T2156" s="19" t="s">
        <v>307</v>
      </c>
      <c r="V2156" s="19" t="s">
        <v>178</v>
      </c>
      <c r="W2156" s="19" t="s">
        <v>138</v>
      </c>
      <c r="Z2156" s="44" t="s">
        <v>2449</v>
      </c>
      <c r="AA2156" s="44" t="s">
        <v>2845</v>
      </c>
      <c r="AC2156" s="19" t="s">
        <v>2846</v>
      </c>
    </row>
    <row r="2157" spans="1:29" x14ac:dyDescent="0.25">
      <c r="A2157" s="26">
        <v>396</v>
      </c>
      <c r="B2157" s="19" t="s">
        <v>2858</v>
      </c>
      <c r="C2157" s="44" t="s">
        <v>273</v>
      </c>
      <c r="D2157" s="19" t="s">
        <v>2266</v>
      </c>
      <c r="E2157" s="19">
        <v>16</v>
      </c>
      <c r="F2157" s="19">
        <v>190</v>
      </c>
      <c r="G2157" s="19">
        <v>251</v>
      </c>
      <c r="H2157" s="19">
        <v>10</v>
      </c>
      <c r="I2157" s="80">
        <v>5.96</v>
      </c>
      <c r="J2157" s="80">
        <v>59.65</v>
      </c>
      <c r="K2157" s="19" t="s">
        <v>2843</v>
      </c>
      <c r="L2157" s="19" t="s">
        <v>2844</v>
      </c>
      <c r="Q2157" s="20">
        <v>24</v>
      </c>
      <c r="R2157" s="65" t="s">
        <v>2010</v>
      </c>
      <c r="T2157" s="19" t="s">
        <v>307</v>
      </c>
      <c r="V2157" s="19" t="s">
        <v>178</v>
      </c>
      <c r="W2157" s="19" t="s">
        <v>138</v>
      </c>
      <c r="Z2157" s="44" t="s">
        <v>2449</v>
      </c>
      <c r="AA2157" s="44" t="s">
        <v>2845</v>
      </c>
      <c r="AC2157" s="19" t="s">
        <v>2846</v>
      </c>
    </row>
    <row r="2158" spans="1:29" x14ac:dyDescent="0.25">
      <c r="A2158" s="26">
        <v>397</v>
      </c>
      <c r="B2158" s="19" t="s">
        <v>2859</v>
      </c>
      <c r="C2158" s="44" t="s">
        <v>273</v>
      </c>
      <c r="D2158" s="19" t="s">
        <v>1338</v>
      </c>
      <c r="E2158" s="19">
        <v>16</v>
      </c>
      <c r="F2158" s="19">
        <v>210</v>
      </c>
      <c r="G2158" s="19">
        <v>651</v>
      </c>
      <c r="H2158" s="19">
        <v>10</v>
      </c>
      <c r="I2158" s="80">
        <v>17.149999999999999</v>
      </c>
      <c r="J2158" s="80">
        <v>171.53</v>
      </c>
      <c r="K2158" s="19" t="s">
        <v>2843</v>
      </c>
      <c r="L2158" s="19" t="s">
        <v>2844</v>
      </c>
      <c r="Q2158" s="20">
        <v>24</v>
      </c>
      <c r="R2158" s="65" t="s">
        <v>2010</v>
      </c>
      <c r="T2158" s="19" t="s">
        <v>307</v>
      </c>
      <c r="V2158" s="19" t="s">
        <v>178</v>
      </c>
      <c r="W2158" s="19" t="s">
        <v>138</v>
      </c>
      <c r="Z2158" s="44" t="s">
        <v>2449</v>
      </c>
      <c r="AA2158" s="44" t="s">
        <v>2845</v>
      </c>
      <c r="AC2158" s="19" t="s">
        <v>2846</v>
      </c>
    </row>
    <row r="2159" spans="1:29" x14ac:dyDescent="0.25">
      <c r="A2159" s="26">
        <v>398</v>
      </c>
      <c r="B2159" s="19" t="s">
        <v>2860</v>
      </c>
      <c r="C2159" s="44" t="s">
        <v>273</v>
      </c>
      <c r="D2159" s="19" t="s">
        <v>1334</v>
      </c>
      <c r="E2159" s="19">
        <v>16</v>
      </c>
      <c r="F2159" s="19">
        <v>210</v>
      </c>
      <c r="G2159" s="19">
        <v>750</v>
      </c>
      <c r="H2159" s="19">
        <v>12</v>
      </c>
      <c r="I2159" s="80">
        <v>19.61</v>
      </c>
      <c r="J2159" s="80">
        <v>235.33</v>
      </c>
      <c r="K2159" s="19" t="s">
        <v>2843</v>
      </c>
      <c r="L2159" s="19" t="s">
        <v>2844</v>
      </c>
      <c r="Q2159" s="20">
        <v>24</v>
      </c>
      <c r="R2159" s="65" t="s">
        <v>2010</v>
      </c>
      <c r="T2159" s="19" t="s">
        <v>307</v>
      </c>
      <c r="V2159" s="19" t="s">
        <v>178</v>
      </c>
      <c r="W2159" s="19" t="s">
        <v>138</v>
      </c>
      <c r="Z2159" s="44" t="s">
        <v>2449</v>
      </c>
      <c r="AA2159" s="44" t="s">
        <v>2845</v>
      </c>
      <c r="AC2159" s="19" t="s">
        <v>2846</v>
      </c>
    </row>
    <row r="2160" spans="1:29" x14ac:dyDescent="0.25">
      <c r="A2160" s="26">
        <v>399</v>
      </c>
      <c r="B2160" s="19" t="s">
        <v>2861</v>
      </c>
      <c r="C2160" s="44" t="s">
        <v>273</v>
      </c>
      <c r="D2160" s="19" t="s">
        <v>1338</v>
      </c>
      <c r="E2160" s="19">
        <v>16</v>
      </c>
      <c r="F2160" s="19">
        <v>210</v>
      </c>
      <c r="G2160" s="19">
        <v>651</v>
      </c>
      <c r="H2160" s="19">
        <v>9</v>
      </c>
      <c r="I2160" s="80">
        <v>17.149999999999999</v>
      </c>
      <c r="J2160" s="80">
        <v>154.37</v>
      </c>
      <c r="K2160" s="19" t="s">
        <v>2843</v>
      </c>
      <c r="L2160" s="19" t="s">
        <v>2844</v>
      </c>
      <c r="Q2160" s="20">
        <v>24</v>
      </c>
      <c r="R2160" s="65" t="s">
        <v>2010</v>
      </c>
      <c r="T2160" s="19" t="s">
        <v>307</v>
      </c>
      <c r="V2160" s="19" t="s">
        <v>178</v>
      </c>
      <c r="W2160" s="19" t="s">
        <v>138</v>
      </c>
      <c r="Z2160" s="44" t="s">
        <v>2449</v>
      </c>
      <c r="AA2160" s="44" t="s">
        <v>2845</v>
      </c>
      <c r="AC2160" s="19" t="s">
        <v>2846</v>
      </c>
    </row>
    <row r="2161" spans="1:29" x14ac:dyDescent="0.25">
      <c r="A2161" s="26">
        <v>400</v>
      </c>
      <c r="B2161" s="19" t="s">
        <v>2862</v>
      </c>
      <c r="C2161" s="44" t="s">
        <v>273</v>
      </c>
      <c r="D2161" s="19" t="s">
        <v>1334</v>
      </c>
      <c r="E2161" s="19">
        <v>16</v>
      </c>
      <c r="F2161" s="19">
        <v>210</v>
      </c>
      <c r="G2161" s="19">
        <v>750</v>
      </c>
      <c r="H2161" s="19">
        <v>12</v>
      </c>
      <c r="I2161" s="80">
        <v>19.61</v>
      </c>
      <c r="J2161" s="80">
        <v>235.33</v>
      </c>
      <c r="K2161" s="19" t="s">
        <v>2843</v>
      </c>
      <c r="L2161" s="19" t="s">
        <v>2844</v>
      </c>
      <c r="Q2161" s="20">
        <v>24</v>
      </c>
      <c r="R2161" s="65" t="s">
        <v>2010</v>
      </c>
      <c r="T2161" s="19" t="s">
        <v>307</v>
      </c>
      <c r="V2161" s="19" t="s">
        <v>178</v>
      </c>
      <c r="W2161" s="19" t="s">
        <v>138</v>
      </c>
      <c r="Z2161" s="44" t="s">
        <v>2449</v>
      </c>
      <c r="AA2161" s="44" t="s">
        <v>2845</v>
      </c>
      <c r="AC2161" s="19" t="s">
        <v>2846</v>
      </c>
    </row>
    <row r="2162" spans="1:29" x14ac:dyDescent="0.25">
      <c r="A2162" s="26">
        <v>401</v>
      </c>
      <c r="B2162" s="19" t="s">
        <v>2863</v>
      </c>
      <c r="C2162" s="44" t="s">
        <v>273</v>
      </c>
      <c r="D2162" s="19" t="s">
        <v>2266</v>
      </c>
      <c r="E2162" s="19">
        <v>16</v>
      </c>
      <c r="F2162" s="19">
        <v>190</v>
      </c>
      <c r="G2162" s="19">
        <v>251</v>
      </c>
      <c r="H2162" s="19">
        <v>2</v>
      </c>
      <c r="I2162" s="80">
        <v>5.96</v>
      </c>
      <c r="J2162" s="80">
        <v>11.93</v>
      </c>
      <c r="K2162" s="19" t="s">
        <v>1000</v>
      </c>
      <c r="L2162" s="19" t="s">
        <v>2864</v>
      </c>
      <c r="Q2162" s="20">
        <v>24</v>
      </c>
      <c r="R2162" s="65" t="s">
        <v>2010</v>
      </c>
      <c r="T2162" s="19" t="s">
        <v>307</v>
      </c>
      <c r="V2162" s="19" t="s">
        <v>178</v>
      </c>
      <c r="W2162" s="19" t="s">
        <v>138</v>
      </c>
      <c r="Z2162" s="44" t="s">
        <v>2449</v>
      </c>
      <c r="AA2162" s="44" t="s">
        <v>180</v>
      </c>
      <c r="AC2162" s="19" t="s">
        <v>2865</v>
      </c>
    </row>
    <row r="2163" spans="1:29" x14ac:dyDescent="0.25">
      <c r="A2163" s="26">
        <v>402</v>
      </c>
      <c r="B2163" s="19" t="s">
        <v>2866</v>
      </c>
      <c r="C2163" s="44" t="s">
        <v>273</v>
      </c>
      <c r="D2163" s="19" t="s">
        <v>2266</v>
      </c>
      <c r="E2163" s="19">
        <v>16</v>
      </c>
      <c r="F2163" s="19">
        <v>190</v>
      </c>
      <c r="G2163" s="19">
        <v>251</v>
      </c>
      <c r="H2163" s="19">
        <v>2</v>
      </c>
      <c r="I2163" s="80">
        <v>5.96</v>
      </c>
      <c r="J2163" s="80">
        <v>11.93</v>
      </c>
      <c r="K2163" s="19" t="s">
        <v>1000</v>
      </c>
      <c r="L2163" s="19" t="s">
        <v>2864</v>
      </c>
      <c r="Q2163" s="20">
        <v>24</v>
      </c>
      <c r="R2163" s="65" t="s">
        <v>2010</v>
      </c>
      <c r="T2163" s="19" t="s">
        <v>307</v>
      </c>
      <c r="V2163" s="19" t="s">
        <v>178</v>
      </c>
      <c r="W2163" s="19" t="s">
        <v>138</v>
      </c>
      <c r="Z2163" s="44" t="s">
        <v>2449</v>
      </c>
      <c r="AA2163" s="44" t="s">
        <v>180</v>
      </c>
      <c r="AC2163" s="19" t="s">
        <v>2865</v>
      </c>
    </row>
    <row r="2164" spans="1:29" x14ac:dyDescent="0.25">
      <c r="A2164" s="26">
        <v>403</v>
      </c>
      <c r="B2164" s="19" t="s">
        <v>2855</v>
      </c>
      <c r="C2164" s="44" t="s">
        <v>273</v>
      </c>
      <c r="D2164" s="19" t="s">
        <v>2266</v>
      </c>
      <c r="E2164" s="19">
        <v>16</v>
      </c>
      <c r="F2164" s="19">
        <v>190</v>
      </c>
      <c r="G2164" s="19">
        <v>251</v>
      </c>
      <c r="H2164" s="19">
        <v>2</v>
      </c>
      <c r="I2164" s="80">
        <v>5.96</v>
      </c>
      <c r="J2164" s="80">
        <v>11.93</v>
      </c>
      <c r="K2164" s="19" t="s">
        <v>1000</v>
      </c>
      <c r="L2164" s="19" t="s">
        <v>2864</v>
      </c>
      <c r="Q2164" s="20">
        <v>24</v>
      </c>
      <c r="R2164" s="65" t="s">
        <v>2010</v>
      </c>
      <c r="T2164" s="19" t="s">
        <v>307</v>
      </c>
      <c r="V2164" s="19" t="s">
        <v>178</v>
      </c>
      <c r="W2164" s="19" t="s">
        <v>138</v>
      </c>
      <c r="Z2164" s="44" t="s">
        <v>2449</v>
      </c>
      <c r="AA2164" s="44" t="s">
        <v>180</v>
      </c>
      <c r="AC2164" s="19" t="s">
        <v>2865</v>
      </c>
    </row>
    <row r="2165" spans="1:29" x14ac:dyDescent="0.25">
      <c r="A2165" s="26">
        <v>404</v>
      </c>
      <c r="B2165" s="19" t="s">
        <v>2867</v>
      </c>
      <c r="C2165" s="44" t="s">
        <v>273</v>
      </c>
      <c r="D2165" s="19" t="s">
        <v>2266</v>
      </c>
      <c r="E2165" s="19">
        <v>16</v>
      </c>
      <c r="F2165" s="19">
        <v>190</v>
      </c>
      <c r="G2165" s="19">
        <v>251</v>
      </c>
      <c r="H2165" s="19">
        <v>10</v>
      </c>
      <c r="I2165" s="80">
        <v>5.96</v>
      </c>
      <c r="J2165" s="80">
        <v>59.65</v>
      </c>
      <c r="K2165" s="19" t="s">
        <v>1000</v>
      </c>
      <c r="L2165" s="19" t="s">
        <v>2864</v>
      </c>
      <c r="Q2165" s="20">
        <v>24</v>
      </c>
      <c r="R2165" s="65" t="s">
        <v>2010</v>
      </c>
      <c r="T2165" s="19" t="s">
        <v>307</v>
      </c>
      <c r="V2165" s="19" t="s">
        <v>178</v>
      </c>
      <c r="W2165" s="19" t="s">
        <v>138</v>
      </c>
      <c r="Z2165" s="44" t="s">
        <v>2449</v>
      </c>
      <c r="AA2165" s="44" t="s">
        <v>180</v>
      </c>
      <c r="AC2165" s="19" t="s">
        <v>2865</v>
      </c>
    </row>
    <row r="2166" spans="1:29" x14ac:dyDescent="0.25">
      <c r="A2166" s="26">
        <v>405</v>
      </c>
      <c r="B2166" s="19" t="s">
        <v>2861</v>
      </c>
      <c r="C2166" s="44" t="s">
        <v>273</v>
      </c>
      <c r="D2166" s="19" t="s">
        <v>1338</v>
      </c>
      <c r="E2166" s="19">
        <v>16</v>
      </c>
      <c r="F2166" s="19">
        <v>210</v>
      </c>
      <c r="G2166" s="19">
        <v>651</v>
      </c>
      <c r="H2166" s="19">
        <v>1</v>
      </c>
      <c r="I2166" s="80">
        <v>17.149999999999999</v>
      </c>
      <c r="J2166" s="80">
        <v>17.149999999999999</v>
      </c>
      <c r="K2166" s="19" t="s">
        <v>1000</v>
      </c>
      <c r="L2166" s="19" t="s">
        <v>2864</v>
      </c>
      <c r="Q2166" s="20">
        <v>24</v>
      </c>
      <c r="R2166" s="65" t="s">
        <v>2010</v>
      </c>
      <c r="T2166" s="19" t="s">
        <v>307</v>
      </c>
      <c r="V2166" s="19" t="s">
        <v>178</v>
      </c>
      <c r="W2166" s="19" t="s">
        <v>138</v>
      </c>
      <c r="Z2166" s="44" t="s">
        <v>2449</v>
      </c>
      <c r="AA2166" s="44" t="s">
        <v>180</v>
      </c>
      <c r="AC2166" s="19" t="s">
        <v>2865</v>
      </c>
    </row>
    <row r="2167" spans="1:29" x14ac:dyDescent="0.25">
      <c r="A2167" s="26">
        <v>406</v>
      </c>
      <c r="B2167" s="19" t="s">
        <v>2868</v>
      </c>
      <c r="C2167" s="44" t="s">
        <v>273</v>
      </c>
      <c r="D2167" s="19" t="s">
        <v>2266</v>
      </c>
      <c r="E2167" s="19">
        <v>16</v>
      </c>
      <c r="F2167" s="19">
        <v>190</v>
      </c>
      <c r="G2167" s="19">
        <v>251</v>
      </c>
      <c r="H2167" s="19">
        <v>10</v>
      </c>
      <c r="I2167" s="80">
        <v>5.96</v>
      </c>
      <c r="J2167" s="80">
        <v>59.65</v>
      </c>
      <c r="K2167" s="19" t="s">
        <v>1000</v>
      </c>
      <c r="L2167" s="19" t="s">
        <v>2864</v>
      </c>
      <c r="Q2167" s="20">
        <v>24</v>
      </c>
      <c r="R2167" s="65" t="s">
        <v>2010</v>
      </c>
      <c r="T2167" s="19" t="s">
        <v>307</v>
      </c>
      <c r="V2167" s="19" t="s">
        <v>178</v>
      </c>
      <c r="W2167" s="19" t="s">
        <v>138</v>
      </c>
      <c r="Z2167" s="44" t="s">
        <v>2449</v>
      </c>
      <c r="AA2167" s="44" t="s">
        <v>180</v>
      </c>
      <c r="AC2167" s="19" t="s">
        <v>2865</v>
      </c>
    </row>
    <row r="2168" spans="1:29" x14ac:dyDescent="0.25">
      <c r="A2168" s="26">
        <v>407</v>
      </c>
      <c r="B2168" s="19" t="s">
        <v>2869</v>
      </c>
      <c r="C2168" s="44" t="s">
        <v>273</v>
      </c>
      <c r="D2168" s="19" t="s">
        <v>1338</v>
      </c>
      <c r="E2168" s="19">
        <v>16</v>
      </c>
      <c r="F2168" s="19">
        <v>210</v>
      </c>
      <c r="G2168" s="19">
        <v>651</v>
      </c>
      <c r="H2168" s="19">
        <v>10</v>
      </c>
      <c r="I2168" s="80">
        <v>17.149999999999999</v>
      </c>
      <c r="J2168" s="80">
        <v>171.53</v>
      </c>
      <c r="K2168" s="19" t="s">
        <v>1000</v>
      </c>
      <c r="L2168" s="19" t="s">
        <v>2864</v>
      </c>
      <c r="Q2168" s="20">
        <v>24</v>
      </c>
      <c r="R2168" s="65" t="s">
        <v>2010</v>
      </c>
      <c r="T2168" s="19" t="s">
        <v>307</v>
      </c>
      <c r="V2168" s="19" t="s">
        <v>178</v>
      </c>
      <c r="W2168" s="19" t="s">
        <v>138</v>
      </c>
      <c r="Z2168" s="44" t="s">
        <v>2449</v>
      </c>
      <c r="AA2168" s="44" t="s">
        <v>180</v>
      </c>
      <c r="AC2168" s="19" t="s">
        <v>2865</v>
      </c>
    </row>
    <row r="2169" spans="1:29" x14ac:dyDescent="0.25">
      <c r="A2169" s="26">
        <v>408</v>
      </c>
      <c r="B2169" s="19" t="s">
        <v>2870</v>
      </c>
      <c r="C2169" s="44" t="s">
        <v>273</v>
      </c>
      <c r="D2169" s="19" t="s">
        <v>1050</v>
      </c>
      <c r="E2169" s="19">
        <v>20</v>
      </c>
      <c r="F2169" s="19">
        <v>300</v>
      </c>
      <c r="G2169" s="19">
        <v>1383</v>
      </c>
      <c r="H2169" s="19">
        <v>1</v>
      </c>
      <c r="I2169" s="80">
        <v>65.14</v>
      </c>
      <c r="J2169" s="80">
        <v>65.14</v>
      </c>
      <c r="K2169" s="19" t="s">
        <v>2871</v>
      </c>
      <c r="L2169" s="19" t="s">
        <v>2872</v>
      </c>
      <c r="P2169" s="19" t="s">
        <v>138</v>
      </c>
      <c r="Q2169" s="20">
        <v>24</v>
      </c>
      <c r="R2169" s="65" t="s">
        <v>2010</v>
      </c>
      <c r="T2169" s="19" t="s">
        <v>307</v>
      </c>
      <c r="V2169" s="19" t="s">
        <v>178</v>
      </c>
      <c r="Y2169" s="19" t="s">
        <v>138</v>
      </c>
      <c r="Z2169" s="44" t="s">
        <v>2449</v>
      </c>
      <c r="AA2169" s="44" t="s">
        <v>2873</v>
      </c>
      <c r="AC2169" s="19" t="s">
        <v>2874</v>
      </c>
    </row>
    <row r="2170" spans="1:29" x14ac:dyDescent="0.25">
      <c r="A2170" s="26">
        <v>409</v>
      </c>
      <c r="B2170" s="19" t="s">
        <v>2875</v>
      </c>
      <c r="C2170" s="44" t="s">
        <v>273</v>
      </c>
      <c r="D2170" s="19" t="s">
        <v>1050</v>
      </c>
      <c r="E2170" s="19">
        <v>20</v>
      </c>
      <c r="F2170" s="19">
        <v>300</v>
      </c>
      <c r="G2170" s="19">
        <v>1383</v>
      </c>
      <c r="H2170" s="19">
        <v>1</v>
      </c>
      <c r="I2170" s="80">
        <v>65.14</v>
      </c>
      <c r="J2170" s="80">
        <v>65.14</v>
      </c>
      <c r="K2170" s="19" t="s">
        <v>2871</v>
      </c>
      <c r="L2170" s="19" t="s">
        <v>2872</v>
      </c>
      <c r="P2170" s="19" t="s">
        <v>138</v>
      </c>
      <c r="Q2170" s="20">
        <v>24</v>
      </c>
      <c r="R2170" s="65" t="s">
        <v>2010</v>
      </c>
      <c r="T2170" s="19" t="s">
        <v>307</v>
      </c>
      <c r="V2170" s="19" t="s">
        <v>178</v>
      </c>
      <c r="Y2170" s="19" t="s">
        <v>138</v>
      </c>
      <c r="Z2170" s="44" t="s">
        <v>2449</v>
      </c>
      <c r="AA2170" s="44" t="s">
        <v>2873</v>
      </c>
      <c r="AC2170" s="19" t="s">
        <v>2874</v>
      </c>
    </row>
    <row r="2171" spans="1:29" x14ac:dyDescent="0.25">
      <c r="A2171" s="26">
        <v>410</v>
      </c>
      <c r="B2171" s="19" t="s">
        <v>2876</v>
      </c>
      <c r="C2171" s="44" t="s">
        <v>273</v>
      </c>
      <c r="D2171" s="19" t="s">
        <v>1050</v>
      </c>
      <c r="E2171" s="19">
        <v>20</v>
      </c>
      <c r="F2171" s="19">
        <v>300</v>
      </c>
      <c r="G2171" s="19">
        <v>1383</v>
      </c>
      <c r="H2171" s="19">
        <v>1</v>
      </c>
      <c r="I2171" s="80">
        <v>65.14</v>
      </c>
      <c r="J2171" s="80">
        <v>65.14</v>
      </c>
      <c r="K2171" s="19" t="s">
        <v>2871</v>
      </c>
      <c r="L2171" s="19" t="s">
        <v>2872</v>
      </c>
      <c r="P2171" s="19" t="s">
        <v>138</v>
      </c>
      <c r="Q2171" s="20">
        <v>24</v>
      </c>
      <c r="R2171" s="65" t="s">
        <v>2010</v>
      </c>
      <c r="T2171" s="19" t="s">
        <v>307</v>
      </c>
      <c r="V2171" s="19" t="s">
        <v>178</v>
      </c>
      <c r="Y2171" s="19" t="s">
        <v>138</v>
      </c>
      <c r="Z2171" s="44" t="s">
        <v>2449</v>
      </c>
      <c r="AA2171" s="44" t="s">
        <v>2873</v>
      </c>
      <c r="AC2171" s="19" t="s">
        <v>2874</v>
      </c>
    </row>
    <row r="2172" spans="1:29" x14ac:dyDescent="0.25">
      <c r="A2172" s="26">
        <v>411</v>
      </c>
      <c r="B2172" s="19" t="s">
        <v>2877</v>
      </c>
      <c r="C2172" s="44" t="s">
        <v>273</v>
      </c>
      <c r="D2172" s="19" t="s">
        <v>1050</v>
      </c>
      <c r="E2172" s="19">
        <v>20</v>
      </c>
      <c r="F2172" s="19">
        <v>300</v>
      </c>
      <c r="G2172" s="19">
        <v>1383</v>
      </c>
      <c r="H2172" s="19">
        <v>1</v>
      </c>
      <c r="I2172" s="80">
        <v>65.14</v>
      </c>
      <c r="J2172" s="80">
        <v>65.14</v>
      </c>
      <c r="K2172" s="19" t="s">
        <v>2871</v>
      </c>
      <c r="L2172" s="19" t="s">
        <v>2872</v>
      </c>
      <c r="P2172" s="19" t="s">
        <v>138</v>
      </c>
      <c r="Q2172" s="20">
        <v>24</v>
      </c>
      <c r="R2172" s="65" t="s">
        <v>2010</v>
      </c>
      <c r="T2172" s="19" t="s">
        <v>307</v>
      </c>
      <c r="V2172" s="19" t="s">
        <v>178</v>
      </c>
      <c r="Y2172" s="19" t="s">
        <v>138</v>
      </c>
      <c r="Z2172" s="44" t="s">
        <v>2449</v>
      </c>
      <c r="AA2172" s="44" t="s">
        <v>2873</v>
      </c>
      <c r="AC2172" s="19" t="s">
        <v>2874</v>
      </c>
    </row>
    <row r="2173" spans="1:29" x14ac:dyDescent="0.25">
      <c r="A2173" s="26">
        <v>412</v>
      </c>
      <c r="B2173" s="19" t="s">
        <v>2878</v>
      </c>
      <c r="C2173" s="44" t="s">
        <v>273</v>
      </c>
      <c r="D2173" s="19" t="s">
        <v>1050</v>
      </c>
      <c r="E2173" s="19">
        <v>20</v>
      </c>
      <c r="F2173" s="19">
        <v>300</v>
      </c>
      <c r="G2173" s="19">
        <v>1383</v>
      </c>
      <c r="H2173" s="19">
        <v>1</v>
      </c>
      <c r="I2173" s="80">
        <v>65.14</v>
      </c>
      <c r="J2173" s="80">
        <v>65.14</v>
      </c>
      <c r="K2173" s="19" t="s">
        <v>2871</v>
      </c>
      <c r="L2173" s="19" t="s">
        <v>2872</v>
      </c>
      <c r="P2173" s="19" t="s">
        <v>138</v>
      </c>
      <c r="Q2173" s="20">
        <v>24</v>
      </c>
      <c r="R2173" s="65" t="s">
        <v>2010</v>
      </c>
      <c r="T2173" s="19" t="s">
        <v>307</v>
      </c>
      <c r="V2173" s="19" t="s">
        <v>178</v>
      </c>
      <c r="Y2173" s="19" t="s">
        <v>138</v>
      </c>
      <c r="Z2173" s="44" t="s">
        <v>2449</v>
      </c>
      <c r="AA2173" s="44" t="s">
        <v>2873</v>
      </c>
      <c r="AC2173" s="19" t="s">
        <v>2874</v>
      </c>
    </row>
    <row r="2174" spans="1:29" x14ac:dyDescent="0.25">
      <c r="A2174" s="26">
        <v>413</v>
      </c>
      <c r="B2174" s="19" t="s">
        <v>2879</v>
      </c>
      <c r="C2174" s="44" t="s">
        <v>273</v>
      </c>
      <c r="D2174" s="19" t="s">
        <v>1050</v>
      </c>
      <c r="E2174" s="19">
        <v>20</v>
      </c>
      <c r="F2174" s="19">
        <v>300</v>
      </c>
      <c r="G2174" s="19">
        <v>1383</v>
      </c>
      <c r="H2174" s="19">
        <v>1</v>
      </c>
      <c r="I2174" s="80">
        <v>65.14</v>
      </c>
      <c r="J2174" s="80">
        <v>65.14</v>
      </c>
      <c r="K2174" s="19" t="s">
        <v>2871</v>
      </c>
      <c r="L2174" s="19" t="s">
        <v>2872</v>
      </c>
      <c r="P2174" s="19" t="s">
        <v>138</v>
      </c>
      <c r="Q2174" s="20">
        <v>24</v>
      </c>
      <c r="R2174" s="65" t="s">
        <v>2010</v>
      </c>
      <c r="T2174" s="19" t="s">
        <v>307</v>
      </c>
      <c r="V2174" s="19" t="s">
        <v>178</v>
      </c>
      <c r="Y2174" s="19" t="s">
        <v>138</v>
      </c>
      <c r="Z2174" s="44" t="s">
        <v>2449</v>
      </c>
      <c r="AA2174" s="44" t="s">
        <v>2873</v>
      </c>
      <c r="AC2174" s="19" t="s">
        <v>2874</v>
      </c>
    </row>
    <row r="2175" spans="1:29" x14ac:dyDescent="0.25">
      <c r="A2175" s="26">
        <v>414</v>
      </c>
      <c r="B2175" s="19" t="s">
        <v>2880</v>
      </c>
      <c r="C2175" s="44" t="s">
        <v>273</v>
      </c>
      <c r="D2175" s="19" t="s">
        <v>1050</v>
      </c>
      <c r="E2175" s="19">
        <v>20</v>
      </c>
      <c r="F2175" s="19">
        <v>300</v>
      </c>
      <c r="G2175" s="19">
        <v>1383</v>
      </c>
      <c r="H2175" s="19">
        <v>1</v>
      </c>
      <c r="I2175" s="80">
        <v>65.14</v>
      </c>
      <c r="J2175" s="80">
        <v>65.14</v>
      </c>
      <c r="K2175" s="19" t="s">
        <v>2871</v>
      </c>
      <c r="L2175" s="19" t="s">
        <v>2872</v>
      </c>
      <c r="P2175" s="19" t="s">
        <v>138</v>
      </c>
      <c r="Q2175" s="20">
        <v>24</v>
      </c>
      <c r="R2175" s="65" t="s">
        <v>2010</v>
      </c>
      <c r="T2175" s="19" t="s">
        <v>307</v>
      </c>
      <c r="V2175" s="19" t="s">
        <v>178</v>
      </c>
      <c r="Y2175" s="19" t="s">
        <v>138</v>
      </c>
      <c r="Z2175" s="44" t="s">
        <v>2449</v>
      </c>
      <c r="AA2175" s="44" t="s">
        <v>2873</v>
      </c>
      <c r="AC2175" s="19" t="s">
        <v>2874</v>
      </c>
    </row>
    <row r="2176" spans="1:29" x14ac:dyDescent="0.25">
      <c r="A2176" s="26">
        <v>415</v>
      </c>
      <c r="B2176" s="19" t="s">
        <v>2881</v>
      </c>
      <c r="C2176" s="44" t="s">
        <v>273</v>
      </c>
      <c r="D2176" s="19" t="s">
        <v>1050</v>
      </c>
      <c r="E2176" s="19">
        <v>20</v>
      </c>
      <c r="F2176" s="19">
        <v>300</v>
      </c>
      <c r="G2176" s="19">
        <v>1383</v>
      </c>
      <c r="H2176" s="19">
        <v>1</v>
      </c>
      <c r="I2176" s="80">
        <v>65.14</v>
      </c>
      <c r="J2176" s="80">
        <v>65.14</v>
      </c>
      <c r="K2176" s="19" t="s">
        <v>2871</v>
      </c>
      <c r="L2176" s="19" t="s">
        <v>2872</v>
      </c>
      <c r="P2176" s="19" t="s">
        <v>138</v>
      </c>
      <c r="Q2176" s="20">
        <v>24</v>
      </c>
      <c r="R2176" s="65" t="s">
        <v>2010</v>
      </c>
      <c r="T2176" s="19" t="s">
        <v>307</v>
      </c>
      <c r="V2176" s="19" t="s">
        <v>178</v>
      </c>
      <c r="Y2176" s="19" t="s">
        <v>138</v>
      </c>
      <c r="Z2176" s="44" t="s">
        <v>2449</v>
      </c>
      <c r="AA2176" s="44" t="s">
        <v>2873</v>
      </c>
      <c r="AC2176" s="19" t="s">
        <v>2874</v>
      </c>
    </row>
    <row r="2177" spans="1:29" x14ac:dyDescent="0.25">
      <c r="A2177" s="26">
        <v>416</v>
      </c>
      <c r="B2177" s="19" t="s">
        <v>2882</v>
      </c>
      <c r="C2177" s="44" t="s">
        <v>273</v>
      </c>
      <c r="D2177" s="19" t="s">
        <v>1022</v>
      </c>
      <c r="E2177" s="19">
        <v>20</v>
      </c>
      <c r="F2177" s="19">
        <v>300</v>
      </c>
      <c r="G2177" s="19">
        <v>1096</v>
      </c>
      <c r="H2177" s="19">
        <v>2</v>
      </c>
      <c r="I2177" s="80">
        <v>51.62</v>
      </c>
      <c r="J2177" s="80">
        <v>103.24</v>
      </c>
      <c r="K2177" s="19" t="s">
        <v>2871</v>
      </c>
      <c r="L2177" s="19" t="s">
        <v>2872</v>
      </c>
      <c r="P2177" s="19" t="s">
        <v>138</v>
      </c>
      <c r="Q2177" s="20">
        <v>24</v>
      </c>
      <c r="R2177" s="65" t="s">
        <v>2010</v>
      </c>
      <c r="T2177" s="19" t="s">
        <v>307</v>
      </c>
      <c r="V2177" s="19" t="s">
        <v>178</v>
      </c>
      <c r="Y2177" s="19" t="s">
        <v>138</v>
      </c>
      <c r="Z2177" s="44" t="s">
        <v>2449</v>
      </c>
      <c r="AA2177" s="44" t="s">
        <v>2873</v>
      </c>
      <c r="AC2177" s="19" t="s">
        <v>2874</v>
      </c>
    </row>
    <row r="2178" spans="1:29" x14ac:dyDescent="0.25">
      <c r="A2178" s="26">
        <v>417</v>
      </c>
      <c r="B2178" s="19" t="s">
        <v>2883</v>
      </c>
      <c r="C2178" s="44" t="s">
        <v>273</v>
      </c>
      <c r="D2178" s="19" t="s">
        <v>1022</v>
      </c>
      <c r="E2178" s="19">
        <v>20</v>
      </c>
      <c r="F2178" s="19">
        <v>300</v>
      </c>
      <c r="G2178" s="19">
        <v>1096</v>
      </c>
      <c r="H2178" s="19">
        <v>2</v>
      </c>
      <c r="I2178" s="80">
        <v>51.62</v>
      </c>
      <c r="J2178" s="80">
        <v>103.24</v>
      </c>
      <c r="K2178" s="19" t="s">
        <v>2871</v>
      </c>
      <c r="L2178" s="19" t="s">
        <v>2872</v>
      </c>
      <c r="P2178" s="19" t="s">
        <v>138</v>
      </c>
      <c r="Q2178" s="20">
        <v>24</v>
      </c>
      <c r="R2178" s="65" t="s">
        <v>2010</v>
      </c>
      <c r="T2178" s="19" t="s">
        <v>307</v>
      </c>
      <c r="V2178" s="19" t="s">
        <v>178</v>
      </c>
      <c r="Y2178" s="19" t="s">
        <v>138</v>
      </c>
      <c r="Z2178" s="44" t="s">
        <v>2449</v>
      </c>
      <c r="AA2178" s="44" t="s">
        <v>2873</v>
      </c>
      <c r="AC2178" s="19" t="s">
        <v>2874</v>
      </c>
    </row>
    <row r="2179" spans="1:29" x14ac:dyDescent="0.25">
      <c r="A2179" s="26">
        <v>418</v>
      </c>
      <c r="B2179" s="19" t="s">
        <v>2884</v>
      </c>
      <c r="C2179" s="44" t="s">
        <v>273</v>
      </c>
      <c r="D2179" s="19" t="s">
        <v>1050</v>
      </c>
      <c r="E2179" s="19">
        <v>20</v>
      </c>
      <c r="F2179" s="19">
        <v>300</v>
      </c>
      <c r="G2179" s="19">
        <v>1383</v>
      </c>
      <c r="H2179" s="19">
        <v>1</v>
      </c>
      <c r="I2179" s="80">
        <v>65.14</v>
      </c>
      <c r="J2179" s="80">
        <v>65.14</v>
      </c>
      <c r="K2179" s="19" t="s">
        <v>2871</v>
      </c>
      <c r="L2179" s="19" t="s">
        <v>2872</v>
      </c>
      <c r="P2179" s="19" t="s">
        <v>138</v>
      </c>
      <c r="Q2179" s="20">
        <v>24</v>
      </c>
      <c r="R2179" s="65" t="s">
        <v>2010</v>
      </c>
      <c r="T2179" s="19" t="s">
        <v>307</v>
      </c>
      <c r="V2179" s="19" t="s">
        <v>178</v>
      </c>
      <c r="Y2179" s="19" t="s">
        <v>138</v>
      </c>
      <c r="Z2179" s="44" t="s">
        <v>2449</v>
      </c>
      <c r="AA2179" s="44" t="s">
        <v>2873</v>
      </c>
      <c r="AC2179" s="19" t="s">
        <v>2874</v>
      </c>
    </row>
    <row r="2180" spans="1:29" x14ac:dyDescent="0.25">
      <c r="A2180" s="26">
        <v>419</v>
      </c>
      <c r="B2180" s="19" t="s">
        <v>2885</v>
      </c>
      <c r="C2180" s="44" t="s">
        <v>273</v>
      </c>
      <c r="D2180" s="19" t="s">
        <v>1050</v>
      </c>
      <c r="E2180" s="19">
        <v>20</v>
      </c>
      <c r="F2180" s="19">
        <v>300</v>
      </c>
      <c r="G2180" s="19">
        <v>1383</v>
      </c>
      <c r="H2180" s="19">
        <v>1</v>
      </c>
      <c r="I2180" s="80">
        <v>65.14</v>
      </c>
      <c r="J2180" s="80">
        <v>65.14</v>
      </c>
      <c r="K2180" s="19" t="s">
        <v>2871</v>
      </c>
      <c r="L2180" s="19" t="s">
        <v>2872</v>
      </c>
      <c r="P2180" s="19" t="s">
        <v>138</v>
      </c>
      <c r="Q2180" s="20">
        <v>24</v>
      </c>
      <c r="R2180" s="65" t="s">
        <v>2010</v>
      </c>
      <c r="T2180" s="19" t="s">
        <v>307</v>
      </c>
      <c r="V2180" s="19" t="s">
        <v>178</v>
      </c>
      <c r="Y2180" s="19" t="s">
        <v>138</v>
      </c>
      <c r="Z2180" s="44" t="s">
        <v>2449</v>
      </c>
      <c r="AA2180" s="44" t="s">
        <v>2873</v>
      </c>
      <c r="AC2180" s="19" t="s">
        <v>2874</v>
      </c>
    </row>
    <row r="2181" spans="1:29" x14ac:dyDescent="0.25">
      <c r="A2181" s="26">
        <v>420</v>
      </c>
      <c r="B2181" s="19" t="s">
        <v>2886</v>
      </c>
      <c r="C2181" s="44" t="s">
        <v>273</v>
      </c>
      <c r="D2181" s="19" t="s">
        <v>1050</v>
      </c>
      <c r="E2181" s="19">
        <v>20</v>
      </c>
      <c r="F2181" s="19">
        <v>300</v>
      </c>
      <c r="G2181" s="19">
        <v>1383</v>
      </c>
      <c r="H2181" s="19">
        <v>1</v>
      </c>
      <c r="I2181" s="80">
        <v>65.14</v>
      </c>
      <c r="J2181" s="80">
        <v>65.14</v>
      </c>
      <c r="K2181" s="19" t="s">
        <v>2871</v>
      </c>
      <c r="L2181" s="19" t="s">
        <v>2872</v>
      </c>
      <c r="P2181" s="19" t="s">
        <v>138</v>
      </c>
      <c r="Q2181" s="20">
        <v>24</v>
      </c>
      <c r="R2181" s="65" t="s">
        <v>2010</v>
      </c>
      <c r="T2181" s="19" t="s">
        <v>307</v>
      </c>
      <c r="V2181" s="19" t="s">
        <v>178</v>
      </c>
      <c r="Y2181" s="19" t="s">
        <v>138</v>
      </c>
      <c r="Z2181" s="44" t="s">
        <v>2449</v>
      </c>
      <c r="AA2181" s="44" t="s">
        <v>2873</v>
      </c>
      <c r="AC2181" s="19" t="s">
        <v>2874</v>
      </c>
    </row>
    <row r="2182" spans="1:29" x14ac:dyDescent="0.25">
      <c r="A2182" s="26">
        <v>421</v>
      </c>
      <c r="B2182" s="19" t="s">
        <v>2887</v>
      </c>
      <c r="C2182" s="44" t="s">
        <v>273</v>
      </c>
      <c r="D2182" s="19" t="s">
        <v>1050</v>
      </c>
      <c r="E2182" s="19">
        <v>20</v>
      </c>
      <c r="F2182" s="19">
        <v>300</v>
      </c>
      <c r="G2182" s="19">
        <v>1383</v>
      </c>
      <c r="H2182" s="19">
        <v>1</v>
      </c>
      <c r="I2182" s="80">
        <v>65.14</v>
      </c>
      <c r="J2182" s="80">
        <v>65.14</v>
      </c>
      <c r="K2182" s="19" t="s">
        <v>2871</v>
      </c>
      <c r="L2182" s="19" t="s">
        <v>2872</v>
      </c>
      <c r="P2182" s="19" t="s">
        <v>138</v>
      </c>
      <c r="Q2182" s="20">
        <v>24</v>
      </c>
      <c r="R2182" s="65" t="s">
        <v>2010</v>
      </c>
      <c r="T2182" s="19" t="s">
        <v>307</v>
      </c>
      <c r="V2182" s="19" t="s">
        <v>178</v>
      </c>
      <c r="Y2182" s="19" t="s">
        <v>138</v>
      </c>
      <c r="Z2182" s="44" t="s">
        <v>2449</v>
      </c>
      <c r="AA2182" s="44" t="s">
        <v>2873</v>
      </c>
      <c r="AC2182" s="19" t="s">
        <v>2874</v>
      </c>
    </row>
    <row r="2183" spans="1:29" x14ac:dyDescent="0.25">
      <c r="A2183" s="26">
        <v>422</v>
      </c>
      <c r="B2183" s="19" t="s">
        <v>2888</v>
      </c>
      <c r="C2183" s="44" t="s">
        <v>273</v>
      </c>
      <c r="D2183" s="19" t="s">
        <v>1050</v>
      </c>
      <c r="E2183" s="19">
        <v>20</v>
      </c>
      <c r="F2183" s="19">
        <v>300</v>
      </c>
      <c r="G2183" s="19">
        <v>1383</v>
      </c>
      <c r="H2183" s="19">
        <v>1</v>
      </c>
      <c r="I2183" s="80">
        <v>65.14</v>
      </c>
      <c r="J2183" s="80">
        <v>65.14</v>
      </c>
      <c r="K2183" s="19" t="s">
        <v>2871</v>
      </c>
      <c r="L2183" s="19" t="s">
        <v>2872</v>
      </c>
      <c r="P2183" s="19" t="s">
        <v>138</v>
      </c>
      <c r="Q2183" s="20">
        <v>24</v>
      </c>
      <c r="R2183" s="65" t="s">
        <v>2010</v>
      </c>
      <c r="T2183" s="19" t="s">
        <v>307</v>
      </c>
      <c r="V2183" s="19" t="s">
        <v>178</v>
      </c>
      <c r="Y2183" s="19" t="s">
        <v>138</v>
      </c>
      <c r="Z2183" s="44" t="s">
        <v>2449</v>
      </c>
      <c r="AA2183" s="44" t="s">
        <v>2873</v>
      </c>
      <c r="AC2183" s="19" t="s">
        <v>2874</v>
      </c>
    </row>
    <row r="2184" spans="1:29" x14ac:dyDescent="0.25">
      <c r="A2184" s="26">
        <v>423</v>
      </c>
      <c r="B2184" s="19" t="s">
        <v>2889</v>
      </c>
      <c r="C2184" s="44" t="s">
        <v>273</v>
      </c>
      <c r="D2184" s="19" t="s">
        <v>1022</v>
      </c>
      <c r="E2184" s="19">
        <v>20</v>
      </c>
      <c r="F2184" s="19">
        <v>300</v>
      </c>
      <c r="G2184" s="19">
        <v>1096</v>
      </c>
      <c r="H2184" s="19">
        <v>2</v>
      </c>
      <c r="I2184" s="80">
        <v>51.62</v>
      </c>
      <c r="J2184" s="80">
        <v>103.24</v>
      </c>
      <c r="K2184" s="19" t="s">
        <v>2871</v>
      </c>
      <c r="L2184" s="19" t="s">
        <v>2872</v>
      </c>
      <c r="P2184" s="19" t="s">
        <v>138</v>
      </c>
      <c r="Q2184" s="20">
        <v>24</v>
      </c>
      <c r="R2184" s="65" t="s">
        <v>2010</v>
      </c>
      <c r="T2184" s="19" t="s">
        <v>307</v>
      </c>
      <c r="V2184" s="19" t="s">
        <v>178</v>
      </c>
      <c r="Y2184" s="19" t="s">
        <v>138</v>
      </c>
      <c r="Z2184" s="44" t="s">
        <v>2449</v>
      </c>
      <c r="AA2184" s="44" t="s">
        <v>2873</v>
      </c>
      <c r="AC2184" s="19" t="s">
        <v>2874</v>
      </c>
    </row>
    <row r="2185" spans="1:29" x14ac:dyDescent="0.25">
      <c r="A2185" s="26">
        <v>424</v>
      </c>
      <c r="B2185" s="19" t="s">
        <v>2890</v>
      </c>
      <c r="C2185" s="44" t="s">
        <v>273</v>
      </c>
      <c r="D2185" s="19" t="s">
        <v>1050</v>
      </c>
      <c r="E2185" s="19">
        <v>20</v>
      </c>
      <c r="F2185" s="19">
        <v>300</v>
      </c>
      <c r="G2185" s="19">
        <v>1383</v>
      </c>
      <c r="H2185" s="19">
        <v>1</v>
      </c>
      <c r="I2185" s="80">
        <v>65.14</v>
      </c>
      <c r="J2185" s="80">
        <v>65.14</v>
      </c>
      <c r="K2185" s="19" t="s">
        <v>2871</v>
      </c>
      <c r="L2185" s="19" t="s">
        <v>2872</v>
      </c>
      <c r="P2185" s="19" t="s">
        <v>138</v>
      </c>
      <c r="Q2185" s="20">
        <v>24</v>
      </c>
      <c r="R2185" s="65" t="s">
        <v>2010</v>
      </c>
      <c r="T2185" s="19" t="s">
        <v>307</v>
      </c>
      <c r="V2185" s="19" t="s">
        <v>178</v>
      </c>
      <c r="Y2185" s="19" t="s">
        <v>138</v>
      </c>
      <c r="Z2185" s="44" t="s">
        <v>2449</v>
      </c>
      <c r="AA2185" s="44" t="s">
        <v>2873</v>
      </c>
      <c r="AC2185" s="19" t="s">
        <v>2874</v>
      </c>
    </row>
    <row r="2186" spans="1:29" x14ac:dyDescent="0.25">
      <c r="A2186" s="26">
        <v>425</v>
      </c>
      <c r="B2186" s="19" t="s">
        <v>2891</v>
      </c>
      <c r="C2186" s="44" t="s">
        <v>273</v>
      </c>
      <c r="D2186" s="19" t="s">
        <v>1363</v>
      </c>
      <c r="E2186" s="19">
        <v>20</v>
      </c>
      <c r="F2186" s="19">
        <v>270</v>
      </c>
      <c r="G2186" s="19">
        <v>300</v>
      </c>
      <c r="H2186" s="19">
        <v>4</v>
      </c>
      <c r="I2186" s="80">
        <v>12.72</v>
      </c>
      <c r="J2186" s="80">
        <v>50.87</v>
      </c>
      <c r="K2186" s="19" t="s">
        <v>2892</v>
      </c>
      <c r="L2186" s="19" t="s">
        <v>2893</v>
      </c>
      <c r="Q2186" s="20">
        <v>24</v>
      </c>
      <c r="R2186" s="65" t="s">
        <v>2010</v>
      </c>
      <c r="T2186" s="19" t="s">
        <v>307</v>
      </c>
      <c r="V2186" s="19" t="s">
        <v>178</v>
      </c>
      <c r="W2186" s="19" t="s">
        <v>138</v>
      </c>
      <c r="Z2186" s="44" t="s">
        <v>2449</v>
      </c>
      <c r="AA2186" s="44" t="s">
        <v>2894</v>
      </c>
      <c r="AC2186" s="19" t="s">
        <v>2895</v>
      </c>
    </row>
    <row r="2187" spans="1:29" x14ac:dyDescent="0.25">
      <c r="A2187" s="26">
        <v>426</v>
      </c>
      <c r="B2187" s="19" t="s">
        <v>2896</v>
      </c>
      <c r="C2187" s="44" t="s">
        <v>273</v>
      </c>
      <c r="D2187" s="19" t="s">
        <v>1370</v>
      </c>
      <c r="E2187" s="19">
        <v>20</v>
      </c>
      <c r="F2187" s="19">
        <v>300</v>
      </c>
      <c r="G2187" s="19">
        <v>480</v>
      </c>
      <c r="H2187" s="19">
        <v>4</v>
      </c>
      <c r="I2187" s="80">
        <v>22.61</v>
      </c>
      <c r="J2187" s="80">
        <v>90.43</v>
      </c>
      <c r="K2187" s="19" t="s">
        <v>2892</v>
      </c>
      <c r="L2187" s="19" t="s">
        <v>2893</v>
      </c>
      <c r="Q2187" s="20">
        <v>24</v>
      </c>
      <c r="R2187" s="65" t="s">
        <v>2010</v>
      </c>
      <c r="T2187" s="19" t="s">
        <v>307</v>
      </c>
      <c r="V2187" s="19" t="s">
        <v>178</v>
      </c>
      <c r="W2187" s="19" t="s">
        <v>138</v>
      </c>
      <c r="Z2187" s="44" t="s">
        <v>2449</v>
      </c>
      <c r="AA2187" s="44" t="s">
        <v>2894</v>
      </c>
      <c r="AC2187" s="19" t="s">
        <v>2895</v>
      </c>
    </row>
    <row r="2188" spans="1:29" x14ac:dyDescent="0.25">
      <c r="A2188" s="26">
        <v>427</v>
      </c>
      <c r="B2188" s="19" t="s">
        <v>2897</v>
      </c>
      <c r="C2188" s="44" t="s">
        <v>273</v>
      </c>
      <c r="D2188" s="19" t="s">
        <v>1022</v>
      </c>
      <c r="E2188" s="19">
        <v>20</v>
      </c>
      <c r="F2188" s="19">
        <v>300</v>
      </c>
      <c r="G2188" s="19">
        <v>1096</v>
      </c>
      <c r="H2188" s="19">
        <v>2</v>
      </c>
      <c r="I2188" s="80">
        <v>51.62</v>
      </c>
      <c r="J2188" s="80">
        <v>103.24</v>
      </c>
      <c r="K2188" s="19" t="s">
        <v>2892</v>
      </c>
      <c r="L2188" s="19" t="s">
        <v>2893</v>
      </c>
      <c r="P2188" s="19" t="s">
        <v>138</v>
      </c>
      <c r="Q2188" s="20">
        <v>24</v>
      </c>
      <c r="R2188" s="65" t="s">
        <v>2010</v>
      </c>
      <c r="T2188" s="19" t="s">
        <v>307</v>
      </c>
      <c r="V2188" s="19" t="s">
        <v>178</v>
      </c>
      <c r="Y2188" s="19" t="s">
        <v>138</v>
      </c>
      <c r="Z2188" s="44" t="s">
        <v>2449</v>
      </c>
      <c r="AA2188" s="44" t="s">
        <v>2894</v>
      </c>
      <c r="AC2188" s="19" t="s">
        <v>2895</v>
      </c>
    </row>
    <row r="2189" spans="1:29" x14ac:dyDescent="0.25">
      <c r="A2189" s="26">
        <v>428</v>
      </c>
      <c r="B2189" s="19" t="s">
        <v>2898</v>
      </c>
      <c r="C2189" s="44" t="s">
        <v>273</v>
      </c>
      <c r="D2189" s="19" t="s">
        <v>1022</v>
      </c>
      <c r="E2189" s="19">
        <v>20</v>
      </c>
      <c r="F2189" s="19">
        <v>300</v>
      </c>
      <c r="G2189" s="19">
        <v>1096</v>
      </c>
      <c r="H2189" s="19">
        <v>2</v>
      </c>
      <c r="I2189" s="80">
        <v>51.62</v>
      </c>
      <c r="J2189" s="80">
        <v>103.24</v>
      </c>
      <c r="K2189" s="19" t="s">
        <v>2892</v>
      </c>
      <c r="L2189" s="19" t="s">
        <v>2893</v>
      </c>
      <c r="P2189" s="19" t="s">
        <v>138</v>
      </c>
      <c r="Q2189" s="20">
        <v>24</v>
      </c>
      <c r="R2189" s="65" t="s">
        <v>2010</v>
      </c>
      <c r="T2189" s="19" t="s">
        <v>307</v>
      </c>
      <c r="V2189" s="19" t="s">
        <v>178</v>
      </c>
      <c r="Y2189" s="19" t="s">
        <v>138</v>
      </c>
      <c r="Z2189" s="44" t="s">
        <v>2449</v>
      </c>
      <c r="AA2189" s="44" t="s">
        <v>2894</v>
      </c>
      <c r="AC2189" s="19" t="s">
        <v>2895</v>
      </c>
    </row>
    <row r="2190" spans="1:29" x14ac:dyDescent="0.25">
      <c r="A2190" s="26">
        <v>429</v>
      </c>
      <c r="B2190" s="19" t="s">
        <v>2899</v>
      </c>
      <c r="C2190" s="44" t="s">
        <v>273</v>
      </c>
      <c r="D2190" s="19" t="s">
        <v>1363</v>
      </c>
      <c r="E2190" s="19">
        <v>20</v>
      </c>
      <c r="F2190" s="19">
        <v>270</v>
      </c>
      <c r="G2190" s="19">
        <v>300</v>
      </c>
      <c r="H2190" s="19">
        <v>1</v>
      </c>
      <c r="I2190" s="80">
        <v>12.72</v>
      </c>
      <c r="J2190" s="80">
        <v>12.72</v>
      </c>
      <c r="K2190" s="19" t="s">
        <v>2892</v>
      </c>
      <c r="L2190" s="19" t="s">
        <v>2893</v>
      </c>
      <c r="Q2190" s="20">
        <v>24</v>
      </c>
      <c r="R2190" s="65" t="s">
        <v>2010</v>
      </c>
      <c r="T2190" s="19" t="s">
        <v>307</v>
      </c>
      <c r="V2190" s="19" t="s">
        <v>178</v>
      </c>
      <c r="W2190" s="19" t="s">
        <v>138</v>
      </c>
      <c r="Z2190" s="44" t="s">
        <v>2449</v>
      </c>
      <c r="AA2190" s="44" t="s">
        <v>2894</v>
      </c>
      <c r="AC2190" s="19" t="s">
        <v>2895</v>
      </c>
    </row>
    <row r="2191" spans="1:29" x14ac:dyDescent="0.25">
      <c r="A2191" s="26">
        <v>430</v>
      </c>
      <c r="B2191" s="19" t="s">
        <v>2900</v>
      </c>
      <c r="C2191" s="44" t="s">
        <v>273</v>
      </c>
      <c r="D2191" s="19" t="s">
        <v>1022</v>
      </c>
      <c r="E2191" s="19">
        <v>20</v>
      </c>
      <c r="F2191" s="19">
        <v>300</v>
      </c>
      <c r="G2191" s="19">
        <v>1096</v>
      </c>
      <c r="H2191" s="19">
        <v>2</v>
      </c>
      <c r="I2191" s="80">
        <v>51.62</v>
      </c>
      <c r="J2191" s="80">
        <v>103.24</v>
      </c>
      <c r="K2191" s="19" t="s">
        <v>2892</v>
      </c>
      <c r="L2191" s="19" t="s">
        <v>2893</v>
      </c>
      <c r="P2191" s="19" t="s">
        <v>138</v>
      </c>
      <c r="Q2191" s="20">
        <v>24</v>
      </c>
      <c r="R2191" s="65" t="s">
        <v>2010</v>
      </c>
      <c r="T2191" s="19" t="s">
        <v>307</v>
      </c>
      <c r="V2191" s="19" t="s">
        <v>178</v>
      </c>
      <c r="Y2191" s="19" t="s">
        <v>138</v>
      </c>
      <c r="Z2191" s="44" t="s">
        <v>2449</v>
      </c>
      <c r="AA2191" s="44" t="s">
        <v>2894</v>
      </c>
      <c r="AC2191" s="19" t="s">
        <v>2895</v>
      </c>
    </row>
    <row r="2192" spans="1:29" x14ac:dyDescent="0.25">
      <c r="A2192" s="26">
        <v>431</v>
      </c>
      <c r="B2192" s="19" t="s">
        <v>2901</v>
      </c>
      <c r="C2192" s="44" t="s">
        <v>273</v>
      </c>
      <c r="D2192" s="19" t="s">
        <v>1018</v>
      </c>
      <c r="E2192" s="19">
        <v>20</v>
      </c>
      <c r="F2192" s="19">
        <v>1434</v>
      </c>
      <c r="G2192" s="19">
        <v>1436</v>
      </c>
      <c r="H2192" s="19">
        <v>1</v>
      </c>
      <c r="I2192" s="80">
        <v>317.74</v>
      </c>
      <c r="J2192" s="80">
        <v>317.74</v>
      </c>
      <c r="K2192" s="19" t="s">
        <v>1342</v>
      </c>
      <c r="L2192" s="19" t="s">
        <v>2902</v>
      </c>
      <c r="Q2192" s="20">
        <v>24</v>
      </c>
      <c r="R2192" s="65" t="s">
        <v>2010</v>
      </c>
      <c r="T2192" s="19" t="s">
        <v>307</v>
      </c>
      <c r="V2192" s="19" t="s">
        <v>178</v>
      </c>
      <c r="Y2192" s="19" t="s">
        <v>138</v>
      </c>
      <c r="Z2192" s="44" t="s">
        <v>2449</v>
      </c>
      <c r="AA2192" s="44" t="s">
        <v>2903</v>
      </c>
      <c r="AC2192" s="19" t="s">
        <v>2904</v>
      </c>
    </row>
    <row r="2193" spans="1:29" x14ac:dyDescent="0.25">
      <c r="A2193" s="26">
        <v>432</v>
      </c>
      <c r="B2193" s="19" t="s">
        <v>2905</v>
      </c>
      <c r="C2193" s="44" t="s">
        <v>273</v>
      </c>
      <c r="D2193" s="19" t="s">
        <v>1018</v>
      </c>
      <c r="E2193" s="19">
        <v>20</v>
      </c>
      <c r="F2193" s="19">
        <v>1434</v>
      </c>
      <c r="G2193" s="19">
        <v>1436</v>
      </c>
      <c r="H2193" s="19">
        <v>1</v>
      </c>
      <c r="I2193" s="80">
        <v>317.74</v>
      </c>
      <c r="J2193" s="80">
        <v>317.74</v>
      </c>
      <c r="K2193" s="19" t="s">
        <v>1342</v>
      </c>
      <c r="L2193" s="19" t="s">
        <v>2902</v>
      </c>
      <c r="Q2193" s="20">
        <v>24</v>
      </c>
      <c r="R2193" s="65" t="s">
        <v>2010</v>
      </c>
      <c r="T2193" s="19" t="s">
        <v>307</v>
      </c>
      <c r="V2193" s="19" t="s">
        <v>178</v>
      </c>
      <c r="Y2193" s="19" t="s">
        <v>138</v>
      </c>
      <c r="Z2193" s="44" t="s">
        <v>2449</v>
      </c>
      <c r="AA2193" s="44" t="s">
        <v>2903</v>
      </c>
      <c r="AC2193" s="19" t="s">
        <v>2904</v>
      </c>
    </row>
    <row r="2194" spans="1:29" x14ac:dyDescent="0.25">
      <c r="A2194" s="26">
        <v>433</v>
      </c>
      <c r="B2194" s="19" t="s">
        <v>2906</v>
      </c>
      <c r="C2194" s="44" t="s">
        <v>273</v>
      </c>
      <c r="D2194" s="19" t="s">
        <v>1033</v>
      </c>
      <c r="E2194" s="19">
        <v>20</v>
      </c>
      <c r="F2194" s="19">
        <v>330</v>
      </c>
      <c r="G2194" s="19">
        <v>1345</v>
      </c>
      <c r="H2194" s="19">
        <v>1</v>
      </c>
      <c r="I2194" s="80">
        <v>69.680000000000007</v>
      </c>
      <c r="J2194" s="80">
        <v>69.680000000000007</v>
      </c>
      <c r="K2194" s="19" t="s">
        <v>2907</v>
      </c>
      <c r="L2194" s="19" t="s">
        <v>2908</v>
      </c>
      <c r="Q2194" s="20">
        <v>24</v>
      </c>
      <c r="R2194" s="65" t="s">
        <v>2010</v>
      </c>
      <c r="T2194" s="19" t="s">
        <v>307</v>
      </c>
      <c r="V2194" s="19" t="s">
        <v>178</v>
      </c>
      <c r="W2194" s="19" t="s">
        <v>138</v>
      </c>
      <c r="Z2194" s="44" t="s">
        <v>2449</v>
      </c>
      <c r="AA2194" s="44" t="s">
        <v>2909</v>
      </c>
      <c r="AC2194" s="19" t="s">
        <v>2910</v>
      </c>
    </row>
    <row r="2195" spans="1:29" x14ac:dyDescent="0.25">
      <c r="A2195" s="26">
        <v>434</v>
      </c>
      <c r="B2195" s="19" t="s">
        <v>2911</v>
      </c>
      <c r="C2195" s="44" t="s">
        <v>273</v>
      </c>
      <c r="D2195" s="19" t="s">
        <v>1033</v>
      </c>
      <c r="E2195" s="19">
        <v>20</v>
      </c>
      <c r="F2195" s="19">
        <v>330</v>
      </c>
      <c r="G2195" s="19">
        <v>1345</v>
      </c>
      <c r="H2195" s="19">
        <v>1</v>
      </c>
      <c r="I2195" s="80">
        <v>69.680000000000007</v>
      </c>
      <c r="J2195" s="80">
        <v>69.680000000000007</v>
      </c>
      <c r="K2195" s="19" t="s">
        <v>2907</v>
      </c>
      <c r="L2195" s="19" t="s">
        <v>2908</v>
      </c>
      <c r="Q2195" s="20">
        <v>24</v>
      </c>
      <c r="R2195" s="65" t="s">
        <v>2010</v>
      </c>
      <c r="T2195" s="19" t="s">
        <v>307</v>
      </c>
      <c r="V2195" s="19" t="s">
        <v>178</v>
      </c>
      <c r="W2195" s="19" t="s">
        <v>138</v>
      </c>
      <c r="Z2195" s="44" t="s">
        <v>2449</v>
      </c>
      <c r="AA2195" s="44" t="s">
        <v>2909</v>
      </c>
      <c r="AC2195" s="19" t="s">
        <v>2910</v>
      </c>
    </row>
    <row r="2196" spans="1:29" x14ac:dyDescent="0.25">
      <c r="A2196" s="26">
        <v>435</v>
      </c>
      <c r="B2196" s="19" t="s">
        <v>2912</v>
      </c>
      <c r="C2196" s="44" t="s">
        <v>273</v>
      </c>
      <c r="D2196" s="19" t="s">
        <v>1370</v>
      </c>
      <c r="E2196" s="19">
        <v>20</v>
      </c>
      <c r="F2196" s="19">
        <v>300</v>
      </c>
      <c r="G2196" s="19">
        <v>480</v>
      </c>
      <c r="H2196" s="19">
        <v>1</v>
      </c>
      <c r="I2196" s="80">
        <v>22.61</v>
      </c>
      <c r="J2196" s="80">
        <v>22.61</v>
      </c>
      <c r="K2196" s="19" t="s">
        <v>2907</v>
      </c>
      <c r="L2196" s="19" t="s">
        <v>2908</v>
      </c>
      <c r="Q2196" s="20">
        <v>24</v>
      </c>
      <c r="R2196" s="65" t="s">
        <v>2010</v>
      </c>
      <c r="T2196" s="19" t="s">
        <v>307</v>
      </c>
      <c r="V2196" s="19" t="s">
        <v>178</v>
      </c>
      <c r="W2196" s="19" t="s">
        <v>138</v>
      </c>
      <c r="Z2196" s="44" t="s">
        <v>2449</v>
      </c>
      <c r="AA2196" s="44" t="s">
        <v>2909</v>
      </c>
      <c r="AC2196" s="19" t="s">
        <v>2910</v>
      </c>
    </row>
    <row r="2197" spans="1:29" x14ac:dyDescent="0.25">
      <c r="A2197" s="26">
        <v>436</v>
      </c>
      <c r="B2197" s="19" t="s">
        <v>2913</v>
      </c>
      <c r="C2197" s="44" t="s">
        <v>273</v>
      </c>
      <c r="D2197" s="19" t="s">
        <v>1022</v>
      </c>
      <c r="E2197" s="19">
        <v>20</v>
      </c>
      <c r="F2197" s="19">
        <v>300</v>
      </c>
      <c r="G2197" s="19">
        <v>1096</v>
      </c>
      <c r="H2197" s="19">
        <v>2</v>
      </c>
      <c r="I2197" s="80">
        <v>51.62</v>
      </c>
      <c r="J2197" s="80">
        <v>103.24</v>
      </c>
      <c r="K2197" s="19" t="s">
        <v>2907</v>
      </c>
      <c r="L2197" s="19" t="s">
        <v>2908</v>
      </c>
      <c r="P2197" s="19" t="s">
        <v>138</v>
      </c>
      <c r="Q2197" s="20">
        <v>24</v>
      </c>
      <c r="R2197" s="65" t="s">
        <v>2010</v>
      </c>
      <c r="T2197" s="19" t="s">
        <v>307</v>
      </c>
      <c r="V2197" s="19" t="s">
        <v>178</v>
      </c>
      <c r="Y2197" s="19" t="s">
        <v>138</v>
      </c>
      <c r="Z2197" s="44" t="s">
        <v>2449</v>
      </c>
      <c r="AA2197" s="44" t="s">
        <v>2909</v>
      </c>
      <c r="AC2197" s="19" t="s">
        <v>2910</v>
      </c>
    </row>
    <row r="2198" spans="1:29" x14ac:dyDescent="0.25">
      <c r="A2198" s="26">
        <v>437</v>
      </c>
      <c r="B2198" s="19" t="s">
        <v>2914</v>
      </c>
      <c r="C2198" s="44" t="s">
        <v>273</v>
      </c>
      <c r="D2198" s="19" t="s">
        <v>1022</v>
      </c>
      <c r="E2198" s="19">
        <v>20</v>
      </c>
      <c r="F2198" s="19">
        <v>300</v>
      </c>
      <c r="G2198" s="19">
        <v>1096</v>
      </c>
      <c r="H2198" s="19">
        <v>2</v>
      </c>
      <c r="I2198" s="80">
        <v>51.62</v>
      </c>
      <c r="J2198" s="80">
        <v>103.24</v>
      </c>
      <c r="K2198" s="19" t="s">
        <v>2907</v>
      </c>
      <c r="L2198" s="19" t="s">
        <v>2908</v>
      </c>
      <c r="P2198" s="19" t="s">
        <v>138</v>
      </c>
      <c r="Q2198" s="20">
        <v>24</v>
      </c>
      <c r="R2198" s="65" t="s">
        <v>2010</v>
      </c>
      <c r="T2198" s="19" t="s">
        <v>307</v>
      </c>
      <c r="V2198" s="19" t="s">
        <v>178</v>
      </c>
      <c r="Y2198" s="19" t="s">
        <v>138</v>
      </c>
      <c r="Z2198" s="44" t="s">
        <v>2449</v>
      </c>
      <c r="AA2198" s="44" t="s">
        <v>2909</v>
      </c>
      <c r="AC2198" s="19" t="s">
        <v>2910</v>
      </c>
    </row>
    <row r="2199" spans="1:29" x14ac:dyDescent="0.25">
      <c r="A2199" s="26">
        <v>438</v>
      </c>
      <c r="B2199" s="19" t="s">
        <v>2915</v>
      </c>
      <c r="C2199" s="44" t="s">
        <v>273</v>
      </c>
      <c r="D2199" s="19" t="s">
        <v>1050</v>
      </c>
      <c r="E2199" s="19">
        <v>20</v>
      </c>
      <c r="F2199" s="19">
        <v>300</v>
      </c>
      <c r="G2199" s="19">
        <v>1383</v>
      </c>
      <c r="H2199" s="19">
        <v>1</v>
      </c>
      <c r="I2199" s="80">
        <v>65.14</v>
      </c>
      <c r="J2199" s="80">
        <v>65.14</v>
      </c>
      <c r="K2199" s="19" t="s">
        <v>2907</v>
      </c>
      <c r="L2199" s="19" t="s">
        <v>2908</v>
      </c>
      <c r="P2199" s="19" t="s">
        <v>138</v>
      </c>
      <c r="Q2199" s="20">
        <v>24</v>
      </c>
      <c r="R2199" s="65" t="s">
        <v>2010</v>
      </c>
      <c r="T2199" s="19" t="s">
        <v>307</v>
      </c>
      <c r="V2199" s="19" t="s">
        <v>178</v>
      </c>
      <c r="Y2199" s="19" t="s">
        <v>138</v>
      </c>
      <c r="Z2199" s="44" t="s">
        <v>2449</v>
      </c>
      <c r="AA2199" s="44" t="s">
        <v>2909</v>
      </c>
      <c r="AC2199" s="19" t="s">
        <v>2910</v>
      </c>
    </row>
    <row r="2200" spans="1:29" x14ac:dyDescent="0.25">
      <c r="A2200" s="26">
        <v>439</v>
      </c>
      <c r="B2200" s="19" t="s">
        <v>2916</v>
      </c>
      <c r="C2200" s="44" t="s">
        <v>273</v>
      </c>
      <c r="D2200" s="19" t="s">
        <v>1370</v>
      </c>
      <c r="E2200" s="19">
        <v>20</v>
      </c>
      <c r="F2200" s="19">
        <v>300</v>
      </c>
      <c r="G2200" s="19">
        <v>480</v>
      </c>
      <c r="H2200" s="19">
        <v>5</v>
      </c>
      <c r="I2200" s="80">
        <v>22.61</v>
      </c>
      <c r="J2200" s="80">
        <v>113.04</v>
      </c>
      <c r="K2200" s="19" t="s">
        <v>2907</v>
      </c>
      <c r="L2200" s="19" t="s">
        <v>2908</v>
      </c>
      <c r="Q2200" s="20">
        <v>24</v>
      </c>
      <c r="R2200" s="65" t="s">
        <v>2010</v>
      </c>
      <c r="T2200" s="19" t="s">
        <v>307</v>
      </c>
      <c r="V2200" s="19" t="s">
        <v>178</v>
      </c>
      <c r="W2200" s="19" t="s">
        <v>138</v>
      </c>
      <c r="Z2200" s="44" t="s">
        <v>2449</v>
      </c>
      <c r="AA2200" s="44" t="s">
        <v>2909</v>
      </c>
      <c r="AC2200" s="19" t="s">
        <v>2910</v>
      </c>
    </row>
    <row r="2201" spans="1:29" x14ac:dyDescent="0.25">
      <c r="A2201" s="26">
        <v>440</v>
      </c>
      <c r="B2201" s="19" t="s">
        <v>2917</v>
      </c>
      <c r="C2201" s="44" t="s">
        <v>273</v>
      </c>
      <c r="D2201" s="19" t="s">
        <v>1370</v>
      </c>
      <c r="E2201" s="19">
        <v>20</v>
      </c>
      <c r="F2201" s="19">
        <v>300</v>
      </c>
      <c r="G2201" s="19">
        <v>480</v>
      </c>
      <c r="H2201" s="19">
        <v>3</v>
      </c>
      <c r="I2201" s="80">
        <v>22.61</v>
      </c>
      <c r="J2201" s="80">
        <v>67.819999999999993</v>
      </c>
      <c r="K2201" s="19" t="s">
        <v>2907</v>
      </c>
      <c r="L2201" s="19" t="s">
        <v>2908</v>
      </c>
      <c r="Q2201" s="20">
        <v>24</v>
      </c>
      <c r="R2201" s="65" t="s">
        <v>2010</v>
      </c>
      <c r="T2201" s="19" t="s">
        <v>307</v>
      </c>
      <c r="V2201" s="19" t="s">
        <v>178</v>
      </c>
      <c r="W2201" s="19" t="s">
        <v>138</v>
      </c>
      <c r="Z2201" s="44" t="s">
        <v>2449</v>
      </c>
      <c r="AA2201" s="44" t="s">
        <v>2909</v>
      </c>
      <c r="AC2201" s="19" t="s">
        <v>2910</v>
      </c>
    </row>
    <row r="2202" spans="1:29" x14ac:dyDescent="0.25">
      <c r="A2202" s="26">
        <v>441</v>
      </c>
      <c r="B2202" s="19" t="s">
        <v>2918</v>
      </c>
      <c r="C2202" s="44" t="s">
        <v>273</v>
      </c>
      <c r="D2202" s="19" t="s">
        <v>1022</v>
      </c>
      <c r="E2202" s="19">
        <v>20</v>
      </c>
      <c r="F2202" s="19">
        <v>300</v>
      </c>
      <c r="G2202" s="19">
        <v>1096</v>
      </c>
      <c r="H2202" s="19">
        <v>2</v>
      </c>
      <c r="I2202" s="80">
        <v>51.62</v>
      </c>
      <c r="J2202" s="80">
        <v>103.24</v>
      </c>
      <c r="K2202" s="19" t="s">
        <v>2907</v>
      </c>
      <c r="L2202" s="19" t="s">
        <v>2908</v>
      </c>
      <c r="P2202" s="19" t="s">
        <v>138</v>
      </c>
      <c r="Q2202" s="20">
        <v>24</v>
      </c>
      <c r="R2202" s="65" t="s">
        <v>2010</v>
      </c>
      <c r="T2202" s="19" t="s">
        <v>307</v>
      </c>
      <c r="V2202" s="19" t="s">
        <v>178</v>
      </c>
      <c r="Y2202" s="19" t="s">
        <v>138</v>
      </c>
      <c r="Z2202" s="44" t="s">
        <v>2449</v>
      </c>
      <c r="AA2202" s="44" t="s">
        <v>2909</v>
      </c>
      <c r="AC2202" s="19" t="s">
        <v>2910</v>
      </c>
    </row>
    <row r="2203" spans="1:29" x14ac:dyDescent="0.25">
      <c r="A2203" s="26">
        <v>442</v>
      </c>
      <c r="B2203" s="19" t="s">
        <v>2919</v>
      </c>
      <c r="C2203" s="44" t="s">
        <v>273</v>
      </c>
      <c r="D2203" s="19" t="s">
        <v>1022</v>
      </c>
      <c r="E2203" s="19">
        <v>20</v>
      </c>
      <c r="F2203" s="19">
        <v>300</v>
      </c>
      <c r="G2203" s="19">
        <v>1096</v>
      </c>
      <c r="H2203" s="19">
        <v>2</v>
      </c>
      <c r="I2203" s="80">
        <v>51.62</v>
      </c>
      <c r="J2203" s="80">
        <v>103.24</v>
      </c>
      <c r="K2203" s="19" t="s">
        <v>2907</v>
      </c>
      <c r="L2203" s="19" t="s">
        <v>2908</v>
      </c>
      <c r="P2203" s="19" t="s">
        <v>138</v>
      </c>
      <c r="Q2203" s="20">
        <v>24</v>
      </c>
      <c r="R2203" s="65" t="s">
        <v>2010</v>
      </c>
      <c r="T2203" s="19" t="s">
        <v>307</v>
      </c>
      <c r="V2203" s="19" t="s">
        <v>178</v>
      </c>
      <c r="Y2203" s="19" t="s">
        <v>138</v>
      </c>
      <c r="Z2203" s="44" t="s">
        <v>2449</v>
      </c>
      <c r="AA2203" s="44" t="s">
        <v>2909</v>
      </c>
      <c r="AC2203" s="19" t="s">
        <v>2910</v>
      </c>
    </row>
    <row r="2204" spans="1:29" x14ac:dyDescent="0.25">
      <c r="A2204" s="26">
        <v>443</v>
      </c>
      <c r="B2204" s="19" t="s">
        <v>2920</v>
      </c>
      <c r="C2204" s="44" t="s">
        <v>273</v>
      </c>
      <c r="D2204" s="19" t="s">
        <v>1022</v>
      </c>
      <c r="E2204" s="19">
        <v>20</v>
      </c>
      <c r="F2204" s="19">
        <v>300</v>
      </c>
      <c r="G2204" s="19">
        <v>1096</v>
      </c>
      <c r="H2204" s="19">
        <v>1</v>
      </c>
      <c r="I2204" s="80">
        <v>51.62</v>
      </c>
      <c r="J2204" s="80">
        <v>51.62</v>
      </c>
      <c r="K2204" s="19" t="s">
        <v>2907</v>
      </c>
      <c r="L2204" s="19" t="s">
        <v>2908</v>
      </c>
      <c r="P2204" s="19" t="s">
        <v>138</v>
      </c>
      <c r="Q2204" s="20">
        <v>24</v>
      </c>
      <c r="R2204" s="65" t="s">
        <v>2010</v>
      </c>
      <c r="T2204" s="19" t="s">
        <v>307</v>
      </c>
      <c r="V2204" s="19" t="s">
        <v>178</v>
      </c>
      <c r="Y2204" s="19" t="s">
        <v>138</v>
      </c>
      <c r="Z2204" s="44" t="s">
        <v>2449</v>
      </c>
      <c r="AA2204" s="44" t="s">
        <v>2909</v>
      </c>
      <c r="AC2204" s="19" t="s">
        <v>2910</v>
      </c>
    </row>
    <row r="2205" spans="1:29" x14ac:dyDescent="0.25">
      <c r="A2205" s="26">
        <v>444</v>
      </c>
      <c r="B2205" s="19" t="s">
        <v>2921</v>
      </c>
      <c r="C2205" s="44" t="s">
        <v>273</v>
      </c>
      <c r="D2205" s="19" t="s">
        <v>1025</v>
      </c>
      <c r="E2205" s="19">
        <v>20</v>
      </c>
      <c r="F2205" s="19">
        <v>300</v>
      </c>
      <c r="G2205" s="19">
        <v>1514</v>
      </c>
      <c r="H2205" s="19">
        <v>1</v>
      </c>
      <c r="I2205" s="80">
        <v>71.31</v>
      </c>
      <c r="J2205" s="80">
        <v>71.31</v>
      </c>
      <c r="K2205" s="19" t="s">
        <v>2922</v>
      </c>
      <c r="L2205" s="19" t="s">
        <v>2923</v>
      </c>
      <c r="Q2205" s="20">
        <v>24</v>
      </c>
      <c r="R2205" s="65" t="s">
        <v>2010</v>
      </c>
      <c r="T2205" s="19" t="s">
        <v>307</v>
      </c>
      <c r="V2205" s="19" t="s">
        <v>178</v>
      </c>
      <c r="Y2205" s="19" t="s">
        <v>138</v>
      </c>
      <c r="Z2205" s="44" t="s">
        <v>2449</v>
      </c>
      <c r="AA2205" s="44" t="s">
        <v>2924</v>
      </c>
      <c r="AC2205" s="19" t="s">
        <v>2925</v>
      </c>
    </row>
    <row r="2206" spans="1:29" x14ac:dyDescent="0.25">
      <c r="A2206" s="26">
        <v>445</v>
      </c>
      <c r="B2206" s="19" t="s">
        <v>2926</v>
      </c>
      <c r="C2206" s="44" t="s">
        <v>273</v>
      </c>
      <c r="D2206" s="19" t="s">
        <v>1025</v>
      </c>
      <c r="E2206" s="19">
        <v>20</v>
      </c>
      <c r="F2206" s="19">
        <v>300</v>
      </c>
      <c r="G2206" s="19">
        <v>1514</v>
      </c>
      <c r="H2206" s="19">
        <v>1</v>
      </c>
      <c r="I2206" s="80">
        <v>71.31</v>
      </c>
      <c r="J2206" s="80">
        <v>71.31</v>
      </c>
      <c r="K2206" s="19" t="s">
        <v>2922</v>
      </c>
      <c r="L2206" s="19" t="s">
        <v>2923</v>
      </c>
      <c r="Q2206" s="20">
        <v>24</v>
      </c>
      <c r="R2206" s="65" t="s">
        <v>2010</v>
      </c>
      <c r="T2206" s="19" t="s">
        <v>307</v>
      </c>
      <c r="V2206" s="19" t="s">
        <v>178</v>
      </c>
      <c r="Y2206" s="19" t="s">
        <v>138</v>
      </c>
      <c r="Z2206" s="44" t="s">
        <v>2449</v>
      </c>
      <c r="AA2206" s="44" t="s">
        <v>2924</v>
      </c>
      <c r="AC2206" s="19" t="s">
        <v>2925</v>
      </c>
    </row>
    <row r="2207" spans="1:29" x14ac:dyDescent="0.25">
      <c r="A2207" s="26">
        <v>446</v>
      </c>
      <c r="B2207" s="19" t="s">
        <v>2927</v>
      </c>
      <c r="C2207" s="44" t="s">
        <v>273</v>
      </c>
      <c r="D2207" s="19" t="s">
        <v>1025</v>
      </c>
      <c r="E2207" s="19">
        <v>20</v>
      </c>
      <c r="F2207" s="19">
        <v>300</v>
      </c>
      <c r="G2207" s="19">
        <v>1514</v>
      </c>
      <c r="H2207" s="19">
        <v>1</v>
      </c>
      <c r="I2207" s="80">
        <v>71.31</v>
      </c>
      <c r="J2207" s="80">
        <v>71.31</v>
      </c>
      <c r="K2207" s="19" t="s">
        <v>2922</v>
      </c>
      <c r="L2207" s="19" t="s">
        <v>2923</v>
      </c>
      <c r="Q2207" s="20">
        <v>24</v>
      </c>
      <c r="R2207" s="65" t="s">
        <v>2010</v>
      </c>
      <c r="T2207" s="19" t="s">
        <v>307</v>
      </c>
      <c r="V2207" s="19" t="s">
        <v>178</v>
      </c>
      <c r="Y2207" s="19" t="s">
        <v>138</v>
      </c>
      <c r="Z2207" s="44" t="s">
        <v>2449</v>
      </c>
      <c r="AA2207" s="44" t="s">
        <v>2924</v>
      </c>
      <c r="AC2207" s="19" t="s">
        <v>2925</v>
      </c>
    </row>
    <row r="2208" spans="1:29" x14ac:dyDescent="0.25">
      <c r="A2208" s="26">
        <v>447</v>
      </c>
      <c r="B2208" s="19" t="s">
        <v>2928</v>
      </c>
      <c r="C2208" s="44" t="s">
        <v>273</v>
      </c>
      <c r="D2208" s="19" t="s">
        <v>1050</v>
      </c>
      <c r="E2208" s="19">
        <v>20</v>
      </c>
      <c r="F2208" s="19">
        <v>300</v>
      </c>
      <c r="G2208" s="19">
        <v>1383</v>
      </c>
      <c r="H2208" s="19">
        <v>1</v>
      </c>
      <c r="I2208" s="80">
        <v>65.14</v>
      </c>
      <c r="J2208" s="80">
        <v>65.14</v>
      </c>
      <c r="K2208" s="19" t="s">
        <v>2922</v>
      </c>
      <c r="L2208" s="19" t="s">
        <v>2923</v>
      </c>
      <c r="P2208" s="19" t="s">
        <v>138</v>
      </c>
      <c r="Q2208" s="20">
        <v>24</v>
      </c>
      <c r="R2208" s="65" t="s">
        <v>2010</v>
      </c>
      <c r="T2208" s="19" t="s">
        <v>307</v>
      </c>
      <c r="V2208" s="19" t="s">
        <v>178</v>
      </c>
      <c r="Y2208" s="19" t="s">
        <v>138</v>
      </c>
      <c r="Z2208" s="44" t="s">
        <v>2449</v>
      </c>
      <c r="AA2208" s="44" t="s">
        <v>2924</v>
      </c>
      <c r="AC2208" s="19" t="s">
        <v>2925</v>
      </c>
    </row>
    <row r="2209" spans="1:29" x14ac:dyDescent="0.25">
      <c r="A2209" s="26">
        <v>448</v>
      </c>
      <c r="B2209" s="19" t="s">
        <v>2929</v>
      </c>
      <c r="C2209" s="44" t="s">
        <v>273</v>
      </c>
      <c r="D2209" s="19" t="s">
        <v>1050</v>
      </c>
      <c r="E2209" s="19">
        <v>20</v>
      </c>
      <c r="F2209" s="19">
        <v>300</v>
      </c>
      <c r="G2209" s="19">
        <v>1383</v>
      </c>
      <c r="H2209" s="19">
        <v>1</v>
      </c>
      <c r="I2209" s="80">
        <v>65.14</v>
      </c>
      <c r="J2209" s="80">
        <v>65.14</v>
      </c>
      <c r="K2209" s="19" t="s">
        <v>2922</v>
      </c>
      <c r="L2209" s="19" t="s">
        <v>2923</v>
      </c>
      <c r="P2209" s="19" t="s">
        <v>138</v>
      </c>
      <c r="Q2209" s="20">
        <v>24</v>
      </c>
      <c r="R2209" s="65" t="s">
        <v>2010</v>
      </c>
      <c r="T2209" s="19" t="s">
        <v>307</v>
      </c>
      <c r="V2209" s="19" t="s">
        <v>178</v>
      </c>
      <c r="Y2209" s="19" t="s">
        <v>138</v>
      </c>
      <c r="Z2209" s="44" t="s">
        <v>2449</v>
      </c>
      <c r="AA2209" s="44" t="s">
        <v>2924</v>
      </c>
      <c r="AC2209" s="19" t="s">
        <v>2925</v>
      </c>
    </row>
    <row r="2210" spans="1:29" x14ac:dyDescent="0.25">
      <c r="A2210" s="26">
        <v>449</v>
      </c>
      <c r="B2210" s="19" t="s">
        <v>2930</v>
      </c>
      <c r="C2210" s="44" t="s">
        <v>273</v>
      </c>
      <c r="D2210" s="19" t="s">
        <v>1050</v>
      </c>
      <c r="E2210" s="19">
        <v>20</v>
      </c>
      <c r="F2210" s="19">
        <v>300</v>
      </c>
      <c r="G2210" s="19">
        <v>1383</v>
      </c>
      <c r="H2210" s="19">
        <v>1</v>
      </c>
      <c r="I2210" s="80">
        <v>65.14</v>
      </c>
      <c r="J2210" s="80">
        <v>65.14</v>
      </c>
      <c r="K2210" s="19" t="s">
        <v>2922</v>
      </c>
      <c r="L2210" s="19" t="s">
        <v>2923</v>
      </c>
      <c r="P2210" s="19" t="s">
        <v>138</v>
      </c>
      <c r="Q2210" s="20">
        <v>24</v>
      </c>
      <c r="R2210" s="65" t="s">
        <v>2010</v>
      </c>
      <c r="T2210" s="19" t="s">
        <v>307</v>
      </c>
      <c r="V2210" s="19" t="s">
        <v>178</v>
      </c>
      <c r="Y2210" s="19" t="s">
        <v>138</v>
      </c>
      <c r="Z2210" s="44" t="s">
        <v>2449</v>
      </c>
      <c r="AA2210" s="44" t="s">
        <v>2924</v>
      </c>
      <c r="AC2210" s="19" t="s">
        <v>2925</v>
      </c>
    </row>
    <row r="2211" spans="1:29" x14ac:dyDescent="0.25">
      <c r="A2211" s="26">
        <v>450</v>
      </c>
      <c r="B2211" s="19" t="s">
        <v>2931</v>
      </c>
      <c r="C2211" s="44" t="s">
        <v>273</v>
      </c>
      <c r="D2211" s="19" t="s">
        <v>1050</v>
      </c>
      <c r="E2211" s="19">
        <v>20</v>
      </c>
      <c r="F2211" s="19">
        <v>300</v>
      </c>
      <c r="G2211" s="19">
        <v>1383</v>
      </c>
      <c r="H2211" s="19">
        <v>1</v>
      </c>
      <c r="I2211" s="80">
        <v>65.14</v>
      </c>
      <c r="J2211" s="80">
        <v>65.14</v>
      </c>
      <c r="K2211" s="19" t="s">
        <v>2922</v>
      </c>
      <c r="L2211" s="19" t="s">
        <v>2923</v>
      </c>
      <c r="P2211" s="19" t="s">
        <v>138</v>
      </c>
      <c r="Q2211" s="20">
        <v>24</v>
      </c>
      <c r="R2211" s="65" t="s">
        <v>2010</v>
      </c>
      <c r="T2211" s="19" t="s">
        <v>307</v>
      </c>
      <c r="V2211" s="19" t="s">
        <v>178</v>
      </c>
      <c r="Y2211" s="19" t="s">
        <v>138</v>
      </c>
      <c r="Z2211" s="44" t="s">
        <v>2449</v>
      </c>
      <c r="AA2211" s="44" t="s">
        <v>2924</v>
      </c>
      <c r="AC2211" s="19" t="s">
        <v>2925</v>
      </c>
    </row>
    <row r="2212" spans="1:29" x14ac:dyDescent="0.25">
      <c r="A2212" s="26">
        <v>451</v>
      </c>
      <c r="B2212" s="19" t="s">
        <v>2932</v>
      </c>
      <c r="C2212" s="44" t="s">
        <v>273</v>
      </c>
      <c r="D2212" s="19" t="s">
        <v>1050</v>
      </c>
      <c r="E2212" s="19">
        <v>20</v>
      </c>
      <c r="F2212" s="19">
        <v>300</v>
      </c>
      <c r="G2212" s="19">
        <v>1383</v>
      </c>
      <c r="H2212" s="19">
        <v>1</v>
      </c>
      <c r="I2212" s="80">
        <v>65.14</v>
      </c>
      <c r="J2212" s="80">
        <v>65.14</v>
      </c>
      <c r="K2212" s="19" t="s">
        <v>2922</v>
      </c>
      <c r="L2212" s="19" t="s">
        <v>2923</v>
      </c>
      <c r="P2212" s="19" t="s">
        <v>138</v>
      </c>
      <c r="Q2212" s="20">
        <v>24</v>
      </c>
      <c r="R2212" s="65" t="s">
        <v>2010</v>
      </c>
      <c r="T2212" s="19" t="s">
        <v>307</v>
      </c>
      <c r="V2212" s="19" t="s">
        <v>178</v>
      </c>
      <c r="Y2212" s="19" t="s">
        <v>138</v>
      </c>
      <c r="Z2212" s="44" t="s">
        <v>2449</v>
      </c>
      <c r="AA2212" s="44" t="s">
        <v>2924</v>
      </c>
      <c r="AC2212" s="19" t="s">
        <v>2925</v>
      </c>
    </row>
    <row r="2213" spans="1:29" x14ac:dyDescent="0.25">
      <c r="A2213" s="26">
        <v>452</v>
      </c>
      <c r="B2213" s="19" t="s">
        <v>2933</v>
      </c>
      <c r="C2213" s="44" t="s">
        <v>273</v>
      </c>
      <c r="D2213" s="19" t="s">
        <v>1076</v>
      </c>
      <c r="E2213" s="19">
        <v>20</v>
      </c>
      <c r="F2213" s="19">
        <v>300</v>
      </c>
      <c r="G2213" s="19">
        <v>908</v>
      </c>
      <c r="H2213" s="19">
        <v>1</v>
      </c>
      <c r="I2213" s="80">
        <v>42.77</v>
      </c>
      <c r="J2213" s="80">
        <v>42.77</v>
      </c>
      <c r="K2213" s="19" t="s">
        <v>2922</v>
      </c>
      <c r="L2213" s="19" t="s">
        <v>2923</v>
      </c>
      <c r="P2213" s="19" t="s">
        <v>138</v>
      </c>
      <c r="Q2213" s="20">
        <v>24</v>
      </c>
      <c r="R2213" s="65" t="s">
        <v>2010</v>
      </c>
      <c r="T2213" s="19" t="s">
        <v>307</v>
      </c>
      <c r="V2213" s="19" t="s">
        <v>178</v>
      </c>
      <c r="Y2213" s="19" t="s">
        <v>138</v>
      </c>
      <c r="Z2213" s="44" t="s">
        <v>2449</v>
      </c>
      <c r="AA2213" s="44" t="s">
        <v>2924</v>
      </c>
      <c r="AC2213" s="19" t="s">
        <v>2925</v>
      </c>
    </row>
    <row r="2214" spans="1:29" x14ac:dyDescent="0.25">
      <c r="A2214" s="26">
        <v>453</v>
      </c>
      <c r="B2214" s="19" t="s">
        <v>2934</v>
      </c>
      <c r="C2214" s="44" t="s">
        <v>273</v>
      </c>
      <c r="D2214" s="19" t="s">
        <v>1016</v>
      </c>
      <c r="E2214" s="19">
        <v>20</v>
      </c>
      <c r="F2214" s="19">
        <v>300</v>
      </c>
      <c r="G2214" s="19">
        <v>1434</v>
      </c>
      <c r="H2214" s="19">
        <v>1</v>
      </c>
      <c r="I2214" s="80">
        <v>67.540000000000006</v>
      </c>
      <c r="J2214" s="80">
        <v>67.540000000000006</v>
      </c>
      <c r="K2214" s="19" t="s">
        <v>2922</v>
      </c>
      <c r="L2214" s="19" t="s">
        <v>2923</v>
      </c>
      <c r="Q2214" s="20">
        <v>24</v>
      </c>
      <c r="R2214" s="65" t="s">
        <v>2010</v>
      </c>
      <c r="T2214" s="19" t="s">
        <v>307</v>
      </c>
      <c r="V2214" s="19" t="s">
        <v>178</v>
      </c>
      <c r="Y2214" s="19" t="s">
        <v>138</v>
      </c>
      <c r="Z2214" s="44" t="s">
        <v>2449</v>
      </c>
      <c r="AA2214" s="44" t="s">
        <v>2924</v>
      </c>
      <c r="AC2214" s="19" t="s">
        <v>2925</v>
      </c>
    </row>
    <row r="2215" spans="1:29" x14ac:dyDescent="0.25">
      <c r="A2215" s="26">
        <v>454</v>
      </c>
      <c r="B2215" s="19" t="s">
        <v>2935</v>
      </c>
      <c r="C2215" s="44" t="s">
        <v>273</v>
      </c>
      <c r="D2215" s="19" t="s">
        <v>1076</v>
      </c>
      <c r="E2215" s="19">
        <v>20</v>
      </c>
      <c r="F2215" s="19">
        <v>300</v>
      </c>
      <c r="G2215" s="19">
        <v>908</v>
      </c>
      <c r="H2215" s="19">
        <v>1</v>
      </c>
      <c r="I2215" s="80">
        <v>42.77</v>
      </c>
      <c r="J2215" s="80">
        <v>42.77</v>
      </c>
      <c r="K2215" s="19" t="s">
        <v>2922</v>
      </c>
      <c r="L2215" s="19" t="s">
        <v>2923</v>
      </c>
      <c r="P2215" s="19" t="s">
        <v>138</v>
      </c>
      <c r="Q2215" s="20">
        <v>24</v>
      </c>
      <c r="R2215" s="65" t="s">
        <v>2010</v>
      </c>
      <c r="T2215" s="19" t="s">
        <v>307</v>
      </c>
      <c r="V2215" s="19" t="s">
        <v>178</v>
      </c>
      <c r="Y2215" s="19" t="s">
        <v>138</v>
      </c>
      <c r="Z2215" s="44" t="s">
        <v>2449</v>
      </c>
      <c r="AA2215" s="44" t="s">
        <v>2924</v>
      </c>
      <c r="AC2215" s="19" t="s">
        <v>2925</v>
      </c>
    </row>
    <row r="2216" spans="1:29" x14ac:dyDescent="0.25">
      <c r="A2216" s="26">
        <v>455</v>
      </c>
      <c r="B2216" s="19" t="s">
        <v>2936</v>
      </c>
      <c r="C2216" s="44" t="s">
        <v>273</v>
      </c>
      <c r="D2216" s="19" t="s">
        <v>1016</v>
      </c>
      <c r="E2216" s="19">
        <v>20</v>
      </c>
      <c r="F2216" s="19">
        <v>300</v>
      </c>
      <c r="G2216" s="19">
        <v>1434</v>
      </c>
      <c r="H2216" s="19">
        <v>1</v>
      </c>
      <c r="I2216" s="80">
        <v>67.540000000000006</v>
      </c>
      <c r="J2216" s="80">
        <v>67.540000000000006</v>
      </c>
      <c r="K2216" s="19" t="s">
        <v>2922</v>
      </c>
      <c r="L2216" s="19" t="s">
        <v>2923</v>
      </c>
      <c r="Q2216" s="20">
        <v>24</v>
      </c>
      <c r="R2216" s="65" t="s">
        <v>2010</v>
      </c>
      <c r="T2216" s="19" t="s">
        <v>307</v>
      </c>
      <c r="V2216" s="19" t="s">
        <v>178</v>
      </c>
      <c r="Y2216" s="19" t="s">
        <v>138</v>
      </c>
      <c r="Z2216" s="44" t="s">
        <v>2449</v>
      </c>
      <c r="AA2216" s="44" t="s">
        <v>2924</v>
      </c>
      <c r="AC2216" s="19" t="s">
        <v>2925</v>
      </c>
    </row>
    <row r="2217" spans="1:29" x14ac:dyDescent="0.25">
      <c r="A2217" s="26">
        <v>456</v>
      </c>
      <c r="B2217" s="19" t="s">
        <v>2937</v>
      </c>
      <c r="C2217" s="44" t="s">
        <v>273</v>
      </c>
      <c r="D2217" s="19" t="s">
        <v>1050</v>
      </c>
      <c r="E2217" s="19">
        <v>20</v>
      </c>
      <c r="F2217" s="19">
        <v>300</v>
      </c>
      <c r="G2217" s="19">
        <v>1383</v>
      </c>
      <c r="H2217" s="19">
        <v>1</v>
      </c>
      <c r="I2217" s="80">
        <v>65.14</v>
      </c>
      <c r="J2217" s="80">
        <v>65.14</v>
      </c>
      <c r="K2217" s="19" t="s">
        <v>2922</v>
      </c>
      <c r="L2217" s="19" t="s">
        <v>2923</v>
      </c>
      <c r="P2217" s="19" t="s">
        <v>138</v>
      </c>
      <c r="Q2217" s="20">
        <v>24</v>
      </c>
      <c r="R2217" s="65" t="s">
        <v>2010</v>
      </c>
      <c r="T2217" s="19" t="s">
        <v>307</v>
      </c>
      <c r="V2217" s="19" t="s">
        <v>178</v>
      </c>
      <c r="Y2217" s="19" t="s">
        <v>138</v>
      </c>
      <c r="Z2217" s="44" t="s">
        <v>2449</v>
      </c>
      <c r="AA2217" s="44" t="s">
        <v>2924</v>
      </c>
      <c r="AC2217" s="19" t="s">
        <v>2925</v>
      </c>
    </row>
    <row r="2218" spans="1:29" x14ac:dyDescent="0.25">
      <c r="A2218" s="26">
        <v>457</v>
      </c>
      <c r="B2218" s="19" t="s">
        <v>2938</v>
      </c>
      <c r="C2218" s="44" t="s">
        <v>273</v>
      </c>
      <c r="D2218" s="19" t="s">
        <v>1050</v>
      </c>
      <c r="E2218" s="19">
        <v>20</v>
      </c>
      <c r="F2218" s="19">
        <v>300</v>
      </c>
      <c r="G2218" s="19">
        <v>1383</v>
      </c>
      <c r="H2218" s="19">
        <v>1</v>
      </c>
      <c r="I2218" s="80">
        <v>65.14</v>
      </c>
      <c r="J2218" s="80">
        <v>65.14</v>
      </c>
      <c r="K2218" s="19" t="s">
        <v>2922</v>
      </c>
      <c r="L2218" s="19" t="s">
        <v>2923</v>
      </c>
      <c r="P2218" s="19" t="s">
        <v>138</v>
      </c>
      <c r="Q2218" s="20">
        <v>24</v>
      </c>
      <c r="R2218" s="65" t="s">
        <v>2010</v>
      </c>
      <c r="T2218" s="19" t="s">
        <v>307</v>
      </c>
      <c r="V2218" s="19" t="s">
        <v>178</v>
      </c>
      <c r="Y2218" s="19" t="s">
        <v>138</v>
      </c>
      <c r="Z2218" s="44" t="s">
        <v>2449</v>
      </c>
      <c r="AA2218" s="44" t="s">
        <v>2924</v>
      </c>
      <c r="AC2218" s="19" t="s">
        <v>2925</v>
      </c>
    </row>
    <row r="2219" spans="1:29" x14ac:dyDescent="0.25">
      <c r="A2219" s="26">
        <v>458</v>
      </c>
      <c r="B2219" s="19" t="s">
        <v>2939</v>
      </c>
      <c r="C2219" s="44" t="s">
        <v>273</v>
      </c>
      <c r="D2219" s="19" t="s">
        <v>1050</v>
      </c>
      <c r="E2219" s="19">
        <v>20</v>
      </c>
      <c r="F2219" s="19">
        <v>300</v>
      </c>
      <c r="G2219" s="19">
        <v>1383</v>
      </c>
      <c r="H2219" s="19">
        <v>1</v>
      </c>
      <c r="I2219" s="80">
        <v>65.14</v>
      </c>
      <c r="J2219" s="80">
        <v>65.14</v>
      </c>
      <c r="K2219" s="19" t="s">
        <v>2922</v>
      </c>
      <c r="L2219" s="19" t="s">
        <v>2923</v>
      </c>
      <c r="P2219" s="19" t="s">
        <v>138</v>
      </c>
      <c r="Q2219" s="20">
        <v>24</v>
      </c>
      <c r="R2219" s="65" t="s">
        <v>2010</v>
      </c>
      <c r="T2219" s="19" t="s">
        <v>307</v>
      </c>
      <c r="V2219" s="19" t="s">
        <v>178</v>
      </c>
      <c r="Y2219" s="19" t="s">
        <v>138</v>
      </c>
      <c r="Z2219" s="44" t="s">
        <v>2449</v>
      </c>
      <c r="AA2219" s="44" t="s">
        <v>2924</v>
      </c>
      <c r="AC2219" s="19" t="s">
        <v>2925</v>
      </c>
    </row>
    <row r="2220" spans="1:29" x14ac:dyDescent="0.25">
      <c r="A2220" s="26">
        <v>459</v>
      </c>
      <c r="B2220" s="19" t="s">
        <v>2940</v>
      </c>
      <c r="C2220" s="44" t="s">
        <v>273</v>
      </c>
      <c r="D2220" s="19" t="s">
        <v>1050</v>
      </c>
      <c r="E2220" s="19">
        <v>20</v>
      </c>
      <c r="F2220" s="19">
        <v>300</v>
      </c>
      <c r="G2220" s="19">
        <v>1383</v>
      </c>
      <c r="H2220" s="19">
        <v>1</v>
      </c>
      <c r="I2220" s="80">
        <v>65.14</v>
      </c>
      <c r="J2220" s="80">
        <v>65.14</v>
      </c>
      <c r="K2220" s="19" t="s">
        <v>2922</v>
      </c>
      <c r="L2220" s="19" t="s">
        <v>2923</v>
      </c>
      <c r="P2220" s="19" t="s">
        <v>138</v>
      </c>
      <c r="Q2220" s="20">
        <v>24</v>
      </c>
      <c r="R2220" s="65" t="s">
        <v>2010</v>
      </c>
      <c r="T2220" s="19" t="s">
        <v>307</v>
      </c>
      <c r="V2220" s="19" t="s">
        <v>178</v>
      </c>
      <c r="Y2220" s="19" t="s">
        <v>138</v>
      </c>
      <c r="Z2220" s="44" t="s">
        <v>2449</v>
      </c>
      <c r="AA2220" s="44" t="s">
        <v>2924</v>
      </c>
      <c r="AC2220" s="19" t="s">
        <v>2925</v>
      </c>
    </row>
    <row r="2221" spans="1:29" x14ac:dyDescent="0.25">
      <c r="A2221" s="26">
        <v>460</v>
      </c>
      <c r="B2221" s="19" t="s">
        <v>2917</v>
      </c>
      <c r="C2221" s="44" t="s">
        <v>273</v>
      </c>
      <c r="D2221" s="19" t="s">
        <v>1370</v>
      </c>
      <c r="E2221" s="19">
        <v>20</v>
      </c>
      <c r="F2221" s="19">
        <v>300</v>
      </c>
      <c r="G2221" s="19">
        <v>480</v>
      </c>
      <c r="H2221" s="19">
        <v>2</v>
      </c>
      <c r="I2221" s="80">
        <v>22.61</v>
      </c>
      <c r="J2221" s="80">
        <v>45.22</v>
      </c>
      <c r="K2221" s="19" t="s">
        <v>2922</v>
      </c>
      <c r="L2221" s="19" t="s">
        <v>2923</v>
      </c>
      <c r="Q2221" s="20">
        <v>24</v>
      </c>
      <c r="R2221" s="65" t="s">
        <v>2010</v>
      </c>
      <c r="T2221" s="19" t="s">
        <v>307</v>
      </c>
      <c r="V2221" s="19" t="s">
        <v>178</v>
      </c>
      <c r="W2221" s="19" t="s">
        <v>138</v>
      </c>
      <c r="Z2221" s="44" t="s">
        <v>2449</v>
      </c>
      <c r="AA2221" s="44" t="s">
        <v>2924</v>
      </c>
      <c r="AC2221" s="19" t="s">
        <v>2925</v>
      </c>
    </row>
    <row r="2222" spans="1:29" x14ac:dyDescent="0.25">
      <c r="A2222" s="26">
        <v>461</v>
      </c>
      <c r="B2222" s="19" t="s">
        <v>2920</v>
      </c>
      <c r="C2222" s="44" t="s">
        <v>273</v>
      </c>
      <c r="D2222" s="19" t="s">
        <v>1022</v>
      </c>
      <c r="E2222" s="19">
        <v>20</v>
      </c>
      <c r="F2222" s="19">
        <v>300</v>
      </c>
      <c r="G2222" s="19">
        <v>1096</v>
      </c>
      <c r="H2222" s="19">
        <v>1</v>
      </c>
      <c r="I2222" s="80">
        <v>51.62</v>
      </c>
      <c r="J2222" s="80">
        <v>51.62</v>
      </c>
      <c r="K2222" s="19" t="s">
        <v>2922</v>
      </c>
      <c r="L2222" s="19" t="s">
        <v>2923</v>
      </c>
      <c r="P2222" s="19" t="s">
        <v>138</v>
      </c>
      <c r="Q2222" s="20">
        <v>24</v>
      </c>
      <c r="R2222" s="65" t="s">
        <v>2010</v>
      </c>
      <c r="T2222" s="19" t="s">
        <v>307</v>
      </c>
      <c r="V2222" s="19" t="s">
        <v>178</v>
      </c>
      <c r="Y2222" s="19" t="s">
        <v>138</v>
      </c>
      <c r="Z2222" s="44" t="s">
        <v>2449</v>
      </c>
      <c r="AA2222" s="44" t="s">
        <v>2924</v>
      </c>
      <c r="AC2222" s="19" t="s">
        <v>2925</v>
      </c>
    </row>
    <row r="2223" spans="1:29" x14ac:dyDescent="0.25">
      <c r="A2223" s="26">
        <v>462</v>
      </c>
      <c r="B2223" s="19" t="s">
        <v>2941</v>
      </c>
      <c r="C2223" s="44" t="s">
        <v>273</v>
      </c>
      <c r="D2223" s="19" t="s">
        <v>1025</v>
      </c>
      <c r="E2223" s="19">
        <v>20</v>
      </c>
      <c r="F2223" s="19">
        <v>300</v>
      </c>
      <c r="G2223" s="19">
        <v>1514</v>
      </c>
      <c r="H2223" s="19">
        <v>1</v>
      </c>
      <c r="I2223" s="80">
        <v>71.31</v>
      </c>
      <c r="J2223" s="80">
        <v>71.31</v>
      </c>
      <c r="K2223" s="19" t="s">
        <v>2942</v>
      </c>
      <c r="L2223" s="19" t="s">
        <v>2943</v>
      </c>
      <c r="Q2223" s="20">
        <v>24</v>
      </c>
      <c r="R2223" s="65" t="s">
        <v>2010</v>
      </c>
      <c r="T2223" s="19" t="s">
        <v>307</v>
      </c>
      <c r="V2223" s="19" t="s">
        <v>178</v>
      </c>
      <c r="Y2223" s="19" t="s">
        <v>138</v>
      </c>
      <c r="Z2223" s="44" t="s">
        <v>2449</v>
      </c>
      <c r="AA2223" s="44" t="s">
        <v>2944</v>
      </c>
      <c r="AC2223" s="19" t="s">
        <v>2945</v>
      </c>
    </row>
    <row r="2224" spans="1:29" x14ac:dyDescent="0.25">
      <c r="A2224" s="26">
        <v>463</v>
      </c>
      <c r="B2224" s="19" t="s">
        <v>2946</v>
      </c>
      <c r="C2224" s="44" t="s">
        <v>273</v>
      </c>
      <c r="D2224" s="19" t="s">
        <v>1025</v>
      </c>
      <c r="E2224" s="19">
        <v>20</v>
      </c>
      <c r="F2224" s="19">
        <v>300</v>
      </c>
      <c r="G2224" s="19">
        <v>1514</v>
      </c>
      <c r="H2224" s="19">
        <v>1</v>
      </c>
      <c r="I2224" s="80">
        <v>71.31</v>
      </c>
      <c r="J2224" s="80">
        <v>71.31</v>
      </c>
      <c r="K2224" s="19" t="s">
        <v>2942</v>
      </c>
      <c r="L2224" s="19" t="s">
        <v>2943</v>
      </c>
      <c r="Q2224" s="20">
        <v>24</v>
      </c>
      <c r="R2224" s="65" t="s">
        <v>2010</v>
      </c>
      <c r="T2224" s="19" t="s">
        <v>307</v>
      </c>
      <c r="V2224" s="19" t="s">
        <v>178</v>
      </c>
      <c r="Y2224" s="19" t="s">
        <v>138</v>
      </c>
      <c r="Z2224" s="44" t="s">
        <v>2449</v>
      </c>
      <c r="AA2224" s="44" t="s">
        <v>2944</v>
      </c>
      <c r="AC2224" s="19" t="s">
        <v>2945</v>
      </c>
    </row>
    <row r="2225" spans="1:29" x14ac:dyDescent="0.25">
      <c r="A2225" s="26">
        <v>464</v>
      </c>
      <c r="B2225" s="19" t="s">
        <v>2947</v>
      </c>
      <c r="C2225" s="44" t="s">
        <v>273</v>
      </c>
      <c r="D2225" s="19" t="s">
        <v>1025</v>
      </c>
      <c r="E2225" s="19">
        <v>20</v>
      </c>
      <c r="F2225" s="19">
        <v>300</v>
      </c>
      <c r="G2225" s="19">
        <v>1514</v>
      </c>
      <c r="H2225" s="19">
        <v>1</v>
      </c>
      <c r="I2225" s="80">
        <v>71.31</v>
      </c>
      <c r="J2225" s="80">
        <v>71.31</v>
      </c>
      <c r="K2225" s="19" t="s">
        <v>2942</v>
      </c>
      <c r="L2225" s="19" t="s">
        <v>2943</v>
      </c>
      <c r="Q2225" s="20">
        <v>24</v>
      </c>
      <c r="R2225" s="65" t="s">
        <v>2010</v>
      </c>
      <c r="T2225" s="19" t="s">
        <v>307</v>
      </c>
      <c r="V2225" s="19" t="s">
        <v>178</v>
      </c>
      <c r="Y2225" s="19" t="s">
        <v>138</v>
      </c>
      <c r="Z2225" s="44" t="s">
        <v>2449</v>
      </c>
      <c r="AA2225" s="44" t="s">
        <v>2944</v>
      </c>
      <c r="AC2225" s="19" t="s">
        <v>2945</v>
      </c>
    </row>
    <row r="2226" spans="1:29" x14ac:dyDescent="0.25">
      <c r="A2226" s="26">
        <v>465</v>
      </c>
      <c r="B2226" s="19" t="s">
        <v>2948</v>
      </c>
      <c r="C2226" s="44" t="s">
        <v>273</v>
      </c>
      <c r="D2226" s="19" t="s">
        <v>1025</v>
      </c>
      <c r="E2226" s="19">
        <v>20</v>
      </c>
      <c r="F2226" s="19">
        <v>300</v>
      </c>
      <c r="G2226" s="19">
        <v>1514</v>
      </c>
      <c r="H2226" s="19">
        <v>1</v>
      </c>
      <c r="I2226" s="80">
        <v>71.31</v>
      </c>
      <c r="J2226" s="80">
        <v>71.31</v>
      </c>
      <c r="K2226" s="19" t="s">
        <v>2942</v>
      </c>
      <c r="L2226" s="19" t="s">
        <v>2943</v>
      </c>
      <c r="Q2226" s="20">
        <v>24</v>
      </c>
      <c r="R2226" s="65" t="s">
        <v>2010</v>
      </c>
      <c r="T2226" s="19" t="s">
        <v>307</v>
      </c>
      <c r="V2226" s="19" t="s">
        <v>178</v>
      </c>
      <c r="Y2226" s="19" t="s">
        <v>138</v>
      </c>
      <c r="Z2226" s="44" t="s">
        <v>2449</v>
      </c>
      <c r="AA2226" s="44" t="s">
        <v>2944</v>
      </c>
      <c r="AC2226" s="19" t="s">
        <v>2945</v>
      </c>
    </row>
    <row r="2227" spans="1:29" x14ac:dyDescent="0.25">
      <c r="A2227" s="26">
        <v>466</v>
      </c>
      <c r="B2227" s="19" t="s">
        <v>2949</v>
      </c>
      <c r="C2227" s="44" t="s">
        <v>273</v>
      </c>
      <c r="D2227" s="19" t="s">
        <v>1025</v>
      </c>
      <c r="E2227" s="19">
        <v>20</v>
      </c>
      <c r="F2227" s="19">
        <v>300</v>
      </c>
      <c r="G2227" s="19">
        <v>1514</v>
      </c>
      <c r="H2227" s="19">
        <v>1</v>
      </c>
      <c r="I2227" s="80">
        <v>71.31</v>
      </c>
      <c r="J2227" s="80">
        <v>71.31</v>
      </c>
      <c r="K2227" s="19" t="s">
        <v>2942</v>
      </c>
      <c r="L2227" s="19" t="s">
        <v>2943</v>
      </c>
      <c r="Q2227" s="20">
        <v>24</v>
      </c>
      <c r="R2227" s="65" t="s">
        <v>2010</v>
      </c>
      <c r="T2227" s="19" t="s">
        <v>307</v>
      </c>
      <c r="V2227" s="19" t="s">
        <v>178</v>
      </c>
      <c r="Y2227" s="19" t="s">
        <v>138</v>
      </c>
      <c r="Z2227" s="44" t="s">
        <v>2449</v>
      </c>
      <c r="AA2227" s="44" t="s">
        <v>2944</v>
      </c>
      <c r="AC2227" s="19" t="s">
        <v>2945</v>
      </c>
    </row>
    <row r="2228" spans="1:29" x14ac:dyDescent="0.25">
      <c r="A2228" s="26">
        <v>467</v>
      </c>
      <c r="B2228" s="19" t="s">
        <v>2950</v>
      </c>
      <c r="C2228" s="44" t="s">
        <v>273</v>
      </c>
      <c r="D2228" s="19" t="s">
        <v>1025</v>
      </c>
      <c r="E2228" s="19">
        <v>20</v>
      </c>
      <c r="F2228" s="19">
        <v>300</v>
      </c>
      <c r="G2228" s="19">
        <v>1514</v>
      </c>
      <c r="H2228" s="19">
        <v>1</v>
      </c>
      <c r="I2228" s="80">
        <v>71.31</v>
      </c>
      <c r="J2228" s="80">
        <v>71.31</v>
      </c>
      <c r="K2228" s="19" t="s">
        <v>2942</v>
      </c>
      <c r="L2228" s="19" t="s">
        <v>2943</v>
      </c>
      <c r="Q2228" s="20">
        <v>24</v>
      </c>
      <c r="R2228" s="65" t="s">
        <v>2010</v>
      </c>
      <c r="T2228" s="19" t="s">
        <v>307</v>
      </c>
      <c r="V2228" s="19" t="s">
        <v>178</v>
      </c>
      <c r="Y2228" s="19" t="s">
        <v>138</v>
      </c>
      <c r="Z2228" s="44" t="s">
        <v>2449</v>
      </c>
      <c r="AA2228" s="44" t="s">
        <v>2944</v>
      </c>
      <c r="AC2228" s="19" t="s">
        <v>2945</v>
      </c>
    </row>
    <row r="2229" spans="1:29" x14ac:dyDescent="0.25">
      <c r="A2229" s="26">
        <v>468</v>
      </c>
      <c r="B2229" s="19" t="s">
        <v>2951</v>
      </c>
      <c r="C2229" s="44" t="s">
        <v>273</v>
      </c>
      <c r="D2229" s="19" t="s">
        <v>1025</v>
      </c>
      <c r="E2229" s="19">
        <v>20</v>
      </c>
      <c r="F2229" s="19">
        <v>300</v>
      </c>
      <c r="G2229" s="19">
        <v>1514</v>
      </c>
      <c r="H2229" s="19">
        <v>1</v>
      </c>
      <c r="I2229" s="80">
        <v>71.31</v>
      </c>
      <c r="J2229" s="80">
        <v>71.31</v>
      </c>
      <c r="K2229" s="19" t="s">
        <v>2942</v>
      </c>
      <c r="L2229" s="19" t="s">
        <v>2943</v>
      </c>
      <c r="Q2229" s="20">
        <v>24</v>
      </c>
      <c r="R2229" s="65" t="s">
        <v>2010</v>
      </c>
      <c r="T2229" s="19" t="s">
        <v>307</v>
      </c>
      <c r="V2229" s="19" t="s">
        <v>178</v>
      </c>
      <c r="Y2229" s="19" t="s">
        <v>138</v>
      </c>
      <c r="Z2229" s="44" t="s">
        <v>2449</v>
      </c>
      <c r="AA2229" s="44" t="s">
        <v>2944</v>
      </c>
      <c r="AC2229" s="19" t="s">
        <v>2945</v>
      </c>
    </row>
    <row r="2230" spans="1:29" x14ac:dyDescent="0.25">
      <c r="A2230" s="26">
        <v>469</v>
      </c>
      <c r="B2230" s="19" t="s">
        <v>2952</v>
      </c>
      <c r="C2230" s="44" t="s">
        <v>273</v>
      </c>
      <c r="D2230" s="19" t="s">
        <v>1025</v>
      </c>
      <c r="E2230" s="19">
        <v>20</v>
      </c>
      <c r="F2230" s="19">
        <v>300</v>
      </c>
      <c r="G2230" s="19">
        <v>1514</v>
      </c>
      <c r="H2230" s="19">
        <v>1</v>
      </c>
      <c r="I2230" s="80">
        <v>71.31</v>
      </c>
      <c r="J2230" s="80">
        <v>71.31</v>
      </c>
      <c r="K2230" s="19" t="s">
        <v>2942</v>
      </c>
      <c r="L2230" s="19" t="s">
        <v>2943</v>
      </c>
      <c r="Q2230" s="20">
        <v>24</v>
      </c>
      <c r="R2230" s="65" t="s">
        <v>2010</v>
      </c>
      <c r="T2230" s="19" t="s">
        <v>307</v>
      </c>
      <c r="V2230" s="19" t="s">
        <v>178</v>
      </c>
      <c r="Y2230" s="19" t="s">
        <v>138</v>
      </c>
      <c r="Z2230" s="44" t="s">
        <v>2449</v>
      </c>
      <c r="AA2230" s="44" t="s">
        <v>2944</v>
      </c>
      <c r="AC2230" s="19" t="s">
        <v>2945</v>
      </c>
    </row>
    <row r="2231" spans="1:29" x14ac:dyDescent="0.25">
      <c r="A2231" s="26">
        <v>470</v>
      </c>
      <c r="B2231" s="19" t="s">
        <v>2953</v>
      </c>
      <c r="C2231" s="44" t="s">
        <v>273</v>
      </c>
      <c r="D2231" s="19" t="s">
        <v>1025</v>
      </c>
      <c r="E2231" s="19">
        <v>20</v>
      </c>
      <c r="F2231" s="19">
        <v>300</v>
      </c>
      <c r="G2231" s="19">
        <v>1514</v>
      </c>
      <c r="H2231" s="19">
        <v>1</v>
      </c>
      <c r="I2231" s="80">
        <v>71.31</v>
      </c>
      <c r="J2231" s="80">
        <v>71.31</v>
      </c>
      <c r="K2231" s="19" t="s">
        <v>2942</v>
      </c>
      <c r="L2231" s="19" t="s">
        <v>2943</v>
      </c>
      <c r="Q2231" s="20">
        <v>24</v>
      </c>
      <c r="R2231" s="65" t="s">
        <v>2010</v>
      </c>
      <c r="T2231" s="19" t="s">
        <v>307</v>
      </c>
      <c r="V2231" s="19" t="s">
        <v>178</v>
      </c>
      <c r="Y2231" s="19" t="s">
        <v>138</v>
      </c>
      <c r="Z2231" s="44" t="s">
        <v>2449</v>
      </c>
      <c r="AA2231" s="44" t="s">
        <v>2944</v>
      </c>
      <c r="AC2231" s="19" t="s">
        <v>2945</v>
      </c>
    </row>
    <row r="2232" spans="1:29" x14ac:dyDescent="0.25">
      <c r="A2232" s="26">
        <v>471</v>
      </c>
      <c r="B2232" s="19" t="s">
        <v>2954</v>
      </c>
      <c r="C2232" s="44" t="s">
        <v>273</v>
      </c>
      <c r="D2232" s="19" t="s">
        <v>1025</v>
      </c>
      <c r="E2232" s="19">
        <v>20</v>
      </c>
      <c r="F2232" s="19">
        <v>300</v>
      </c>
      <c r="G2232" s="19">
        <v>1514</v>
      </c>
      <c r="H2232" s="19">
        <v>1</v>
      </c>
      <c r="I2232" s="80">
        <v>71.31</v>
      </c>
      <c r="J2232" s="80">
        <v>71.31</v>
      </c>
      <c r="K2232" s="19" t="s">
        <v>2942</v>
      </c>
      <c r="L2232" s="19" t="s">
        <v>2943</v>
      </c>
      <c r="Q2232" s="20">
        <v>24</v>
      </c>
      <c r="R2232" s="65" t="s">
        <v>2010</v>
      </c>
      <c r="T2232" s="19" t="s">
        <v>307</v>
      </c>
      <c r="V2232" s="19" t="s">
        <v>178</v>
      </c>
      <c r="Y2232" s="19" t="s">
        <v>138</v>
      </c>
      <c r="Z2232" s="44" t="s">
        <v>2449</v>
      </c>
      <c r="AA2232" s="44" t="s">
        <v>2944</v>
      </c>
      <c r="AC2232" s="19" t="s">
        <v>2945</v>
      </c>
    </row>
    <row r="2233" spans="1:29" x14ac:dyDescent="0.25">
      <c r="A2233" s="26">
        <v>472</v>
      </c>
      <c r="B2233" s="19" t="s">
        <v>2955</v>
      </c>
      <c r="C2233" s="44" t="s">
        <v>273</v>
      </c>
      <c r="D2233" s="19" t="s">
        <v>1025</v>
      </c>
      <c r="E2233" s="19">
        <v>20</v>
      </c>
      <c r="F2233" s="19">
        <v>300</v>
      </c>
      <c r="G2233" s="19">
        <v>1514</v>
      </c>
      <c r="H2233" s="19">
        <v>1</v>
      </c>
      <c r="I2233" s="80">
        <v>71.31</v>
      </c>
      <c r="J2233" s="80">
        <v>71.31</v>
      </c>
      <c r="K2233" s="19" t="s">
        <v>2942</v>
      </c>
      <c r="L2233" s="19" t="s">
        <v>2943</v>
      </c>
      <c r="Q2233" s="20">
        <v>24</v>
      </c>
      <c r="R2233" s="65" t="s">
        <v>2010</v>
      </c>
      <c r="T2233" s="19" t="s">
        <v>307</v>
      </c>
      <c r="V2233" s="19" t="s">
        <v>178</v>
      </c>
      <c r="Y2233" s="19" t="s">
        <v>138</v>
      </c>
      <c r="Z2233" s="44" t="s">
        <v>2449</v>
      </c>
      <c r="AA2233" s="44" t="s">
        <v>2944</v>
      </c>
      <c r="AC2233" s="19" t="s">
        <v>2945</v>
      </c>
    </row>
    <row r="2234" spans="1:29" x14ac:dyDescent="0.25">
      <c r="A2234" s="26">
        <v>473</v>
      </c>
      <c r="B2234" s="19" t="s">
        <v>2956</v>
      </c>
      <c r="C2234" s="44" t="s">
        <v>273</v>
      </c>
      <c r="D2234" s="19" t="s">
        <v>1025</v>
      </c>
      <c r="E2234" s="19">
        <v>20</v>
      </c>
      <c r="F2234" s="19">
        <v>300</v>
      </c>
      <c r="G2234" s="19">
        <v>1514</v>
      </c>
      <c r="H2234" s="19">
        <v>1</v>
      </c>
      <c r="I2234" s="80">
        <v>71.31</v>
      </c>
      <c r="J2234" s="80">
        <v>71.31</v>
      </c>
      <c r="K2234" s="19" t="s">
        <v>2942</v>
      </c>
      <c r="L2234" s="19" t="s">
        <v>2943</v>
      </c>
      <c r="Q2234" s="20">
        <v>24</v>
      </c>
      <c r="R2234" s="65" t="s">
        <v>2010</v>
      </c>
      <c r="T2234" s="19" t="s">
        <v>307</v>
      </c>
      <c r="V2234" s="19" t="s">
        <v>178</v>
      </c>
      <c r="Y2234" s="19" t="s">
        <v>138</v>
      </c>
      <c r="Z2234" s="44" t="s">
        <v>2449</v>
      </c>
      <c r="AA2234" s="44" t="s">
        <v>2944</v>
      </c>
      <c r="AC2234" s="19" t="s">
        <v>2945</v>
      </c>
    </row>
    <row r="2235" spans="1:29" x14ac:dyDescent="0.25">
      <c r="A2235" s="26">
        <v>474</v>
      </c>
      <c r="B2235" s="19" t="s">
        <v>2957</v>
      </c>
      <c r="C2235" s="44" t="s">
        <v>273</v>
      </c>
      <c r="D2235" s="19" t="s">
        <v>1025</v>
      </c>
      <c r="E2235" s="19">
        <v>20</v>
      </c>
      <c r="F2235" s="19">
        <v>300</v>
      </c>
      <c r="G2235" s="19">
        <v>1514</v>
      </c>
      <c r="H2235" s="19">
        <v>1</v>
      </c>
      <c r="I2235" s="80">
        <v>71.31</v>
      </c>
      <c r="J2235" s="80">
        <v>71.31</v>
      </c>
      <c r="K2235" s="19" t="s">
        <v>2942</v>
      </c>
      <c r="L2235" s="19" t="s">
        <v>2943</v>
      </c>
      <c r="Q2235" s="20">
        <v>24</v>
      </c>
      <c r="R2235" s="65" t="s">
        <v>2010</v>
      </c>
      <c r="T2235" s="19" t="s">
        <v>307</v>
      </c>
      <c r="V2235" s="19" t="s">
        <v>178</v>
      </c>
      <c r="Y2235" s="19" t="s">
        <v>138</v>
      </c>
      <c r="Z2235" s="44" t="s">
        <v>2449</v>
      </c>
      <c r="AA2235" s="44" t="s">
        <v>2944</v>
      </c>
      <c r="AC2235" s="19" t="s">
        <v>2945</v>
      </c>
    </row>
    <row r="2236" spans="1:29" x14ac:dyDescent="0.25">
      <c r="A2236" s="26">
        <v>475</v>
      </c>
      <c r="B2236" s="19" t="s">
        <v>2958</v>
      </c>
      <c r="C2236" s="44" t="s">
        <v>273</v>
      </c>
      <c r="D2236" s="19" t="s">
        <v>1025</v>
      </c>
      <c r="E2236" s="19">
        <v>20</v>
      </c>
      <c r="F2236" s="19">
        <v>300</v>
      </c>
      <c r="G2236" s="19">
        <v>1514</v>
      </c>
      <c r="H2236" s="19">
        <v>1</v>
      </c>
      <c r="I2236" s="80">
        <v>71.31</v>
      </c>
      <c r="J2236" s="80">
        <v>71.31</v>
      </c>
      <c r="K2236" s="19" t="s">
        <v>2942</v>
      </c>
      <c r="L2236" s="19" t="s">
        <v>2943</v>
      </c>
      <c r="Q2236" s="20">
        <v>24</v>
      </c>
      <c r="R2236" s="65" t="s">
        <v>2010</v>
      </c>
      <c r="T2236" s="19" t="s">
        <v>307</v>
      </c>
      <c r="V2236" s="19" t="s">
        <v>178</v>
      </c>
      <c r="Y2236" s="19" t="s">
        <v>138</v>
      </c>
      <c r="Z2236" s="44" t="s">
        <v>2449</v>
      </c>
      <c r="AA2236" s="44" t="s">
        <v>2944</v>
      </c>
      <c r="AC2236" s="19" t="s">
        <v>2945</v>
      </c>
    </row>
    <row r="2237" spans="1:29" x14ac:dyDescent="0.25">
      <c r="A2237" s="26">
        <v>476</v>
      </c>
      <c r="B2237" s="19" t="s">
        <v>2959</v>
      </c>
      <c r="C2237" s="44" t="s">
        <v>273</v>
      </c>
      <c r="D2237" s="19" t="s">
        <v>1025</v>
      </c>
      <c r="E2237" s="19">
        <v>20</v>
      </c>
      <c r="F2237" s="19">
        <v>300</v>
      </c>
      <c r="G2237" s="19">
        <v>1514</v>
      </c>
      <c r="H2237" s="19">
        <v>1</v>
      </c>
      <c r="I2237" s="80">
        <v>71.31</v>
      </c>
      <c r="J2237" s="80">
        <v>71.31</v>
      </c>
      <c r="K2237" s="19" t="s">
        <v>2942</v>
      </c>
      <c r="L2237" s="19" t="s">
        <v>2943</v>
      </c>
      <c r="Q2237" s="20">
        <v>24</v>
      </c>
      <c r="R2237" s="65" t="s">
        <v>2010</v>
      </c>
      <c r="T2237" s="19" t="s">
        <v>307</v>
      </c>
      <c r="V2237" s="19" t="s">
        <v>178</v>
      </c>
      <c r="Y2237" s="19" t="s">
        <v>138</v>
      </c>
      <c r="Z2237" s="44" t="s">
        <v>2449</v>
      </c>
      <c r="AA2237" s="44" t="s">
        <v>2944</v>
      </c>
      <c r="AC2237" s="19" t="s">
        <v>2945</v>
      </c>
    </row>
    <row r="2238" spans="1:29" x14ac:dyDescent="0.25">
      <c r="A2238" s="26">
        <v>477</v>
      </c>
      <c r="B2238" s="19" t="s">
        <v>2960</v>
      </c>
      <c r="C2238" s="44" t="s">
        <v>273</v>
      </c>
      <c r="D2238" s="19" t="s">
        <v>1363</v>
      </c>
      <c r="E2238" s="19">
        <v>20</v>
      </c>
      <c r="F2238" s="19">
        <v>270</v>
      </c>
      <c r="G2238" s="19">
        <v>300</v>
      </c>
      <c r="H2238" s="19">
        <v>3</v>
      </c>
      <c r="I2238" s="80">
        <v>12.72</v>
      </c>
      <c r="J2238" s="80">
        <v>38.15</v>
      </c>
      <c r="K2238" s="19" t="s">
        <v>2942</v>
      </c>
      <c r="L2238" s="19" t="s">
        <v>2943</v>
      </c>
      <c r="Q2238" s="20">
        <v>24</v>
      </c>
      <c r="R2238" s="65" t="s">
        <v>2010</v>
      </c>
      <c r="T2238" s="19" t="s">
        <v>307</v>
      </c>
      <c r="V2238" s="19" t="s">
        <v>178</v>
      </c>
      <c r="W2238" s="19" t="s">
        <v>138</v>
      </c>
      <c r="Z2238" s="44" t="s">
        <v>2449</v>
      </c>
      <c r="AA2238" s="44" t="s">
        <v>2944</v>
      </c>
      <c r="AC2238" s="19" t="s">
        <v>2945</v>
      </c>
    </row>
    <row r="2239" spans="1:29" x14ac:dyDescent="0.25">
      <c r="A2239" s="26">
        <v>478</v>
      </c>
      <c r="B2239" s="19" t="s">
        <v>2961</v>
      </c>
      <c r="C2239" s="44" t="s">
        <v>273</v>
      </c>
      <c r="D2239" s="19" t="s">
        <v>1025</v>
      </c>
      <c r="E2239" s="19">
        <v>20</v>
      </c>
      <c r="F2239" s="19">
        <v>300</v>
      </c>
      <c r="G2239" s="19">
        <v>1514</v>
      </c>
      <c r="H2239" s="19">
        <v>1</v>
      </c>
      <c r="I2239" s="80">
        <v>71.31</v>
      </c>
      <c r="J2239" s="80">
        <v>71.31</v>
      </c>
      <c r="K2239" s="19" t="s">
        <v>2942</v>
      </c>
      <c r="L2239" s="19" t="s">
        <v>2943</v>
      </c>
      <c r="Q2239" s="20">
        <v>24</v>
      </c>
      <c r="R2239" s="65" t="s">
        <v>2010</v>
      </c>
      <c r="T2239" s="19" t="s">
        <v>307</v>
      </c>
      <c r="V2239" s="19" t="s">
        <v>178</v>
      </c>
      <c r="Y2239" s="19" t="s">
        <v>138</v>
      </c>
      <c r="Z2239" s="44" t="s">
        <v>2449</v>
      </c>
      <c r="AA2239" s="44" t="s">
        <v>2944</v>
      </c>
      <c r="AC2239" s="19" t="s">
        <v>2945</v>
      </c>
    </row>
    <row r="2240" spans="1:29" x14ac:dyDescent="0.25">
      <c r="A2240" s="26">
        <v>479</v>
      </c>
      <c r="B2240" s="19" t="s">
        <v>2962</v>
      </c>
      <c r="C2240" s="44" t="s">
        <v>273</v>
      </c>
      <c r="D2240" s="19" t="s">
        <v>1025</v>
      </c>
      <c r="E2240" s="19">
        <v>20</v>
      </c>
      <c r="F2240" s="19">
        <v>300</v>
      </c>
      <c r="G2240" s="19">
        <v>1514</v>
      </c>
      <c r="H2240" s="19">
        <v>1</v>
      </c>
      <c r="I2240" s="80">
        <v>71.31</v>
      </c>
      <c r="J2240" s="80">
        <v>71.31</v>
      </c>
      <c r="K2240" s="19" t="s">
        <v>2942</v>
      </c>
      <c r="L2240" s="19" t="s">
        <v>2943</v>
      </c>
      <c r="Q2240" s="20">
        <v>24</v>
      </c>
      <c r="R2240" s="65" t="s">
        <v>2010</v>
      </c>
      <c r="T2240" s="19" t="s">
        <v>307</v>
      </c>
      <c r="V2240" s="19" t="s">
        <v>178</v>
      </c>
      <c r="Y2240" s="19" t="s">
        <v>138</v>
      </c>
      <c r="Z2240" s="44" t="s">
        <v>2449</v>
      </c>
      <c r="AA2240" s="44" t="s">
        <v>2944</v>
      </c>
      <c r="AC2240" s="19" t="s">
        <v>2945</v>
      </c>
    </row>
    <row r="2241" spans="1:29" x14ac:dyDescent="0.25">
      <c r="A2241" s="26">
        <v>480</v>
      </c>
      <c r="B2241" s="19" t="s">
        <v>2963</v>
      </c>
      <c r="C2241" s="44" t="s">
        <v>273</v>
      </c>
      <c r="D2241" s="19" t="s">
        <v>1025</v>
      </c>
      <c r="E2241" s="19">
        <v>20</v>
      </c>
      <c r="F2241" s="19">
        <v>300</v>
      </c>
      <c r="G2241" s="19">
        <v>1514</v>
      </c>
      <c r="H2241" s="19">
        <v>1</v>
      </c>
      <c r="I2241" s="80">
        <v>71.31</v>
      </c>
      <c r="J2241" s="80">
        <v>71.31</v>
      </c>
      <c r="K2241" s="19" t="s">
        <v>2942</v>
      </c>
      <c r="L2241" s="19" t="s">
        <v>2943</v>
      </c>
      <c r="Q2241" s="20">
        <v>24</v>
      </c>
      <c r="R2241" s="65" t="s">
        <v>2010</v>
      </c>
      <c r="T2241" s="19" t="s">
        <v>307</v>
      </c>
      <c r="V2241" s="19" t="s">
        <v>178</v>
      </c>
      <c r="Y2241" s="19" t="s">
        <v>138</v>
      </c>
      <c r="Z2241" s="44" t="s">
        <v>2449</v>
      </c>
      <c r="AA2241" s="44" t="s">
        <v>2944</v>
      </c>
      <c r="AC2241" s="19" t="s">
        <v>2945</v>
      </c>
    </row>
    <row r="2242" spans="1:29" x14ac:dyDescent="0.25">
      <c r="A2242" s="26">
        <v>481</v>
      </c>
      <c r="B2242" s="19" t="s">
        <v>2964</v>
      </c>
      <c r="C2242" s="44" t="s">
        <v>273</v>
      </c>
      <c r="D2242" s="19" t="s">
        <v>1025</v>
      </c>
      <c r="E2242" s="19">
        <v>20</v>
      </c>
      <c r="F2242" s="19">
        <v>300</v>
      </c>
      <c r="G2242" s="19">
        <v>1514</v>
      </c>
      <c r="H2242" s="19">
        <v>1</v>
      </c>
      <c r="I2242" s="80">
        <v>71.31</v>
      </c>
      <c r="J2242" s="80">
        <v>71.31</v>
      </c>
      <c r="K2242" s="19" t="s">
        <v>2942</v>
      </c>
      <c r="L2242" s="19" t="s">
        <v>2943</v>
      </c>
      <c r="Q2242" s="20">
        <v>24</v>
      </c>
      <c r="R2242" s="65" t="s">
        <v>2010</v>
      </c>
      <c r="T2242" s="19" t="s">
        <v>307</v>
      </c>
      <c r="V2242" s="19" t="s">
        <v>178</v>
      </c>
      <c r="Y2242" s="19" t="s">
        <v>138</v>
      </c>
      <c r="Z2242" s="44" t="s">
        <v>2449</v>
      </c>
      <c r="AA2242" s="44" t="s">
        <v>2944</v>
      </c>
      <c r="AC2242" s="19" t="s">
        <v>2945</v>
      </c>
    </row>
    <row r="2243" spans="1:29" x14ac:dyDescent="0.25">
      <c r="A2243" s="26">
        <v>482</v>
      </c>
      <c r="B2243" s="19" t="s">
        <v>2965</v>
      </c>
      <c r="C2243" s="44" t="s">
        <v>273</v>
      </c>
      <c r="D2243" s="19" t="s">
        <v>1025</v>
      </c>
      <c r="E2243" s="19">
        <v>20</v>
      </c>
      <c r="F2243" s="19">
        <v>300</v>
      </c>
      <c r="G2243" s="19">
        <v>1514</v>
      </c>
      <c r="H2243" s="19">
        <v>1</v>
      </c>
      <c r="I2243" s="80">
        <v>71.31</v>
      </c>
      <c r="J2243" s="80">
        <v>71.31</v>
      </c>
      <c r="K2243" s="19" t="s">
        <v>2942</v>
      </c>
      <c r="L2243" s="19" t="s">
        <v>2943</v>
      </c>
      <c r="Q2243" s="20">
        <v>24</v>
      </c>
      <c r="R2243" s="65" t="s">
        <v>2010</v>
      </c>
      <c r="T2243" s="19" t="s">
        <v>307</v>
      </c>
      <c r="V2243" s="19" t="s">
        <v>178</v>
      </c>
      <c r="Y2243" s="19" t="s">
        <v>138</v>
      </c>
      <c r="Z2243" s="44" t="s">
        <v>2449</v>
      </c>
      <c r="AA2243" s="44" t="s">
        <v>2944</v>
      </c>
      <c r="AC2243" s="19" t="s">
        <v>2945</v>
      </c>
    </row>
    <row r="2244" spans="1:29" x14ac:dyDescent="0.25">
      <c r="A2244" s="26">
        <v>483</v>
      </c>
      <c r="B2244" s="19" t="s">
        <v>2966</v>
      </c>
      <c r="C2244" s="44" t="s">
        <v>273</v>
      </c>
      <c r="D2244" s="19" t="s">
        <v>1050</v>
      </c>
      <c r="E2244" s="19">
        <v>20</v>
      </c>
      <c r="F2244" s="19">
        <v>300</v>
      </c>
      <c r="G2244" s="19">
        <v>1383</v>
      </c>
      <c r="H2244" s="19">
        <v>1</v>
      </c>
      <c r="I2244" s="80">
        <v>65.14</v>
      </c>
      <c r="J2244" s="80">
        <v>65.14</v>
      </c>
      <c r="K2244" s="19" t="s">
        <v>2942</v>
      </c>
      <c r="L2244" s="19" t="s">
        <v>2943</v>
      </c>
      <c r="P2244" s="19" t="s">
        <v>138</v>
      </c>
      <c r="Q2244" s="20">
        <v>24</v>
      </c>
      <c r="R2244" s="65" t="s">
        <v>2010</v>
      </c>
      <c r="T2244" s="19" t="s">
        <v>307</v>
      </c>
      <c r="V2244" s="19" t="s">
        <v>178</v>
      </c>
      <c r="Y2244" s="19" t="s">
        <v>138</v>
      </c>
      <c r="Z2244" s="44" t="s">
        <v>2449</v>
      </c>
      <c r="AA2244" s="44" t="s">
        <v>2944</v>
      </c>
      <c r="AC2244" s="19" t="s">
        <v>2945</v>
      </c>
    </row>
    <row r="2245" spans="1:29" x14ac:dyDescent="0.25">
      <c r="A2245" s="26">
        <v>484</v>
      </c>
      <c r="B2245" s="19" t="s">
        <v>2967</v>
      </c>
      <c r="C2245" s="44" t="s">
        <v>273</v>
      </c>
      <c r="D2245" s="19" t="s">
        <v>1025</v>
      </c>
      <c r="E2245" s="19">
        <v>20</v>
      </c>
      <c r="F2245" s="19">
        <v>300</v>
      </c>
      <c r="G2245" s="19">
        <v>1514</v>
      </c>
      <c r="H2245" s="19">
        <v>1</v>
      </c>
      <c r="I2245" s="80">
        <v>71.31</v>
      </c>
      <c r="J2245" s="80">
        <v>71.31</v>
      </c>
      <c r="K2245" s="19" t="s">
        <v>2942</v>
      </c>
      <c r="L2245" s="19" t="s">
        <v>2943</v>
      </c>
      <c r="Q2245" s="20">
        <v>24</v>
      </c>
      <c r="R2245" s="65" t="s">
        <v>2010</v>
      </c>
      <c r="T2245" s="19" t="s">
        <v>307</v>
      </c>
      <c r="V2245" s="19" t="s">
        <v>178</v>
      </c>
      <c r="Y2245" s="19" t="s">
        <v>138</v>
      </c>
      <c r="Z2245" s="44" t="s">
        <v>2449</v>
      </c>
      <c r="AA2245" s="44" t="s">
        <v>2944</v>
      </c>
      <c r="AC2245" s="19" t="s">
        <v>2945</v>
      </c>
    </row>
    <row r="2246" spans="1:29" x14ac:dyDescent="0.25">
      <c r="A2246" s="26">
        <v>485</v>
      </c>
      <c r="B2246" s="19" t="s">
        <v>2968</v>
      </c>
      <c r="C2246" s="44" t="s">
        <v>273</v>
      </c>
      <c r="D2246" s="19" t="s">
        <v>1025</v>
      </c>
      <c r="E2246" s="19">
        <v>20</v>
      </c>
      <c r="F2246" s="19">
        <v>300</v>
      </c>
      <c r="G2246" s="19">
        <v>1514</v>
      </c>
      <c r="H2246" s="19">
        <v>1</v>
      </c>
      <c r="I2246" s="80">
        <v>71.31</v>
      </c>
      <c r="J2246" s="80">
        <v>71.31</v>
      </c>
      <c r="K2246" s="19" t="s">
        <v>2942</v>
      </c>
      <c r="L2246" s="19" t="s">
        <v>2943</v>
      </c>
      <c r="Q2246" s="20">
        <v>24</v>
      </c>
      <c r="R2246" s="65" t="s">
        <v>2010</v>
      </c>
      <c r="T2246" s="19" t="s">
        <v>307</v>
      </c>
      <c r="V2246" s="19" t="s">
        <v>178</v>
      </c>
      <c r="Y2246" s="19" t="s">
        <v>138</v>
      </c>
      <c r="Z2246" s="44" t="s">
        <v>2449</v>
      </c>
      <c r="AA2246" s="44" t="s">
        <v>2944</v>
      </c>
      <c r="AC2246" s="19" t="s">
        <v>2945</v>
      </c>
    </row>
    <row r="2247" spans="1:29" x14ac:dyDescent="0.25">
      <c r="A2247" s="26">
        <v>486</v>
      </c>
      <c r="B2247" s="19" t="s">
        <v>2969</v>
      </c>
      <c r="C2247" s="44" t="s">
        <v>273</v>
      </c>
      <c r="D2247" s="19" t="s">
        <v>1050</v>
      </c>
      <c r="E2247" s="19">
        <v>20</v>
      </c>
      <c r="F2247" s="19">
        <v>300</v>
      </c>
      <c r="G2247" s="19">
        <v>1383</v>
      </c>
      <c r="H2247" s="19">
        <v>1</v>
      </c>
      <c r="I2247" s="80">
        <v>65.14</v>
      </c>
      <c r="J2247" s="80">
        <v>65.14</v>
      </c>
      <c r="K2247" s="19" t="s">
        <v>2942</v>
      </c>
      <c r="L2247" s="19" t="s">
        <v>2943</v>
      </c>
      <c r="P2247" s="19" t="s">
        <v>138</v>
      </c>
      <c r="Q2247" s="20">
        <v>24</v>
      </c>
      <c r="R2247" s="65" t="s">
        <v>2010</v>
      </c>
      <c r="T2247" s="19" t="s">
        <v>307</v>
      </c>
      <c r="V2247" s="19" t="s">
        <v>178</v>
      </c>
      <c r="Y2247" s="19" t="s">
        <v>138</v>
      </c>
      <c r="Z2247" s="44" t="s">
        <v>2449</v>
      </c>
      <c r="AA2247" s="44" t="s">
        <v>2944</v>
      </c>
      <c r="AC2247" s="19" t="s">
        <v>2945</v>
      </c>
    </row>
    <row r="2248" spans="1:29" x14ac:dyDescent="0.25">
      <c r="A2248" s="26">
        <v>487</v>
      </c>
      <c r="B2248" s="19" t="s">
        <v>2970</v>
      </c>
      <c r="C2248" s="44" t="s">
        <v>273</v>
      </c>
      <c r="D2248" s="19" t="s">
        <v>1025</v>
      </c>
      <c r="E2248" s="19">
        <v>20</v>
      </c>
      <c r="F2248" s="19">
        <v>300</v>
      </c>
      <c r="G2248" s="19">
        <v>1514</v>
      </c>
      <c r="H2248" s="19">
        <v>1</v>
      </c>
      <c r="I2248" s="80">
        <v>71.31</v>
      </c>
      <c r="J2248" s="80">
        <v>71.31</v>
      </c>
      <c r="K2248" s="19" t="s">
        <v>2942</v>
      </c>
      <c r="L2248" s="19" t="s">
        <v>2943</v>
      </c>
      <c r="Q2248" s="20">
        <v>24</v>
      </c>
      <c r="R2248" s="65" t="s">
        <v>2010</v>
      </c>
      <c r="T2248" s="19" t="s">
        <v>307</v>
      </c>
      <c r="V2248" s="19" t="s">
        <v>178</v>
      </c>
      <c r="Y2248" s="19" t="s">
        <v>138</v>
      </c>
      <c r="Z2248" s="44" t="s">
        <v>2449</v>
      </c>
      <c r="AA2248" s="44" t="s">
        <v>2944</v>
      </c>
      <c r="AC2248" s="19" t="s">
        <v>2945</v>
      </c>
    </row>
    <row r="2249" spans="1:29" x14ac:dyDescent="0.25">
      <c r="A2249" s="26">
        <v>488</v>
      </c>
      <c r="B2249" s="19" t="s">
        <v>2971</v>
      </c>
      <c r="C2249" s="44" t="s">
        <v>273</v>
      </c>
      <c r="D2249" s="19" t="s">
        <v>1011</v>
      </c>
      <c r="E2249" s="19">
        <v>20</v>
      </c>
      <c r="F2249" s="19">
        <v>300</v>
      </c>
      <c r="G2249" s="19">
        <v>9980</v>
      </c>
      <c r="H2249" s="19">
        <v>1</v>
      </c>
      <c r="I2249" s="80">
        <v>470.06</v>
      </c>
      <c r="J2249" s="80">
        <v>470.06</v>
      </c>
      <c r="K2249" s="19" t="s">
        <v>195</v>
      </c>
      <c r="L2249" s="19" t="s">
        <v>2972</v>
      </c>
      <c r="Q2249" s="20">
        <v>24</v>
      </c>
      <c r="R2249" s="65" t="s">
        <v>2010</v>
      </c>
      <c r="T2249" s="19" t="s">
        <v>307</v>
      </c>
      <c r="V2249" s="19" t="s">
        <v>178</v>
      </c>
      <c r="Y2249" s="19" t="s">
        <v>138</v>
      </c>
      <c r="Z2249" s="44" t="s">
        <v>2449</v>
      </c>
      <c r="AA2249" s="44" t="s">
        <v>2973</v>
      </c>
      <c r="AC2249" s="19" t="s">
        <v>2974</v>
      </c>
    </row>
    <row r="2250" spans="1:29" x14ac:dyDescent="0.25">
      <c r="A2250" s="26">
        <v>489</v>
      </c>
      <c r="B2250" s="19" t="s">
        <v>2975</v>
      </c>
      <c r="C2250" s="44" t="s">
        <v>273</v>
      </c>
      <c r="D2250" s="19" t="s">
        <v>1011</v>
      </c>
      <c r="E2250" s="19">
        <v>20</v>
      </c>
      <c r="F2250" s="19">
        <v>300</v>
      </c>
      <c r="G2250" s="19">
        <v>9980</v>
      </c>
      <c r="H2250" s="19">
        <v>1</v>
      </c>
      <c r="I2250" s="80">
        <v>470.06</v>
      </c>
      <c r="J2250" s="80">
        <v>470.06</v>
      </c>
      <c r="K2250" s="19" t="s">
        <v>195</v>
      </c>
      <c r="L2250" s="19" t="s">
        <v>2972</v>
      </c>
      <c r="Q2250" s="20">
        <v>24</v>
      </c>
      <c r="R2250" s="65" t="s">
        <v>2010</v>
      </c>
      <c r="T2250" s="19" t="s">
        <v>307</v>
      </c>
      <c r="V2250" s="19" t="s">
        <v>178</v>
      </c>
      <c r="Y2250" s="19" t="s">
        <v>138</v>
      </c>
      <c r="Z2250" s="44" t="s">
        <v>2449</v>
      </c>
      <c r="AA2250" s="44" t="s">
        <v>2973</v>
      </c>
      <c r="AC2250" s="19" t="s">
        <v>2974</v>
      </c>
    </row>
    <row r="2251" spans="1:29" x14ac:dyDescent="0.25">
      <c r="A2251" s="26">
        <v>490</v>
      </c>
      <c r="B2251" s="19" t="s">
        <v>2976</v>
      </c>
      <c r="C2251" s="44" t="s">
        <v>273</v>
      </c>
      <c r="D2251" s="19" t="s">
        <v>1011</v>
      </c>
      <c r="E2251" s="19">
        <v>20</v>
      </c>
      <c r="F2251" s="19">
        <v>300</v>
      </c>
      <c r="G2251" s="19">
        <v>9980</v>
      </c>
      <c r="H2251" s="19">
        <v>1</v>
      </c>
      <c r="I2251" s="80">
        <v>470.06</v>
      </c>
      <c r="J2251" s="80">
        <v>470.06</v>
      </c>
      <c r="K2251" s="19" t="s">
        <v>195</v>
      </c>
      <c r="L2251" s="19" t="s">
        <v>2972</v>
      </c>
      <c r="Q2251" s="20">
        <v>24</v>
      </c>
      <c r="R2251" s="65" t="s">
        <v>2010</v>
      </c>
      <c r="T2251" s="19" t="s">
        <v>307</v>
      </c>
      <c r="V2251" s="19" t="s">
        <v>178</v>
      </c>
      <c r="Y2251" s="19" t="s">
        <v>138</v>
      </c>
      <c r="Z2251" s="44" t="s">
        <v>2449</v>
      </c>
      <c r="AA2251" s="44" t="s">
        <v>2973</v>
      </c>
      <c r="AC2251" s="19" t="s">
        <v>2974</v>
      </c>
    </row>
    <row r="2252" spans="1:29" x14ac:dyDescent="0.25">
      <c r="A2252" s="26">
        <v>491</v>
      </c>
      <c r="B2252" s="19" t="s">
        <v>2977</v>
      </c>
      <c r="C2252" s="44" t="s">
        <v>273</v>
      </c>
      <c r="D2252" s="19" t="s">
        <v>1011</v>
      </c>
      <c r="E2252" s="19">
        <v>20</v>
      </c>
      <c r="F2252" s="19">
        <v>300</v>
      </c>
      <c r="G2252" s="19">
        <v>9980</v>
      </c>
      <c r="H2252" s="19">
        <v>1</v>
      </c>
      <c r="I2252" s="80">
        <v>470.06</v>
      </c>
      <c r="J2252" s="80">
        <v>470.06</v>
      </c>
      <c r="K2252" s="19" t="s">
        <v>195</v>
      </c>
      <c r="L2252" s="19" t="s">
        <v>2972</v>
      </c>
      <c r="Q2252" s="20">
        <v>24</v>
      </c>
      <c r="R2252" s="65" t="s">
        <v>2010</v>
      </c>
      <c r="T2252" s="19" t="s">
        <v>307</v>
      </c>
      <c r="V2252" s="19" t="s">
        <v>178</v>
      </c>
      <c r="Y2252" s="19" t="s">
        <v>138</v>
      </c>
      <c r="Z2252" s="44" t="s">
        <v>2449</v>
      </c>
      <c r="AA2252" s="44" t="s">
        <v>2973</v>
      </c>
      <c r="AC2252" s="19" t="s">
        <v>2974</v>
      </c>
    </row>
    <row r="2253" spans="1:29" x14ac:dyDescent="0.25">
      <c r="A2253" s="26">
        <v>492</v>
      </c>
      <c r="B2253" s="19" t="s">
        <v>2978</v>
      </c>
      <c r="C2253" s="44" t="s">
        <v>273</v>
      </c>
      <c r="D2253" s="19" t="s">
        <v>1370</v>
      </c>
      <c r="E2253" s="19">
        <v>20</v>
      </c>
      <c r="F2253" s="19">
        <v>300</v>
      </c>
      <c r="G2253" s="19">
        <v>480</v>
      </c>
      <c r="H2253" s="19">
        <v>5</v>
      </c>
      <c r="I2253" s="80">
        <v>22.61</v>
      </c>
      <c r="J2253" s="80">
        <v>113.04</v>
      </c>
      <c r="K2253" s="19" t="s">
        <v>195</v>
      </c>
      <c r="L2253" s="19" t="s">
        <v>2972</v>
      </c>
      <c r="Q2253" s="20">
        <v>24</v>
      </c>
      <c r="R2253" s="65" t="s">
        <v>2010</v>
      </c>
      <c r="T2253" s="19" t="s">
        <v>307</v>
      </c>
      <c r="V2253" s="19" t="s">
        <v>178</v>
      </c>
      <c r="W2253" s="19" t="s">
        <v>138</v>
      </c>
      <c r="Z2253" s="44" t="s">
        <v>2449</v>
      </c>
      <c r="AA2253" s="44" t="s">
        <v>2973</v>
      </c>
      <c r="AC2253" s="19" t="s">
        <v>2974</v>
      </c>
    </row>
    <row r="2254" spans="1:29" x14ac:dyDescent="0.25">
      <c r="A2254" s="26">
        <v>493</v>
      </c>
      <c r="B2254" s="19" t="s">
        <v>2979</v>
      </c>
      <c r="C2254" s="44" t="s">
        <v>273</v>
      </c>
      <c r="D2254" s="19" t="s">
        <v>1370</v>
      </c>
      <c r="E2254" s="19">
        <v>20</v>
      </c>
      <c r="F2254" s="19">
        <v>300</v>
      </c>
      <c r="G2254" s="19">
        <v>480</v>
      </c>
      <c r="H2254" s="19">
        <v>1</v>
      </c>
      <c r="I2254" s="80">
        <v>22.61</v>
      </c>
      <c r="J2254" s="80">
        <v>22.61</v>
      </c>
      <c r="K2254" s="19" t="s">
        <v>195</v>
      </c>
      <c r="L2254" s="19" t="s">
        <v>2972</v>
      </c>
      <c r="Q2254" s="20">
        <v>24</v>
      </c>
      <c r="R2254" s="65" t="s">
        <v>2010</v>
      </c>
      <c r="T2254" s="19" t="s">
        <v>307</v>
      </c>
      <c r="V2254" s="19" t="s">
        <v>178</v>
      </c>
      <c r="W2254" s="19" t="s">
        <v>138</v>
      </c>
      <c r="Z2254" s="44" t="s">
        <v>2449</v>
      </c>
      <c r="AA2254" s="44" t="s">
        <v>2973</v>
      </c>
      <c r="AC2254" s="19" t="s">
        <v>2974</v>
      </c>
    </row>
    <row r="2255" spans="1:29" x14ac:dyDescent="0.25">
      <c r="A2255" s="26">
        <v>494</v>
      </c>
      <c r="B2255" s="19" t="s">
        <v>2980</v>
      </c>
      <c r="C2255" s="44" t="s">
        <v>273</v>
      </c>
      <c r="D2255" s="19" t="s">
        <v>1370</v>
      </c>
      <c r="E2255" s="19">
        <v>20</v>
      </c>
      <c r="F2255" s="19">
        <v>300</v>
      </c>
      <c r="G2255" s="19">
        <v>480</v>
      </c>
      <c r="H2255" s="19">
        <v>1</v>
      </c>
      <c r="I2255" s="80">
        <v>22.61</v>
      </c>
      <c r="J2255" s="80">
        <v>22.61</v>
      </c>
      <c r="K2255" s="19" t="s">
        <v>195</v>
      </c>
      <c r="L2255" s="19" t="s">
        <v>2972</v>
      </c>
      <c r="Q2255" s="20">
        <v>24</v>
      </c>
      <c r="R2255" s="65" t="s">
        <v>2010</v>
      </c>
      <c r="T2255" s="19" t="s">
        <v>307</v>
      </c>
      <c r="V2255" s="19" t="s">
        <v>178</v>
      </c>
      <c r="W2255" s="19" t="s">
        <v>138</v>
      </c>
      <c r="Z2255" s="44" t="s">
        <v>2449</v>
      </c>
      <c r="AA2255" s="44" t="s">
        <v>2973</v>
      </c>
      <c r="AC2255" s="19" t="s">
        <v>2974</v>
      </c>
    </row>
    <row r="2256" spans="1:29" x14ac:dyDescent="0.25">
      <c r="A2256" s="26">
        <v>495</v>
      </c>
      <c r="B2256" s="19" t="s">
        <v>2981</v>
      </c>
      <c r="C2256" s="44" t="s">
        <v>273</v>
      </c>
      <c r="D2256" s="19" t="s">
        <v>1370</v>
      </c>
      <c r="E2256" s="19">
        <v>20</v>
      </c>
      <c r="F2256" s="19">
        <v>300</v>
      </c>
      <c r="G2256" s="19">
        <v>480</v>
      </c>
      <c r="H2256" s="19">
        <v>5</v>
      </c>
      <c r="I2256" s="80">
        <v>22.61</v>
      </c>
      <c r="J2256" s="80">
        <v>113.04</v>
      </c>
      <c r="K2256" s="19" t="s">
        <v>195</v>
      </c>
      <c r="L2256" s="19" t="s">
        <v>2972</v>
      </c>
      <c r="Q2256" s="20">
        <v>24</v>
      </c>
      <c r="R2256" s="65" t="s">
        <v>2010</v>
      </c>
      <c r="T2256" s="19" t="s">
        <v>307</v>
      </c>
      <c r="V2256" s="19" t="s">
        <v>178</v>
      </c>
      <c r="W2256" s="19" t="s">
        <v>138</v>
      </c>
      <c r="Z2256" s="44" t="s">
        <v>2449</v>
      </c>
      <c r="AA2256" s="44" t="s">
        <v>2973</v>
      </c>
      <c r="AC2256" s="19" t="s">
        <v>2974</v>
      </c>
    </row>
    <row r="2257" spans="1:29" x14ac:dyDescent="0.25">
      <c r="A2257" s="26">
        <v>496</v>
      </c>
      <c r="B2257" s="19" t="s">
        <v>2912</v>
      </c>
      <c r="C2257" s="44" t="s">
        <v>273</v>
      </c>
      <c r="D2257" s="19" t="s">
        <v>1370</v>
      </c>
      <c r="E2257" s="19">
        <v>20</v>
      </c>
      <c r="F2257" s="19">
        <v>300</v>
      </c>
      <c r="G2257" s="19">
        <v>480</v>
      </c>
      <c r="H2257" s="19">
        <v>4</v>
      </c>
      <c r="I2257" s="80">
        <v>22.61</v>
      </c>
      <c r="J2257" s="80">
        <v>90.43</v>
      </c>
      <c r="K2257" s="19" t="s">
        <v>195</v>
      </c>
      <c r="L2257" s="19" t="s">
        <v>2972</v>
      </c>
      <c r="Q2257" s="20">
        <v>24</v>
      </c>
      <c r="R2257" s="65" t="s">
        <v>2010</v>
      </c>
      <c r="T2257" s="19" t="s">
        <v>307</v>
      </c>
      <c r="V2257" s="19" t="s">
        <v>178</v>
      </c>
      <c r="W2257" s="19" t="s">
        <v>138</v>
      </c>
      <c r="Z2257" s="44" t="s">
        <v>2449</v>
      </c>
      <c r="AA2257" s="44" t="s">
        <v>2973</v>
      </c>
      <c r="AC2257" s="19" t="s">
        <v>2974</v>
      </c>
    </row>
    <row r="2258" spans="1:29" x14ac:dyDescent="0.25">
      <c r="A2258" s="26">
        <v>497</v>
      </c>
      <c r="B2258" s="19" t="s">
        <v>2982</v>
      </c>
      <c r="C2258" s="44" t="s">
        <v>273</v>
      </c>
      <c r="D2258" s="19" t="s">
        <v>1030</v>
      </c>
      <c r="E2258" s="19">
        <v>20</v>
      </c>
      <c r="F2258" s="19">
        <v>330</v>
      </c>
      <c r="G2258" s="19">
        <v>9400</v>
      </c>
      <c r="H2258" s="19">
        <v>1</v>
      </c>
      <c r="I2258" s="80">
        <v>487.01</v>
      </c>
      <c r="J2258" s="80">
        <v>487.01</v>
      </c>
      <c r="K2258" s="19" t="s">
        <v>195</v>
      </c>
      <c r="L2258" s="19" t="s">
        <v>2983</v>
      </c>
      <c r="Q2258" s="20">
        <v>24</v>
      </c>
      <c r="R2258" s="65" t="s">
        <v>2010</v>
      </c>
      <c r="T2258" s="19" t="s">
        <v>307</v>
      </c>
      <c r="V2258" s="19" t="s">
        <v>178</v>
      </c>
      <c r="W2258" s="19" t="s">
        <v>138</v>
      </c>
      <c r="Z2258" s="44" t="s">
        <v>2449</v>
      </c>
      <c r="AA2258" s="44" t="s">
        <v>2984</v>
      </c>
      <c r="AC2258" s="19" t="s">
        <v>2985</v>
      </c>
    </row>
    <row r="2259" spans="1:29" x14ac:dyDescent="0.25">
      <c r="A2259" s="26">
        <v>498</v>
      </c>
      <c r="B2259" s="19" t="s">
        <v>2960</v>
      </c>
      <c r="C2259" s="44" t="s">
        <v>273</v>
      </c>
      <c r="D2259" s="19" t="s">
        <v>1363</v>
      </c>
      <c r="E2259" s="19">
        <v>20</v>
      </c>
      <c r="F2259" s="19">
        <v>270</v>
      </c>
      <c r="G2259" s="19">
        <v>300</v>
      </c>
      <c r="H2259" s="19">
        <v>1</v>
      </c>
      <c r="I2259" s="80">
        <v>12.72</v>
      </c>
      <c r="J2259" s="80">
        <v>12.72</v>
      </c>
      <c r="K2259" s="19" t="s">
        <v>195</v>
      </c>
      <c r="L2259" s="19" t="s">
        <v>2983</v>
      </c>
      <c r="Q2259" s="20">
        <v>24</v>
      </c>
      <c r="R2259" s="65" t="s">
        <v>2010</v>
      </c>
      <c r="T2259" s="19" t="s">
        <v>307</v>
      </c>
      <c r="V2259" s="19" t="s">
        <v>178</v>
      </c>
      <c r="W2259" s="19" t="s">
        <v>138</v>
      </c>
      <c r="Z2259" s="44" t="s">
        <v>2449</v>
      </c>
      <c r="AA2259" s="44" t="s">
        <v>2984</v>
      </c>
      <c r="AC2259" s="19" t="s">
        <v>2985</v>
      </c>
    </row>
    <row r="2260" spans="1:29" x14ac:dyDescent="0.25">
      <c r="A2260" s="26">
        <v>499</v>
      </c>
      <c r="B2260" s="19" t="s">
        <v>2986</v>
      </c>
      <c r="C2260" s="44" t="s">
        <v>273</v>
      </c>
      <c r="D2260" s="19" t="s">
        <v>1363</v>
      </c>
      <c r="E2260" s="19">
        <v>20</v>
      </c>
      <c r="F2260" s="19">
        <v>270</v>
      </c>
      <c r="G2260" s="19">
        <v>300</v>
      </c>
      <c r="H2260" s="19">
        <v>4</v>
      </c>
      <c r="I2260" s="80">
        <v>12.72</v>
      </c>
      <c r="J2260" s="80">
        <v>50.87</v>
      </c>
      <c r="K2260" s="19" t="s">
        <v>195</v>
      </c>
      <c r="L2260" s="19" t="s">
        <v>2983</v>
      </c>
      <c r="Q2260" s="20">
        <v>24</v>
      </c>
      <c r="R2260" s="65" t="s">
        <v>2010</v>
      </c>
      <c r="T2260" s="19" t="s">
        <v>307</v>
      </c>
      <c r="V2260" s="19" t="s">
        <v>178</v>
      </c>
      <c r="W2260" s="19" t="s">
        <v>138</v>
      </c>
      <c r="Z2260" s="44" t="s">
        <v>2449</v>
      </c>
      <c r="AA2260" s="44" t="s">
        <v>2984</v>
      </c>
      <c r="AC2260" s="19" t="s">
        <v>2985</v>
      </c>
    </row>
    <row r="2261" spans="1:29" x14ac:dyDescent="0.25">
      <c r="A2261" s="26">
        <v>500</v>
      </c>
      <c r="B2261" s="19" t="s">
        <v>2987</v>
      </c>
      <c r="C2261" s="44" t="s">
        <v>273</v>
      </c>
      <c r="D2261" s="19" t="s">
        <v>1011</v>
      </c>
      <c r="E2261" s="19">
        <v>20</v>
      </c>
      <c r="F2261" s="19">
        <v>300</v>
      </c>
      <c r="G2261" s="19">
        <v>9980</v>
      </c>
      <c r="H2261" s="19">
        <v>1</v>
      </c>
      <c r="I2261" s="80">
        <v>470.06</v>
      </c>
      <c r="J2261" s="80">
        <v>470.06</v>
      </c>
      <c r="K2261" s="19" t="s">
        <v>195</v>
      </c>
      <c r="L2261" s="19" t="s">
        <v>2983</v>
      </c>
      <c r="Q2261" s="20">
        <v>24</v>
      </c>
      <c r="R2261" s="65" t="s">
        <v>2010</v>
      </c>
      <c r="T2261" s="19" t="s">
        <v>307</v>
      </c>
      <c r="V2261" s="19" t="s">
        <v>178</v>
      </c>
      <c r="Y2261" s="19" t="s">
        <v>138</v>
      </c>
      <c r="Z2261" s="44" t="s">
        <v>2449</v>
      </c>
      <c r="AA2261" s="44" t="s">
        <v>2984</v>
      </c>
      <c r="AC2261" s="19" t="s">
        <v>2985</v>
      </c>
    </row>
    <row r="2262" spans="1:29" x14ac:dyDescent="0.25">
      <c r="A2262" s="26">
        <v>501</v>
      </c>
      <c r="B2262" s="19" t="s">
        <v>2988</v>
      </c>
      <c r="C2262" s="44" t="s">
        <v>273</v>
      </c>
      <c r="D2262" s="19" t="s">
        <v>1011</v>
      </c>
      <c r="E2262" s="19">
        <v>20</v>
      </c>
      <c r="F2262" s="19">
        <v>300</v>
      </c>
      <c r="G2262" s="19">
        <v>9980</v>
      </c>
      <c r="H2262" s="19">
        <v>1</v>
      </c>
      <c r="I2262" s="80">
        <v>470.06</v>
      </c>
      <c r="J2262" s="80">
        <v>470.06</v>
      </c>
      <c r="K2262" s="19" t="s">
        <v>195</v>
      </c>
      <c r="L2262" s="19" t="s">
        <v>2983</v>
      </c>
      <c r="Q2262" s="20">
        <v>24</v>
      </c>
      <c r="R2262" s="65" t="s">
        <v>2010</v>
      </c>
      <c r="T2262" s="19" t="s">
        <v>307</v>
      </c>
      <c r="V2262" s="19" t="s">
        <v>178</v>
      </c>
      <c r="Y2262" s="19" t="s">
        <v>138</v>
      </c>
      <c r="Z2262" s="44" t="s">
        <v>2449</v>
      </c>
      <c r="AA2262" s="44" t="s">
        <v>2984</v>
      </c>
      <c r="AC2262" s="19" t="s">
        <v>2985</v>
      </c>
    </row>
    <row r="2263" spans="1:29" x14ac:dyDescent="0.25">
      <c r="A2263" s="26">
        <v>502</v>
      </c>
      <c r="B2263" s="19" t="s">
        <v>2989</v>
      </c>
      <c r="C2263" s="44" t="s">
        <v>273</v>
      </c>
      <c r="D2263" s="19" t="s">
        <v>1028</v>
      </c>
      <c r="E2263" s="19">
        <v>20</v>
      </c>
      <c r="F2263" s="19">
        <v>300</v>
      </c>
      <c r="G2263" s="19">
        <v>9516</v>
      </c>
      <c r="H2263" s="19">
        <v>1</v>
      </c>
      <c r="I2263" s="80">
        <v>448.2</v>
      </c>
      <c r="J2263" s="80">
        <v>448.2</v>
      </c>
      <c r="K2263" s="19" t="s">
        <v>195</v>
      </c>
      <c r="L2263" s="19" t="s">
        <v>2983</v>
      </c>
      <c r="P2263" s="19" t="s">
        <v>138</v>
      </c>
      <c r="Q2263" s="20">
        <v>24</v>
      </c>
      <c r="R2263" s="65" t="s">
        <v>2010</v>
      </c>
      <c r="T2263" s="19" t="s">
        <v>307</v>
      </c>
      <c r="V2263" s="19" t="s">
        <v>178</v>
      </c>
      <c r="Y2263" s="19" t="s">
        <v>138</v>
      </c>
      <c r="Z2263" s="44" t="s">
        <v>2449</v>
      </c>
      <c r="AA2263" s="44" t="s">
        <v>2984</v>
      </c>
      <c r="AC2263" s="19" t="s">
        <v>2985</v>
      </c>
    </row>
    <row r="2264" spans="1:29" x14ac:dyDescent="0.25">
      <c r="A2264" s="26">
        <v>503</v>
      </c>
      <c r="B2264" s="19" t="s">
        <v>2990</v>
      </c>
      <c r="C2264" s="44" t="s">
        <v>273</v>
      </c>
      <c r="D2264" s="19" t="s">
        <v>1011</v>
      </c>
      <c r="E2264" s="19">
        <v>20</v>
      </c>
      <c r="F2264" s="19">
        <v>300</v>
      </c>
      <c r="G2264" s="19">
        <v>9980</v>
      </c>
      <c r="H2264" s="19">
        <v>1</v>
      </c>
      <c r="I2264" s="80">
        <v>470.06</v>
      </c>
      <c r="J2264" s="80">
        <v>470.06</v>
      </c>
      <c r="K2264" s="19" t="s">
        <v>195</v>
      </c>
      <c r="L2264" s="19" t="s">
        <v>2983</v>
      </c>
      <c r="Q2264" s="20">
        <v>24</v>
      </c>
      <c r="R2264" s="65" t="s">
        <v>2010</v>
      </c>
      <c r="T2264" s="19" t="s">
        <v>307</v>
      </c>
      <c r="V2264" s="19" t="s">
        <v>178</v>
      </c>
      <c r="Y2264" s="19" t="s">
        <v>138</v>
      </c>
      <c r="Z2264" s="44" t="s">
        <v>2449</v>
      </c>
      <c r="AA2264" s="44" t="s">
        <v>2984</v>
      </c>
      <c r="AC2264" s="19" t="s">
        <v>2985</v>
      </c>
    </row>
    <row r="2265" spans="1:29" x14ac:dyDescent="0.25">
      <c r="A2265" s="26">
        <v>504</v>
      </c>
      <c r="B2265" s="19" t="s">
        <v>2991</v>
      </c>
      <c r="C2265" s="44" t="s">
        <v>273</v>
      </c>
      <c r="D2265" s="19" t="s">
        <v>1028</v>
      </c>
      <c r="E2265" s="19">
        <v>20</v>
      </c>
      <c r="F2265" s="19">
        <v>300</v>
      </c>
      <c r="G2265" s="19">
        <v>9516</v>
      </c>
      <c r="H2265" s="19">
        <v>1</v>
      </c>
      <c r="I2265" s="80">
        <v>448.2</v>
      </c>
      <c r="J2265" s="80">
        <v>448.2</v>
      </c>
      <c r="K2265" s="19" t="s">
        <v>195</v>
      </c>
      <c r="L2265" s="19" t="s">
        <v>2983</v>
      </c>
      <c r="P2265" s="19" t="s">
        <v>138</v>
      </c>
      <c r="Q2265" s="20">
        <v>24</v>
      </c>
      <c r="R2265" s="65" t="s">
        <v>2010</v>
      </c>
      <c r="T2265" s="19" t="s">
        <v>307</v>
      </c>
      <c r="V2265" s="19" t="s">
        <v>178</v>
      </c>
      <c r="Y2265" s="19" t="s">
        <v>138</v>
      </c>
      <c r="Z2265" s="44" t="s">
        <v>2449</v>
      </c>
      <c r="AA2265" s="44" t="s">
        <v>2984</v>
      </c>
      <c r="AC2265" s="19" t="s">
        <v>2985</v>
      </c>
    </row>
    <row r="2266" spans="1:29" x14ac:dyDescent="0.25">
      <c r="A2266" s="26">
        <v>505</v>
      </c>
      <c r="B2266" s="19" t="s">
        <v>2992</v>
      </c>
      <c r="C2266" s="44" t="s">
        <v>273</v>
      </c>
      <c r="D2266" s="19" t="s">
        <v>1011</v>
      </c>
      <c r="E2266" s="19">
        <v>20</v>
      </c>
      <c r="F2266" s="19">
        <v>300</v>
      </c>
      <c r="G2266" s="19">
        <v>9980</v>
      </c>
      <c r="H2266" s="19">
        <v>1</v>
      </c>
      <c r="I2266" s="80">
        <v>470.06</v>
      </c>
      <c r="J2266" s="80">
        <v>470.06</v>
      </c>
      <c r="K2266" s="19" t="s">
        <v>195</v>
      </c>
      <c r="L2266" s="19" t="s">
        <v>2983</v>
      </c>
      <c r="Q2266" s="20">
        <v>24</v>
      </c>
      <c r="R2266" s="65" t="s">
        <v>2010</v>
      </c>
      <c r="T2266" s="19" t="s">
        <v>307</v>
      </c>
      <c r="V2266" s="19" t="s">
        <v>178</v>
      </c>
      <c r="Y2266" s="19" t="s">
        <v>138</v>
      </c>
      <c r="Z2266" s="44" t="s">
        <v>2449</v>
      </c>
      <c r="AA2266" s="44" t="s">
        <v>2984</v>
      </c>
      <c r="AC2266" s="19" t="s">
        <v>2985</v>
      </c>
    </row>
    <row r="2267" spans="1:29" x14ac:dyDescent="0.25">
      <c r="A2267" s="26">
        <v>506</v>
      </c>
      <c r="B2267" s="19" t="s">
        <v>2993</v>
      </c>
      <c r="C2267" s="44" t="s">
        <v>273</v>
      </c>
      <c r="D2267" s="19" t="s">
        <v>1363</v>
      </c>
      <c r="E2267" s="19">
        <v>20</v>
      </c>
      <c r="F2267" s="19">
        <v>270</v>
      </c>
      <c r="G2267" s="19">
        <v>300</v>
      </c>
      <c r="H2267" s="19">
        <v>4</v>
      </c>
      <c r="I2267" s="80">
        <v>12.72</v>
      </c>
      <c r="J2267" s="80">
        <v>50.87</v>
      </c>
      <c r="K2267" s="19" t="s">
        <v>195</v>
      </c>
      <c r="L2267" s="19" t="s">
        <v>2983</v>
      </c>
      <c r="Q2267" s="20">
        <v>24</v>
      </c>
      <c r="R2267" s="65" t="s">
        <v>2010</v>
      </c>
      <c r="T2267" s="19" t="s">
        <v>307</v>
      </c>
      <c r="V2267" s="19" t="s">
        <v>178</v>
      </c>
      <c r="W2267" s="19" t="s">
        <v>138</v>
      </c>
      <c r="Z2267" s="44" t="s">
        <v>2449</v>
      </c>
      <c r="AA2267" s="44" t="s">
        <v>2984</v>
      </c>
      <c r="AC2267" s="19" t="s">
        <v>2985</v>
      </c>
    </row>
    <row r="2268" spans="1:29" x14ac:dyDescent="0.25">
      <c r="A2268" s="26">
        <v>507</v>
      </c>
      <c r="B2268" s="19" t="s">
        <v>2994</v>
      </c>
      <c r="C2268" s="44" t="s">
        <v>273</v>
      </c>
      <c r="D2268" s="19" t="s">
        <v>1363</v>
      </c>
      <c r="E2268" s="19">
        <v>20</v>
      </c>
      <c r="F2268" s="19">
        <v>270</v>
      </c>
      <c r="G2268" s="19">
        <v>300</v>
      </c>
      <c r="H2268" s="19">
        <v>4</v>
      </c>
      <c r="I2268" s="80">
        <v>12.72</v>
      </c>
      <c r="J2268" s="80">
        <v>50.87</v>
      </c>
      <c r="K2268" s="19" t="s">
        <v>195</v>
      </c>
      <c r="L2268" s="19" t="s">
        <v>2983</v>
      </c>
      <c r="Q2268" s="20">
        <v>24</v>
      </c>
      <c r="R2268" s="65" t="s">
        <v>2010</v>
      </c>
      <c r="T2268" s="19" t="s">
        <v>307</v>
      </c>
      <c r="V2268" s="19" t="s">
        <v>178</v>
      </c>
      <c r="W2268" s="19" t="s">
        <v>138</v>
      </c>
      <c r="Z2268" s="44" t="s">
        <v>2449</v>
      </c>
      <c r="AA2268" s="44" t="s">
        <v>2984</v>
      </c>
      <c r="AC2268" s="19" t="s">
        <v>2985</v>
      </c>
    </row>
    <row r="2269" spans="1:29" x14ac:dyDescent="0.25">
      <c r="A2269" s="26">
        <v>508</v>
      </c>
      <c r="B2269" s="19" t="s">
        <v>2995</v>
      </c>
      <c r="C2269" s="44" t="s">
        <v>273</v>
      </c>
      <c r="D2269" s="19" t="s">
        <v>1022</v>
      </c>
      <c r="E2269" s="19">
        <v>20</v>
      </c>
      <c r="F2269" s="19">
        <v>300</v>
      </c>
      <c r="G2269" s="19">
        <v>1096</v>
      </c>
      <c r="H2269" s="19">
        <v>2</v>
      </c>
      <c r="I2269" s="80">
        <v>51.62</v>
      </c>
      <c r="J2269" s="80">
        <v>103.24</v>
      </c>
      <c r="K2269" s="19" t="s">
        <v>195</v>
      </c>
      <c r="L2269" s="19" t="s">
        <v>2983</v>
      </c>
      <c r="P2269" s="19" t="s">
        <v>138</v>
      </c>
      <c r="Q2269" s="20">
        <v>24</v>
      </c>
      <c r="R2269" s="65" t="s">
        <v>2010</v>
      </c>
      <c r="T2269" s="19" t="s">
        <v>307</v>
      </c>
      <c r="V2269" s="19" t="s">
        <v>178</v>
      </c>
      <c r="Y2269" s="19" t="s">
        <v>138</v>
      </c>
      <c r="Z2269" s="44" t="s">
        <v>2449</v>
      </c>
      <c r="AA2269" s="44" t="s">
        <v>2984</v>
      </c>
      <c r="AC2269" s="19" t="s">
        <v>2985</v>
      </c>
    </row>
    <row r="2270" spans="1:29" x14ac:dyDescent="0.25">
      <c r="A2270" s="26">
        <v>509</v>
      </c>
      <c r="B2270" s="19" t="s">
        <v>2996</v>
      </c>
      <c r="C2270" s="44" t="s">
        <v>273</v>
      </c>
      <c r="D2270" s="19" t="s">
        <v>1066</v>
      </c>
      <c r="E2270" s="19">
        <v>20</v>
      </c>
      <c r="F2270" s="19">
        <v>300</v>
      </c>
      <c r="G2270" s="19">
        <v>6464</v>
      </c>
      <c r="H2270" s="19">
        <v>1</v>
      </c>
      <c r="I2270" s="80">
        <v>304.45</v>
      </c>
      <c r="J2270" s="80">
        <v>304.45</v>
      </c>
      <c r="K2270" s="19" t="s">
        <v>1067</v>
      </c>
      <c r="L2270" s="19" t="s">
        <v>2997</v>
      </c>
      <c r="Q2270" s="20">
        <v>24</v>
      </c>
      <c r="R2270" s="65" t="s">
        <v>2010</v>
      </c>
      <c r="T2270" s="19" t="s">
        <v>307</v>
      </c>
      <c r="V2270" s="19" t="s">
        <v>178</v>
      </c>
      <c r="Y2270" s="19" t="s">
        <v>138</v>
      </c>
      <c r="Z2270" s="44" t="s">
        <v>2449</v>
      </c>
      <c r="AA2270" s="44" t="s">
        <v>180</v>
      </c>
      <c r="AC2270" s="19" t="s">
        <v>2998</v>
      </c>
    </row>
    <row r="2271" spans="1:29" x14ac:dyDescent="0.25">
      <c r="A2271" s="26">
        <v>510</v>
      </c>
      <c r="B2271" s="19" t="s">
        <v>2999</v>
      </c>
      <c r="C2271" s="44" t="s">
        <v>273</v>
      </c>
      <c r="D2271" s="19" t="s">
        <v>1086</v>
      </c>
      <c r="E2271" s="19">
        <v>20</v>
      </c>
      <c r="F2271" s="19">
        <v>300</v>
      </c>
      <c r="G2271" s="19">
        <v>6232</v>
      </c>
      <c r="H2271" s="19">
        <v>1</v>
      </c>
      <c r="I2271" s="80">
        <v>293.52999999999997</v>
      </c>
      <c r="J2271" s="80">
        <v>293.52999999999997</v>
      </c>
      <c r="K2271" s="19" t="s">
        <v>1067</v>
      </c>
      <c r="L2271" s="19" t="s">
        <v>2997</v>
      </c>
      <c r="Q2271" s="20">
        <v>24</v>
      </c>
      <c r="R2271" s="65" t="s">
        <v>2010</v>
      </c>
      <c r="T2271" s="19" t="s">
        <v>307</v>
      </c>
      <c r="V2271" s="19" t="s">
        <v>178</v>
      </c>
      <c r="Y2271" s="19" t="s">
        <v>138</v>
      </c>
      <c r="Z2271" s="44" t="s">
        <v>2449</v>
      </c>
      <c r="AA2271" s="44" t="s">
        <v>180</v>
      </c>
      <c r="AC2271" s="19" t="s">
        <v>2998</v>
      </c>
    </row>
    <row r="2272" spans="1:29" x14ac:dyDescent="0.25">
      <c r="A2272" s="26">
        <v>511</v>
      </c>
      <c r="B2272" s="19" t="s">
        <v>3000</v>
      </c>
      <c r="C2272" s="44" t="s">
        <v>273</v>
      </c>
      <c r="D2272" s="19" t="s">
        <v>1066</v>
      </c>
      <c r="E2272" s="19">
        <v>20</v>
      </c>
      <c r="F2272" s="19">
        <v>300</v>
      </c>
      <c r="G2272" s="19">
        <v>6464</v>
      </c>
      <c r="H2272" s="19">
        <v>1</v>
      </c>
      <c r="I2272" s="80">
        <v>304.45</v>
      </c>
      <c r="J2272" s="80">
        <v>304.45</v>
      </c>
      <c r="K2272" s="19" t="s">
        <v>1067</v>
      </c>
      <c r="L2272" s="19" t="s">
        <v>2997</v>
      </c>
      <c r="Q2272" s="20">
        <v>24</v>
      </c>
      <c r="R2272" s="65" t="s">
        <v>2010</v>
      </c>
      <c r="T2272" s="19" t="s">
        <v>307</v>
      </c>
      <c r="V2272" s="19" t="s">
        <v>178</v>
      </c>
      <c r="Y2272" s="19" t="s">
        <v>138</v>
      </c>
      <c r="Z2272" s="44" t="s">
        <v>2449</v>
      </c>
      <c r="AA2272" s="44" t="s">
        <v>180</v>
      </c>
      <c r="AC2272" s="19" t="s">
        <v>2998</v>
      </c>
    </row>
    <row r="2273" spans="1:29" x14ac:dyDescent="0.25">
      <c r="A2273" s="26">
        <v>512</v>
      </c>
      <c r="B2273" s="19" t="s">
        <v>3001</v>
      </c>
      <c r="C2273" s="44" t="s">
        <v>273</v>
      </c>
      <c r="D2273" s="19" t="s">
        <v>1086</v>
      </c>
      <c r="E2273" s="19">
        <v>20</v>
      </c>
      <c r="F2273" s="19">
        <v>300</v>
      </c>
      <c r="G2273" s="19">
        <v>6232</v>
      </c>
      <c r="H2273" s="19">
        <v>1</v>
      </c>
      <c r="I2273" s="80">
        <v>293.52999999999997</v>
      </c>
      <c r="J2273" s="80">
        <v>293.52999999999997</v>
      </c>
      <c r="K2273" s="19" t="s">
        <v>1067</v>
      </c>
      <c r="L2273" s="19" t="s">
        <v>2997</v>
      </c>
      <c r="Q2273" s="20">
        <v>24</v>
      </c>
      <c r="R2273" s="65" t="s">
        <v>2010</v>
      </c>
      <c r="T2273" s="19" t="s">
        <v>307</v>
      </c>
      <c r="V2273" s="19" t="s">
        <v>178</v>
      </c>
      <c r="Y2273" s="19" t="s">
        <v>138</v>
      </c>
      <c r="Z2273" s="44" t="s">
        <v>2449</v>
      </c>
      <c r="AA2273" s="44" t="s">
        <v>180</v>
      </c>
      <c r="AC2273" s="19" t="s">
        <v>2998</v>
      </c>
    </row>
    <row r="2274" spans="1:29" x14ac:dyDescent="0.25">
      <c r="A2274" s="26">
        <v>513</v>
      </c>
      <c r="B2274" s="19" t="s">
        <v>3002</v>
      </c>
      <c r="C2274" s="44" t="s">
        <v>273</v>
      </c>
      <c r="D2274" s="19" t="s">
        <v>1066</v>
      </c>
      <c r="E2274" s="19">
        <v>20</v>
      </c>
      <c r="F2274" s="19">
        <v>300</v>
      </c>
      <c r="G2274" s="19">
        <v>6464</v>
      </c>
      <c r="H2274" s="19">
        <v>1</v>
      </c>
      <c r="I2274" s="80">
        <v>304.45</v>
      </c>
      <c r="J2274" s="80">
        <v>304.45</v>
      </c>
      <c r="K2274" s="19" t="s">
        <v>1067</v>
      </c>
      <c r="L2274" s="19" t="s">
        <v>2997</v>
      </c>
      <c r="Q2274" s="20">
        <v>24</v>
      </c>
      <c r="R2274" s="65" t="s">
        <v>2010</v>
      </c>
      <c r="T2274" s="19" t="s">
        <v>307</v>
      </c>
      <c r="V2274" s="19" t="s">
        <v>178</v>
      </c>
      <c r="Y2274" s="19" t="s">
        <v>138</v>
      </c>
      <c r="Z2274" s="44" t="s">
        <v>2449</v>
      </c>
      <c r="AA2274" s="44" t="s">
        <v>180</v>
      </c>
      <c r="AC2274" s="19" t="s">
        <v>2998</v>
      </c>
    </row>
    <row r="2275" spans="1:29" x14ac:dyDescent="0.25">
      <c r="A2275" s="26">
        <v>514</v>
      </c>
      <c r="B2275" s="19" t="s">
        <v>3003</v>
      </c>
      <c r="C2275" s="44" t="s">
        <v>273</v>
      </c>
      <c r="D2275" s="19" t="s">
        <v>1066</v>
      </c>
      <c r="E2275" s="19">
        <v>20</v>
      </c>
      <c r="F2275" s="19">
        <v>300</v>
      </c>
      <c r="G2275" s="19">
        <v>6464</v>
      </c>
      <c r="H2275" s="19">
        <v>1</v>
      </c>
      <c r="I2275" s="80">
        <v>304.45</v>
      </c>
      <c r="J2275" s="80">
        <v>304.45</v>
      </c>
      <c r="K2275" s="19" t="s">
        <v>1067</v>
      </c>
      <c r="L2275" s="19" t="s">
        <v>2997</v>
      </c>
      <c r="Q2275" s="20">
        <v>24</v>
      </c>
      <c r="R2275" s="65" t="s">
        <v>2010</v>
      </c>
      <c r="T2275" s="19" t="s">
        <v>307</v>
      </c>
      <c r="V2275" s="19" t="s">
        <v>178</v>
      </c>
      <c r="Y2275" s="19" t="s">
        <v>138</v>
      </c>
      <c r="Z2275" s="44" t="s">
        <v>2449</v>
      </c>
      <c r="AA2275" s="44" t="s">
        <v>180</v>
      </c>
      <c r="AC2275" s="19" t="s">
        <v>2998</v>
      </c>
    </row>
    <row r="2276" spans="1:29" x14ac:dyDescent="0.25">
      <c r="A2276" s="26">
        <v>515</v>
      </c>
      <c r="B2276" s="19" t="s">
        <v>2896</v>
      </c>
      <c r="C2276" s="44" t="s">
        <v>273</v>
      </c>
      <c r="D2276" s="19" t="s">
        <v>1370</v>
      </c>
      <c r="E2276" s="19">
        <v>20</v>
      </c>
      <c r="F2276" s="19">
        <v>300</v>
      </c>
      <c r="G2276" s="19">
        <v>480</v>
      </c>
      <c r="H2276" s="19">
        <v>1</v>
      </c>
      <c r="I2276" s="80">
        <v>22.61</v>
      </c>
      <c r="J2276" s="80">
        <v>22.61</v>
      </c>
      <c r="K2276" s="19" t="s">
        <v>1067</v>
      </c>
      <c r="L2276" s="19" t="s">
        <v>2997</v>
      </c>
      <c r="Q2276" s="20">
        <v>24</v>
      </c>
      <c r="R2276" s="65" t="s">
        <v>2010</v>
      </c>
      <c r="T2276" s="19" t="s">
        <v>307</v>
      </c>
      <c r="V2276" s="19" t="s">
        <v>178</v>
      </c>
      <c r="W2276" s="19" t="s">
        <v>138</v>
      </c>
      <c r="Z2276" s="44" t="s">
        <v>2449</v>
      </c>
      <c r="AA2276" s="44" t="s">
        <v>180</v>
      </c>
      <c r="AC2276" s="19" t="s">
        <v>2998</v>
      </c>
    </row>
    <row r="2277" spans="1:29" x14ac:dyDescent="0.25">
      <c r="A2277" s="26">
        <v>516</v>
      </c>
      <c r="B2277" s="19" t="s">
        <v>3004</v>
      </c>
      <c r="C2277" s="44" t="s">
        <v>273</v>
      </c>
      <c r="D2277" s="19" t="s">
        <v>1363</v>
      </c>
      <c r="E2277" s="19">
        <v>20</v>
      </c>
      <c r="F2277" s="19">
        <v>270</v>
      </c>
      <c r="G2277" s="19">
        <v>300</v>
      </c>
      <c r="H2277" s="19">
        <v>4</v>
      </c>
      <c r="I2277" s="80">
        <v>12.72</v>
      </c>
      <c r="J2277" s="80">
        <v>50.87</v>
      </c>
      <c r="K2277" s="19" t="s">
        <v>1067</v>
      </c>
      <c r="L2277" s="19" t="s">
        <v>2997</v>
      </c>
      <c r="Q2277" s="20">
        <v>24</v>
      </c>
      <c r="R2277" s="65" t="s">
        <v>2010</v>
      </c>
      <c r="T2277" s="19" t="s">
        <v>307</v>
      </c>
      <c r="V2277" s="19" t="s">
        <v>178</v>
      </c>
      <c r="W2277" s="19" t="s">
        <v>138</v>
      </c>
      <c r="Z2277" s="44" t="s">
        <v>2449</v>
      </c>
      <c r="AA2277" s="44" t="s">
        <v>180</v>
      </c>
      <c r="AC2277" s="19" t="s">
        <v>2998</v>
      </c>
    </row>
    <row r="2278" spans="1:29" x14ac:dyDescent="0.25">
      <c r="A2278" s="26">
        <v>517</v>
      </c>
      <c r="B2278" s="19" t="s">
        <v>3005</v>
      </c>
      <c r="C2278" s="44" t="s">
        <v>273</v>
      </c>
      <c r="D2278" s="19" t="s">
        <v>1363</v>
      </c>
      <c r="E2278" s="19">
        <v>20</v>
      </c>
      <c r="F2278" s="19">
        <v>270</v>
      </c>
      <c r="G2278" s="19">
        <v>300</v>
      </c>
      <c r="H2278" s="19">
        <v>1</v>
      </c>
      <c r="I2278" s="80">
        <v>12.72</v>
      </c>
      <c r="J2278" s="80">
        <v>12.72</v>
      </c>
      <c r="K2278" s="19" t="s">
        <v>1067</v>
      </c>
      <c r="L2278" s="19" t="s">
        <v>2997</v>
      </c>
      <c r="Q2278" s="20">
        <v>24</v>
      </c>
      <c r="R2278" s="65" t="s">
        <v>2010</v>
      </c>
      <c r="T2278" s="19" t="s">
        <v>307</v>
      </c>
      <c r="V2278" s="19" t="s">
        <v>178</v>
      </c>
      <c r="W2278" s="19" t="s">
        <v>138</v>
      </c>
      <c r="Z2278" s="44" t="s">
        <v>2449</v>
      </c>
      <c r="AA2278" s="44" t="s">
        <v>180</v>
      </c>
      <c r="AC2278" s="19" t="s">
        <v>2998</v>
      </c>
    </row>
    <row r="2279" spans="1:29" x14ac:dyDescent="0.25">
      <c r="A2279" s="26">
        <v>518</v>
      </c>
      <c r="B2279" s="19" t="s">
        <v>3006</v>
      </c>
      <c r="C2279" s="44" t="s">
        <v>273</v>
      </c>
      <c r="D2279" s="19" t="s">
        <v>1079</v>
      </c>
      <c r="E2279" s="19">
        <v>20</v>
      </c>
      <c r="F2279" s="19">
        <v>1436</v>
      </c>
      <c r="G2279" s="19">
        <v>6298</v>
      </c>
      <c r="H2279" s="19">
        <v>1</v>
      </c>
      <c r="I2279" s="80">
        <v>1414.64</v>
      </c>
      <c r="J2279" s="80">
        <v>1414.64</v>
      </c>
      <c r="K2279" s="19" t="s">
        <v>1067</v>
      </c>
      <c r="L2279" s="19" t="s">
        <v>2997</v>
      </c>
      <c r="P2279" s="19" t="s">
        <v>138</v>
      </c>
      <c r="Q2279" s="20">
        <v>24</v>
      </c>
      <c r="R2279" s="65" t="s">
        <v>2010</v>
      </c>
      <c r="T2279" s="19" t="s">
        <v>307</v>
      </c>
      <c r="V2279" s="19" t="s">
        <v>178</v>
      </c>
      <c r="Y2279" s="19" t="s">
        <v>138</v>
      </c>
      <c r="Z2279" s="44" t="s">
        <v>2449</v>
      </c>
      <c r="AA2279" s="44" t="s">
        <v>180</v>
      </c>
      <c r="AC2279" s="19" t="s">
        <v>2998</v>
      </c>
    </row>
    <row r="2280" spans="1:29" x14ac:dyDescent="0.25">
      <c r="A2280" s="26">
        <v>519</v>
      </c>
      <c r="B2280" s="19" t="s">
        <v>3007</v>
      </c>
      <c r="C2280" s="44" t="s">
        <v>273</v>
      </c>
      <c r="D2280" s="19" t="s">
        <v>1079</v>
      </c>
      <c r="E2280" s="19">
        <v>20</v>
      </c>
      <c r="F2280" s="19">
        <v>1436</v>
      </c>
      <c r="G2280" s="19">
        <v>6298</v>
      </c>
      <c r="H2280" s="19">
        <v>1</v>
      </c>
      <c r="I2280" s="80">
        <v>1414.64</v>
      </c>
      <c r="J2280" s="80">
        <v>1414.64</v>
      </c>
      <c r="K2280" s="19" t="s">
        <v>1067</v>
      </c>
      <c r="L2280" s="19" t="s">
        <v>2997</v>
      </c>
      <c r="P2280" s="19" t="s">
        <v>138</v>
      </c>
      <c r="Q2280" s="20">
        <v>24</v>
      </c>
      <c r="R2280" s="65" t="s">
        <v>2010</v>
      </c>
      <c r="T2280" s="19" t="s">
        <v>307</v>
      </c>
      <c r="V2280" s="19" t="s">
        <v>178</v>
      </c>
      <c r="Y2280" s="19" t="s">
        <v>138</v>
      </c>
      <c r="Z2280" s="44" t="s">
        <v>2449</v>
      </c>
      <c r="AA2280" s="44" t="s">
        <v>180</v>
      </c>
      <c r="AC2280" s="19" t="s">
        <v>2998</v>
      </c>
    </row>
    <row r="2281" spans="1:29" x14ac:dyDescent="0.25">
      <c r="A2281" s="26">
        <v>520</v>
      </c>
      <c r="B2281" s="19" t="s">
        <v>3008</v>
      </c>
      <c r="C2281" s="44" t="s">
        <v>273</v>
      </c>
      <c r="D2281" s="19" t="s">
        <v>1066</v>
      </c>
      <c r="E2281" s="19">
        <v>20</v>
      </c>
      <c r="F2281" s="19">
        <v>300</v>
      </c>
      <c r="G2281" s="19">
        <v>6464</v>
      </c>
      <c r="H2281" s="19">
        <v>1</v>
      </c>
      <c r="I2281" s="80">
        <v>304.45</v>
      </c>
      <c r="J2281" s="80">
        <v>304.45</v>
      </c>
      <c r="K2281" s="19" t="s">
        <v>1067</v>
      </c>
      <c r="L2281" s="19" t="s">
        <v>3009</v>
      </c>
      <c r="Q2281" s="20">
        <v>24</v>
      </c>
      <c r="R2281" s="65" t="s">
        <v>2010</v>
      </c>
      <c r="T2281" s="19" t="s">
        <v>307</v>
      </c>
      <c r="V2281" s="19" t="s">
        <v>178</v>
      </c>
      <c r="Y2281" s="19" t="s">
        <v>138</v>
      </c>
      <c r="Z2281" s="44" t="s">
        <v>2449</v>
      </c>
      <c r="AA2281" s="44" t="s">
        <v>180</v>
      </c>
      <c r="AC2281" s="19" t="s">
        <v>3010</v>
      </c>
    </row>
    <row r="2282" spans="1:29" x14ac:dyDescent="0.25">
      <c r="A2282" s="26">
        <v>521</v>
      </c>
      <c r="B2282" s="19" t="s">
        <v>3011</v>
      </c>
      <c r="C2282" s="44" t="s">
        <v>273</v>
      </c>
      <c r="D2282" s="19" t="s">
        <v>1066</v>
      </c>
      <c r="E2282" s="19">
        <v>20</v>
      </c>
      <c r="F2282" s="19">
        <v>300</v>
      </c>
      <c r="G2282" s="19">
        <v>6464</v>
      </c>
      <c r="H2282" s="19">
        <v>1</v>
      </c>
      <c r="I2282" s="80">
        <v>304.45</v>
      </c>
      <c r="J2282" s="80">
        <v>304.45</v>
      </c>
      <c r="K2282" s="19" t="s">
        <v>1067</v>
      </c>
      <c r="L2282" s="19" t="s">
        <v>3009</v>
      </c>
      <c r="Q2282" s="20">
        <v>24</v>
      </c>
      <c r="R2282" s="65" t="s">
        <v>2010</v>
      </c>
      <c r="T2282" s="19" t="s">
        <v>307</v>
      </c>
      <c r="V2282" s="19" t="s">
        <v>178</v>
      </c>
      <c r="Y2282" s="19" t="s">
        <v>138</v>
      </c>
      <c r="Z2282" s="44" t="s">
        <v>2449</v>
      </c>
      <c r="AA2282" s="44" t="s">
        <v>180</v>
      </c>
      <c r="AC2282" s="19" t="s">
        <v>3010</v>
      </c>
    </row>
    <row r="2283" spans="1:29" x14ac:dyDescent="0.25">
      <c r="A2283" s="26">
        <v>522</v>
      </c>
      <c r="B2283" s="19" t="s">
        <v>3012</v>
      </c>
      <c r="C2283" s="44" t="s">
        <v>273</v>
      </c>
      <c r="D2283" s="19" t="s">
        <v>1066</v>
      </c>
      <c r="E2283" s="19">
        <v>20</v>
      </c>
      <c r="F2283" s="19">
        <v>300</v>
      </c>
      <c r="G2283" s="19">
        <v>6464</v>
      </c>
      <c r="H2283" s="19">
        <v>1</v>
      </c>
      <c r="I2283" s="80">
        <v>304.45</v>
      </c>
      <c r="J2283" s="80">
        <v>304.45</v>
      </c>
      <c r="K2283" s="19" t="s">
        <v>1067</v>
      </c>
      <c r="L2283" s="19" t="s">
        <v>3009</v>
      </c>
      <c r="Q2283" s="20">
        <v>24</v>
      </c>
      <c r="R2283" s="65" t="s">
        <v>2010</v>
      </c>
      <c r="T2283" s="19" t="s">
        <v>307</v>
      </c>
      <c r="V2283" s="19" t="s">
        <v>178</v>
      </c>
      <c r="Y2283" s="19" t="s">
        <v>138</v>
      </c>
      <c r="Z2283" s="44" t="s">
        <v>2449</v>
      </c>
      <c r="AA2283" s="44" t="s">
        <v>180</v>
      </c>
      <c r="AC2283" s="19" t="s">
        <v>3010</v>
      </c>
    </row>
    <row r="2284" spans="1:29" x14ac:dyDescent="0.25">
      <c r="A2284" s="26">
        <v>523</v>
      </c>
      <c r="B2284" s="19" t="s">
        <v>3013</v>
      </c>
      <c r="C2284" s="44" t="s">
        <v>273</v>
      </c>
      <c r="D2284" s="19" t="s">
        <v>1066</v>
      </c>
      <c r="E2284" s="19">
        <v>20</v>
      </c>
      <c r="F2284" s="19">
        <v>300</v>
      </c>
      <c r="G2284" s="19">
        <v>6464</v>
      </c>
      <c r="H2284" s="19">
        <v>1</v>
      </c>
      <c r="I2284" s="80">
        <v>304.45</v>
      </c>
      <c r="J2284" s="80">
        <v>304.45</v>
      </c>
      <c r="K2284" s="19" t="s">
        <v>1067</v>
      </c>
      <c r="L2284" s="19" t="s">
        <v>3009</v>
      </c>
      <c r="Q2284" s="20">
        <v>24</v>
      </c>
      <c r="R2284" s="65" t="s">
        <v>2010</v>
      </c>
      <c r="T2284" s="19" t="s">
        <v>307</v>
      </c>
      <c r="V2284" s="19" t="s">
        <v>178</v>
      </c>
      <c r="Y2284" s="19" t="s">
        <v>138</v>
      </c>
      <c r="Z2284" s="44" t="s">
        <v>2449</v>
      </c>
      <c r="AA2284" s="44" t="s">
        <v>180</v>
      </c>
      <c r="AC2284" s="19" t="s">
        <v>3010</v>
      </c>
    </row>
    <row r="2285" spans="1:29" x14ac:dyDescent="0.25">
      <c r="A2285" s="26">
        <v>524</v>
      </c>
      <c r="B2285" s="19" t="s">
        <v>3014</v>
      </c>
      <c r="C2285" s="44" t="s">
        <v>273</v>
      </c>
      <c r="D2285" s="19" t="s">
        <v>1066</v>
      </c>
      <c r="E2285" s="19">
        <v>20</v>
      </c>
      <c r="F2285" s="19">
        <v>300</v>
      </c>
      <c r="G2285" s="19">
        <v>6464</v>
      </c>
      <c r="H2285" s="19">
        <v>1</v>
      </c>
      <c r="I2285" s="80">
        <v>304.45</v>
      </c>
      <c r="J2285" s="80">
        <v>304.45</v>
      </c>
      <c r="K2285" s="19" t="s">
        <v>1067</v>
      </c>
      <c r="L2285" s="19" t="s">
        <v>3009</v>
      </c>
      <c r="Q2285" s="20">
        <v>24</v>
      </c>
      <c r="R2285" s="65" t="s">
        <v>2010</v>
      </c>
      <c r="T2285" s="19" t="s">
        <v>307</v>
      </c>
      <c r="V2285" s="19" t="s">
        <v>178</v>
      </c>
      <c r="Y2285" s="19" t="s">
        <v>138</v>
      </c>
      <c r="Z2285" s="44" t="s">
        <v>2449</v>
      </c>
      <c r="AA2285" s="44" t="s">
        <v>180</v>
      </c>
      <c r="AC2285" s="19" t="s">
        <v>3010</v>
      </c>
    </row>
    <row r="2286" spans="1:29" x14ac:dyDescent="0.25">
      <c r="A2286" s="26">
        <v>525</v>
      </c>
      <c r="B2286" s="19" t="s">
        <v>3015</v>
      </c>
      <c r="C2286" s="44" t="s">
        <v>273</v>
      </c>
      <c r="D2286" s="19" t="s">
        <v>1066</v>
      </c>
      <c r="E2286" s="19">
        <v>20</v>
      </c>
      <c r="F2286" s="19">
        <v>300</v>
      </c>
      <c r="G2286" s="19">
        <v>6464</v>
      </c>
      <c r="H2286" s="19">
        <v>1</v>
      </c>
      <c r="I2286" s="80">
        <v>304.45</v>
      </c>
      <c r="J2286" s="80">
        <v>304.45</v>
      </c>
      <c r="K2286" s="19" t="s">
        <v>1067</v>
      </c>
      <c r="L2286" s="19" t="s">
        <v>3009</v>
      </c>
      <c r="Q2286" s="20">
        <v>24</v>
      </c>
      <c r="R2286" s="65" t="s">
        <v>2010</v>
      </c>
      <c r="T2286" s="19" t="s">
        <v>307</v>
      </c>
      <c r="V2286" s="19" t="s">
        <v>178</v>
      </c>
      <c r="Y2286" s="19" t="s">
        <v>138</v>
      </c>
      <c r="Z2286" s="44" t="s">
        <v>2449</v>
      </c>
      <c r="AA2286" s="44" t="s">
        <v>180</v>
      </c>
      <c r="AC2286" s="19" t="s">
        <v>3010</v>
      </c>
    </row>
    <row r="2287" spans="1:29" x14ac:dyDescent="0.25">
      <c r="A2287" s="26">
        <v>526</v>
      </c>
      <c r="B2287" s="19" t="s">
        <v>3016</v>
      </c>
      <c r="C2287" s="44" t="s">
        <v>273</v>
      </c>
      <c r="D2287" s="19" t="s">
        <v>1066</v>
      </c>
      <c r="E2287" s="19">
        <v>20</v>
      </c>
      <c r="F2287" s="19">
        <v>300</v>
      </c>
      <c r="G2287" s="19">
        <v>6464</v>
      </c>
      <c r="H2287" s="19">
        <v>1</v>
      </c>
      <c r="I2287" s="80">
        <v>304.45</v>
      </c>
      <c r="J2287" s="80">
        <v>304.45</v>
      </c>
      <c r="K2287" s="19" t="s">
        <v>1067</v>
      </c>
      <c r="L2287" s="19" t="s">
        <v>3009</v>
      </c>
      <c r="Q2287" s="20">
        <v>24</v>
      </c>
      <c r="R2287" s="65" t="s">
        <v>2010</v>
      </c>
      <c r="T2287" s="19" t="s">
        <v>307</v>
      </c>
      <c r="V2287" s="19" t="s">
        <v>178</v>
      </c>
      <c r="Y2287" s="19" t="s">
        <v>138</v>
      </c>
      <c r="Z2287" s="44" t="s">
        <v>2449</v>
      </c>
      <c r="AA2287" s="44" t="s">
        <v>180</v>
      </c>
      <c r="AC2287" s="19" t="s">
        <v>3010</v>
      </c>
    </row>
    <row r="2288" spans="1:29" x14ac:dyDescent="0.25">
      <c r="A2288" s="26">
        <v>527</v>
      </c>
      <c r="B2288" s="19" t="s">
        <v>3017</v>
      </c>
      <c r="C2288" s="44" t="s">
        <v>273</v>
      </c>
      <c r="D2288" s="19" t="s">
        <v>1066</v>
      </c>
      <c r="E2288" s="19">
        <v>20</v>
      </c>
      <c r="F2288" s="19">
        <v>300</v>
      </c>
      <c r="G2288" s="19">
        <v>6464</v>
      </c>
      <c r="H2288" s="19">
        <v>1</v>
      </c>
      <c r="I2288" s="80">
        <v>304.45</v>
      </c>
      <c r="J2288" s="80">
        <v>304.45</v>
      </c>
      <c r="K2288" s="19" t="s">
        <v>1067</v>
      </c>
      <c r="L2288" s="19" t="s">
        <v>3009</v>
      </c>
      <c r="Q2288" s="20">
        <v>24</v>
      </c>
      <c r="R2288" s="65" t="s">
        <v>2010</v>
      </c>
      <c r="T2288" s="19" t="s">
        <v>307</v>
      </c>
      <c r="V2288" s="19" t="s">
        <v>178</v>
      </c>
      <c r="Y2288" s="19" t="s">
        <v>138</v>
      </c>
      <c r="Z2288" s="44" t="s">
        <v>2449</v>
      </c>
      <c r="AA2288" s="44" t="s">
        <v>180</v>
      </c>
      <c r="AC2288" s="19" t="s">
        <v>3010</v>
      </c>
    </row>
    <row r="2289" spans="1:29" x14ac:dyDescent="0.25">
      <c r="A2289" s="26">
        <v>528</v>
      </c>
      <c r="B2289" s="19" t="s">
        <v>3018</v>
      </c>
      <c r="C2289" s="44" t="s">
        <v>273</v>
      </c>
      <c r="D2289" s="19" t="s">
        <v>1066</v>
      </c>
      <c r="E2289" s="19">
        <v>20</v>
      </c>
      <c r="F2289" s="19">
        <v>300</v>
      </c>
      <c r="G2289" s="19">
        <v>6464</v>
      </c>
      <c r="H2289" s="19">
        <v>1</v>
      </c>
      <c r="I2289" s="80">
        <v>304.45</v>
      </c>
      <c r="J2289" s="80">
        <v>304.45</v>
      </c>
      <c r="K2289" s="19" t="s">
        <v>1067</v>
      </c>
      <c r="L2289" s="19" t="s">
        <v>3009</v>
      </c>
      <c r="Q2289" s="20">
        <v>24</v>
      </c>
      <c r="R2289" s="65" t="s">
        <v>2010</v>
      </c>
      <c r="T2289" s="19" t="s">
        <v>307</v>
      </c>
      <c r="V2289" s="19" t="s">
        <v>178</v>
      </c>
      <c r="Y2289" s="19" t="s">
        <v>138</v>
      </c>
      <c r="Z2289" s="44" t="s">
        <v>2449</v>
      </c>
      <c r="AA2289" s="44" t="s">
        <v>180</v>
      </c>
      <c r="AC2289" s="19" t="s">
        <v>3010</v>
      </c>
    </row>
    <row r="2290" spans="1:29" x14ac:dyDescent="0.25">
      <c r="A2290" s="26">
        <v>529</v>
      </c>
      <c r="B2290" s="19" t="s">
        <v>3019</v>
      </c>
      <c r="C2290" s="44" t="s">
        <v>273</v>
      </c>
      <c r="D2290" s="19" t="s">
        <v>1066</v>
      </c>
      <c r="E2290" s="19">
        <v>20</v>
      </c>
      <c r="F2290" s="19">
        <v>300</v>
      </c>
      <c r="G2290" s="19">
        <v>6464</v>
      </c>
      <c r="H2290" s="19">
        <v>1</v>
      </c>
      <c r="I2290" s="80">
        <v>304.45</v>
      </c>
      <c r="J2290" s="80">
        <v>304.45</v>
      </c>
      <c r="K2290" s="19" t="s">
        <v>1067</v>
      </c>
      <c r="L2290" s="19" t="s">
        <v>3009</v>
      </c>
      <c r="Q2290" s="20">
        <v>24</v>
      </c>
      <c r="R2290" s="65" t="s">
        <v>2010</v>
      </c>
      <c r="T2290" s="19" t="s">
        <v>307</v>
      </c>
      <c r="V2290" s="19" t="s">
        <v>178</v>
      </c>
      <c r="Y2290" s="19" t="s">
        <v>138</v>
      </c>
      <c r="Z2290" s="44" t="s">
        <v>2449</v>
      </c>
      <c r="AA2290" s="44" t="s">
        <v>180</v>
      </c>
      <c r="AC2290" s="19" t="s">
        <v>3010</v>
      </c>
    </row>
    <row r="2291" spans="1:29" x14ac:dyDescent="0.25">
      <c r="A2291" s="26">
        <v>530</v>
      </c>
      <c r="B2291" s="19" t="s">
        <v>3020</v>
      </c>
      <c r="C2291" s="44" t="s">
        <v>273</v>
      </c>
      <c r="D2291" s="19" t="s">
        <v>1066</v>
      </c>
      <c r="E2291" s="19">
        <v>20</v>
      </c>
      <c r="F2291" s="19">
        <v>300</v>
      </c>
      <c r="G2291" s="19">
        <v>6464</v>
      </c>
      <c r="H2291" s="19">
        <v>1</v>
      </c>
      <c r="I2291" s="80">
        <v>304.45</v>
      </c>
      <c r="J2291" s="80">
        <v>304.45</v>
      </c>
      <c r="K2291" s="19" t="s">
        <v>1067</v>
      </c>
      <c r="L2291" s="19" t="s">
        <v>3009</v>
      </c>
      <c r="Q2291" s="20">
        <v>24</v>
      </c>
      <c r="R2291" s="65" t="s">
        <v>2010</v>
      </c>
      <c r="T2291" s="19" t="s">
        <v>307</v>
      </c>
      <c r="V2291" s="19" t="s">
        <v>178</v>
      </c>
      <c r="Y2291" s="19" t="s">
        <v>138</v>
      </c>
      <c r="Z2291" s="44" t="s">
        <v>2449</v>
      </c>
      <c r="AA2291" s="44" t="s">
        <v>180</v>
      </c>
      <c r="AC2291" s="19" t="s">
        <v>3010</v>
      </c>
    </row>
    <row r="2292" spans="1:29" x14ac:dyDescent="0.25">
      <c r="A2292" s="26">
        <v>531</v>
      </c>
      <c r="B2292" s="19" t="s">
        <v>3021</v>
      </c>
      <c r="C2292" s="44" t="s">
        <v>273</v>
      </c>
      <c r="D2292" s="19" t="s">
        <v>1066</v>
      </c>
      <c r="E2292" s="19">
        <v>20</v>
      </c>
      <c r="F2292" s="19">
        <v>300</v>
      </c>
      <c r="G2292" s="19">
        <v>6464</v>
      </c>
      <c r="H2292" s="19">
        <v>1</v>
      </c>
      <c r="I2292" s="80">
        <v>304.45</v>
      </c>
      <c r="J2292" s="80">
        <v>304.45</v>
      </c>
      <c r="K2292" s="19" t="s">
        <v>1067</v>
      </c>
      <c r="L2292" s="19" t="s">
        <v>3009</v>
      </c>
      <c r="Q2292" s="20">
        <v>24</v>
      </c>
      <c r="R2292" s="65" t="s">
        <v>2010</v>
      </c>
      <c r="T2292" s="19" t="s">
        <v>307</v>
      </c>
      <c r="V2292" s="19" t="s">
        <v>178</v>
      </c>
      <c r="Y2292" s="19" t="s">
        <v>138</v>
      </c>
      <c r="Z2292" s="44" t="s">
        <v>2449</v>
      </c>
      <c r="AA2292" s="44" t="s">
        <v>180</v>
      </c>
      <c r="AC2292" s="19" t="s">
        <v>3010</v>
      </c>
    </row>
    <row r="2293" spans="1:29" x14ac:dyDescent="0.25">
      <c r="A2293" s="26">
        <v>532</v>
      </c>
      <c r="B2293" s="19" t="s">
        <v>3022</v>
      </c>
      <c r="C2293" s="44" t="s">
        <v>273</v>
      </c>
      <c r="D2293" s="19" t="s">
        <v>1066</v>
      </c>
      <c r="E2293" s="19">
        <v>20</v>
      </c>
      <c r="F2293" s="19">
        <v>300</v>
      </c>
      <c r="G2293" s="19">
        <v>6464</v>
      </c>
      <c r="H2293" s="19">
        <v>1</v>
      </c>
      <c r="I2293" s="80">
        <v>304.45</v>
      </c>
      <c r="J2293" s="80">
        <v>304.45</v>
      </c>
      <c r="K2293" s="19" t="s">
        <v>1067</v>
      </c>
      <c r="L2293" s="19" t="s">
        <v>3009</v>
      </c>
      <c r="Q2293" s="20">
        <v>24</v>
      </c>
      <c r="R2293" s="65" t="s">
        <v>2010</v>
      </c>
      <c r="T2293" s="19" t="s">
        <v>307</v>
      </c>
      <c r="V2293" s="19" t="s">
        <v>178</v>
      </c>
      <c r="Y2293" s="19" t="s">
        <v>138</v>
      </c>
      <c r="Z2293" s="44" t="s">
        <v>2449</v>
      </c>
      <c r="AA2293" s="44" t="s">
        <v>180</v>
      </c>
      <c r="AC2293" s="19" t="s">
        <v>3010</v>
      </c>
    </row>
    <row r="2294" spans="1:29" x14ac:dyDescent="0.25">
      <c r="A2294" s="26">
        <v>533</v>
      </c>
      <c r="B2294" s="19" t="s">
        <v>3023</v>
      </c>
      <c r="C2294" s="44" t="s">
        <v>273</v>
      </c>
      <c r="D2294" s="19" t="s">
        <v>1066</v>
      </c>
      <c r="E2294" s="19">
        <v>20</v>
      </c>
      <c r="F2294" s="19">
        <v>300</v>
      </c>
      <c r="G2294" s="19">
        <v>6464</v>
      </c>
      <c r="H2294" s="19">
        <v>1</v>
      </c>
      <c r="I2294" s="80">
        <v>304.45</v>
      </c>
      <c r="J2294" s="80">
        <v>304.45</v>
      </c>
      <c r="K2294" s="19" t="s">
        <v>1067</v>
      </c>
      <c r="L2294" s="19" t="s">
        <v>3009</v>
      </c>
      <c r="Q2294" s="20">
        <v>24</v>
      </c>
      <c r="R2294" s="65" t="s">
        <v>2010</v>
      </c>
      <c r="T2294" s="19" t="s">
        <v>307</v>
      </c>
      <c r="V2294" s="19" t="s">
        <v>178</v>
      </c>
      <c r="Y2294" s="19" t="s">
        <v>138</v>
      </c>
      <c r="Z2294" s="44" t="s">
        <v>2449</v>
      </c>
      <c r="AA2294" s="44" t="s">
        <v>180</v>
      </c>
      <c r="AC2294" s="19" t="s">
        <v>3010</v>
      </c>
    </row>
    <row r="2295" spans="1:29" x14ac:dyDescent="0.25">
      <c r="A2295" s="26">
        <v>534</v>
      </c>
      <c r="B2295" s="19" t="s">
        <v>3024</v>
      </c>
      <c r="C2295" s="44" t="s">
        <v>273</v>
      </c>
      <c r="D2295" s="19" t="s">
        <v>1066</v>
      </c>
      <c r="E2295" s="19">
        <v>20</v>
      </c>
      <c r="F2295" s="19">
        <v>300</v>
      </c>
      <c r="G2295" s="19">
        <v>6464</v>
      </c>
      <c r="H2295" s="19">
        <v>1</v>
      </c>
      <c r="I2295" s="80">
        <v>304.45</v>
      </c>
      <c r="J2295" s="80">
        <v>304.45</v>
      </c>
      <c r="K2295" s="19" t="s">
        <v>1067</v>
      </c>
      <c r="L2295" s="19" t="s">
        <v>3009</v>
      </c>
      <c r="Q2295" s="20">
        <v>24</v>
      </c>
      <c r="R2295" s="65" t="s">
        <v>2010</v>
      </c>
      <c r="T2295" s="19" t="s">
        <v>307</v>
      </c>
      <c r="V2295" s="19" t="s">
        <v>178</v>
      </c>
      <c r="Y2295" s="19" t="s">
        <v>138</v>
      </c>
      <c r="Z2295" s="44" t="s">
        <v>2449</v>
      </c>
      <c r="AA2295" s="44" t="s">
        <v>180</v>
      </c>
      <c r="AC2295" s="19" t="s">
        <v>3010</v>
      </c>
    </row>
    <row r="2296" spans="1:29" x14ac:dyDescent="0.25">
      <c r="A2296" s="26">
        <v>535</v>
      </c>
      <c r="B2296" s="19" t="s">
        <v>3025</v>
      </c>
      <c r="C2296" s="44" t="s">
        <v>273</v>
      </c>
      <c r="D2296" s="19" t="s">
        <v>1066</v>
      </c>
      <c r="E2296" s="19">
        <v>20</v>
      </c>
      <c r="F2296" s="19">
        <v>300</v>
      </c>
      <c r="G2296" s="19">
        <v>6464</v>
      </c>
      <c r="H2296" s="19">
        <v>1</v>
      </c>
      <c r="I2296" s="80">
        <v>304.45</v>
      </c>
      <c r="J2296" s="80">
        <v>304.45</v>
      </c>
      <c r="K2296" s="19" t="s">
        <v>1067</v>
      </c>
      <c r="L2296" s="19" t="s">
        <v>3009</v>
      </c>
      <c r="Q2296" s="20">
        <v>24</v>
      </c>
      <c r="R2296" s="65" t="s">
        <v>2010</v>
      </c>
      <c r="T2296" s="19" t="s">
        <v>307</v>
      </c>
      <c r="V2296" s="19" t="s">
        <v>178</v>
      </c>
      <c r="Y2296" s="19" t="s">
        <v>138</v>
      </c>
      <c r="Z2296" s="44" t="s">
        <v>2449</v>
      </c>
      <c r="AA2296" s="44" t="s">
        <v>180</v>
      </c>
      <c r="AC2296" s="19" t="s">
        <v>3010</v>
      </c>
    </row>
    <row r="2297" spans="1:29" x14ac:dyDescent="0.25">
      <c r="A2297" s="26">
        <v>536</v>
      </c>
      <c r="B2297" s="19" t="s">
        <v>3026</v>
      </c>
      <c r="C2297" s="44" t="s">
        <v>273</v>
      </c>
      <c r="D2297" s="19" t="s">
        <v>1066</v>
      </c>
      <c r="E2297" s="19">
        <v>20</v>
      </c>
      <c r="F2297" s="19">
        <v>300</v>
      </c>
      <c r="G2297" s="19">
        <v>6464</v>
      </c>
      <c r="H2297" s="19">
        <v>1</v>
      </c>
      <c r="I2297" s="80">
        <v>304.45</v>
      </c>
      <c r="J2297" s="80">
        <v>304.45</v>
      </c>
      <c r="K2297" s="19" t="s">
        <v>2271</v>
      </c>
      <c r="L2297" s="19" t="s">
        <v>3027</v>
      </c>
      <c r="Q2297" s="20">
        <v>24</v>
      </c>
      <c r="R2297" s="65" t="s">
        <v>2010</v>
      </c>
      <c r="T2297" s="19" t="s">
        <v>307</v>
      </c>
      <c r="V2297" s="19" t="s">
        <v>178</v>
      </c>
      <c r="Y2297" s="19" t="s">
        <v>138</v>
      </c>
      <c r="Z2297" s="44" t="s">
        <v>2449</v>
      </c>
      <c r="AA2297" s="44" t="s">
        <v>3028</v>
      </c>
      <c r="AC2297" s="19" t="s">
        <v>3029</v>
      </c>
    </row>
    <row r="2298" spans="1:29" x14ac:dyDescent="0.25">
      <c r="A2298" s="26">
        <v>537</v>
      </c>
      <c r="B2298" s="19" t="s">
        <v>3030</v>
      </c>
      <c r="C2298" s="44" t="s">
        <v>273</v>
      </c>
      <c r="D2298" s="19" t="s">
        <v>1066</v>
      </c>
      <c r="E2298" s="19">
        <v>20</v>
      </c>
      <c r="F2298" s="19">
        <v>300</v>
      </c>
      <c r="G2298" s="19">
        <v>6464</v>
      </c>
      <c r="H2298" s="19">
        <v>1</v>
      </c>
      <c r="I2298" s="80">
        <v>304.45</v>
      </c>
      <c r="J2298" s="80">
        <v>304.45</v>
      </c>
      <c r="K2298" s="19" t="s">
        <v>2271</v>
      </c>
      <c r="L2298" s="19" t="s">
        <v>3027</v>
      </c>
      <c r="Q2298" s="20">
        <v>24</v>
      </c>
      <c r="R2298" s="65" t="s">
        <v>2010</v>
      </c>
      <c r="T2298" s="19" t="s">
        <v>307</v>
      </c>
      <c r="V2298" s="19" t="s">
        <v>178</v>
      </c>
      <c r="Y2298" s="19" t="s">
        <v>138</v>
      </c>
      <c r="Z2298" s="44" t="s">
        <v>2449</v>
      </c>
      <c r="AA2298" s="44" t="s">
        <v>3028</v>
      </c>
      <c r="AC2298" s="19" t="s">
        <v>3029</v>
      </c>
    </row>
    <row r="2299" spans="1:29" x14ac:dyDescent="0.25">
      <c r="A2299" s="26">
        <v>538</v>
      </c>
      <c r="B2299" s="19" t="s">
        <v>3031</v>
      </c>
      <c r="C2299" s="44" t="s">
        <v>273</v>
      </c>
      <c r="D2299" s="19" t="s">
        <v>1066</v>
      </c>
      <c r="E2299" s="19">
        <v>20</v>
      </c>
      <c r="F2299" s="19">
        <v>300</v>
      </c>
      <c r="G2299" s="19">
        <v>6464</v>
      </c>
      <c r="H2299" s="19">
        <v>1</v>
      </c>
      <c r="I2299" s="80">
        <v>304.45</v>
      </c>
      <c r="J2299" s="80">
        <v>304.45</v>
      </c>
      <c r="K2299" s="19" t="s">
        <v>2271</v>
      </c>
      <c r="L2299" s="19" t="s">
        <v>3027</v>
      </c>
      <c r="Q2299" s="20">
        <v>24</v>
      </c>
      <c r="R2299" s="65" t="s">
        <v>2010</v>
      </c>
      <c r="T2299" s="19" t="s">
        <v>307</v>
      </c>
      <c r="V2299" s="19" t="s">
        <v>178</v>
      </c>
      <c r="Y2299" s="19" t="s">
        <v>138</v>
      </c>
      <c r="Z2299" s="44" t="s">
        <v>2449</v>
      </c>
      <c r="AA2299" s="44" t="s">
        <v>3028</v>
      </c>
      <c r="AC2299" s="19" t="s">
        <v>3029</v>
      </c>
    </row>
    <row r="2300" spans="1:29" x14ac:dyDescent="0.25">
      <c r="A2300" s="26">
        <v>539</v>
      </c>
      <c r="B2300" s="19" t="s">
        <v>3032</v>
      </c>
      <c r="C2300" s="44" t="s">
        <v>273</v>
      </c>
      <c r="D2300" s="19" t="s">
        <v>1066</v>
      </c>
      <c r="E2300" s="19">
        <v>20</v>
      </c>
      <c r="F2300" s="19">
        <v>300</v>
      </c>
      <c r="G2300" s="19">
        <v>6464</v>
      </c>
      <c r="H2300" s="19">
        <v>1</v>
      </c>
      <c r="I2300" s="80">
        <v>304.45</v>
      </c>
      <c r="J2300" s="80">
        <v>304.45</v>
      </c>
      <c r="K2300" s="19" t="s">
        <v>2271</v>
      </c>
      <c r="L2300" s="19" t="s">
        <v>3027</v>
      </c>
      <c r="Q2300" s="20">
        <v>24</v>
      </c>
      <c r="R2300" s="65" t="s">
        <v>2010</v>
      </c>
      <c r="T2300" s="19" t="s">
        <v>307</v>
      </c>
      <c r="V2300" s="19" t="s">
        <v>178</v>
      </c>
      <c r="Y2300" s="19" t="s">
        <v>138</v>
      </c>
      <c r="Z2300" s="44" t="s">
        <v>2449</v>
      </c>
      <c r="AA2300" s="44" t="s">
        <v>3028</v>
      </c>
      <c r="AC2300" s="19" t="s">
        <v>3029</v>
      </c>
    </row>
    <row r="2301" spans="1:29" x14ac:dyDescent="0.25">
      <c r="A2301" s="26">
        <v>540</v>
      </c>
      <c r="B2301" s="19" t="s">
        <v>3033</v>
      </c>
      <c r="C2301" s="44" t="s">
        <v>273</v>
      </c>
      <c r="D2301" s="19" t="s">
        <v>1066</v>
      </c>
      <c r="E2301" s="19">
        <v>20</v>
      </c>
      <c r="F2301" s="19">
        <v>300</v>
      </c>
      <c r="G2301" s="19">
        <v>6464</v>
      </c>
      <c r="H2301" s="19">
        <v>1</v>
      </c>
      <c r="I2301" s="80">
        <v>304.45</v>
      </c>
      <c r="J2301" s="80">
        <v>304.45</v>
      </c>
      <c r="K2301" s="19" t="s">
        <v>2271</v>
      </c>
      <c r="L2301" s="19" t="s">
        <v>3027</v>
      </c>
      <c r="Q2301" s="20">
        <v>24</v>
      </c>
      <c r="R2301" s="65" t="s">
        <v>2010</v>
      </c>
      <c r="T2301" s="19" t="s">
        <v>307</v>
      </c>
      <c r="V2301" s="19" t="s">
        <v>178</v>
      </c>
      <c r="Y2301" s="19" t="s">
        <v>138</v>
      </c>
      <c r="Z2301" s="44" t="s">
        <v>2449</v>
      </c>
      <c r="AA2301" s="44" t="s">
        <v>3028</v>
      </c>
      <c r="AC2301" s="19" t="s">
        <v>3029</v>
      </c>
    </row>
    <row r="2302" spans="1:29" x14ac:dyDescent="0.25">
      <c r="A2302" s="26">
        <v>541</v>
      </c>
      <c r="B2302" s="19" t="s">
        <v>3034</v>
      </c>
      <c r="C2302" s="44" t="s">
        <v>273</v>
      </c>
      <c r="D2302" s="19" t="s">
        <v>1066</v>
      </c>
      <c r="E2302" s="19">
        <v>20</v>
      </c>
      <c r="F2302" s="19">
        <v>300</v>
      </c>
      <c r="G2302" s="19">
        <v>6464</v>
      </c>
      <c r="H2302" s="19">
        <v>1</v>
      </c>
      <c r="I2302" s="80">
        <v>304.45</v>
      </c>
      <c r="J2302" s="80">
        <v>304.45</v>
      </c>
      <c r="K2302" s="19" t="s">
        <v>2271</v>
      </c>
      <c r="L2302" s="19" t="s">
        <v>3027</v>
      </c>
      <c r="Q2302" s="20">
        <v>24</v>
      </c>
      <c r="R2302" s="65" t="s">
        <v>2010</v>
      </c>
      <c r="T2302" s="19" t="s">
        <v>307</v>
      </c>
      <c r="V2302" s="19" t="s">
        <v>178</v>
      </c>
      <c r="Y2302" s="19" t="s">
        <v>138</v>
      </c>
      <c r="Z2302" s="44" t="s">
        <v>2449</v>
      </c>
      <c r="AA2302" s="44" t="s">
        <v>3028</v>
      </c>
      <c r="AC2302" s="19" t="s">
        <v>3029</v>
      </c>
    </row>
    <row r="2303" spans="1:29" x14ac:dyDescent="0.25">
      <c r="A2303" s="26">
        <v>542</v>
      </c>
      <c r="B2303" s="19" t="s">
        <v>3035</v>
      </c>
      <c r="C2303" s="44" t="s">
        <v>273</v>
      </c>
      <c r="D2303" s="19" t="s">
        <v>1066</v>
      </c>
      <c r="E2303" s="19">
        <v>20</v>
      </c>
      <c r="F2303" s="19">
        <v>300</v>
      </c>
      <c r="G2303" s="19">
        <v>6464</v>
      </c>
      <c r="H2303" s="19">
        <v>1</v>
      </c>
      <c r="I2303" s="80">
        <v>304.45</v>
      </c>
      <c r="J2303" s="80">
        <v>304.45</v>
      </c>
      <c r="K2303" s="19" t="s">
        <v>2271</v>
      </c>
      <c r="L2303" s="19" t="s">
        <v>3027</v>
      </c>
      <c r="Q2303" s="20">
        <v>24</v>
      </c>
      <c r="R2303" s="65" t="s">
        <v>2010</v>
      </c>
      <c r="T2303" s="19" t="s">
        <v>307</v>
      </c>
      <c r="V2303" s="19" t="s">
        <v>178</v>
      </c>
      <c r="Y2303" s="19" t="s">
        <v>138</v>
      </c>
      <c r="Z2303" s="44" t="s">
        <v>2449</v>
      </c>
      <c r="AA2303" s="44" t="s">
        <v>3028</v>
      </c>
      <c r="AC2303" s="19" t="s">
        <v>3029</v>
      </c>
    </row>
    <row r="2304" spans="1:29" x14ac:dyDescent="0.25">
      <c r="A2304" s="26">
        <v>543</v>
      </c>
      <c r="B2304" s="19" t="s">
        <v>3036</v>
      </c>
      <c r="C2304" s="44" t="s">
        <v>273</v>
      </c>
      <c r="D2304" s="19" t="s">
        <v>1066</v>
      </c>
      <c r="E2304" s="19">
        <v>20</v>
      </c>
      <c r="F2304" s="19">
        <v>300</v>
      </c>
      <c r="G2304" s="19">
        <v>6464</v>
      </c>
      <c r="H2304" s="19">
        <v>1</v>
      </c>
      <c r="I2304" s="80">
        <v>304.45</v>
      </c>
      <c r="J2304" s="80">
        <v>304.45</v>
      </c>
      <c r="K2304" s="19" t="s">
        <v>2271</v>
      </c>
      <c r="L2304" s="19" t="s">
        <v>3027</v>
      </c>
      <c r="Q2304" s="20">
        <v>24</v>
      </c>
      <c r="R2304" s="65" t="s">
        <v>2010</v>
      </c>
      <c r="T2304" s="19" t="s">
        <v>307</v>
      </c>
      <c r="V2304" s="19" t="s">
        <v>178</v>
      </c>
      <c r="Y2304" s="19" t="s">
        <v>138</v>
      </c>
      <c r="Z2304" s="44" t="s">
        <v>2449</v>
      </c>
      <c r="AA2304" s="44" t="s">
        <v>3028</v>
      </c>
      <c r="AC2304" s="19" t="s">
        <v>3029</v>
      </c>
    </row>
    <row r="2305" spans="1:29" x14ac:dyDescent="0.25">
      <c r="A2305" s="26">
        <v>544</v>
      </c>
      <c r="B2305" s="19" t="s">
        <v>3037</v>
      </c>
      <c r="C2305" s="44" t="s">
        <v>273</v>
      </c>
      <c r="D2305" s="19" t="s">
        <v>1066</v>
      </c>
      <c r="E2305" s="19">
        <v>20</v>
      </c>
      <c r="F2305" s="19">
        <v>300</v>
      </c>
      <c r="G2305" s="19">
        <v>6464</v>
      </c>
      <c r="H2305" s="19">
        <v>1</v>
      </c>
      <c r="I2305" s="80">
        <v>304.45</v>
      </c>
      <c r="J2305" s="80">
        <v>304.45</v>
      </c>
      <c r="K2305" s="19" t="s">
        <v>2271</v>
      </c>
      <c r="L2305" s="19" t="s">
        <v>3027</v>
      </c>
      <c r="Q2305" s="20">
        <v>24</v>
      </c>
      <c r="R2305" s="65" t="s">
        <v>2010</v>
      </c>
      <c r="T2305" s="19" t="s">
        <v>307</v>
      </c>
      <c r="V2305" s="19" t="s">
        <v>178</v>
      </c>
      <c r="Y2305" s="19" t="s">
        <v>138</v>
      </c>
      <c r="Z2305" s="44" t="s">
        <v>2449</v>
      </c>
      <c r="AA2305" s="44" t="s">
        <v>3028</v>
      </c>
      <c r="AC2305" s="19" t="s">
        <v>3029</v>
      </c>
    </row>
    <row r="2306" spans="1:29" x14ac:dyDescent="0.25">
      <c r="A2306" s="26">
        <v>545</v>
      </c>
      <c r="B2306" s="19" t="s">
        <v>3038</v>
      </c>
      <c r="C2306" s="44" t="s">
        <v>273</v>
      </c>
      <c r="D2306" s="19" t="s">
        <v>1066</v>
      </c>
      <c r="E2306" s="19">
        <v>20</v>
      </c>
      <c r="F2306" s="19">
        <v>300</v>
      </c>
      <c r="G2306" s="19">
        <v>6464</v>
      </c>
      <c r="H2306" s="19">
        <v>1</v>
      </c>
      <c r="I2306" s="80">
        <v>304.45</v>
      </c>
      <c r="J2306" s="80">
        <v>304.45</v>
      </c>
      <c r="K2306" s="19" t="s">
        <v>2271</v>
      </c>
      <c r="L2306" s="19" t="s">
        <v>3027</v>
      </c>
      <c r="Q2306" s="20">
        <v>24</v>
      </c>
      <c r="R2306" s="65" t="s">
        <v>2010</v>
      </c>
      <c r="T2306" s="19" t="s">
        <v>307</v>
      </c>
      <c r="V2306" s="19" t="s">
        <v>178</v>
      </c>
      <c r="Y2306" s="19" t="s">
        <v>138</v>
      </c>
      <c r="Z2306" s="44" t="s">
        <v>2449</v>
      </c>
      <c r="AA2306" s="44" t="s">
        <v>3028</v>
      </c>
      <c r="AC2306" s="19" t="s">
        <v>3029</v>
      </c>
    </row>
    <row r="2307" spans="1:29" x14ac:dyDescent="0.25">
      <c r="A2307" s="26">
        <v>546</v>
      </c>
      <c r="B2307" s="19" t="s">
        <v>3039</v>
      </c>
      <c r="C2307" s="44" t="s">
        <v>273</v>
      </c>
      <c r="D2307" s="19" t="s">
        <v>1066</v>
      </c>
      <c r="E2307" s="19">
        <v>20</v>
      </c>
      <c r="F2307" s="19">
        <v>300</v>
      </c>
      <c r="G2307" s="19">
        <v>6464</v>
      </c>
      <c r="H2307" s="19">
        <v>1</v>
      </c>
      <c r="I2307" s="80">
        <v>304.45</v>
      </c>
      <c r="J2307" s="80">
        <v>304.45</v>
      </c>
      <c r="K2307" s="19" t="s">
        <v>2271</v>
      </c>
      <c r="L2307" s="19" t="s">
        <v>3027</v>
      </c>
      <c r="Q2307" s="20">
        <v>24</v>
      </c>
      <c r="R2307" s="65" t="s">
        <v>2010</v>
      </c>
      <c r="T2307" s="19" t="s">
        <v>307</v>
      </c>
      <c r="V2307" s="19" t="s">
        <v>178</v>
      </c>
      <c r="Y2307" s="19" t="s">
        <v>138</v>
      </c>
      <c r="Z2307" s="44" t="s">
        <v>2449</v>
      </c>
      <c r="AA2307" s="44" t="s">
        <v>3028</v>
      </c>
      <c r="AC2307" s="19" t="s">
        <v>3029</v>
      </c>
    </row>
    <row r="2308" spans="1:29" x14ac:dyDescent="0.25">
      <c r="A2308" s="26">
        <v>547</v>
      </c>
      <c r="B2308" s="19" t="s">
        <v>3040</v>
      </c>
      <c r="C2308" s="44" t="s">
        <v>273</v>
      </c>
      <c r="D2308" s="19" t="s">
        <v>1066</v>
      </c>
      <c r="E2308" s="19">
        <v>20</v>
      </c>
      <c r="F2308" s="19">
        <v>300</v>
      </c>
      <c r="G2308" s="19">
        <v>6464</v>
      </c>
      <c r="H2308" s="19">
        <v>1</v>
      </c>
      <c r="I2308" s="80">
        <v>304.45</v>
      </c>
      <c r="J2308" s="80">
        <v>304.45</v>
      </c>
      <c r="K2308" s="19" t="s">
        <v>2271</v>
      </c>
      <c r="L2308" s="19" t="s">
        <v>3027</v>
      </c>
      <c r="Q2308" s="20">
        <v>24</v>
      </c>
      <c r="R2308" s="65" t="s">
        <v>2010</v>
      </c>
      <c r="T2308" s="19" t="s">
        <v>307</v>
      </c>
      <c r="V2308" s="19" t="s">
        <v>178</v>
      </c>
      <c r="Y2308" s="19" t="s">
        <v>138</v>
      </c>
      <c r="Z2308" s="44" t="s">
        <v>2449</v>
      </c>
      <c r="AA2308" s="44" t="s">
        <v>3028</v>
      </c>
      <c r="AC2308" s="19" t="s">
        <v>3029</v>
      </c>
    </row>
    <row r="2309" spans="1:29" x14ac:dyDescent="0.25">
      <c r="A2309" s="26">
        <v>548</v>
      </c>
      <c r="B2309" s="19" t="s">
        <v>3041</v>
      </c>
      <c r="C2309" s="44" t="s">
        <v>273</v>
      </c>
      <c r="D2309" s="19" t="s">
        <v>1011</v>
      </c>
      <c r="E2309" s="19">
        <v>20</v>
      </c>
      <c r="F2309" s="19">
        <v>300</v>
      </c>
      <c r="G2309" s="19">
        <v>9980</v>
      </c>
      <c r="H2309" s="19">
        <v>1</v>
      </c>
      <c r="I2309" s="80">
        <v>470.06</v>
      </c>
      <c r="J2309" s="80">
        <v>470.06</v>
      </c>
      <c r="K2309" s="19" t="s">
        <v>195</v>
      </c>
      <c r="L2309" s="19" t="s">
        <v>3042</v>
      </c>
      <c r="Q2309" s="20">
        <v>24</v>
      </c>
      <c r="R2309" s="65" t="s">
        <v>2010</v>
      </c>
      <c r="T2309" s="19" t="s">
        <v>307</v>
      </c>
      <c r="V2309" s="19" t="s">
        <v>178</v>
      </c>
      <c r="Y2309" s="19" t="s">
        <v>138</v>
      </c>
      <c r="Z2309" s="44" t="s">
        <v>2449</v>
      </c>
      <c r="AA2309" s="44" t="s">
        <v>180</v>
      </c>
      <c r="AC2309" s="19" t="s">
        <v>3043</v>
      </c>
    </row>
    <row r="2310" spans="1:29" x14ac:dyDescent="0.25">
      <c r="A2310" s="26">
        <v>549</v>
      </c>
      <c r="B2310" s="19" t="s">
        <v>3044</v>
      </c>
      <c r="C2310" s="44" t="s">
        <v>273</v>
      </c>
      <c r="D2310" s="19" t="s">
        <v>1011</v>
      </c>
      <c r="E2310" s="19">
        <v>20</v>
      </c>
      <c r="F2310" s="19">
        <v>300</v>
      </c>
      <c r="G2310" s="19">
        <v>9980</v>
      </c>
      <c r="H2310" s="19">
        <v>1</v>
      </c>
      <c r="I2310" s="80">
        <v>470.06</v>
      </c>
      <c r="J2310" s="80">
        <v>470.06</v>
      </c>
      <c r="K2310" s="19" t="s">
        <v>195</v>
      </c>
      <c r="L2310" s="19" t="s">
        <v>3042</v>
      </c>
      <c r="Q2310" s="20">
        <v>24</v>
      </c>
      <c r="R2310" s="65" t="s">
        <v>2010</v>
      </c>
      <c r="T2310" s="19" t="s">
        <v>307</v>
      </c>
      <c r="V2310" s="19" t="s">
        <v>178</v>
      </c>
      <c r="Y2310" s="19" t="s">
        <v>138</v>
      </c>
      <c r="Z2310" s="44" t="s">
        <v>2449</v>
      </c>
      <c r="AA2310" s="44" t="s">
        <v>180</v>
      </c>
      <c r="AC2310" s="19" t="s">
        <v>3043</v>
      </c>
    </row>
    <row r="2311" spans="1:29" x14ac:dyDescent="0.25">
      <c r="A2311" s="26">
        <v>550</v>
      </c>
      <c r="B2311" s="19" t="s">
        <v>3045</v>
      </c>
      <c r="C2311" s="44" t="s">
        <v>273</v>
      </c>
      <c r="D2311" s="19" t="s">
        <v>1011</v>
      </c>
      <c r="E2311" s="19">
        <v>20</v>
      </c>
      <c r="F2311" s="19">
        <v>300</v>
      </c>
      <c r="G2311" s="19">
        <v>9980</v>
      </c>
      <c r="H2311" s="19">
        <v>1</v>
      </c>
      <c r="I2311" s="80">
        <v>470.06</v>
      </c>
      <c r="J2311" s="80">
        <v>470.06</v>
      </c>
      <c r="K2311" s="19" t="s">
        <v>195</v>
      </c>
      <c r="L2311" s="19" t="s">
        <v>3042</v>
      </c>
      <c r="Q2311" s="20">
        <v>24</v>
      </c>
      <c r="R2311" s="65" t="s">
        <v>2010</v>
      </c>
      <c r="T2311" s="19" t="s">
        <v>307</v>
      </c>
      <c r="V2311" s="19" t="s">
        <v>178</v>
      </c>
      <c r="Y2311" s="19" t="s">
        <v>138</v>
      </c>
      <c r="Z2311" s="44" t="s">
        <v>2449</v>
      </c>
      <c r="AA2311" s="44" t="s">
        <v>180</v>
      </c>
      <c r="AC2311" s="19" t="s">
        <v>3043</v>
      </c>
    </row>
    <row r="2312" spans="1:29" x14ac:dyDescent="0.25">
      <c r="A2312" s="26">
        <v>551</v>
      </c>
      <c r="B2312" s="19" t="s">
        <v>3046</v>
      </c>
      <c r="C2312" s="44" t="s">
        <v>273</v>
      </c>
      <c r="D2312" s="19" t="s">
        <v>1011</v>
      </c>
      <c r="E2312" s="19">
        <v>20</v>
      </c>
      <c r="F2312" s="19">
        <v>300</v>
      </c>
      <c r="G2312" s="19">
        <v>9980</v>
      </c>
      <c r="H2312" s="19">
        <v>1</v>
      </c>
      <c r="I2312" s="80">
        <v>470.06</v>
      </c>
      <c r="J2312" s="80">
        <v>470.06</v>
      </c>
      <c r="K2312" s="19" t="s">
        <v>195</v>
      </c>
      <c r="L2312" s="19" t="s">
        <v>3042</v>
      </c>
      <c r="Q2312" s="20">
        <v>24</v>
      </c>
      <c r="R2312" s="65" t="s">
        <v>2010</v>
      </c>
      <c r="T2312" s="19" t="s">
        <v>307</v>
      </c>
      <c r="V2312" s="19" t="s">
        <v>178</v>
      </c>
      <c r="Y2312" s="19" t="s">
        <v>138</v>
      </c>
      <c r="Z2312" s="44" t="s">
        <v>2449</v>
      </c>
      <c r="AA2312" s="44" t="s">
        <v>180</v>
      </c>
      <c r="AC2312" s="19" t="s">
        <v>3043</v>
      </c>
    </row>
    <row r="2313" spans="1:29" x14ac:dyDescent="0.25">
      <c r="A2313" s="26">
        <v>552</v>
      </c>
      <c r="B2313" s="19" t="s">
        <v>3047</v>
      </c>
      <c r="C2313" s="44" t="s">
        <v>273</v>
      </c>
      <c r="D2313" s="19" t="s">
        <v>1011</v>
      </c>
      <c r="E2313" s="19">
        <v>20</v>
      </c>
      <c r="F2313" s="19">
        <v>300</v>
      </c>
      <c r="G2313" s="19">
        <v>9980</v>
      </c>
      <c r="H2313" s="19">
        <v>1</v>
      </c>
      <c r="I2313" s="80">
        <v>470.06</v>
      </c>
      <c r="J2313" s="80">
        <v>470.06</v>
      </c>
      <c r="K2313" s="19" t="s">
        <v>195</v>
      </c>
      <c r="L2313" s="19" t="s">
        <v>3042</v>
      </c>
      <c r="Q2313" s="20">
        <v>24</v>
      </c>
      <c r="R2313" s="65" t="s">
        <v>2010</v>
      </c>
      <c r="T2313" s="19" t="s">
        <v>307</v>
      </c>
      <c r="V2313" s="19" t="s">
        <v>178</v>
      </c>
      <c r="Y2313" s="19" t="s">
        <v>138</v>
      </c>
      <c r="Z2313" s="44" t="s">
        <v>2449</v>
      </c>
      <c r="AA2313" s="44" t="s">
        <v>180</v>
      </c>
      <c r="AC2313" s="19" t="s">
        <v>3043</v>
      </c>
    </row>
    <row r="2314" spans="1:29" x14ac:dyDescent="0.25">
      <c r="A2314" s="26">
        <v>553</v>
      </c>
      <c r="B2314" s="19" t="s">
        <v>3048</v>
      </c>
      <c r="C2314" s="44" t="s">
        <v>273</v>
      </c>
      <c r="D2314" s="19" t="s">
        <v>1011</v>
      </c>
      <c r="E2314" s="19">
        <v>20</v>
      </c>
      <c r="F2314" s="19">
        <v>300</v>
      </c>
      <c r="G2314" s="19">
        <v>9980</v>
      </c>
      <c r="H2314" s="19">
        <v>1</v>
      </c>
      <c r="I2314" s="80">
        <v>470.06</v>
      </c>
      <c r="J2314" s="80">
        <v>470.06</v>
      </c>
      <c r="K2314" s="19" t="s">
        <v>195</v>
      </c>
      <c r="L2314" s="19" t="s">
        <v>3042</v>
      </c>
      <c r="Q2314" s="20">
        <v>24</v>
      </c>
      <c r="R2314" s="65" t="s">
        <v>2010</v>
      </c>
      <c r="T2314" s="19" t="s">
        <v>307</v>
      </c>
      <c r="V2314" s="19" t="s">
        <v>178</v>
      </c>
      <c r="Y2314" s="19" t="s">
        <v>138</v>
      </c>
      <c r="Z2314" s="44" t="s">
        <v>2449</v>
      </c>
      <c r="AA2314" s="44" t="s">
        <v>180</v>
      </c>
      <c r="AC2314" s="19" t="s">
        <v>3043</v>
      </c>
    </row>
    <row r="2315" spans="1:29" x14ac:dyDescent="0.25">
      <c r="A2315" s="26">
        <v>554</v>
      </c>
      <c r="B2315" s="19" t="s">
        <v>3049</v>
      </c>
      <c r="C2315" s="44" t="s">
        <v>273</v>
      </c>
      <c r="D2315" s="19" t="s">
        <v>1011</v>
      </c>
      <c r="E2315" s="19">
        <v>20</v>
      </c>
      <c r="F2315" s="19">
        <v>300</v>
      </c>
      <c r="G2315" s="19">
        <v>9980</v>
      </c>
      <c r="H2315" s="19">
        <v>1</v>
      </c>
      <c r="I2315" s="80">
        <v>470.06</v>
      </c>
      <c r="J2315" s="80">
        <v>470.06</v>
      </c>
      <c r="K2315" s="19" t="s">
        <v>195</v>
      </c>
      <c r="L2315" s="19" t="s">
        <v>3042</v>
      </c>
      <c r="Q2315" s="20">
        <v>24</v>
      </c>
      <c r="R2315" s="65" t="s">
        <v>2010</v>
      </c>
      <c r="T2315" s="19" t="s">
        <v>307</v>
      </c>
      <c r="V2315" s="19" t="s">
        <v>178</v>
      </c>
      <c r="Y2315" s="19" t="s">
        <v>138</v>
      </c>
      <c r="Z2315" s="44" t="s">
        <v>2449</v>
      </c>
      <c r="AA2315" s="44" t="s">
        <v>180</v>
      </c>
      <c r="AC2315" s="19" t="s">
        <v>3043</v>
      </c>
    </row>
    <row r="2316" spans="1:29" x14ac:dyDescent="0.25">
      <c r="A2316" s="26">
        <v>555</v>
      </c>
      <c r="B2316" s="19" t="s">
        <v>3050</v>
      </c>
      <c r="C2316" s="44" t="s">
        <v>273</v>
      </c>
      <c r="D2316" s="19" t="s">
        <v>1011</v>
      </c>
      <c r="E2316" s="19">
        <v>20</v>
      </c>
      <c r="F2316" s="19">
        <v>300</v>
      </c>
      <c r="G2316" s="19">
        <v>9980</v>
      </c>
      <c r="H2316" s="19">
        <v>1</v>
      </c>
      <c r="I2316" s="80">
        <v>470.06</v>
      </c>
      <c r="J2316" s="80">
        <v>470.06</v>
      </c>
      <c r="K2316" s="19" t="s">
        <v>195</v>
      </c>
      <c r="L2316" s="19" t="s">
        <v>3042</v>
      </c>
      <c r="Q2316" s="20">
        <v>24</v>
      </c>
      <c r="R2316" s="65" t="s">
        <v>2010</v>
      </c>
      <c r="T2316" s="19" t="s">
        <v>307</v>
      </c>
      <c r="V2316" s="19" t="s">
        <v>178</v>
      </c>
      <c r="Y2316" s="19" t="s">
        <v>138</v>
      </c>
      <c r="Z2316" s="44" t="s">
        <v>2449</v>
      </c>
      <c r="AA2316" s="44" t="s">
        <v>180</v>
      </c>
      <c r="AC2316" s="19" t="s">
        <v>3043</v>
      </c>
    </row>
    <row r="2317" spans="1:29" x14ac:dyDescent="0.25">
      <c r="A2317" s="26">
        <v>556</v>
      </c>
      <c r="B2317" s="19" t="s">
        <v>3051</v>
      </c>
      <c r="C2317" s="44" t="s">
        <v>273</v>
      </c>
      <c r="D2317" s="19" t="s">
        <v>1028</v>
      </c>
      <c r="E2317" s="19">
        <v>20</v>
      </c>
      <c r="F2317" s="19">
        <v>300</v>
      </c>
      <c r="G2317" s="19">
        <v>9516</v>
      </c>
      <c r="H2317" s="19">
        <v>1</v>
      </c>
      <c r="I2317" s="80">
        <v>448.2</v>
      </c>
      <c r="J2317" s="80">
        <v>448.2</v>
      </c>
      <c r="K2317" s="19" t="s">
        <v>195</v>
      </c>
      <c r="L2317" s="19" t="s">
        <v>3052</v>
      </c>
      <c r="P2317" s="19" t="s">
        <v>138</v>
      </c>
      <c r="Q2317" s="20">
        <v>24</v>
      </c>
      <c r="R2317" s="65" t="s">
        <v>2010</v>
      </c>
      <c r="T2317" s="19" t="s">
        <v>307</v>
      </c>
      <c r="V2317" s="19" t="s">
        <v>178</v>
      </c>
      <c r="Y2317" s="19" t="s">
        <v>138</v>
      </c>
      <c r="Z2317" s="44" t="s">
        <v>2449</v>
      </c>
      <c r="AA2317" s="44" t="s">
        <v>180</v>
      </c>
      <c r="AC2317" s="19" t="s">
        <v>3053</v>
      </c>
    </row>
    <row r="2318" spans="1:29" x14ac:dyDescent="0.25">
      <c r="A2318" s="26">
        <v>557</v>
      </c>
      <c r="B2318" s="19" t="s">
        <v>3054</v>
      </c>
      <c r="C2318" s="44" t="s">
        <v>273</v>
      </c>
      <c r="D2318" s="19" t="s">
        <v>1028</v>
      </c>
      <c r="E2318" s="19">
        <v>20</v>
      </c>
      <c r="F2318" s="19">
        <v>300</v>
      </c>
      <c r="G2318" s="19">
        <v>9516</v>
      </c>
      <c r="H2318" s="19">
        <v>1</v>
      </c>
      <c r="I2318" s="80">
        <v>448.2</v>
      </c>
      <c r="J2318" s="80">
        <v>448.2</v>
      </c>
      <c r="K2318" s="19" t="s">
        <v>195</v>
      </c>
      <c r="L2318" s="19" t="s">
        <v>3052</v>
      </c>
      <c r="P2318" s="19" t="s">
        <v>138</v>
      </c>
      <c r="Q2318" s="20">
        <v>24</v>
      </c>
      <c r="R2318" s="65" t="s">
        <v>2010</v>
      </c>
      <c r="T2318" s="19" t="s">
        <v>307</v>
      </c>
      <c r="V2318" s="19" t="s">
        <v>178</v>
      </c>
      <c r="Y2318" s="19" t="s">
        <v>138</v>
      </c>
      <c r="Z2318" s="44" t="s">
        <v>2449</v>
      </c>
      <c r="AA2318" s="44" t="s">
        <v>180</v>
      </c>
      <c r="AC2318" s="19" t="s">
        <v>3053</v>
      </c>
    </row>
    <row r="2319" spans="1:29" x14ac:dyDescent="0.25">
      <c r="A2319" s="26">
        <v>558</v>
      </c>
      <c r="B2319" s="19" t="s">
        <v>3055</v>
      </c>
      <c r="C2319" s="44" t="s">
        <v>273</v>
      </c>
      <c r="D2319" s="19" t="s">
        <v>1028</v>
      </c>
      <c r="E2319" s="19">
        <v>20</v>
      </c>
      <c r="F2319" s="19">
        <v>300</v>
      </c>
      <c r="G2319" s="19">
        <v>9516</v>
      </c>
      <c r="H2319" s="19">
        <v>1</v>
      </c>
      <c r="I2319" s="80">
        <v>448.2</v>
      </c>
      <c r="J2319" s="80">
        <v>448.2</v>
      </c>
      <c r="K2319" s="19" t="s">
        <v>195</v>
      </c>
      <c r="L2319" s="19" t="s">
        <v>3052</v>
      </c>
      <c r="P2319" s="19" t="s">
        <v>138</v>
      </c>
      <c r="Q2319" s="20">
        <v>24</v>
      </c>
      <c r="R2319" s="65" t="s">
        <v>2010</v>
      </c>
      <c r="T2319" s="19" t="s">
        <v>307</v>
      </c>
      <c r="V2319" s="19" t="s">
        <v>178</v>
      </c>
      <c r="Y2319" s="19" t="s">
        <v>138</v>
      </c>
      <c r="Z2319" s="44" t="s">
        <v>2449</v>
      </c>
      <c r="AA2319" s="44" t="s">
        <v>180</v>
      </c>
      <c r="AC2319" s="19" t="s">
        <v>3053</v>
      </c>
    </row>
    <row r="2320" spans="1:29" x14ac:dyDescent="0.25">
      <c r="A2320" s="26">
        <v>559</v>
      </c>
      <c r="B2320" s="19" t="s">
        <v>3056</v>
      </c>
      <c r="C2320" s="44" t="s">
        <v>273</v>
      </c>
      <c r="D2320" s="19" t="s">
        <v>1028</v>
      </c>
      <c r="E2320" s="19">
        <v>20</v>
      </c>
      <c r="F2320" s="19">
        <v>300</v>
      </c>
      <c r="G2320" s="19">
        <v>9516</v>
      </c>
      <c r="H2320" s="19">
        <v>1</v>
      </c>
      <c r="I2320" s="80">
        <v>448.2</v>
      </c>
      <c r="J2320" s="80">
        <v>448.2</v>
      </c>
      <c r="K2320" s="19" t="s">
        <v>195</v>
      </c>
      <c r="L2320" s="19" t="s">
        <v>3052</v>
      </c>
      <c r="P2320" s="19" t="s">
        <v>138</v>
      </c>
      <c r="Q2320" s="20">
        <v>24</v>
      </c>
      <c r="R2320" s="65" t="s">
        <v>2010</v>
      </c>
      <c r="T2320" s="19" t="s">
        <v>307</v>
      </c>
      <c r="V2320" s="19" t="s">
        <v>178</v>
      </c>
      <c r="Y2320" s="19" t="s">
        <v>138</v>
      </c>
      <c r="Z2320" s="44" t="s">
        <v>2449</v>
      </c>
      <c r="AA2320" s="44" t="s">
        <v>180</v>
      </c>
      <c r="AC2320" s="19" t="s">
        <v>3053</v>
      </c>
    </row>
    <row r="2321" spans="1:29" x14ac:dyDescent="0.25">
      <c r="A2321" s="26">
        <v>560</v>
      </c>
      <c r="B2321" s="19" t="s">
        <v>3057</v>
      </c>
      <c r="C2321" s="44" t="s">
        <v>273</v>
      </c>
      <c r="D2321" s="19" t="s">
        <v>1028</v>
      </c>
      <c r="E2321" s="19">
        <v>20</v>
      </c>
      <c r="F2321" s="19">
        <v>300</v>
      </c>
      <c r="G2321" s="19">
        <v>9516</v>
      </c>
      <c r="H2321" s="19">
        <v>1</v>
      </c>
      <c r="I2321" s="80">
        <v>448.2</v>
      </c>
      <c r="J2321" s="80">
        <v>448.2</v>
      </c>
      <c r="K2321" s="19" t="s">
        <v>195</v>
      </c>
      <c r="L2321" s="19" t="s">
        <v>3052</v>
      </c>
      <c r="P2321" s="19" t="s">
        <v>138</v>
      </c>
      <c r="Q2321" s="20">
        <v>24</v>
      </c>
      <c r="R2321" s="65" t="s">
        <v>2010</v>
      </c>
      <c r="T2321" s="19" t="s">
        <v>307</v>
      </c>
      <c r="V2321" s="19" t="s">
        <v>178</v>
      </c>
      <c r="Y2321" s="19" t="s">
        <v>138</v>
      </c>
      <c r="Z2321" s="44" t="s">
        <v>2449</v>
      </c>
      <c r="AA2321" s="44" t="s">
        <v>180</v>
      </c>
      <c r="AC2321" s="19" t="s">
        <v>3053</v>
      </c>
    </row>
    <row r="2322" spans="1:29" x14ac:dyDescent="0.25">
      <c r="A2322" s="26">
        <v>561</v>
      </c>
      <c r="B2322" s="19" t="s">
        <v>3058</v>
      </c>
      <c r="C2322" s="44" t="s">
        <v>273</v>
      </c>
      <c r="D2322" s="19" t="s">
        <v>1028</v>
      </c>
      <c r="E2322" s="19">
        <v>20</v>
      </c>
      <c r="F2322" s="19">
        <v>300</v>
      </c>
      <c r="G2322" s="19">
        <v>9516</v>
      </c>
      <c r="H2322" s="19">
        <v>1</v>
      </c>
      <c r="I2322" s="80">
        <v>448.2</v>
      </c>
      <c r="J2322" s="80">
        <v>448.2</v>
      </c>
      <c r="K2322" s="19" t="s">
        <v>195</v>
      </c>
      <c r="L2322" s="19" t="s">
        <v>3052</v>
      </c>
      <c r="P2322" s="19" t="s">
        <v>138</v>
      </c>
      <c r="Q2322" s="20">
        <v>24</v>
      </c>
      <c r="R2322" s="65" t="s">
        <v>2010</v>
      </c>
      <c r="T2322" s="19" t="s">
        <v>307</v>
      </c>
      <c r="V2322" s="19" t="s">
        <v>178</v>
      </c>
      <c r="Y2322" s="19" t="s">
        <v>138</v>
      </c>
      <c r="Z2322" s="44" t="s">
        <v>2449</v>
      </c>
      <c r="AA2322" s="44" t="s">
        <v>180</v>
      </c>
      <c r="AC2322" s="19" t="s">
        <v>3053</v>
      </c>
    </row>
    <row r="2323" spans="1:29" x14ac:dyDescent="0.25">
      <c r="A2323" s="26">
        <v>562</v>
      </c>
      <c r="B2323" s="19" t="s">
        <v>3059</v>
      </c>
      <c r="C2323" s="44" t="s">
        <v>273</v>
      </c>
      <c r="D2323" s="19" t="s">
        <v>1028</v>
      </c>
      <c r="E2323" s="19">
        <v>20</v>
      </c>
      <c r="F2323" s="19">
        <v>300</v>
      </c>
      <c r="G2323" s="19">
        <v>9516</v>
      </c>
      <c r="H2323" s="19">
        <v>1</v>
      </c>
      <c r="I2323" s="80">
        <v>448.2</v>
      </c>
      <c r="J2323" s="80">
        <v>448.2</v>
      </c>
      <c r="K2323" s="19" t="s">
        <v>195</v>
      </c>
      <c r="L2323" s="19" t="s">
        <v>3052</v>
      </c>
      <c r="P2323" s="19" t="s">
        <v>138</v>
      </c>
      <c r="Q2323" s="20">
        <v>24</v>
      </c>
      <c r="R2323" s="65" t="s">
        <v>2010</v>
      </c>
      <c r="T2323" s="19" t="s">
        <v>307</v>
      </c>
      <c r="V2323" s="19" t="s">
        <v>178</v>
      </c>
      <c r="Y2323" s="19" t="s">
        <v>138</v>
      </c>
      <c r="Z2323" s="44" t="s">
        <v>2449</v>
      </c>
      <c r="AA2323" s="44" t="s">
        <v>180</v>
      </c>
      <c r="AC2323" s="19" t="s">
        <v>3053</v>
      </c>
    </row>
    <row r="2324" spans="1:29" x14ac:dyDescent="0.25">
      <c r="A2324" s="26">
        <v>563</v>
      </c>
      <c r="B2324" s="19" t="s">
        <v>3060</v>
      </c>
      <c r="C2324" s="44" t="s">
        <v>273</v>
      </c>
      <c r="D2324" s="19" t="s">
        <v>1028</v>
      </c>
      <c r="E2324" s="19">
        <v>20</v>
      </c>
      <c r="F2324" s="19">
        <v>300</v>
      </c>
      <c r="G2324" s="19">
        <v>9516</v>
      </c>
      <c r="H2324" s="19">
        <v>1</v>
      </c>
      <c r="I2324" s="80">
        <v>448.2</v>
      </c>
      <c r="J2324" s="80">
        <v>448.2</v>
      </c>
      <c r="K2324" s="19" t="s">
        <v>195</v>
      </c>
      <c r="L2324" s="19" t="s">
        <v>3052</v>
      </c>
      <c r="P2324" s="19" t="s">
        <v>138</v>
      </c>
      <c r="Q2324" s="20">
        <v>24</v>
      </c>
      <c r="R2324" s="65" t="s">
        <v>2010</v>
      </c>
      <c r="T2324" s="19" t="s">
        <v>307</v>
      </c>
      <c r="V2324" s="19" t="s">
        <v>178</v>
      </c>
      <c r="Y2324" s="19" t="s">
        <v>138</v>
      </c>
      <c r="Z2324" s="44" t="s">
        <v>2449</v>
      </c>
      <c r="AA2324" s="44" t="s">
        <v>180</v>
      </c>
      <c r="AC2324" s="19" t="s">
        <v>3053</v>
      </c>
    </row>
    <row r="2325" spans="1:29" x14ac:dyDescent="0.25">
      <c r="A2325" s="26">
        <v>564</v>
      </c>
      <c r="B2325" s="19" t="s">
        <v>3061</v>
      </c>
      <c r="C2325" s="44" t="s">
        <v>273</v>
      </c>
      <c r="D2325" s="19" t="s">
        <v>1106</v>
      </c>
      <c r="E2325" s="19">
        <v>20</v>
      </c>
      <c r="F2325" s="19">
        <v>300</v>
      </c>
      <c r="G2325" s="19">
        <v>9068</v>
      </c>
      <c r="H2325" s="19">
        <v>1</v>
      </c>
      <c r="I2325" s="80">
        <v>427.1</v>
      </c>
      <c r="J2325" s="80">
        <v>427.1</v>
      </c>
      <c r="K2325" s="19" t="s">
        <v>195</v>
      </c>
      <c r="L2325" s="19" t="s">
        <v>3062</v>
      </c>
      <c r="Q2325" s="20">
        <v>24</v>
      </c>
      <c r="R2325" s="65" t="s">
        <v>2010</v>
      </c>
      <c r="T2325" s="19" t="s">
        <v>307</v>
      </c>
      <c r="V2325" s="19" t="s">
        <v>178</v>
      </c>
      <c r="Y2325" s="19" t="s">
        <v>138</v>
      </c>
      <c r="Z2325" s="44" t="s">
        <v>2449</v>
      </c>
      <c r="AA2325" s="44" t="s">
        <v>180</v>
      </c>
      <c r="AC2325" s="19" t="s">
        <v>3063</v>
      </c>
    </row>
    <row r="2326" spans="1:29" x14ac:dyDescent="0.25">
      <c r="A2326" s="26">
        <v>565</v>
      </c>
      <c r="B2326" s="19" t="s">
        <v>3064</v>
      </c>
      <c r="C2326" s="44" t="s">
        <v>273</v>
      </c>
      <c r="D2326" s="19" t="s">
        <v>1106</v>
      </c>
      <c r="E2326" s="19">
        <v>20</v>
      </c>
      <c r="F2326" s="19">
        <v>300</v>
      </c>
      <c r="G2326" s="19">
        <v>9068</v>
      </c>
      <c r="H2326" s="19">
        <v>1</v>
      </c>
      <c r="I2326" s="80">
        <v>427.1</v>
      </c>
      <c r="J2326" s="80">
        <v>427.1</v>
      </c>
      <c r="K2326" s="19" t="s">
        <v>195</v>
      </c>
      <c r="L2326" s="19" t="s">
        <v>3062</v>
      </c>
      <c r="Q2326" s="20">
        <v>24</v>
      </c>
      <c r="R2326" s="65" t="s">
        <v>2010</v>
      </c>
      <c r="T2326" s="19" t="s">
        <v>307</v>
      </c>
      <c r="V2326" s="19" t="s">
        <v>178</v>
      </c>
      <c r="Y2326" s="19" t="s">
        <v>138</v>
      </c>
      <c r="Z2326" s="44" t="s">
        <v>2449</v>
      </c>
      <c r="AA2326" s="44" t="s">
        <v>180</v>
      </c>
      <c r="AC2326" s="19" t="s">
        <v>3063</v>
      </c>
    </row>
    <row r="2327" spans="1:29" x14ac:dyDescent="0.25">
      <c r="A2327" s="26">
        <v>566</v>
      </c>
      <c r="B2327" s="19" t="s">
        <v>3065</v>
      </c>
      <c r="C2327" s="44" t="s">
        <v>273</v>
      </c>
      <c r="D2327" s="19" t="s">
        <v>1028</v>
      </c>
      <c r="E2327" s="19">
        <v>20</v>
      </c>
      <c r="F2327" s="19">
        <v>300</v>
      </c>
      <c r="G2327" s="19">
        <v>9516</v>
      </c>
      <c r="H2327" s="19">
        <v>1</v>
      </c>
      <c r="I2327" s="80">
        <v>448.2</v>
      </c>
      <c r="J2327" s="80">
        <v>448.2</v>
      </c>
      <c r="K2327" s="19" t="s">
        <v>195</v>
      </c>
      <c r="L2327" s="19" t="s">
        <v>3062</v>
      </c>
      <c r="P2327" s="19" t="s">
        <v>138</v>
      </c>
      <c r="Q2327" s="20">
        <v>24</v>
      </c>
      <c r="R2327" s="65" t="s">
        <v>2010</v>
      </c>
      <c r="T2327" s="19" t="s">
        <v>307</v>
      </c>
      <c r="V2327" s="19" t="s">
        <v>178</v>
      </c>
      <c r="Y2327" s="19" t="s">
        <v>138</v>
      </c>
      <c r="Z2327" s="44" t="s">
        <v>2449</v>
      </c>
      <c r="AA2327" s="44" t="s">
        <v>180</v>
      </c>
      <c r="AC2327" s="19" t="s">
        <v>3063</v>
      </c>
    </row>
    <row r="2328" spans="1:29" x14ac:dyDescent="0.25">
      <c r="A2328" s="26">
        <v>567</v>
      </c>
      <c r="B2328" s="19" t="s">
        <v>3066</v>
      </c>
      <c r="C2328" s="44" t="s">
        <v>273</v>
      </c>
      <c r="D2328" s="19" t="s">
        <v>1028</v>
      </c>
      <c r="E2328" s="19">
        <v>20</v>
      </c>
      <c r="F2328" s="19">
        <v>300</v>
      </c>
      <c r="G2328" s="19">
        <v>9516</v>
      </c>
      <c r="H2328" s="19">
        <v>1</v>
      </c>
      <c r="I2328" s="80">
        <v>448.2</v>
      </c>
      <c r="J2328" s="80">
        <v>448.2</v>
      </c>
      <c r="K2328" s="19" t="s">
        <v>195</v>
      </c>
      <c r="L2328" s="19" t="s">
        <v>3062</v>
      </c>
      <c r="P2328" s="19" t="s">
        <v>138</v>
      </c>
      <c r="Q2328" s="20">
        <v>24</v>
      </c>
      <c r="R2328" s="65" t="s">
        <v>2010</v>
      </c>
      <c r="T2328" s="19" t="s">
        <v>307</v>
      </c>
      <c r="V2328" s="19" t="s">
        <v>178</v>
      </c>
      <c r="Y2328" s="19" t="s">
        <v>138</v>
      </c>
      <c r="Z2328" s="44" t="s">
        <v>2449</v>
      </c>
      <c r="AA2328" s="44" t="s">
        <v>180</v>
      </c>
      <c r="AC2328" s="19" t="s">
        <v>3063</v>
      </c>
    </row>
    <row r="2329" spans="1:29" x14ac:dyDescent="0.25">
      <c r="A2329" s="26">
        <v>568</v>
      </c>
      <c r="B2329" s="19" t="s">
        <v>3067</v>
      </c>
      <c r="C2329" s="44" t="s">
        <v>273</v>
      </c>
      <c r="D2329" s="19" t="s">
        <v>1028</v>
      </c>
      <c r="E2329" s="19">
        <v>20</v>
      </c>
      <c r="F2329" s="19">
        <v>300</v>
      </c>
      <c r="G2329" s="19">
        <v>9516</v>
      </c>
      <c r="H2329" s="19">
        <v>1</v>
      </c>
      <c r="I2329" s="80">
        <v>448.2</v>
      </c>
      <c r="J2329" s="80">
        <v>448.2</v>
      </c>
      <c r="K2329" s="19" t="s">
        <v>195</v>
      </c>
      <c r="L2329" s="19" t="s">
        <v>3062</v>
      </c>
      <c r="P2329" s="19" t="s">
        <v>138</v>
      </c>
      <c r="Q2329" s="20">
        <v>24</v>
      </c>
      <c r="R2329" s="65" t="s">
        <v>2010</v>
      </c>
      <c r="T2329" s="19" t="s">
        <v>307</v>
      </c>
      <c r="V2329" s="19" t="s">
        <v>178</v>
      </c>
      <c r="Y2329" s="19" t="s">
        <v>138</v>
      </c>
      <c r="Z2329" s="44" t="s">
        <v>2449</v>
      </c>
      <c r="AA2329" s="44" t="s">
        <v>180</v>
      </c>
      <c r="AC2329" s="19" t="s">
        <v>3063</v>
      </c>
    </row>
    <row r="2330" spans="1:29" x14ac:dyDescent="0.25">
      <c r="A2330" s="26">
        <v>569</v>
      </c>
      <c r="B2330" s="19" t="s">
        <v>3068</v>
      </c>
      <c r="C2330" s="44" t="s">
        <v>273</v>
      </c>
      <c r="D2330" s="19" t="s">
        <v>1028</v>
      </c>
      <c r="E2330" s="19">
        <v>20</v>
      </c>
      <c r="F2330" s="19">
        <v>300</v>
      </c>
      <c r="G2330" s="19">
        <v>9516</v>
      </c>
      <c r="H2330" s="19">
        <v>1</v>
      </c>
      <c r="I2330" s="80">
        <v>448.2</v>
      </c>
      <c r="J2330" s="80">
        <v>448.2</v>
      </c>
      <c r="K2330" s="19" t="s">
        <v>195</v>
      </c>
      <c r="L2330" s="19" t="s">
        <v>3062</v>
      </c>
      <c r="P2330" s="19" t="s">
        <v>138</v>
      </c>
      <c r="Q2330" s="20">
        <v>24</v>
      </c>
      <c r="R2330" s="65" t="s">
        <v>2010</v>
      </c>
      <c r="T2330" s="19" t="s">
        <v>307</v>
      </c>
      <c r="V2330" s="19" t="s">
        <v>178</v>
      </c>
      <c r="Y2330" s="19" t="s">
        <v>138</v>
      </c>
      <c r="Z2330" s="44" t="s">
        <v>2449</v>
      </c>
      <c r="AA2330" s="44" t="s">
        <v>180</v>
      </c>
      <c r="AC2330" s="19" t="s">
        <v>3063</v>
      </c>
    </row>
    <row r="2331" spans="1:29" x14ac:dyDescent="0.25">
      <c r="A2331" s="26">
        <v>570</v>
      </c>
      <c r="B2331" s="19" t="s">
        <v>3069</v>
      </c>
      <c r="C2331" s="44" t="s">
        <v>273</v>
      </c>
      <c r="D2331" s="19" t="s">
        <v>1028</v>
      </c>
      <c r="E2331" s="19">
        <v>20</v>
      </c>
      <c r="F2331" s="19">
        <v>300</v>
      </c>
      <c r="G2331" s="19">
        <v>9516</v>
      </c>
      <c r="H2331" s="19">
        <v>1</v>
      </c>
      <c r="I2331" s="80">
        <v>448.2</v>
      </c>
      <c r="J2331" s="80">
        <v>448.2</v>
      </c>
      <c r="K2331" s="19" t="s">
        <v>195</v>
      </c>
      <c r="L2331" s="19" t="s">
        <v>3062</v>
      </c>
      <c r="P2331" s="19" t="s">
        <v>138</v>
      </c>
      <c r="Q2331" s="20">
        <v>24</v>
      </c>
      <c r="R2331" s="65" t="s">
        <v>2010</v>
      </c>
      <c r="T2331" s="19" t="s">
        <v>307</v>
      </c>
      <c r="V2331" s="19" t="s">
        <v>178</v>
      </c>
      <c r="Y2331" s="19" t="s">
        <v>138</v>
      </c>
      <c r="Z2331" s="44" t="s">
        <v>2449</v>
      </c>
      <c r="AA2331" s="44" t="s">
        <v>180</v>
      </c>
      <c r="AC2331" s="19" t="s">
        <v>3063</v>
      </c>
    </row>
    <row r="2332" spans="1:29" x14ac:dyDescent="0.25">
      <c r="A2332" s="26">
        <v>571</v>
      </c>
      <c r="B2332" s="19" t="s">
        <v>3070</v>
      </c>
      <c r="C2332" s="44" t="s">
        <v>273</v>
      </c>
      <c r="D2332" s="19" t="s">
        <v>1028</v>
      </c>
      <c r="E2332" s="19">
        <v>20</v>
      </c>
      <c r="F2332" s="19">
        <v>300</v>
      </c>
      <c r="G2332" s="19">
        <v>9516</v>
      </c>
      <c r="H2332" s="19">
        <v>1</v>
      </c>
      <c r="I2332" s="80">
        <v>448.2</v>
      </c>
      <c r="J2332" s="80">
        <v>448.2</v>
      </c>
      <c r="K2332" s="19" t="s">
        <v>195</v>
      </c>
      <c r="L2332" s="19" t="s">
        <v>3062</v>
      </c>
      <c r="P2332" s="19" t="s">
        <v>138</v>
      </c>
      <c r="Q2332" s="20">
        <v>24</v>
      </c>
      <c r="R2332" s="65" t="s">
        <v>2010</v>
      </c>
      <c r="T2332" s="19" t="s">
        <v>307</v>
      </c>
      <c r="V2332" s="19" t="s">
        <v>178</v>
      </c>
      <c r="Y2332" s="19" t="s">
        <v>138</v>
      </c>
      <c r="Z2332" s="44" t="s">
        <v>2449</v>
      </c>
      <c r="AA2332" s="44" t="s">
        <v>180</v>
      </c>
      <c r="AC2332" s="19" t="s">
        <v>3063</v>
      </c>
    </row>
    <row r="2333" spans="1:29" x14ac:dyDescent="0.25">
      <c r="A2333" s="26">
        <v>572</v>
      </c>
      <c r="B2333" s="19" t="s">
        <v>3071</v>
      </c>
      <c r="C2333" s="44" t="s">
        <v>273</v>
      </c>
      <c r="D2333" s="19" t="s">
        <v>1044</v>
      </c>
      <c r="E2333" s="19">
        <v>20</v>
      </c>
      <c r="F2333" s="19">
        <v>300</v>
      </c>
      <c r="G2333" s="19">
        <v>8016</v>
      </c>
      <c r="H2333" s="19">
        <v>1</v>
      </c>
      <c r="I2333" s="80">
        <v>377.55</v>
      </c>
      <c r="J2333" s="80">
        <v>377.55</v>
      </c>
      <c r="K2333" s="19" t="s">
        <v>195</v>
      </c>
      <c r="L2333" s="19" t="s">
        <v>3072</v>
      </c>
      <c r="P2333" s="19" t="s">
        <v>138</v>
      </c>
      <c r="Q2333" s="20">
        <v>24</v>
      </c>
      <c r="R2333" s="65" t="s">
        <v>2010</v>
      </c>
      <c r="T2333" s="19" t="s">
        <v>307</v>
      </c>
      <c r="V2333" s="19" t="s">
        <v>178</v>
      </c>
      <c r="Y2333" s="19" t="s">
        <v>138</v>
      </c>
      <c r="Z2333" s="44" t="s">
        <v>2449</v>
      </c>
      <c r="AA2333" s="44" t="s">
        <v>180</v>
      </c>
      <c r="AC2333" s="19" t="s">
        <v>3073</v>
      </c>
    </row>
    <row r="2334" spans="1:29" x14ac:dyDescent="0.25">
      <c r="A2334" s="26">
        <v>573</v>
      </c>
      <c r="B2334" s="19" t="s">
        <v>3074</v>
      </c>
      <c r="C2334" s="44" t="s">
        <v>273</v>
      </c>
      <c r="D2334" s="19" t="s">
        <v>1044</v>
      </c>
      <c r="E2334" s="19">
        <v>20</v>
      </c>
      <c r="F2334" s="19">
        <v>300</v>
      </c>
      <c r="G2334" s="19">
        <v>8016</v>
      </c>
      <c r="H2334" s="19">
        <v>1</v>
      </c>
      <c r="I2334" s="80">
        <v>377.55</v>
      </c>
      <c r="J2334" s="80">
        <v>377.55</v>
      </c>
      <c r="K2334" s="19" t="s">
        <v>195</v>
      </c>
      <c r="L2334" s="19" t="s">
        <v>3072</v>
      </c>
      <c r="P2334" s="19" t="s">
        <v>138</v>
      </c>
      <c r="Q2334" s="20">
        <v>24</v>
      </c>
      <c r="R2334" s="65" t="s">
        <v>2010</v>
      </c>
      <c r="T2334" s="19" t="s">
        <v>307</v>
      </c>
      <c r="V2334" s="19" t="s">
        <v>178</v>
      </c>
      <c r="Y2334" s="19" t="s">
        <v>138</v>
      </c>
      <c r="Z2334" s="44" t="s">
        <v>2449</v>
      </c>
      <c r="AA2334" s="44" t="s">
        <v>180</v>
      </c>
      <c r="AC2334" s="19" t="s">
        <v>3073</v>
      </c>
    </row>
    <row r="2335" spans="1:29" x14ac:dyDescent="0.25">
      <c r="A2335" s="26">
        <v>574</v>
      </c>
      <c r="B2335" s="19" t="s">
        <v>3075</v>
      </c>
      <c r="C2335" s="44" t="s">
        <v>273</v>
      </c>
      <c r="D2335" s="19" t="s">
        <v>1044</v>
      </c>
      <c r="E2335" s="19">
        <v>20</v>
      </c>
      <c r="F2335" s="19">
        <v>300</v>
      </c>
      <c r="G2335" s="19">
        <v>8016</v>
      </c>
      <c r="H2335" s="19">
        <v>1</v>
      </c>
      <c r="I2335" s="80">
        <v>377.55</v>
      </c>
      <c r="J2335" s="80">
        <v>377.55</v>
      </c>
      <c r="K2335" s="19" t="s">
        <v>195</v>
      </c>
      <c r="L2335" s="19" t="s">
        <v>3072</v>
      </c>
      <c r="P2335" s="19" t="s">
        <v>138</v>
      </c>
      <c r="Q2335" s="20">
        <v>24</v>
      </c>
      <c r="R2335" s="65" t="s">
        <v>2010</v>
      </c>
      <c r="T2335" s="19" t="s">
        <v>307</v>
      </c>
      <c r="V2335" s="19" t="s">
        <v>178</v>
      </c>
      <c r="Y2335" s="19" t="s">
        <v>138</v>
      </c>
      <c r="Z2335" s="44" t="s">
        <v>2449</v>
      </c>
      <c r="AA2335" s="44" t="s">
        <v>180</v>
      </c>
      <c r="AC2335" s="19" t="s">
        <v>3073</v>
      </c>
    </row>
    <row r="2336" spans="1:29" x14ac:dyDescent="0.25">
      <c r="A2336" s="26">
        <v>575</v>
      </c>
      <c r="B2336" s="19" t="s">
        <v>3076</v>
      </c>
      <c r="C2336" s="44" t="s">
        <v>273</v>
      </c>
      <c r="D2336" s="19" t="s">
        <v>1106</v>
      </c>
      <c r="E2336" s="19">
        <v>20</v>
      </c>
      <c r="F2336" s="19">
        <v>300</v>
      </c>
      <c r="G2336" s="19">
        <v>9068</v>
      </c>
      <c r="H2336" s="19">
        <v>1</v>
      </c>
      <c r="I2336" s="80">
        <v>427.1</v>
      </c>
      <c r="J2336" s="80">
        <v>427.1</v>
      </c>
      <c r="K2336" s="19" t="s">
        <v>195</v>
      </c>
      <c r="L2336" s="19" t="s">
        <v>3072</v>
      </c>
      <c r="Q2336" s="20">
        <v>24</v>
      </c>
      <c r="R2336" s="65" t="s">
        <v>2010</v>
      </c>
      <c r="T2336" s="19" t="s">
        <v>307</v>
      </c>
      <c r="V2336" s="19" t="s">
        <v>178</v>
      </c>
      <c r="Y2336" s="19" t="s">
        <v>138</v>
      </c>
      <c r="Z2336" s="44" t="s">
        <v>2449</v>
      </c>
      <c r="AA2336" s="44" t="s">
        <v>180</v>
      </c>
      <c r="AC2336" s="19" t="s">
        <v>3073</v>
      </c>
    </row>
    <row r="2337" spans="1:29" x14ac:dyDescent="0.25">
      <c r="A2337" s="26">
        <v>576</v>
      </c>
      <c r="B2337" s="19" t="s">
        <v>3077</v>
      </c>
      <c r="C2337" s="44" t="s">
        <v>273</v>
      </c>
      <c r="D2337" s="19" t="s">
        <v>1044</v>
      </c>
      <c r="E2337" s="19">
        <v>20</v>
      </c>
      <c r="F2337" s="19">
        <v>300</v>
      </c>
      <c r="G2337" s="19">
        <v>8016</v>
      </c>
      <c r="H2337" s="19">
        <v>1</v>
      </c>
      <c r="I2337" s="80">
        <v>377.55</v>
      </c>
      <c r="J2337" s="80">
        <v>377.55</v>
      </c>
      <c r="K2337" s="19" t="s">
        <v>195</v>
      </c>
      <c r="L2337" s="19" t="s">
        <v>3072</v>
      </c>
      <c r="P2337" s="19" t="s">
        <v>138</v>
      </c>
      <c r="Q2337" s="20">
        <v>24</v>
      </c>
      <c r="R2337" s="65" t="s">
        <v>2010</v>
      </c>
      <c r="T2337" s="19" t="s">
        <v>307</v>
      </c>
      <c r="V2337" s="19" t="s">
        <v>178</v>
      </c>
      <c r="Y2337" s="19" t="s">
        <v>138</v>
      </c>
      <c r="Z2337" s="44" t="s">
        <v>2449</v>
      </c>
      <c r="AA2337" s="44" t="s">
        <v>180</v>
      </c>
      <c r="AC2337" s="19" t="s">
        <v>3073</v>
      </c>
    </row>
    <row r="2338" spans="1:29" x14ac:dyDescent="0.25">
      <c r="A2338" s="26">
        <v>577</v>
      </c>
      <c r="B2338" s="19" t="s">
        <v>3078</v>
      </c>
      <c r="C2338" s="44" t="s">
        <v>273</v>
      </c>
      <c r="D2338" s="19" t="s">
        <v>1106</v>
      </c>
      <c r="E2338" s="19">
        <v>20</v>
      </c>
      <c r="F2338" s="19">
        <v>300</v>
      </c>
      <c r="G2338" s="19">
        <v>9068</v>
      </c>
      <c r="H2338" s="19">
        <v>1</v>
      </c>
      <c r="I2338" s="80">
        <v>427.1</v>
      </c>
      <c r="J2338" s="80">
        <v>427.1</v>
      </c>
      <c r="K2338" s="19" t="s">
        <v>195</v>
      </c>
      <c r="L2338" s="19" t="s">
        <v>3072</v>
      </c>
      <c r="Q2338" s="20">
        <v>24</v>
      </c>
      <c r="R2338" s="65" t="s">
        <v>2010</v>
      </c>
      <c r="T2338" s="19" t="s">
        <v>307</v>
      </c>
      <c r="V2338" s="19" t="s">
        <v>178</v>
      </c>
      <c r="Y2338" s="19" t="s">
        <v>138</v>
      </c>
      <c r="Z2338" s="44" t="s">
        <v>2449</v>
      </c>
      <c r="AA2338" s="44" t="s">
        <v>180</v>
      </c>
      <c r="AC2338" s="19" t="s">
        <v>3073</v>
      </c>
    </row>
    <row r="2339" spans="1:29" x14ac:dyDescent="0.25">
      <c r="A2339" s="26">
        <v>578</v>
      </c>
      <c r="B2339" s="19" t="s">
        <v>3079</v>
      </c>
      <c r="C2339" s="44" t="s">
        <v>273</v>
      </c>
      <c r="D2339" s="19" t="s">
        <v>1061</v>
      </c>
      <c r="E2339" s="19">
        <v>20</v>
      </c>
      <c r="F2339" s="19">
        <v>300</v>
      </c>
      <c r="G2339" s="19">
        <v>7800</v>
      </c>
      <c r="H2339" s="19">
        <v>2</v>
      </c>
      <c r="I2339" s="80">
        <v>367.38</v>
      </c>
      <c r="J2339" s="80">
        <v>734.76</v>
      </c>
      <c r="K2339" s="19" t="s">
        <v>195</v>
      </c>
      <c r="L2339" s="19" t="s">
        <v>3072</v>
      </c>
      <c r="Q2339" s="20">
        <v>24</v>
      </c>
      <c r="R2339" s="65" t="s">
        <v>2010</v>
      </c>
      <c r="T2339" s="19" t="s">
        <v>307</v>
      </c>
      <c r="V2339" s="19" t="s">
        <v>178</v>
      </c>
      <c r="Y2339" s="19" t="s">
        <v>138</v>
      </c>
      <c r="Z2339" s="44" t="s">
        <v>2449</v>
      </c>
      <c r="AA2339" s="44" t="s">
        <v>180</v>
      </c>
      <c r="AC2339" s="19" t="s">
        <v>3073</v>
      </c>
    </row>
    <row r="2340" spans="1:29" x14ac:dyDescent="0.25">
      <c r="A2340" s="26">
        <v>579</v>
      </c>
      <c r="B2340" s="19" t="s">
        <v>3080</v>
      </c>
      <c r="C2340" s="44" t="s">
        <v>273</v>
      </c>
      <c r="D2340" s="19" t="s">
        <v>1020</v>
      </c>
      <c r="E2340" s="19">
        <v>20</v>
      </c>
      <c r="F2340" s="19">
        <v>1436</v>
      </c>
      <c r="G2340" s="19">
        <v>9068</v>
      </c>
      <c r="H2340" s="19">
        <v>1</v>
      </c>
      <c r="I2340" s="80">
        <v>2029.94</v>
      </c>
      <c r="J2340" s="80">
        <v>2029.94</v>
      </c>
      <c r="K2340" s="19" t="s">
        <v>195</v>
      </c>
      <c r="L2340" s="19" t="s">
        <v>3081</v>
      </c>
      <c r="Q2340" s="20">
        <v>24</v>
      </c>
      <c r="R2340" s="65" t="s">
        <v>2010</v>
      </c>
      <c r="T2340" s="19" t="s">
        <v>307</v>
      </c>
      <c r="V2340" s="19" t="s">
        <v>178</v>
      </c>
      <c r="Y2340" s="19" t="s">
        <v>138</v>
      </c>
      <c r="Z2340" s="44" t="s">
        <v>2449</v>
      </c>
      <c r="AA2340" s="44" t="s">
        <v>180</v>
      </c>
      <c r="AC2340" s="19" t="s">
        <v>3082</v>
      </c>
    </row>
    <row r="2341" spans="1:29" x14ac:dyDescent="0.25">
      <c r="A2341" s="26">
        <v>580</v>
      </c>
      <c r="B2341" s="19" t="s">
        <v>3083</v>
      </c>
      <c r="C2341" s="44" t="s">
        <v>273</v>
      </c>
      <c r="D2341" s="19" t="s">
        <v>1086</v>
      </c>
      <c r="E2341" s="19">
        <v>20</v>
      </c>
      <c r="F2341" s="19">
        <v>300</v>
      </c>
      <c r="G2341" s="19">
        <v>6232</v>
      </c>
      <c r="H2341" s="19">
        <v>1</v>
      </c>
      <c r="I2341" s="80">
        <v>293.52999999999997</v>
      </c>
      <c r="J2341" s="80">
        <v>293.52999999999997</v>
      </c>
      <c r="K2341" s="19" t="s">
        <v>195</v>
      </c>
      <c r="L2341" s="19" t="s">
        <v>3081</v>
      </c>
      <c r="Q2341" s="20">
        <v>24</v>
      </c>
      <c r="R2341" s="65" t="s">
        <v>2010</v>
      </c>
      <c r="T2341" s="19" t="s">
        <v>307</v>
      </c>
      <c r="V2341" s="19" t="s">
        <v>178</v>
      </c>
      <c r="Y2341" s="19" t="s">
        <v>138</v>
      </c>
      <c r="Z2341" s="44" t="s">
        <v>2449</v>
      </c>
      <c r="AA2341" s="44" t="s">
        <v>180</v>
      </c>
      <c r="AC2341" s="19" t="s">
        <v>3082</v>
      </c>
    </row>
    <row r="2342" spans="1:29" x14ac:dyDescent="0.25">
      <c r="A2342" s="26">
        <v>581</v>
      </c>
      <c r="B2342" s="19" t="s">
        <v>3084</v>
      </c>
      <c r="C2342" s="44" t="s">
        <v>273</v>
      </c>
      <c r="D2342" s="19" t="s">
        <v>1061</v>
      </c>
      <c r="E2342" s="19">
        <v>20</v>
      </c>
      <c r="F2342" s="19">
        <v>300</v>
      </c>
      <c r="G2342" s="19">
        <v>7800</v>
      </c>
      <c r="H2342" s="19">
        <v>2</v>
      </c>
      <c r="I2342" s="80">
        <v>367.38</v>
      </c>
      <c r="J2342" s="80">
        <v>734.76</v>
      </c>
      <c r="K2342" s="19" t="s">
        <v>195</v>
      </c>
      <c r="L2342" s="19" t="s">
        <v>3081</v>
      </c>
      <c r="Q2342" s="20">
        <v>24</v>
      </c>
      <c r="R2342" s="65" t="s">
        <v>2010</v>
      </c>
      <c r="T2342" s="19" t="s">
        <v>307</v>
      </c>
      <c r="V2342" s="19" t="s">
        <v>178</v>
      </c>
      <c r="Y2342" s="19" t="s">
        <v>138</v>
      </c>
      <c r="Z2342" s="44" t="s">
        <v>2449</v>
      </c>
      <c r="AA2342" s="44" t="s">
        <v>180</v>
      </c>
      <c r="AC2342" s="19" t="s">
        <v>3082</v>
      </c>
    </row>
    <row r="2343" spans="1:29" x14ac:dyDescent="0.25">
      <c r="A2343" s="26">
        <v>582</v>
      </c>
      <c r="B2343" s="19" t="s">
        <v>3085</v>
      </c>
      <c r="C2343" s="44" t="s">
        <v>273</v>
      </c>
      <c r="D2343" s="19" t="s">
        <v>1086</v>
      </c>
      <c r="E2343" s="19">
        <v>20</v>
      </c>
      <c r="F2343" s="19">
        <v>300</v>
      </c>
      <c r="G2343" s="19">
        <v>6232</v>
      </c>
      <c r="H2343" s="19">
        <v>1</v>
      </c>
      <c r="I2343" s="80">
        <v>293.52999999999997</v>
      </c>
      <c r="J2343" s="80">
        <v>293.52999999999997</v>
      </c>
      <c r="K2343" s="19" t="s">
        <v>195</v>
      </c>
      <c r="L2343" s="19" t="s">
        <v>3086</v>
      </c>
      <c r="Q2343" s="20">
        <v>24</v>
      </c>
      <c r="R2343" s="65" t="s">
        <v>2010</v>
      </c>
      <c r="T2343" s="19" t="s">
        <v>307</v>
      </c>
      <c r="V2343" s="19" t="s">
        <v>178</v>
      </c>
      <c r="Y2343" s="19" t="s">
        <v>138</v>
      </c>
      <c r="Z2343" s="44" t="s">
        <v>2449</v>
      </c>
      <c r="AA2343" s="44" t="s">
        <v>180</v>
      </c>
      <c r="AC2343" s="19" t="s">
        <v>3087</v>
      </c>
    </row>
    <row r="2344" spans="1:29" x14ac:dyDescent="0.25">
      <c r="A2344" s="26">
        <v>583</v>
      </c>
      <c r="B2344" s="19" t="s">
        <v>3088</v>
      </c>
      <c r="C2344" s="44" t="s">
        <v>273</v>
      </c>
      <c r="D2344" s="19" t="s">
        <v>1020</v>
      </c>
      <c r="E2344" s="19">
        <v>20</v>
      </c>
      <c r="F2344" s="19">
        <v>1436</v>
      </c>
      <c r="G2344" s="19">
        <v>9068</v>
      </c>
      <c r="H2344" s="19">
        <v>1</v>
      </c>
      <c r="I2344" s="80">
        <v>2029.94</v>
      </c>
      <c r="J2344" s="80">
        <v>2029.94</v>
      </c>
      <c r="K2344" s="19" t="s">
        <v>195</v>
      </c>
      <c r="L2344" s="19" t="s">
        <v>3086</v>
      </c>
      <c r="Q2344" s="20">
        <v>24</v>
      </c>
      <c r="R2344" s="65" t="s">
        <v>2010</v>
      </c>
      <c r="T2344" s="19" t="s">
        <v>307</v>
      </c>
      <c r="V2344" s="19" t="s">
        <v>178</v>
      </c>
      <c r="Y2344" s="19" t="s">
        <v>138</v>
      </c>
      <c r="Z2344" s="44" t="s">
        <v>2449</v>
      </c>
      <c r="AA2344" s="44" t="s">
        <v>180</v>
      </c>
      <c r="AC2344" s="19" t="s">
        <v>3087</v>
      </c>
    </row>
    <row r="2345" spans="1:29" x14ac:dyDescent="0.25">
      <c r="A2345" s="26">
        <v>584</v>
      </c>
      <c r="B2345" s="19" t="s">
        <v>3089</v>
      </c>
      <c r="C2345" s="44" t="s">
        <v>273</v>
      </c>
      <c r="D2345" s="19" t="s">
        <v>1086</v>
      </c>
      <c r="E2345" s="19">
        <v>20</v>
      </c>
      <c r="F2345" s="19">
        <v>300</v>
      </c>
      <c r="G2345" s="19">
        <v>6232</v>
      </c>
      <c r="H2345" s="19">
        <v>1</v>
      </c>
      <c r="I2345" s="80">
        <v>293.52999999999997</v>
      </c>
      <c r="J2345" s="80">
        <v>293.52999999999997</v>
      </c>
      <c r="K2345" s="19" t="s">
        <v>195</v>
      </c>
      <c r="L2345" s="19" t="s">
        <v>3086</v>
      </c>
      <c r="Q2345" s="20">
        <v>24</v>
      </c>
      <c r="R2345" s="65" t="s">
        <v>2010</v>
      </c>
      <c r="T2345" s="19" t="s">
        <v>307</v>
      </c>
      <c r="V2345" s="19" t="s">
        <v>178</v>
      </c>
      <c r="Y2345" s="19" t="s">
        <v>138</v>
      </c>
      <c r="Z2345" s="44" t="s">
        <v>2449</v>
      </c>
      <c r="AA2345" s="44" t="s">
        <v>180</v>
      </c>
      <c r="AC2345" s="19" t="s">
        <v>3087</v>
      </c>
    </row>
    <row r="2346" spans="1:29" x14ac:dyDescent="0.25">
      <c r="A2346" s="26">
        <v>585</v>
      </c>
      <c r="B2346" s="19" t="s">
        <v>3090</v>
      </c>
      <c r="C2346" s="44" t="s">
        <v>273</v>
      </c>
      <c r="D2346" s="19" t="s">
        <v>1086</v>
      </c>
      <c r="E2346" s="19">
        <v>20</v>
      </c>
      <c r="F2346" s="19">
        <v>300</v>
      </c>
      <c r="G2346" s="19">
        <v>6232</v>
      </c>
      <c r="H2346" s="19">
        <v>1</v>
      </c>
      <c r="I2346" s="80">
        <v>293.52999999999997</v>
      </c>
      <c r="J2346" s="80">
        <v>293.52999999999997</v>
      </c>
      <c r="K2346" s="19" t="s">
        <v>195</v>
      </c>
      <c r="L2346" s="19" t="s">
        <v>3086</v>
      </c>
      <c r="Q2346" s="20">
        <v>24</v>
      </c>
      <c r="R2346" s="65" t="s">
        <v>2010</v>
      </c>
      <c r="T2346" s="19" t="s">
        <v>307</v>
      </c>
      <c r="V2346" s="19" t="s">
        <v>178</v>
      </c>
      <c r="Y2346" s="19" t="s">
        <v>138</v>
      </c>
      <c r="Z2346" s="44" t="s">
        <v>2449</v>
      </c>
      <c r="AA2346" s="44" t="s">
        <v>180</v>
      </c>
      <c r="AC2346" s="19" t="s">
        <v>3087</v>
      </c>
    </row>
    <row r="2347" spans="1:29" x14ac:dyDescent="0.25">
      <c r="A2347" s="26">
        <v>586</v>
      </c>
      <c r="B2347" s="19" t="s">
        <v>3091</v>
      </c>
      <c r="C2347" s="44" t="s">
        <v>273</v>
      </c>
      <c r="D2347" s="19" t="s">
        <v>1041</v>
      </c>
      <c r="E2347" s="19">
        <v>20</v>
      </c>
      <c r="F2347" s="19">
        <v>300</v>
      </c>
      <c r="G2347" s="19">
        <v>6101</v>
      </c>
      <c r="H2347" s="19">
        <v>1</v>
      </c>
      <c r="I2347" s="80">
        <v>287.36</v>
      </c>
      <c r="J2347" s="80">
        <v>287.36</v>
      </c>
      <c r="K2347" s="19" t="s">
        <v>195</v>
      </c>
      <c r="L2347" s="19" t="s">
        <v>3092</v>
      </c>
      <c r="P2347" s="19" t="s">
        <v>138</v>
      </c>
      <c r="Q2347" s="20">
        <v>24</v>
      </c>
      <c r="R2347" s="65" t="s">
        <v>2010</v>
      </c>
      <c r="T2347" s="19" t="s">
        <v>307</v>
      </c>
      <c r="V2347" s="19" t="s">
        <v>178</v>
      </c>
      <c r="Y2347" s="19" t="s">
        <v>138</v>
      </c>
      <c r="Z2347" s="44" t="s">
        <v>2449</v>
      </c>
      <c r="AA2347" s="44" t="s">
        <v>180</v>
      </c>
      <c r="AC2347" s="19" t="s">
        <v>3093</v>
      </c>
    </row>
    <row r="2348" spans="1:29" x14ac:dyDescent="0.25">
      <c r="A2348" s="26">
        <v>587</v>
      </c>
      <c r="B2348" s="19" t="s">
        <v>3094</v>
      </c>
      <c r="C2348" s="44" t="s">
        <v>273</v>
      </c>
      <c r="D2348" s="19" t="s">
        <v>1070</v>
      </c>
      <c r="E2348" s="19">
        <v>20</v>
      </c>
      <c r="F2348" s="19">
        <v>330</v>
      </c>
      <c r="G2348" s="19">
        <v>6005</v>
      </c>
      <c r="H2348" s="19">
        <v>1</v>
      </c>
      <c r="I2348" s="80">
        <v>311.12</v>
      </c>
      <c r="J2348" s="80">
        <v>311.12</v>
      </c>
      <c r="K2348" s="19" t="s">
        <v>195</v>
      </c>
      <c r="L2348" s="19" t="s">
        <v>3092</v>
      </c>
      <c r="Q2348" s="20">
        <v>24</v>
      </c>
      <c r="R2348" s="65" t="s">
        <v>2010</v>
      </c>
      <c r="T2348" s="19" t="s">
        <v>307</v>
      </c>
      <c r="V2348" s="19" t="s">
        <v>178</v>
      </c>
      <c r="W2348" s="19" t="s">
        <v>138</v>
      </c>
      <c r="Z2348" s="44" t="s">
        <v>2449</v>
      </c>
      <c r="AA2348" s="44" t="s">
        <v>180</v>
      </c>
      <c r="AC2348" s="19" t="s">
        <v>3093</v>
      </c>
    </row>
    <row r="2349" spans="1:29" x14ac:dyDescent="0.25">
      <c r="A2349" s="26">
        <v>588</v>
      </c>
      <c r="B2349" s="19" t="s">
        <v>3095</v>
      </c>
      <c r="C2349" s="44" t="s">
        <v>273</v>
      </c>
      <c r="D2349" s="19" t="s">
        <v>1070</v>
      </c>
      <c r="E2349" s="19">
        <v>20</v>
      </c>
      <c r="F2349" s="19">
        <v>330</v>
      </c>
      <c r="G2349" s="19">
        <v>6005</v>
      </c>
      <c r="H2349" s="19">
        <v>1</v>
      </c>
      <c r="I2349" s="80">
        <v>311.12</v>
      </c>
      <c r="J2349" s="80">
        <v>311.12</v>
      </c>
      <c r="K2349" s="19" t="s">
        <v>195</v>
      </c>
      <c r="L2349" s="19" t="s">
        <v>3092</v>
      </c>
      <c r="Q2349" s="20">
        <v>24</v>
      </c>
      <c r="R2349" s="65" t="s">
        <v>2010</v>
      </c>
      <c r="T2349" s="19" t="s">
        <v>307</v>
      </c>
      <c r="V2349" s="19" t="s">
        <v>178</v>
      </c>
      <c r="W2349" s="19" t="s">
        <v>138</v>
      </c>
      <c r="Z2349" s="44" t="s">
        <v>2449</v>
      </c>
      <c r="AA2349" s="44" t="s">
        <v>180</v>
      </c>
      <c r="AC2349" s="19" t="s">
        <v>3093</v>
      </c>
    </row>
    <row r="2350" spans="1:29" x14ac:dyDescent="0.25">
      <c r="A2350" s="26">
        <v>589</v>
      </c>
      <c r="B2350" s="19" t="s">
        <v>3096</v>
      </c>
      <c r="C2350" s="44" t="s">
        <v>273</v>
      </c>
      <c r="D2350" s="19" t="s">
        <v>1020</v>
      </c>
      <c r="E2350" s="19">
        <v>20</v>
      </c>
      <c r="F2350" s="19">
        <v>1436</v>
      </c>
      <c r="G2350" s="19">
        <v>9068</v>
      </c>
      <c r="H2350" s="19">
        <v>1</v>
      </c>
      <c r="I2350" s="80">
        <v>2029.94</v>
      </c>
      <c r="J2350" s="80">
        <v>2029.94</v>
      </c>
      <c r="K2350" s="19" t="s">
        <v>195</v>
      </c>
      <c r="L2350" s="19" t="s">
        <v>3092</v>
      </c>
      <c r="Q2350" s="20">
        <v>24</v>
      </c>
      <c r="R2350" s="65" t="s">
        <v>2010</v>
      </c>
      <c r="T2350" s="19" t="s">
        <v>307</v>
      </c>
      <c r="V2350" s="19" t="s">
        <v>178</v>
      </c>
      <c r="Y2350" s="19" t="s">
        <v>138</v>
      </c>
      <c r="Z2350" s="44" t="s">
        <v>2449</v>
      </c>
      <c r="AA2350" s="44" t="s">
        <v>180</v>
      </c>
      <c r="AC2350" s="19" t="s">
        <v>3093</v>
      </c>
    </row>
    <row r="2351" spans="1:29" x14ac:dyDescent="0.25">
      <c r="A2351" s="26">
        <v>590</v>
      </c>
      <c r="B2351" s="19" t="s">
        <v>3097</v>
      </c>
      <c r="C2351" s="44" t="s">
        <v>273</v>
      </c>
      <c r="D2351" s="19" t="s">
        <v>1041</v>
      </c>
      <c r="E2351" s="19">
        <v>20</v>
      </c>
      <c r="F2351" s="19">
        <v>300</v>
      </c>
      <c r="G2351" s="19">
        <v>6101</v>
      </c>
      <c r="H2351" s="19">
        <v>1</v>
      </c>
      <c r="I2351" s="80">
        <v>287.36</v>
      </c>
      <c r="J2351" s="80">
        <v>287.36</v>
      </c>
      <c r="K2351" s="19" t="s">
        <v>195</v>
      </c>
      <c r="L2351" s="19" t="s">
        <v>3098</v>
      </c>
      <c r="P2351" s="19" t="s">
        <v>138</v>
      </c>
      <c r="Q2351" s="20">
        <v>24</v>
      </c>
      <c r="R2351" s="65" t="s">
        <v>2010</v>
      </c>
      <c r="T2351" s="19" t="s">
        <v>307</v>
      </c>
      <c r="V2351" s="19" t="s">
        <v>178</v>
      </c>
      <c r="Y2351" s="19" t="s">
        <v>138</v>
      </c>
      <c r="Z2351" s="44" t="s">
        <v>2449</v>
      </c>
      <c r="AA2351" s="44" t="s">
        <v>180</v>
      </c>
      <c r="AC2351" s="19" t="s">
        <v>3099</v>
      </c>
    </row>
    <row r="2352" spans="1:29" x14ac:dyDescent="0.25">
      <c r="A2352" s="26">
        <v>591</v>
      </c>
      <c r="B2352" s="19" t="s">
        <v>3100</v>
      </c>
      <c r="C2352" s="44" t="s">
        <v>273</v>
      </c>
      <c r="D2352" s="19" t="s">
        <v>1041</v>
      </c>
      <c r="E2352" s="19">
        <v>20</v>
      </c>
      <c r="F2352" s="19">
        <v>300</v>
      </c>
      <c r="G2352" s="19">
        <v>6101</v>
      </c>
      <c r="H2352" s="19">
        <v>1</v>
      </c>
      <c r="I2352" s="80">
        <v>287.36</v>
      </c>
      <c r="J2352" s="80">
        <v>287.36</v>
      </c>
      <c r="K2352" s="19" t="s">
        <v>195</v>
      </c>
      <c r="L2352" s="19" t="s">
        <v>3098</v>
      </c>
      <c r="P2352" s="19" t="s">
        <v>138</v>
      </c>
      <c r="Q2352" s="20">
        <v>24</v>
      </c>
      <c r="R2352" s="65" t="s">
        <v>2010</v>
      </c>
      <c r="T2352" s="19" t="s">
        <v>307</v>
      </c>
      <c r="V2352" s="19" t="s">
        <v>178</v>
      </c>
      <c r="Y2352" s="19" t="s">
        <v>138</v>
      </c>
      <c r="Z2352" s="44" t="s">
        <v>2449</v>
      </c>
      <c r="AA2352" s="44" t="s">
        <v>180</v>
      </c>
      <c r="AC2352" s="19" t="s">
        <v>3099</v>
      </c>
    </row>
    <row r="2353" spans="1:29" x14ac:dyDescent="0.25">
      <c r="A2353" s="26">
        <v>592</v>
      </c>
      <c r="B2353" s="19" t="s">
        <v>3101</v>
      </c>
      <c r="C2353" s="44" t="s">
        <v>273</v>
      </c>
      <c r="D2353" s="19" t="s">
        <v>1041</v>
      </c>
      <c r="E2353" s="19">
        <v>20</v>
      </c>
      <c r="F2353" s="19">
        <v>300</v>
      </c>
      <c r="G2353" s="19">
        <v>6101</v>
      </c>
      <c r="H2353" s="19">
        <v>1</v>
      </c>
      <c r="I2353" s="80">
        <v>287.36</v>
      </c>
      <c r="J2353" s="80">
        <v>287.36</v>
      </c>
      <c r="K2353" s="19" t="s">
        <v>195</v>
      </c>
      <c r="L2353" s="19" t="s">
        <v>3098</v>
      </c>
      <c r="P2353" s="19" t="s">
        <v>138</v>
      </c>
      <c r="Q2353" s="20">
        <v>24</v>
      </c>
      <c r="R2353" s="65" t="s">
        <v>2010</v>
      </c>
      <c r="T2353" s="19" t="s">
        <v>307</v>
      </c>
      <c r="V2353" s="19" t="s">
        <v>178</v>
      </c>
      <c r="Y2353" s="19" t="s">
        <v>138</v>
      </c>
      <c r="Z2353" s="44" t="s">
        <v>2449</v>
      </c>
      <c r="AA2353" s="44" t="s">
        <v>180</v>
      </c>
      <c r="AC2353" s="19" t="s">
        <v>3099</v>
      </c>
    </row>
    <row r="2354" spans="1:29" x14ac:dyDescent="0.25">
      <c r="A2354" s="26">
        <v>593</v>
      </c>
      <c r="B2354" s="19" t="s">
        <v>3102</v>
      </c>
      <c r="C2354" s="44" t="s">
        <v>273</v>
      </c>
      <c r="D2354" s="19" t="s">
        <v>1020</v>
      </c>
      <c r="E2354" s="19">
        <v>20</v>
      </c>
      <c r="F2354" s="19">
        <v>1436</v>
      </c>
      <c r="G2354" s="19">
        <v>9068</v>
      </c>
      <c r="H2354" s="19">
        <v>1</v>
      </c>
      <c r="I2354" s="80">
        <v>2029.94</v>
      </c>
      <c r="J2354" s="80">
        <v>2029.94</v>
      </c>
      <c r="K2354" s="19" t="s">
        <v>195</v>
      </c>
      <c r="L2354" s="19" t="s">
        <v>3098</v>
      </c>
      <c r="Q2354" s="20">
        <v>24</v>
      </c>
      <c r="R2354" s="65" t="s">
        <v>2010</v>
      </c>
      <c r="T2354" s="19" t="s">
        <v>307</v>
      </c>
      <c r="V2354" s="19" t="s">
        <v>178</v>
      </c>
      <c r="Y2354" s="19" t="s">
        <v>138</v>
      </c>
      <c r="Z2354" s="44" t="s">
        <v>2449</v>
      </c>
      <c r="AA2354" s="44" t="s">
        <v>180</v>
      </c>
      <c r="AC2354" s="19" t="s">
        <v>3099</v>
      </c>
    </row>
    <row r="2355" spans="1:29" x14ac:dyDescent="0.25">
      <c r="A2355" s="26">
        <v>594</v>
      </c>
      <c r="B2355" s="19" t="s">
        <v>3103</v>
      </c>
      <c r="C2355" s="44" t="s">
        <v>273</v>
      </c>
      <c r="D2355" s="19" t="s">
        <v>1041</v>
      </c>
      <c r="E2355" s="19">
        <v>20</v>
      </c>
      <c r="F2355" s="19">
        <v>300</v>
      </c>
      <c r="G2355" s="19">
        <v>6101</v>
      </c>
      <c r="H2355" s="19">
        <v>1</v>
      </c>
      <c r="I2355" s="80">
        <v>287.36</v>
      </c>
      <c r="J2355" s="80">
        <v>287.36</v>
      </c>
      <c r="K2355" s="19" t="s">
        <v>195</v>
      </c>
      <c r="L2355" s="19" t="s">
        <v>3104</v>
      </c>
      <c r="P2355" s="19" t="s">
        <v>138</v>
      </c>
      <c r="Q2355" s="20">
        <v>24</v>
      </c>
      <c r="R2355" s="65" t="s">
        <v>2010</v>
      </c>
      <c r="T2355" s="19" t="s">
        <v>307</v>
      </c>
      <c r="V2355" s="19" t="s">
        <v>178</v>
      </c>
      <c r="Y2355" s="19" t="s">
        <v>138</v>
      </c>
      <c r="Z2355" s="44" t="s">
        <v>2449</v>
      </c>
      <c r="AA2355" s="44" t="s">
        <v>180</v>
      </c>
      <c r="AC2355" s="19" t="s">
        <v>3105</v>
      </c>
    </row>
    <row r="2356" spans="1:29" x14ac:dyDescent="0.25">
      <c r="A2356" s="26">
        <v>595</v>
      </c>
      <c r="B2356" s="19" t="s">
        <v>3106</v>
      </c>
      <c r="C2356" s="44" t="s">
        <v>273</v>
      </c>
      <c r="D2356" s="19" t="s">
        <v>1041</v>
      </c>
      <c r="E2356" s="19">
        <v>20</v>
      </c>
      <c r="F2356" s="19">
        <v>300</v>
      </c>
      <c r="G2356" s="19">
        <v>6101</v>
      </c>
      <c r="H2356" s="19">
        <v>1</v>
      </c>
      <c r="I2356" s="80">
        <v>287.36</v>
      </c>
      <c r="J2356" s="80">
        <v>287.36</v>
      </c>
      <c r="K2356" s="19" t="s">
        <v>195</v>
      </c>
      <c r="L2356" s="19" t="s">
        <v>3104</v>
      </c>
      <c r="P2356" s="19" t="s">
        <v>138</v>
      </c>
      <c r="Q2356" s="20">
        <v>24</v>
      </c>
      <c r="R2356" s="65" t="s">
        <v>2010</v>
      </c>
      <c r="T2356" s="19" t="s">
        <v>307</v>
      </c>
      <c r="V2356" s="19" t="s">
        <v>178</v>
      </c>
      <c r="Y2356" s="19" t="s">
        <v>138</v>
      </c>
      <c r="Z2356" s="44" t="s">
        <v>2449</v>
      </c>
      <c r="AA2356" s="44" t="s">
        <v>180</v>
      </c>
      <c r="AC2356" s="19" t="s">
        <v>3105</v>
      </c>
    </row>
    <row r="2357" spans="1:29" x14ac:dyDescent="0.25">
      <c r="A2357" s="26">
        <v>596</v>
      </c>
      <c r="B2357" s="19" t="s">
        <v>3107</v>
      </c>
      <c r="C2357" s="44" t="s">
        <v>273</v>
      </c>
      <c r="D2357" s="19" t="s">
        <v>1041</v>
      </c>
      <c r="E2357" s="19">
        <v>20</v>
      </c>
      <c r="F2357" s="19">
        <v>300</v>
      </c>
      <c r="G2357" s="19">
        <v>6101</v>
      </c>
      <c r="H2357" s="19">
        <v>1</v>
      </c>
      <c r="I2357" s="80">
        <v>287.36</v>
      </c>
      <c r="J2357" s="80">
        <v>287.36</v>
      </c>
      <c r="K2357" s="19" t="s">
        <v>195</v>
      </c>
      <c r="L2357" s="19" t="s">
        <v>3104</v>
      </c>
      <c r="P2357" s="19" t="s">
        <v>138</v>
      </c>
      <c r="Q2357" s="20">
        <v>24</v>
      </c>
      <c r="R2357" s="65" t="s">
        <v>2010</v>
      </c>
      <c r="T2357" s="19" t="s">
        <v>307</v>
      </c>
      <c r="V2357" s="19" t="s">
        <v>178</v>
      </c>
      <c r="Y2357" s="19" t="s">
        <v>138</v>
      </c>
      <c r="Z2357" s="44" t="s">
        <v>2449</v>
      </c>
      <c r="AA2357" s="44" t="s">
        <v>180</v>
      </c>
      <c r="AC2357" s="19" t="s">
        <v>3105</v>
      </c>
    </row>
    <row r="2358" spans="1:29" x14ac:dyDescent="0.25">
      <c r="A2358" s="26">
        <v>597</v>
      </c>
      <c r="B2358" s="19" t="s">
        <v>3108</v>
      </c>
      <c r="C2358" s="44" t="s">
        <v>273</v>
      </c>
      <c r="D2358" s="19" t="s">
        <v>1041</v>
      </c>
      <c r="E2358" s="19">
        <v>20</v>
      </c>
      <c r="F2358" s="19">
        <v>300</v>
      </c>
      <c r="G2358" s="19">
        <v>6101</v>
      </c>
      <c r="H2358" s="19">
        <v>1</v>
      </c>
      <c r="I2358" s="80">
        <v>287.36</v>
      </c>
      <c r="J2358" s="80">
        <v>287.36</v>
      </c>
      <c r="K2358" s="19" t="s">
        <v>195</v>
      </c>
      <c r="L2358" s="19" t="s">
        <v>3104</v>
      </c>
      <c r="P2358" s="19" t="s">
        <v>138</v>
      </c>
      <c r="Q2358" s="20">
        <v>24</v>
      </c>
      <c r="R2358" s="65" t="s">
        <v>2010</v>
      </c>
      <c r="T2358" s="19" t="s">
        <v>307</v>
      </c>
      <c r="V2358" s="19" t="s">
        <v>178</v>
      </c>
      <c r="Y2358" s="19" t="s">
        <v>138</v>
      </c>
      <c r="Z2358" s="44" t="s">
        <v>2449</v>
      </c>
      <c r="AA2358" s="44" t="s">
        <v>180</v>
      </c>
      <c r="AC2358" s="19" t="s">
        <v>3105</v>
      </c>
    </row>
    <row r="2359" spans="1:29" x14ac:dyDescent="0.25">
      <c r="A2359" s="26">
        <v>598</v>
      </c>
      <c r="B2359" s="19" t="s">
        <v>3109</v>
      </c>
      <c r="C2359" s="44" t="s">
        <v>273</v>
      </c>
      <c r="D2359" s="19" t="s">
        <v>1041</v>
      </c>
      <c r="E2359" s="19">
        <v>20</v>
      </c>
      <c r="F2359" s="19">
        <v>300</v>
      </c>
      <c r="G2359" s="19">
        <v>6101</v>
      </c>
      <c r="H2359" s="19">
        <v>1</v>
      </c>
      <c r="I2359" s="80">
        <v>287.36</v>
      </c>
      <c r="J2359" s="80">
        <v>287.36</v>
      </c>
      <c r="K2359" s="19" t="s">
        <v>195</v>
      </c>
      <c r="L2359" s="19" t="s">
        <v>3104</v>
      </c>
      <c r="P2359" s="19" t="s">
        <v>138</v>
      </c>
      <c r="Q2359" s="20">
        <v>24</v>
      </c>
      <c r="R2359" s="65" t="s">
        <v>2010</v>
      </c>
      <c r="T2359" s="19" t="s">
        <v>307</v>
      </c>
      <c r="V2359" s="19" t="s">
        <v>178</v>
      </c>
      <c r="Y2359" s="19" t="s">
        <v>138</v>
      </c>
      <c r="Z2359" s="44" t="s">
        <v>2449</v>
      </c>
      <c r="AA2359" s="44" t="s">
        <v>180</v>
      </c>
      <c r="AC2359" s="19" t="s">
        <v>3105</v>
      </c>
    </row>
    <row r="2360" spans="1:29" x14ac:dyDescent="0.25">
      <c r="A2360" s="26">
        <v>599</v>
      </c>
      <c r="B2360" s="19" t="s">
        <v>3110</v>
      </c>
      <c r="C2360" s="44" t="s">
        <v>273</v>
      </c>
      <c r="D2360" s="19" t="s">
        <v>1041</v>
      </c>
      <c r="E2360" s="19">
        <v>20</v>
      </c>
      <c r="F2360" s="19">
        <v>300</v>
      </c>
      <c r="G2360" s="19">
        <v>6101</v>
      </c>
      <c r="H2360" s="19">
        <v>1</v>
      </c>
      <c r="I2360" s="80">
        <v>287.36</v>
      </c>
      <c r="J2360" s="80">
        <v>287.36</v>
      </c>
      <c r="K2360" s="19" t="s">
        <v>195</v>
      </c>
      <c r="L2360" s="19" t="s">
        <v>3104</v>
      </c>
      <c r="P2360" s="19" t="s">
        <v>138</v>
      </c>
      <c r="Q2360" s="20">
        <v>24</v>
      </c>
      <c r="R2360" s="65" t="s">
        <v>2010</v>
      </c>
      <c r="T2360" s="19" t="s">
        <v>307</v>
      </c>
      <c r="V2360" s="19" t="s">
        <v>178</v>
      </c>
      <c r="Y2360" s="19" t="s">
        <v>138</v>
      </c>
      <c r="Z2360" s="44" t="s">
        <v>2449</v>
      </c>
      <c r="AA2360" s="44" t="s">
        <v>180</v>
      </c>
      <c r="AC2360" s="19" t="s">
        <v>3105</v>
      </c>
    </row>
    <row r="2361" spans="1:29" x14ac:dyDescent="0.25">
      <c r="A2361" s="26">
        <v>600</v>
      </c>
      <c r="B2361" s="19" t="s">
        <v>3111</v>
      </c>
      <c r="C2361" s="44" t="s">
        <v>273</v>
      </c>
      <c r="D2361" s="19" t="s">
        <v>1041</v>
      </c>
      <c r="E2361" s="19">
        <v>20</v>
      </c>
      <c r="F2361" s="19">
        <v>300</v>
      </c>
      <c r="G2361" s="19">
        <v>6101</v>
      </c>
      <c r="H2361" s="19">
        <v>1</v>
      </c>
      <c r="I2361" s="80">
        <v>287.36</v>
      </c>
      <c r="J2361" s="80">
        <v>287.36</v>
      </c>
      <c r="K2361" s="19" t="s">
        <v>195</v>
      </c>
      <c r="L2361" s="19" t="s">
        <v>3104</v>
      </c>
      <c r="P2361" s="19" t="s">
        <v>138</v>
      </c>
      <c r="Q2361" s="20">
        <v>24</v>
      </c>
      <c r="R2361" s="65" t="s">
        <v>2010</v>
      </c>
      <c r="T2361" s="19" t="s">
        <v>307</v>
      </c>
      <c r="V2361" s="19" t="s">
        <v>178</v>
      </c>
      <c r="Y2361" s="19" t="s">
        <v>138</v>
      </c>
      <c r="Z2361" s="44" t="s">
        <v>2449</v>
      </c>
      <c r="AA2361" s="44" t="s">
        <v>180</v>
      </c>
      <c r="AC2361" s="19" t="s">
        <v>3105</v>
      </c>
    </row>
    <row r="2362" spans="1:29" x14ac:dyDescent="0.25">
      <c r="A2362" s="26">
        <v>601</v>
      </c>
      <c r="B2362" s="19" t="s">
        <v>3112</v>
      </c>
      <c r="C2362" s="44" t="s">
        <v>273</v>
      </c>
      <c r="D2362" s="19" t="s">
        <v>1041</v>
      </c>
      <c r="E2362" s="19">
        <v>20</v>
      </c>
      <c r="F2362" s="19">
        <v>300</v>
      </c>
      <c r="G2362" s="19">
        <v>6101</v>
      </c>
      <c r="H2362" s="19">
        <v>1</v>
      </c>
      <c r="I2362" s="80">
        <v>287.36</v>
      </c>
      <c r="J2362" s="80">
        <v>287.36</v>
      </c>
      <c r="K2362" s="19" t="s">
        <v>195</v>
      </c>
      <c r="L2362" s="19" t="s">
        <v>3104</v>
      </c>
      <c r="P2362" s="19" t="s">
        <v>138</v>
      </c>
      <c r="Q2362" s="20">
        <v>24</v>
      </c>
      <c r="R2362" s="65" t="s">
        <v>2010</v>
      </c>
      <c r="T2362" s="19" t="s">
        <v>307</v>
      </c>
      <c r="V2362" s="19" t="s">
        <v>178</v>
      </c>
      <c r="Y2362" s="19" t="s">
        <v>138</v>
      </c>
      <c r="Z2362" s="44" t="s">
        <v>2449</v>
      </c>
      <c r="AA2362" s="44" t="s">
        <v>180</v>
      </c>
      <c r="AC2362" s="19" t="s">
        <v>3105</v>
      </c>
    </row>
    <row r="2363" spans="1:29" x14ac:dyDescent="0.25">
      <c r="A2363" s="26">
        <v>602</v>
      </c>
      <c r="B2363" s="19" t="s">
        <v>3113</v>
      </c>
      <c r="C2363" s="44" t="s">
        <v>273</v>
      </c>
      <c r="D2363" s="19" t="s">
        <v>1041</v>
      </c>
      <c r="E2363" s="19">
        <v>20</v>
      </c>
      <c r="F2363" s="19">
        <v>300</v>
      </c>
      <c r="G2363" s="19">
        <v>6101</v>
      </c>
      <c r="H2363" s="19">
        <v>1</v>
      </c>
      <c r="I2363" s="80">
        <v>287.36</v>
      </c>
      <c r="J2363" s="80">
        <v>287.36</v>
      </c>
      <c r="K2363" s="19" t="s">
        <v>195</v>
      </c>
      <c r="L2363" s="19" t="s">
        <v>3114</v>
      </c>
      <c r="P2363" s="19" t="s">
        <v>138</v>
      </c>
      <c r="Q2363" s="20">
        <v>24</v>
      </c>
      <c r="R2363" s="65" t="s">
        <v>2010</v>
      </c>
      <c r="T2363" s="19" t="s">
        <v>307</v>
      </c>
      <c r="V2363" s="19" t="s">
        <v>178</v>
      </c>
      <c r="Y2363" s="19" t="s">
        <v>138</v>
      </c>
      <c r="Z2363" s="44" t="s">
        <v>2449</v>
      </c>
      <c r="AA2363" s="44" t="s">
        <v>180</v>
      </c>
      <c r="AC2363" s="19" t="s">
        <v>3115</v>
      </c>
    </row>
    <row r="2364" spans="1:29" x14ac:dyDescent="0.25">
      <c r="A2364" s="26">
        <v>603</v>
      </c>
      <c r="B2364" s="19" t="s">
        <v>3116</v>
      </c>
      <c r="C2364" s="44" t="s">
        <v>273</v>
      </c>
      <c r="D2364" s="19" t="s">
        <v>1041</v>
      </c>
      <c r="E2364" s="19">
        <v>20</v>
      </c>
      <c r="F2364" s="19">
        <v>300</v>
      </c>
      <c r="G2364" s="19">
        <v>6101</v>
      </c>
      <c r="H2364" s="19">
        <v>1</v>
      </c>
      <c r="I2364" s="80">
        <v>287.36</v>
      </c>
      <c r="J2364" s="80">
        <v>287.36</v>
      </c>
      <c r="K2364" s="19" t="s">
        <v>195</v>
      </c>
      <c r="L2364" s="19" t="s">
        <v>3114</v>
      </c>
      <c r="P2364" s="19" t="s">
        <v>138</v>
      </c>
      <c r="Q2364" s="20">
        <v>24</v>
      </c>
      <c r="R2364" s="65" t="s">
        <v>2010</v>
      </c>
      <c r="T2364" s="19" t="s">
        <v>307</v>
      </c>
      <c r="V2364" s="19" t="s">
        <v>178</v>
      </c>
      <c r="Y2364" s="19" t="s">
        <v>138</v>
      </c>
      <c r="Z2364" s="44" t="s">
        <v>2449</v>
      </c>
      <c r="AA2364" s="44" t="s">
        <v>180</v>
      </c>
      <c r="AC2364" s="19" t="s">
        <v>3115</v>
      </c>
    </row>
    <row r="2365" spans="1:29" x14ac:dyDescent="0.25">
      <c r="A2365" s="26">
        <v>604</v>
      </c>
      <c r="B2365" s="19" t="s">
        <v>3117</v>
      </c>
      <c r="C2365" s="44" t="s">
        <v>273</v>
      </c>
      <c r="D2365" s="19" t="s">
        <v>1041</v>
      </c>
      <c r="E2365" s="19">
        <v>20</v>
      </c>
      <c r="F2365" s="19">
        <v>300</v>
      </c>
      <c r="G2365" s="19">
        <v>6101</v>
      </c>
      <c r="H2365" s="19">
        <v>1</v>
      </c>
      <c r="I2365" s="80">
        <v>287.36</v>
      </c>
      <c r="J2365" s="80">
        <v>287.36</v>
      </c>
      <c r="K2365" s="19" t="s">
        <v>195</v>
      </c>
      <c r="L2365" s="19" t="s">
        <v>3114</v>
      </c>
      <c r="P2365" s="19" t="s">
        <v>138</v>
      </c>
      <c r="Q2365" s="20">
        <v>24</v>
      </c>
      <c r="R2365" s="65" t="s">
        <v>2010</v>
      </c>
      <c r="T2365" s="19" t="s">
        <v>307</v>
      </c>
      <c r="V2365" s="19" t="s">
        <v>178</v>
      </c>
      <c r="Y2365" s="19" t="s">
        <v>138</v>
      </c>
      <c r="Z2365" s="44" t="s">
        <v>2449</v>
      </c>
      <c r="AA2365" s="44" t="s">
        <v>180</v>
      </c>
      <c r="AC2365" s="19" t="s">
        <v>3115</v>
      </c>
    </row>
    <row r="2366" spans="1:29" x14ac:dyDescent="0.25">
      <c r="A2366" s="26">
        <v>605</v>
      </c>
      <c r="B2366" s="19" t="s">
        <v>3118</v>
      </c>
      <c r="C2366" s="44" t="s">
        <v>273</v>
      </c>
      <c r="D2366" s="19" t="s">
        <v>1041</v>
      </c>
      <c r="E2366" s="19">
        <v>20</v>
      </c>
      <c r="F2366" s="19">
        <v>300</v>
      </c>
      <c r="G2366" s="19">
        <v>6101</v>
      </c>
      <c r="H2366" s="19">
        <v>1</v>
      </c>
      <c r="I2366" s="80">
        <v>287.36</v>
      </c>
      <c r="J2366" s="80">
        <v>287.36</v>
      </c>
      <c r="K2366" s="19" t="s">
        <v>195</v>
      </c>
      <c r="L2366" s="19" t="s">
        <v>3114</v>
      </c>
      <c r="P2366" s="19" t="s">
        <v>138</v>
      </c>
      <c r="Q2366" s="20">
        <v>24</v>
      </c>
      <c r="R2366" s="65" t="s">
        <v>2010</v>
      </c>
      <c r="T2366" s="19" t="s">
        <v>307</v>
      </c>
      <c r="V2366" s="19" t="s">
        <v>178</v>
      </c>
      <c r="Y2366" s="19" t="s">
        <v>138</v>
      </c>
      <c r="Z2366" s="44" t="s">
        <v>2449</v>
      </c>
      <c r="AA2366" s="44" t="s">
        <v>180</v>
      </c>
      <c r="AC2366" s="19" t="s">
        <v>3115</v>
      </c>
    </row>
    <row r="2367" spans="1:29" x14ac:dyDescent="0.25">
      <c r="A2367" s="26">
        <v>606</v>
      </c>
      <c r="B2367" s="19" t="s">
        <v>3119</v>
      </c>
      <c r="C2367" s="44" t="s">
        <v>273</v>
      </c>
      <c r="D2367" s="19" t="s">
        <v>1041</v>
      </c>
      <c r="E2367" s="19">
        <v>20</v>
      </c>
      <c r="F2367" s="19">
        <v>300</v>
      </c>
      <c r="G2367" s="19">
        <v>6101</v>
      </c>
      <c r="H2367" s="19">
        <v>1</v>
      </c>
      <c r="I2367" s="80">
        <v>287.36</v>
      </c>
      <c r="J2367" s="80">
        <v>287.36</v>
      </c>
      <c r="K2367" s="19" t="s">
        <v>195</v>
      </c>
      <c r="L2367" s="19" t="s">
        <v>3114</v>
      </c>
      <c r="P2367" s="19" t="s">
        <v>138</v>
      </c>
      <c r="Q2367" s="20">
        <v>24</v>
      </c>
      <c r="R2367" s="65" t="s">
        <v>2010</v>
      </c>
      <c r="T2367" s="19" t="s">
        <v>307</v>
      </c>
      <c r="V2367" s="19" t="s">
        <v>178</v>
      </c>
      <c r="Y2367" s="19" t="s">
        <v>138</v>
      </c>
      <c r="Z2367" s="44" t="s">
        <v>2449</v>
      </c>
      <c r="AA2367" s="44" t="s">
        <v>180</v>
      </c>
      <c r="AC2367" s="19" t="s">
        <v>3115</v>
      </c>
    </row>
    <row r="2368" spans="1:29" x14ac:dyDescent="0.25">
      <c r="A2368" s="26">
        <v>607</v>
      </c>
      <c r="B2368" s="19" t="s">
        <v>3120</v>
      </c>
      <c r="C2368" s="44" t="s">
        <v>273</v>
      </c>
      <c r="D2368" s="19" t="s">
        <v>1041</v>
      </c>
      <c r="E2368" s="19">
        <v>20</v>
      </c>
      <c r="F2368" s="19">
        <v>300</v>
      </c>
      <c r="G2368" s="19">
        <v>6101</v>
      </c>
      <c r="H2368" s="19">
        <v>1</v>
      </c>
      <c r="I2368" s="80">
        <v>287.36</v>
      </c>
      <c r="J2368" s="80">
        <v>287.36</v>
      </c>
      <c r="K2368" s="19" t="s">
        <v>195</v>
      </c>
      <c r="L2368" s="19" t="s">
        <v>3114</v>
      </c>
      <c r="P2368" s="19" t="s">
        <v>138</v>
      </c>
      <c r="Q2368" s="20">
        <v>24</v>
      </c>
      <c r="R2368" s="65" t="s">
        <v>2010</v>
      </c>
      <c r="T2368" s="19" t="s">
        <v>307</v>
      </c>
      <c r="V2368" s="19" t="s">
        <v>178</v>
      </c>
      <c r="Y2368" s="19" t="s">
        <v>138</v>
      </c>
      <c r="Z2368" s="44" t="s">
        <v>2449</v>
      </c>
      <c r="AA2368" s="44" t="s">
        <v>180</v>
      </c>
      <c r="AC2368" s="19" t="s">
        <v>3115</v>
      </c>
    </row>
    <row r="2369" spans="1:29" x14ac:dyDescent="0.25">
      <c r="A2369" s="26">
        <v>608</v>
      </c>
      <c r="B2369" s="19" t="s">
        <v>3121</v>
      </c>
      <c r="C2369" s="44" t="s">
        <v>273</v>
      </c>
      <c r="D2369" s="19" t="s">
        <v>1041</v>
      </c>
      <c r="E2369" s="19">
        <v>20</v>
      </c>
      <c r="F2369" s="19">
        <v>300</v>
      </c>
      <c r="G2369" s="19">
        <v>6101</v>
      </c>
      <c r="H2369" s="19">
        <v>1</v>
      </c>
      <c r="I2369" s="80">
        <v>287.36</v>
      </c>
      <c r="J2369" s="80">
        <v>287.36</v>
      </c>
      <c r="K2369" s="19" t="s">
        <v>195</v>
      </c>
      <c r="L2369" s="19" t="s">
        <v>3114</v>
      </c>
      <c r="P2369" s="19" t="s">
        <v>138</v>
      </c>
      <c r="Q2369" s="20">
        <v>24</v>
      </c>
      <c r="R2369" s="65" t="s">
        <v>2010</v>
      </c>
      <c r="T2369" s="19" t="s">
        <v>307</v>
      </c>
      <c r="V2369" s="19" t="s">
        <v>178</v>
      </c>
      <c r="Y2369" s="19" t="s">
        <v>138</v>
      </c>
      <c r="Z2369" s="44" t="s">
        <v>2449</v>
      </c>
      <c r="AA2369" s="44" t="s">
        <v>180</v>
      </c>
      <c r="AC2369" s="19" t="s">
        <v>3115</v>
      </c>
    </row>
    <row r="2370" spans="1:29" x14ac:dyDescent="0.25">
      <c r="A2370" s="26">
        <v>609</v>
      </c>
      <c r="B2370" s="19" t="s">
        <v>3122</v>
      </c>
      <c r="C2370" s="44" t="s">
        <v>273</v>
      </c>
      <c r="D2370" s="19" t="s">
        <v>1041</v>
      </c>
      <c r="E2370" s="19">
        <v>20</v>
      </c>
      <c r="F2370" s="19">
        <v>300</v>
      </c>
      <c r="G2370" s="19">
        <v>6101</v>
      </c>
      <c r="H2370" s="19">
        <v>1</v>
      </c>
      <c r="I2370" s="80">
        <v>287.36</v>
      </c>
      <c r="J2370" s="80">
        <v>287.36</v>
      </c>
      <c r="K2370" s="19" t="s">
        <v>195</v>
      </c>
      <c r="L2370" s="19" t="s">
        <v>3114</v>
      </c>
      <c r="P2370" s="19" t="s">
        <v>138</v>
      </c>
      <c r="Q2370" s="20">
        <v>24</v>
      </c>
      <c r="R2370" s="65" t="s">
        <v>2010</v>
      </c>
      <c r="T2370" s="19" t="s">
        <v>307</v>
      </c>
      <c r="V2370" s="19" t="s">
        <v>178</v>
      </c>
      <c r="Y2370" s="19" t="s">
        <v>138</v>
      </c>
      <c r="Z2370" s="44" t="s">
        <v>2449</v>
      </c>
      <c r="AA2370" s="44" t="s">
        <v>180</v>
      </c>
      <c r="AC2370" s="19" t="s">
        <v>3115</v>
      </c>
    </row>
    <row r="2371" spans="1:29" x14ac:dyDescent="0.25">
      <c r="A2371" s="26">
        <v>610</v>
      </c>
      <c r="B2371" s="19" t="s">
        <v>3123</v>
      </c>
      <c r="C2371" s="44" t="s">
        <v>273</v>
      </c>
      <c r="D2371" s="19" t="s">
        <v>1041</v>
      </c>
      <c r="E2371" s="19">
        <v>20</v>
      </c>
      <c r="F2371" s="19">
        <v>300</v>
      </c>
      <c r="G2371" s="19">
        <v>6101</v>
      </c>
      <c r="H2371" s="19">
        <v>1</v>
      </c>
      <c r="I2371" s="80">
        <v>287.36</v>
      </c>
      <c r="J2371" s="80">
        <v>287.36</v>
      </c>
      <c r="K2371" s="19" t="s">
        <v>195</v>
      </c>
      <c r="L2371" s="19" t="s">
        <v>3124</v>
      </c>
      <c r="P2371" s="19" t="s">
        <v>138</v>
      </c>
      <c r="Q2371" s="20">
        <v>24</v>
      </c>
      <c r="R2371" s="65" t="s">
        <v>2010</v>
      </c>
      <c r="T2371" s="19" t="s">
        <v>307</v>
      </c>
      <c r="V2371" s="19" t="s">
        <v>178</v>
      </c>
      <c r="Y2371" s="19" t="s">
        <v>138</v>
      </c>
      <c r="Z2371" s="44" t="s">
        <v>2449</v>
      </c>
      <c r="AA2371" s="44" t="s">
        <v>180</v>
      </c>
      <c r="AC2371" s="19" t="s">
        <v>3125</v>
      </c>
    </row>
    <row r="2372" spans="1:29" x14ac:dyDescent="0.25">
      <c r="A2372" s="26">
        <v>611</v>
      </c>
      <c r="B2372" s="19" t="s">
        <v>3126</v>
      </c>
      <c r="C2372" s="44" t="s">
        <v>273</v>
      </c>
      <c r="D2372" s="19" t="s">
        <v>1041</v>
      </c>
      <c r="E2372" s="19">
        <v>20</v>
      </c>
      <c r="F2372" s="19">
        <v>300</v>
      </c>
      <c r="G2372" s="19">
        <v>6101</v>
      </c>
      <c r="H2372" s="19">
        <v>1</v>
      </c>
      <c r="I2372" s="80">
        <v>287.36</v>
      </c>
      <c r="J2372" s="80">
        <v>287.36</v>
      </c>
      <c r="K2372" s="19" t="s">
        <v>195</v>
      </c>
      <c r="L2372" s="19" t="s">
        <v>3124</v>
      </c>
      <c r="P2372" s="19" t="s">
        <v>138</v>
      </c>
      <c r="Q2372" s="20">
        <v>24</v>
      </c>
      <c r="R2372" s="65" t="s">
        <v>2010</v>
      </c>
      <c r="T2372" s="19" t="s">
        <v>307</v>
      </c>
      <c r="V2372" s="19" t="s">
        <v>178</v>
      </c>
      <c r="Y2372" s="19" t="s">
        <v>138</v>
      </c>
      <c r="Z2372" s="44" t="s">
        <v>2449</v>
      </c>
      <c r="AA2372" s="44" t="s">
        <v>180</v>
      </c>
      <c r="AC2372" s="19" t="s">
        <v>3125</v>
      </c>
    </row>
    <row r="2373" spans="1:29" x14ac:dyDescent="0.25">
      <c r="A2373" s="26">
        <v>612</v>
      </c>
      <c r="B2373" s="19" t="s">
        <v>3127</v>
      </c>
      <c r="C2373" s="44" t="s">
        <v>273</v>
      </c>
      <c r="D2373" s="19" t="s">
        <v>1041</v>
      </c>
      <c r="E2373" s="19">
        <v>20</v>
      </c>
      <c r="F2373" s="19">
        <v>300</v>
      </c>
      <c r="G2373" s="19">
        <v>6101</v>
      </c>
      <c r="H2373" s="19">
        <v>1</v>
      </c>
      <c r="I2373" s="80">
        <v>287.36</v>
      </c>
      <c r="J2373" s="80">
        <v>287.36</v>
      </c>
      <c r="K2373" s="19" t="s">
        <v>195</v>
      </c>
      <c r="L2373" s="19" t="s">
        <v>3124</v>
      </c>
      <c r="P2373" s="19" t="s">
        <v>138</v>
      </c>
      <c r="Q2373" s="20">
        <v>24</v>
      </c>
      <c r="R2373" s="65" t="s">
        <v>2010</v>
      </c>
      <c r="T2373" s="19" t="s">
        <v>307</v>
      </c>
      <c r="V2373" s="19" t="s">
        <v>178</v>
      </c>
      <c r="Y2373" s="19" t="s">
        <v>138</v>
      </c>
      <c r="Z2373" s="44" t="s">
        <v>2449</v>
      </c>
      <c r="AA2373" s="44" t="s">
        <v>180</v>
      </c>
      <c r="AC2373" s="19" t="s">
        <v>3125</v>
      </c>
    </row>
    <row r="2374" spans="1:29" x14ac:dyDescent="0.25">
      <c r="A2374" s="26">
        <v>613</v>
      </c>
      <c r="B2374" s="19" t="s">
        <v>3128</v>
      </c>
      <c r="C2374" s="44" t="s">
        <v>273</v>
      </c>
      <c r="D2374" s="19" t="s">
        <v>1041</v>
      </c>
      <c r="E2374" s="19">
        <v>20</v>
      </c>
      <c r="F2374" s="19">
        <v>300</v>
      </c>
      <c r="G2374" s="19">
        <v>6101</v>
      </c>
      <c r="H2374" s="19">
        <v>1</v>
      </c>
      <c r="I2374" s="80">
        <v>287.36</v>
      </c>
      <c r="J2374" s="80">
        <v>287.36</v>
      </c>
      <c r="K2374" s="19" t="s">
        <v>195</v>
      </c>
      <c r="L2374" s="19" t="s">
        <v>3124</v>
      </c>
      <c r="P2374" s="19" t="s">
        <v>138</v>
      </c>
      <c r="Q2374" s="20">
        <v>24</v>
      </c>
      <c r="R2374" s="65" t="s">
        <v>2010</v>
      </c>
      <c r="T2374" s="19" t="s">
        <v>307</v>
      </c>
      <c r="V2374" s="19" t="s">
        <v>178</v>
      </c>
      <c r="Y2374" s="19" t="s">
        <v>138</v>
      </c>
      <c r="Z2374" s="44" t="s">
        <v>2449</v>
      </c>
      <c r="AA2374" s="44" t="s">
        <v>180</v>
      </c>
      <c r="AC2374" s="19" t="s">
        <v>3125</v>
      </c>
    </row>
    <row r="2375" spans="1:29" x14ac:dyDescent="0.25">
      <c r="A2375" s="26">
        <v>614</v>
      </c>
      <c r="B2375" s="19" t="s">
        <v>3129</v>
      </c>
      <c r="C2375" s="44" t="s">
        <v>273</v>
      </c>
      <c r="D2375" s="19" t="s">
        <v>1041</v>
      </c>
      <c r="E2375" s="19">
        <v>20</v>
      </c>
      <c r="F2375" s="19">
        <v>300</v>
      </c>
      <c r="G2375" s="19">
        <v>6101</v>
      </c>
      <c r="H2375" s="19">
        <v>1</v>
      </c>
      <c r="I2375" s="80">
        <v>287.36</v>
      </c>
      <c r="J2375" s="80">
        <v>287.36</v>
      </c>
      <c r="K2375" s="19" t="s">
        <v>195</v>
      </c>
      <c r="L2375" s="19" t="s">
        <v>3124</v>
      </c>
      <c r="P2375" s="19" t="s">
        <v>138</v>
      </c>
      <c r="Q2375" s="20">
        <v>24</v>
      </c>
      <c r="R2375" s="65" t="s">
        <v>2010</v>
      </c>
      <c r="T2375" s="19" t="s">
        <v>307</v>
      </c>
      <c r="V2375" s="19" t="s">
        <v>178</v>
      </c>
      <c r="Y2375" s="19" t="s">
        <v>138</v>
      </c>
      <c r="Z2375" s="44" t="s">
        <v>2449</v>
      </c>
      <c r="AA2375" s="44" t="s">
        <v>180</v>
      </c>
      <c r="AC2375" s="19" t="s">
        <v>3125</v>
      </c>
    </row>
    <row r="2376" spans="1:29" x14ac:dyDescent="0.25">
      <c r="A2376" s="26">
        <v>615</v>
      </c>
      <c r="B2376" s="19" t="s">
        <v>3130</v>
      </c>
      <c r="C2376" s="44" t="s">
        <v>273</v>
      </c>
      <c r="D2376" s="19" t="s">
        <v>1041</v>
      </c>
      <c r="E2376" s="19">
        <v>20</v>
      </c>
      <c r="F2376" s="19">
        <v>300</v>
      </c>
      <c r="G2376" s="19">
        <v>6101</v>
      </c>
      <c r="H2376" s="19">
        <v>1</v>
      </c>
      <c r="I2376" s="80">
        <v>287.36</v>
      </c>
      <c r="J2376" s="80">
        <v>287.36</v>
      </c>
      <c r="K2376" s="19" t="s">
        <v>195</v>
      </c>
      <c r="L2376" s="19" t="s">
        <v>3124</v>
      </c>
      <c r="P2376" s="19" t="s">
        <v>138</v>
      </c>
      <c r="Q2376" s="20">
        <v>24</v>
      </c>
      <c r="R2376" s="65" t="s">
        <v>2010</v>
      </c>
      <c r="T2376" s="19" t="s">
        <v>307</v>
      </c>
      <c r="V2376" s="19" t="s">
        <v>178</v>
      </c>
      <c r="Y2376" s="19" t="s">
        <v>138</v>
      </c>
      <c r="Z2376" s="44" t="s">
        <v>2449</v>
      </c>
      <c r="AA2376" s="44" t="s">
        <v>180</v>
      </c>
      <c r="AC2376" s="19" t="s">
        <v>3125</v>
      </c>
    </row>
    <row r="2377" spans="1:29" x14ac:dyDescent="0.25">
      <c r="A2377" s="26">
        <v>616</v>
      </c>
      <c r="B2377" s="19" t="s">
        <v>3131</v>
      </c>
      <c r="C2377" s="44" t="s">
        <v>273</v>
      </c>
      <c r="D2377" s="19" t="s">
        <v>1114</v>
      </c>
      <c r="E2377" s="19">
        <v>32</v>
      </c>
      <c r="F2377" s="19">
        <v>550</v>
      </c>
      <c r="G2377" s="19">
        <v>1434</v>
      </c>
      <c r="H2377" s="19">
        <v>1</v>
      </c>
      <c r="I2377" s="80">
        <v>198.12</v>
      </c>
      <c r="J2377" s="80">
        <v>198.12</v>
      </c>
      <c r="K2377" s="19" t="s">
        <v>3132</v>
      </c>
      <c r="L2377" s="19" t="s">
        <v>3133</v>
      </c>
      <c r="Q2377" s="20">
        <v>24</v>
      </c>
      <c r="R2377" s="65" t="s">
        <v>2010</v>
      </c>
      <c r="T2377" s="19" t="s">
        <v>307</v>
      </c>
      <c r="V2377" s="19" t="s">
        <v>178</v>
      </c>
      <c r="Y2377" s="19" t="s">
        <v>138</v>
      </c>
      <c r="Z2377" s="44" t="s">
        <v>2449</v>
      </c>
      <c r="AA2377" s="44" t="s">
        <v>3134</v>
      </c>
      <c r="AC2377" s="19" t="s">
        <v>3135</v>
      </c>
    </row>
    <row r="2378" spans="1:29" x14ac:dyDescent="0.25">
      <c r="A2378" s="26">
        <v>617</v>
      </c>
      <c r="B2378" s="19" t="s">
        <v>3136</v>
      </c>
      <c r="C2378" s="44" t="s">
        <v>273</v>
      </c>
      <c r="D2378" s="19" t="s">
        <v>1114</v>
      </c>
      <c r="E2378" s="19">
        <v>32</v>
      </c>
      <c r="F2378" s="19">
        <v>550</v>
      </c>
      <c r="G2378" s="19">
        <v>1434</v>
      </c>
      <c r="H2378" s="19">
        <v>1</v>
      </c>
      <c r="I2378" s="80">
        <v>198.12</v>
      </c>
      <c r="J2378" s="80">
        <v>198.12</v>
      </c>
      <c r="K2378" s="19" t="s">
        <v>3132</v>
      </c>
      <c r="L2378" s="19" t="s">
        <v>3133</v>
      </c>
      <c r="Q2378" s="20">
        <v>24</v>
      </c>
      <c r="R2378" s="65" t="s">
        <v>2010</v>
      </c>
      <c r="T2378" s="19" t="s">
        <v>307</v>
      </c>
      <c r="V2378" s="19" t="s">
        <v>178</v>
      </c>
      <c r="Y2378" s="19" t="s">
        <v>138</v>
      </c>
      <c r="Z2378" s="44" t="s">
        <v>2449</v>
      </c>
      <c r="AA2378" s="44" t="s">
        <v>3134</v>
      </c>
      <c r="AC2378" s="19" t="s">
        <v>3135</v>
      </c>
    </row>
    <row r="2379" spans="1:29" x14ac:dyDescent="0.25">
      <c r="A2379" s="26">
        <v>618</v>
      </c>
      <c r="B2379" s="19" t="s">
        <v>3137</v>
      </c>
      <c r="C2379" s="44" t="s">
        <v>273</v>
      </c>
      <c r="D2379" s="19" t="s">
        <v>1122</v>
      </c>
      <c r="E2379" s="19">
        <v>32</v>
      </c>
      <c r="F2379" s="19">
        <v>550</v>
      </c>
      <c r="G2379" s="19">
        <v>7660</v>
      </c>
      <c r="H2379" s="19">
        <v>2</v>
      </c>
      <c r="I2379" s="80">
        <v>1058.3</v>
      </c>
      <c r="J2379" s="80">
        <v>2116.61</v>
      </c>
      <c r="K2379" s="19" t="s">
        <v>1123</v>
      </c>
      <c r="L2379" s="19" t="s">
        <v>3138</v>
      </c>
      <c r="Q2379" s="20">
        <v>24</v>
      </c>
      <c r="R2379" s="65" t="s">
        <v>2010</v>
      </c>
      <c r="T2379" s="19" t="s">
        <v>307</v>
      </c>
      <c r="V2379" s="19" t="s">
        <v>178</v>
      </c>
      <c r="Y2379" s="19" t="s">
        <v>138</v>
      </c>
      <c r="Z2379" s="44" t="s">
        <v>2449</v>
      </c>
      <c r="AA2379" s="44" t="s">
        <v>180</v>
      </c>
      <c r="AC2379" s="19" t="s">
        <v>3139</v>
      </c>
    </row>
    <row r="2380" spans="1:29" x14ac:dyDescent="0.25">
      <c r="A2380" s="26">
        <v>619</v>
      </c>
      <c r="B2380" s="19" t="s">
        <v>3140</v>
      </c>
      <c r="C2380" s="44" t="s">
        <v>273</v>
      </c>
      <c r="D2380" s="19" t="s">
        <v>1122</v>
      </c>
      <c r="E2380" s="19">
        <v>32</v>
      </c>
      <c r="F2380" s="19">
        <v>550</v>
      </c>
      <c r="G2380" s="19">
        <v>7660</v>
      </c>
      <c r="H2380" s="19">
        <v>2</v>
      </c>
      <c r="I2380" s="80">
        <v>1058.3</v>
      </c>
      <c r="J2380" s="80">
        <v>2116.61</v>
      </c>
      <c r="K2380" s="19" t="s">
        <v>1123</v>
      </c>
      <c r="L2380" s="19" t="s">
        <v>3138</v>
      </c>
      <c r="Q2380" s="20">
        <v>24</v>
      </c>
      <c r="R2380" s="65" t="s">
        <v>2010</v>
      </c>
      <c r="T2380" s="19" t="s">
        <v>307</v>
      </c>
      <c r="V2380" s="19" t="s">
        <v>178</v>
      </c>
      <c r="Y2380" s="19" t="s">
        <v>138</v>
      </c>
      <c r="Z2380" s="44" t="s">
        <v>2449</v>
      </c>
      <c r="AA2380" s="44" t="s">
        <v>180</v>
      </c>
      <c r="AC2380" s="19" t="s">
        <v>3139</v>
      </c>
    </row>
    <row r="2381" spans="1:29" x14ac:dyDescent="0.25">
      <c r="A2381" s="26">
        <v>620</v>
      </c>
      <c r="B2381" s="19" t="s">
        <v>3141</v>
      </c>
      <c r="C2381" s="44" t="s">
        <v>273</v>
      </c>
      <c r="D2381" s="19" t="s">
        <v>1117</v>
      </c>
      <c r="E2381" s="19">
        <v>32</v>
      </c>
      <c r="F2381" s="19">
        <v>550</v>
      </c>
      <c r="G2381" s="19">
        <v>7896</v>
      </c>
      <c r="H2381" s="19">
        <v>1</v>
      </c>
      <c r="I2381" s="80">
        <v>1090.9100000000001</v>
      </c>
      <c r="J2381" s="80">
        <v>1090.9100000000001</v>
      </c>
      <c r="K2381" s="19" t="s">
        <v>1111</v>
      </c>
      <c r="L2381" s="19" t="s">
        <v>3142</v>
      </c>
      <c r="P2381" s="19" t="s">
        <v>138</v>
      </c>
      <c r="Q2381" s="20">
        <v>24</v>
      </c>
      <c r="R2381" s="65" t="s">
        <v>2010</v>
      </c>
      <c r="T2381" s="19" t="s">
        <v>307</v>
      </c>
      <c r="V2381" s="19" t="s">
        <v>178</v>
      </c>
      <c r="Y2381" s="19" t="s">
        <v>138</v>
      </c>
      <c r="Z2381" s="44" t="s">
        <v>2449</v>
      </c>
      <c r="AA2381" s="44" t="s">
        <v>180</v>
      </c>
      <c r="AC2381" s="19" t="s">
        <v>3143</v>
      </c>
    </row>
    <row r="2382" spans="1:29" x14ac:dyDescent="0.25">
      <c r="A2382" s="26">
        <v>621</v>
      </c>
      <c r="B2382" s="19" t="s">
        <v>3144</v>
      </c>
      <c r="C2382" s="44" t="s">
        <v>273</v>
      </c>
      <c r="D2382" s="19" t="s">
        <v>1117</v>
      </c>
      <c r="E2382" s="19">
        <v>32</v>
      </c>
      <c r="F2382" s="19">
        <v>550</v>
      </c>
      <c r="G2382" s="19">
        <v>7896</v>
      </c>
      <c r="H2382" s="19">
        <v>1</v>
      </c>
      <c r="I2382" s="80">
        <v>1090.9100000000001</v>
      </c>
      <c r="J2382" s="80">
        <v>1090.9100000000001</v>
      </c>
      <c r="K2382" s="19" t="s">
        <v>1111</v>
      </c>
      <c r="L2382" s="19" t="s">
        <v>3142</v>
      </c>
      <c r="P2382" s="19" t="s">
        <v>138</v>
      </c>
      <c r="Q2382" s="20">
        <v>24</v>
      </c>
      <c r="R2382" s="65" t="s">
        <v>2010</v>
      </c>
      <c r="T2382" s="19" t="s">
        <v>307</v>
      </c>
      <c r="V2382" s="19" t="s">
        <v>178</v>
      </c>
      <c r="Y2382" s="19" t="s">
        <v>138</v>
      </c>
      <c r="Z2382" s="44" t="s">
        <v>2449</v>
      </c>
      <c r="AA2382" s="44" t="s">
        <v>180</v>
      </c>
      <c r="AC2382" s="19" t="s">
        <v>3143</v>
      </c>
    </row>
    <row r="2383" spans="1:29" x14ac:dyDescent="0.25">
      <c r="A2383" s="26">
        <v>622</v>
      </c>
      <c r="B2383" s="19" t="s">
        <v>3145</v>
      </c>
      <c r="C2383" s="44" t="s">
        <v>273</v>
      </c>
      <c r="D2383" s="19" t="s">
        <v>1110</v>
      </c>
      <c r="E2383" s="19">
        <v>32</v>
      </c>
      <c r="F2383" s="19">
        <v>550</v>
      </c>
      <c r="G2383" s="19">
        <v>848</v>
      </c>
      <c r="H2383" s="19">
        <v>1</v>
      </c>
      <c r="I2383" s="80">
        <v>117.16</v>
      </c>
      <c r="J2383" s="80">
        <v>117.16</v>
      </c>
      <c r="K2383" s="19" t="s">
        <v>1111</v>
      </c>
      <c r="L2383" s="19" t="s">
        <v>3142</v>
      </c>
      <c r="P2383" s="19" t="s">
        <v>138</v>
      </c>
      <c r="Q2383" s="20">
        <v>24</v>
      </c>
      <c r="R2383" s="65" t="s">
        <v>2010</v>
      </c>
      <c r="T2383" s="19" t="s">
        <v>307</v>
      </c>
      <c r="V2383" s="19" t="s">
        <v>178</v>
      </c>
      <c r="Y2383" s="19" t="s">
        <v>138</v>
      </c>
      <c r="Z2383" s="44" t="s">
        <v>2449</v>
      </c>
      <c r="AA2383" s="44" t="s">
        <v>180</v>
      </c>
      <c r="AC2383" s="19" t="s">
        <v>3143</v>
      </c>
    </row>
    <row r="2384" spans="1:29" x14ac:dyDescent="0.25">
      <c r="A2384" s="26">
        <v>623</v>
      </c>
      <c r="B2384" s="19" t="s">
        <v>3146</v>
      </c>
      <c r="C2384" s="44" t="s">
        <v>273</v>
      </c>
      <c r="D2384" s="19" t="s">
        <v>1110</v>
      </c>
      <c r="E2384" s="19">
        <v>32</v>
      </c>
      <c r="F2384" s="19">
        <v>550</v>
      </c>
      <c r="G2384" s="19">
        <v>848</v>
      </c>
      <c r="H2384" s="19">
        <v>1</v>
      </c>
      <c r="I2384" s="80">
        <v>117.16</v>
      </c>
      <c r="J2384" s="80">
        <v>117.16</v>
      </c>
      <c r="K2384" s="19" t="s">
        <v>1111</v>
      </c>
      <c r="L2384" s="19" t="s">
        <v>3142</v>
      </c>
      <c r="P2384" s="19" t="s">
        <v>138</v>
      </c>
      <c r="Q2384" s="20">
        <v>24</v>
      </c>
      <c r="R2384" s="65" t="s">
        <v>2010</v>
      </c>
      <c r="T2384" s="19" t="s">
        <v>307</v>
      </c>
      <c r="V2384" s="19" t="s">
        <v>178</v>
      </c>
      <c r="Y2384" s="19" t="s">
        <v>138</v>
      </c>
      <c r="Z2384" s="44" t="s">
        <v>2449</v>
      </c>
      <c r="AA2384" s="44" t="s">
        <v>180</v>
      </c>
      <c r="AC2384" s="19" t="s">
        <v>3143</v>
      </c>
    </row>
    <row r="2385" spans="1:29" x14ac:dyDescent="0.25">
      <c r="A2385" s="26">
        <v>624</v>
      </c>
      <c r="B2385" s="19" t="s">
        <v>3147</v>
      </c>
      <c r="C2385" s="44" t="s">
        <v>273</v>
      </c>
      <c r="D2385" s="19" t="s">
        <v>1117</v>
      </c>
      <c r="E2385" s="19">
        <v>32</v>
      </c>
      <c r="F2385" s="19">
        <v>550</v>
      </c>
      <c r="G2385" s="19">
        <v>7896</v>
      </c>
      <c r="H2385" s="19">
        <v>1</v>
      </c>
      <c r="I2385" s="80">
        <v>1090.9100000000001</v>
      </c>
      <c r="J2385" s="80">
        <v>1090.9100000000001</v>
      </c>
      <c r="K2385" s="19" t="s">
        <v>1111</v>
      </c>
      <c r="L2385" s="19" t="s">
        <v>3142</v>
      </c>
      <c r="P2385" s="19" t="s">
        <v>138</v>
      </c>
      <c r="Q2385" s="20">
        <v>24</v>
      </c>
      <c r="R2385" s="65" t="s">
        <v>2010</v>
      </c>
      <c r="T2385" s="19" t="s">
        <v>307</v>
      </c>
      <c r="V2385" s="19" t="s">
        <v>178</v>
      </c>
      <c r="Y2385" s="19" t="s">
        <v>138</v>
      </c>
      <c r="Z2385" s="44" t="s">
        <v>2449</v>
      </c>
      <c r="AA2385" s="44" t="s">
        <v>180</v>
      </c>
      <c r="AC2385" s="19" t="s">
        <v>3143</v>
      </c>
    </row>
    <row r="2386" spans="1:29" x14ac:dyDescent="0.25">
      <c r="A2386" s="26">
        <v>625</v>
      </c>
      <c r="B2386" s="19" t="s">
        <v>3148</v>
      </c>
      <c r="C2386" s="44" t="s">
        <v>273</v>
      </c>
      <c r="D2386" s="19" t="s">
        <v>1117</v>
      </c>
      <c r="E2386" s="19">
        <v>32</v>
      </c>
      <c r="F2386" s="19">
        <v>550</v>
      </c>
      <c r="G2386" s="19">
        <v>7896</v>
      </c>
      <c r="H2386" s="19">
        <v>1</v>
      </c>
      <c r="I2386" s="80">
        <v>1090.9100000000001</v>
      </c>
      <c r="J2386" s="80">
        <v>1090.9100000000001</v>
      </c>
      <c r="K2386" s="19" t="s">
        <v>1111</v>
      </c>
      <c r="L2386" s="19" t="s">
        <v>3142</v>
      </c>
      <c r="P2386" s="19" t="s">
        <v>138</v>
      </c>
      <c r="Q2386" s="20">
        <v>24</v>
      </c>
      <c r="R2386" s="65" t="s">
        <v>2010</v>
      </c>
      <c r="T2386" s="19" t="s">
        <v>307</v>
      </c>
      <c r="V2386" s="19" t="s">
        <v>178</v>
      </c>
      <c r="Y2386" s="19" t="s">
        <v>138</v>
      </c>
      <c r="Z2386" s="44" t="s">
        <v>2449</v>
      </c>
      <c r="AA2386" s="44" t="s">
        <v>180</v>
      </c>
      <c r="AC2386" s="19" t="s">
        <v>3143</v>
      </c>
    </row>
  </sheetData>
  <autoFilter ref="A5:AB2386" xr:uid="{5066690D-782B-420E-9262-0373E5AE9827}">
    <filterColumn colId="16">
      <filters>
        <filter val="24"/>
      </filters>
    </filterColumn>
  </autoFilter>
  <pageMargins left="0.7" right="0.7" top="0.75" bottom="0.75" header="0.3" footer="0.3"/>
  <pageSetup paperSize="8" scale="26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4100" r:id="rId4" name="CommandButton3">
          <controlPr defaultSize="0" autoFill="0" autoLine="0" r:id="rId5">
            <anchor moveWithCells="1">
              <from>
                <xdr:col>21</xdr:col>
                <xdr:colOff>295275</xdr:colOff>
                <xdr:row>1</xdr:row>
                <xdr:rowOff>200025</xdr:rowOff>
              </from>
              <to>
                <xdr:col>21</xdr:col>
                <xdr:colOff>742950</xdr:colOff>
                <xdr:row>3</xdr:row>
                <xdr:rowOff>47625</xdr:rowOff>
              </to>
            </anchor>
          </controlPr>
        </control>
      </mc:Choice>
      <mc:Fallback>
        <control shapeId="4100" r:id="rId4" name="CommandButton3"/>
      </mc:Fallback>
    </mc:AlternateContent>
    <mc:AlternateContent xmlns:mc="http://schemas.openxmlformats.org/markup-compatibility/2006">
      <mc:Choice Requires="x14">
        <control shapeId="4099" r:id="rId6" name="CommandButton1">
          <controlPr defaultSize="0" autoFill="0" autoLine="0" r:id="rId7">
            <anchor moveWithCells="1">
              <from>
                <xdr:col>19</xdr:col>
                <xdr:colOff>419100</xdr:colOff>
                <xdr:row>1</xdr:row>
                <xdr:rowOff>190500</xdr:rowOff>
              </from>
              <to>
                <xdr:col>20</xdr:col>
                <xdr:colOff>295275</xdr:colOff>
                <xdr:row>3</xdr:row>
                <xdr:rowOff>38100</xdr:rowOff>
              </to>
            </anchor>
          </controlPr>
        </control>
      </mc:Choice>
      <mc:Fallback>
        <control shapeId="4099" r:id="rId6" name="CommandButton1"/>
      </mc:Fallback>
    </mc:AlternateContent>
    <mc:AlternateContent xmlns:mc="http://schemas.openxmlformats.org/markup-compatibility/2006">
      <mc:Choice Requires="x14">
        <control shapeId="4098" r:id="rId8" name="CommandButton2">
          <controlPr defaultSize="0" autoFill="0" autoLine="0" r:id="rId9">
            <anchor moveWithCells="1">
              <from>
                <xdr:col>18</xdr:col>
                <xdr:colOff>152400</xdr:colOff>
                <xdr:row>1</xdr:row>
                <xdr:rowOff>190500</xdr:rowOff>
              </from>
              <to>
                <xdr:col>19</xdr:col>
                <xdr:colOff>95250</xdr:colOff>
                <xdr:row>3</xdr:row>
                <xdr:rowOff>38100</xdr:rowOff>
              </to>
            </anchor>
          </controlPr>
        </control>
      </mc:Choice>
      <mc:Fallback>
        <control shapeId="4098" r:id="rId8" name="CommandButton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A5F0-356C-44D7-9599-9289458D208E}">
  <sheetPr codeName="Sheet2" filterMode="1"/>
  <dimension ref="A1:AA299"/>
  <sheetViews>
    <sheetView view="pageBreakPreview" zoomScale="55" zoomScaleNormal="94" zoomScaleSheetLayoutView="55" workbookViewId="0">
      <pane ySplit="4" topLeftCell="A162" activePane="bottomLeft" state="frozenSplit"/>
      <selection pane="bottomLeft" activeCell="G235" sqref="G235"/>
    </sheetView>
  </sheetViews>
  <sheetFormatPr defaultRowHeight="15" x14ac:dyDescent="0.25"/>
  <cols>
    <col min="1" max="1" width="12.5703125" style="2" bestFit="1" customWidth="1"/>
    <col min="2" max="2" width="25.140625" bestFit="1" customWidth="1"/>
    <col min="3" max="3" width="105.85546875" bestFit="1" customWidth="1"/>
    <col min="4" max="4" width="17.85546875" bestFit="1" customWidth="1"/>
    <col min="5" max="5" width="13.140625" style="2" bestFit="1" customWidth="1"/>
    <col min="6" max="6" width="18.28515625" style="7" bestFit="1" customWidth="1"/>
    <col min="7" max="7" width="17.85546875" style="7" bestFit="1" customWidth="1"/>
    <col min="8" max="8" width="18.85546875" bestFit="1" customWidth="1"/>
    <col min="9" max="9" width="14" bestFit="1" customWidth="1"/>
    <col min="10" max="10" width="15.28515625" bestFit="1" customWidth="1"/>
    <col min="11" max="11" width="12.42578125" style="2" bestFit="1" customWidth="1"/>
    <col min="12" max="12" width="16.42578125" style="70" bestFit="1" customWidth="1"/>
    <col min="13" max="13" width="16.28515625" style="70" bestFit="1" customWidth="1"/>
    <col min="14" max="14" width="15.85546875" style="70" bestFit="1" customWidth="1"/>
    <col min="15" max="15" width="97" style="75" bestFit="1" customWidth="1"/>
    <col min="16" max="16" width="20.5703125" style="70" bestFit="1" customWidth="1"/>
    <col min="17" max="17" width="25.42578125" style="73" bestFit="1" customWidth="1"/>
    <col min="18" max="19" width="20.7109375" style="73" bestFit="1" customWidth="1"/>
    <col min="20" max="20" width="21.42578125" style="73" bestFit="1" customWidth="1"/>
    <col min="21" max="21" width="29.7109375" style="70" bestFit="1" customWidth="1"/>
    <col min="22" max="22" width="13.42578125" style="42" bestFit="1" customWidth="1"/>
    <col min="23" max="23" width="17.140625" bestFit="1" customWidth="1"/>
    <col min="24" max="24" width="26.7109375" bestFit="1" customWidth="1"/>
  </cols>
  <sheetData>
    <row r="1" spans="1:26" ht="15" customHeight="1" x14ac:dyDescent="0.25">
      <c r="G1" s="28"/>
      <c r="H1" s="29"/>
      <c r="I1" s="29"/>
      <c r="J1" s="29"/>
      <c r="K1" s="30"/>
      <c r="L1" s="71"/>
      <c r="M1" s="71"/>
      <c r="N1" s="70" t="str">
        <f>IF(J1&lt;&gt;"",J1*I1*H1*7.85/10^6,"")</f>
        <v/>
      </c>
      <c r="O1" s="72"/>
      <c r="P1" s="70" t="str">
        <f>IF(J1&lt;&gt;"",J1*I1*H1*7.85/10^6,"")</f>
        <v/>
      </c>
      <c r="Q1" s="73" t="str">
        <f>IF(O1="NEWPLATE", N1, "")</f>
        <v/>
      </c>
      <c r="R1" s="73" t="str">
        <f>IF(O1&lt;&gt;"NEWPLATE", N1, "")</f>
        <v/>
      </c>
      <c r="T1" s="73" t="str">
        <f>IFERROR(MAX(ROUND(N1-P1-IF(S1="",0,S1)-U1, 2), 0),"")</f>
        <v/>
      </c>
      <c r="U1" s="70" t="str">
        <f>IFERROR(ROUND(P1*0.7/100, 2),"")</f>
        <v/>
      </c>
      <c r="W1" s="50" t="str">
        <f>IFERROR(IF(A1="No
STT","Lệnh Sản Xuất",LEFT(C1,FIND("#",SUBSTITUTE(C1,"-","#",4))-1)),"")</f>
        <v/>
      </c>
      <c r="X1" s="59"/>
    </row>
    <row r="2" spans="1:26" ht="24.75" customHeight="1" x14ac:dyDescent="0.25">
      <c r="G2" s="29" t="str">
        <f ca="1">"Phiếu Yêu Cầu Vật Tư - "&amp;IFERROR(LEFT(INDEX(C5:C99978,MATCH(1,INDEX(SUBTOTAL(3,OFFSET(C5,ROW(C5:C99978)-ROW(C5),0)),0),0)),FIND("#",SUBSTITUTE(INDEX(C5:C99978,MATCH(1,INDEX(SUBTOTAL(3,OFFSET(C5,ROW(C5:C99978)-ROW(C5),0)),0),0)),"-","#",4))-1),"")</f>
        <v>Phiếu Yêu Cầu Vật Tư - VT-SL-TT-024</v>
      </c>
      <c r="J2" s="29"/>
      <c r="K2" s="30"/>
      <c r="L2" s="71"/>
      <c r="M2" s="71"/>
      <c r="N2" s="71"/>
      <c r="O2" s="72"/>
      <c r="W2" s="50" t="str">
        <f ca="1">IFERROR(IF(A2="No
STT","Lệnh Sản Xuất",INDEX(W5:W99978, MATCH(1, INDEX(SUBTOTAL(3, OFFSET(W5, ROW(W5:W99978)-ROW(W5), 0)), 0), 0))),"")</f>
        <v>VT-SL-TT-024</v>
      </c>
      <c r="X2" s="59"/>
    </row>
    <row r="3" spans="1:26" ht="21" customHeight="1" x14ac:dyDescent="0.25">
      <c r="H3" s="69"/>
      <c r="J3" s="69"/>
      <c r="M3" s="82">
        <f ca="1">SUMPRODUCT(SUBTOTAL(109, OFFSET(M5, ROW(M5:M99974)-ROW(M5), 0)), (B5:B99974&lt;&gt;"") * (B5:B99974&lt;&gt;0))</f>
        <v>47</v>
      </c>
      <c r="N3" s="74">
        <f ca="1">SUMPRODUCT(SUBTOTAL(109, OFFSET(N5, ROW(N5:N99974)-ROW(N5), 0)), (C5:C99974&lt;&gt;"") * (C5:C99974&lt;&gt;0))</f>
        <v>135210.33999999994</v>
      </c>
      <c r="O3" s="2"/>
      <c r="P3" s="74">
        <f ca="1">SUMPRODUCT(SUBTOTAL(109, OFFSET(P5, ROW(P5:P99974)-ROW(P5), 0)), (E5:E99974&lt;&gt;"") * (E5:E99974&lt;&gt;0))</f>
        <v>104405.21000000002</v>
      </c>
      <c r="Q3" s="83">
        <f ca="1">SUMPRODUCT(SUBTOTAL(109, OFFSET(Q5, ROW(Q5:Q99974)-ROW(Q5), 0)), (F5:F99974&lt;&gt;"") * (F5:F99974&lt;&gt;0))</f>
        <v>111340.29999999996</v>
      </c>
      <c r="R3" s="83">
        <f ca="1">SUMPRODUCT(SUBTOTAL(109, OFFSET(R5, ROW(R5:R99974)-ROW(R5), 0)), (G5:G99974&lt;&gt;"") * (G5:G99974&lt;&gt;0))</f>
        <v>23870.039999999997</v>
      </c>
      <c r="S3" s="83">
        <f ca="1">SUMPRODUCT(SUBTOTAL(109, OFFSET(S5, ROW(S5:S99974)-ROW(S5), 0)), (H5:H99974&lt;&gt;"") * (H5:H99974&lt;&gt;0))</f>
        <v>25563.649999999994</v>
      </c>
      <c r="T3" s="83">
        <f ca="1">SUMPRODUCT(SUBTOTAL(109, OFFSET(T5, ROW(T5:T99974)-ROW(T5), 0)), (G5:G99974&lt;&gt;"") * (G5:G99974&lt;&gt;0))</f>
        <v>4510.6700000000028</v>
      </c>
      <c r="U3" s="74">
        <f ca="1">SUMPRODUCT(SUBTOTAL(109, OFFSET(U5, ROW(U5:U99974)-ROW(U5), 0)), (J5:J99974&lt;&gt;"") * (J5:J99974&lt;&gt;0))</f>
        <v>730.81000000000017</v>
      </c>
      <c r="V3" s="49"/>
      <c r="W3" s="31">
        <f ca="1">N3-P3-S3-T3-U3</f>
        <v>-7.9808160080574453E-11</v>
      </c>
      <c r="X3" s="60"/>
      <c r="Y3" s="60"/>
      <c r="Z3" s="60"/>
    </row>
    <row r="4" spans="1:26" s="1" customFormat="1" ht="37.5" customHeight="1" x14ac:dyDescent="0.25">
      <c r="A4" s="47" t="s">
        <v>106</v>
      </c>
      <c r="B4" s="47" t="s">
        <v>30</v>
      </c>
      <c r="C4" s="47" t="s">
        <v>31</v>
      </c>
      <c r="D4" s="47" t="s">
        <v>32</v>
      </c>
      <c r="E4" s="47" t="s">
        <v>33</v>
      </c>
      <c r="F4" s="47" t="s">
        <v>34</v>
      </c>
      <c r="G4" s="47" t="s">
        <v>35</v>
      </c>
      <c r="H4" s="47" t="s">
        <v>36</v>
      </c>
      <c r="I4" s="47" t="s">
        <v>37</v>
      </c>
      <c r="J4" s="47" t="s">
        <v>38</v>
      </c>
      <c r="K4" s="47" t="s">
        <v>39</v>
      </c>
      <c r="L4" s="76" t="s">
        <v>40</v>
      </c>
      <c r="M4" s="76" t="s">
        <v>41</v>
      </c>
      <c r="N4" s="76" t="s">
        <v>42</v>
      </c>
      <c r="O4" s="76" t="s">
        <v>107</v>
      </c>
      <c r="P4" s="76" t="s">
        <v>43</v>
      </c>
      <c r="Q4" s="77" t="s">
        <v>101</v>
      </c>
      <c r="R4" s="77" t="s">
        <v>102</v>
      </c>
      <c r="S4" s="77" t="s">
        <v>103</v>
      </c>
      <c r="T4" s="77" t="s">
        <v>104</v>
      </c>
      <c r="U4" s="76" t="s">
        <v>111</v>
      </c>
      <c r="V4" s="48" t="s">
        <v>100</v>
      </c>
      <c r="W4" s="50" t="str">
        <f>IFERROR(IF(A4="No
STT","Lệnh Sản Xuất",LEFT(C4,FIND("#",SUBSTITUTE(C4,"-","#",4))-1)),"")</f>
        <v>Lệnh Sản Xuất</v>
      </c>
      <c r="X4" s="59" t="str">
        <f>IF(C4&lt;&gt;"",IF('List chi tiet'!$B$2&lt;&gt;"",'List chi tiet'!$B$2,""),"")</f>
        <v>10726-141 DG XK SHIPLIFT ÚC</v>
      </c>
    </row>
    <row r="5" spans="1:26" ht="25.5" hidden="1" x14ac:dyDescent="0.25">
      <c r="A5" s="2">
        <v>1</v>
      </c>
      <c r="B5" t="s">
        <v>120</v>
      </c>
      <c r="C5" t="s">
        <v>118</v>
      </c>
      <c r="D5" t="s">
        <v>121</v>
      </c>
      <c r="E5" s="2" t="s">
        <v>154</v>
      </c>
      <c r="F5" s="7" t="s">
        <v>115</v>
      </c>
      <c r="G5" s="7" t="s">
        <v>155</v>
      </c>
      <c r="H5">
        <v>6</v>
      </c>
      <c r="I5">
        <v>462</v>
      </c>
      <c r="J5">
        <v>2988</v>
      </c>
      <c r="K5" s="2" t="s">
        <v>156</v>
      </c>
      <c r="M5" s="70">
        <v>1</v>
      </c>
      <c r="N5" s="70">
        <v>65.02</v>
      </c>
      <c r="O5" s="75" t="s">
        <v>122</v>
      </c>
      <c r="P5" s="70">
        <v>55.93</v>
      </c>
      <c r="Q5" s="73" t="s">
        <v>157</v>
      </c>
      <c r="R5" s="73">
        <v>65.02</v>
      </c>
      <c r="T5" s="73">
        <v>8.6999999999999993</v>
      </c>
      <c r="U5" s="70">
        <v>0.39</v>
      </c>
      <c r="V5" s="42">
        <v>1</v>
      </c>
      <c r="W5" t="s">
        <v>158</v>
      </c>
      <c r="X5" s="59" t="s">
        <v>159</v>
      </c>
    </row>
    <row r="6" spans="1:26" hidden="1" x14ac:dyDescent="0.25">
      <c r="A6" s="2">
        <v>2</v>
      </c>
      <c r="B6" t="s">
        <v>120</v>
      </c>
      <c r="C6" t="s">
        <v>129</v>
      </c>
      <c r="D6" t="s">
        <v>121</v>
      </c>
      <c r="E6" s="2" t="s">
        <v>154</v>
      </c>
      <c r="F6" s="7" t="s">
        <v>126</v>
      </c>
      <c r="G6" s="7" t="s">
        <v>160</v>
      </c>
      <c r="H6">
        <v>10</v>
      </c>
      <c r="I6">
        <v>1500</v>
      </c>
      <c r="J6">
        <v>2994</v>
      </c>
      <c r="K6" s="2" t="s">
        <v>156</v>
      </c>
      <c r="M6" s="70">
        <v>1</v>
      </c>
      <c r="N6" s="70">
        <v>352.54</v>
      </c>
      <c r="O6" s="75" t="s">
        <v>130</v>
      </c>
      <c r="P6" s="70">
        <v>105.87</v>
      </c>
      <c r="Q6" s="73" t="s">
        <v>157</v>
      </c>
      <c r="R6" s="73">
        <v>352.54</v>
      </c>
      <c r="S6" s="73">
        <v>220.66</v>
      </c>
      <c r="T6" s="73">
        <v>25.27</v>
      </c>
      <c r="U6" s="70">
        <v>0.74</v>
      </c>
      <c r="V6" s="42">
        <v>1</v>
      </c>
      <c r="W6" t="s">
        <v>158</v>
      </c>
      <c r="X6" t="s">
        <v>159</v>
      </c>
    </row>
    <row r="7" spans="1:26" hidden="1" x14ac:dyDescent="0.25">
      <c r="A7" s="2">
        <v>3</v>
      </c>
      <c r="B7" t="s">
        <v>120</v>
      </c>
      <c r="C7" t="s">
        <v>137</v>
      </c>
      <c r="D7" t="s">
        <v>121</v>
      </c>
      <c r="E7" s="2" t="s">
        <v>154</v>
      </c>
      <c r="F7" s="7" t="s">
        <v>134</v>
      </c>
      <c r="G7" s="7" t="s">
        <v>161</v>
      </c>
      <c r="H7">
        <v>12</v>
      </c>
      <c r="I7">
        <v>587</v>
      </c>
      <c r="J7">
        <v>12000</v>
      </c>
      <c r="K7" s="2" t="s">
        <v>156</v>
      </c>
      <c r="M7" s="70">
        <v>1</v>
      </c>
      <c r="N7" s="70">
        <v>476.56</v>
      </c>
      <c r="O7" s="75" t="s">
        <v>139</v>
      </c>
      <c r="P7" s="70">
        <v>247.28</v>
      </c>
      <c r="Q7" s="73" t="s">
        <v>157</v>
      </c>
      <c r="R7" s="73">
        <v>476.56</v>
      </c>
      <c r="S7" s="73">
        <v>167.9</v>
      </c>
      <c r="T7" s="73">
        <v>59.65</v>
      </c>
      <c r="U7" s="70">
        <v>1.73</v>
      </c>
      <c r="V7" s="42">
        <v>1</v>
      </c>
      <c r="W7" t="s">
        <v>158</v>
      </c>
      <c r="X7" t="s">
        <v>159</v>
      </c>
    </row>
    <row r="8" spans="1:26" hidden="1" x14ac:dyDescent="0.25">
      <c r="A8" s="2">
        <v>5</v>
      </c>
      <c r="B8" t="s">
        <v>120</v>
      </c>
      <c r="C8" t="s">
        <v>144</v>
      </c>
      <c r="D8" t="s">
        <v>121</v>
      </c>
      <c r="E8" s="2" t="s">
        <v>154</v>
      </c>
      <c r="F8" s="7" t="s">
        <v>141</v>
      </c>
      <c r="G8" s="7" t="s">
        <v>162</v>
      </c>
      <c r="H8">
        <v>16</v>
      </c>
      <c r="I8">
        <v>416</v>
      </c>
      <c r="J8">
        <v>4452</v>
      </c>
      <c r="K8" s="2" t="s">
        <v>156</v>
      </c>
      <c r="M8" s="70">
        <v>1</v>
      </c>
      <c r="N8" s="70">
        <v>232.55</v>
      </c>
      <c r="O8" s="75" t="s">
        <v>145</v>
      </c>
      <c r="P8" s="70">
        <v>219.8</v>
      </c>
      <c r="Q8" s="73" t="s">
        <v>157</v>
      </c>
      <c r="R8" s="73">
        <v>232.55</v>
      </c>
      <c r="T8" s="73">
        <v>11.21</v>
      </c>
      <c r="U8" s="70">
        <v>1.54</v>
      </c>
      <c r="V8" s="42">
        <v>1</v>
      </c>
      <c r="W8" t="s">
        <v>158</v>
      </c>
      <c r="X8" t="s">
        <v>159</v>
      </c>
    </row>
    <row r="9" spans="1:26" hidden="1" x14ac:dyDescent="0.25">
      <c r="A9" s="2">
        <v>6</v>
      </c>
      <c r="B9" t="s">
        <v>120</v>
      </c>
      <c r="C9" t="s">
        <v>149</v>
      </c>
      <c r="D9" t="s">
        <v>121</v>
      </c>
      <c r="E9" s="2" t="s">
        <v>154</v>
      </c>
      <c r="F9" s="7" t="s">
        <v>141</v>
      </c>
      <c r="G9" s="7" t="s">
        <v>163</v>
      </c>
      <c r="H9">
        <v>16</v>
      </c>
      <c r="I9">
        <v>834</v>
      </c>
      <c r="J9">
        <v>928</v>
      </c>
      <c r="K9" s="2" t="s">
        <v>156</v>
      </c>
      <c r="M9" s="70">
        <v>1</v>
      </c>
      <c r="N9" s="70">
        <v>97.2</v>
      </c>
      <c r="O9" s="75" t="s">
        <v>150</v>
      </c>
      <c r="P9" s="70">
        <v>89.8</v>
      </c>
      <c r="Q9" s="73" t="s">
        <v>157</v>
      </c>
      <c r="R9" s="73">
        <v>97.2</v>
      </c>
      <c r="T9" s="73">
        <v>6.77</v>
      </c>
      <c r="U9" s="70">
        <v>0.63</v>
      </c>
      <c r="V9" s="42">
        <v>1</v>
      </c>
      <c r="W9" t="s">
        <v>158</v>
      </c>
      <c r="X9" t="s">
        <v>159</v>
      </c>
    </row>
    <row r="10" spans="1:26" hidden="1" x14ac:dyDescent="0.25">
      <c r="A10" s="2">
        <v>7</v>
      </c>
      <c r="B10" t="s">
        <v>120</v>
      </c>
      <c r="C10" t="s">
        <v>152</v>
      </c>
      <c r="D10" t="s">
        <v>121</v>
      </c>
      <c r="E10" s="2" t="s">
        <v>154</v>
      </c>
      <c r="F10" s="7" t="s">
        <v>141</v>
      </c>
      <c r="G10" s="7" t="s">
        <v>164</v>
      </c>
      <c r="H10">
        <v>16</v>
      </c>
      <c r="I10">
        <v>211</v>
      </c>
      <c r="J10">
        <v>2500</v>
      </c>
      <c r="K10" s="2" t="s">
        <v>156</v>
      </c>
      <c r="M10" s="70">
        <v>1</v>
      </c>
      <c r="N10" s="70">
        <v>66.25</v>
      </c>
      <c r="O10" s="75" t="s">
        <v>153</v>
      </c>
      <c r="P10" s="70">
        <v>16.95</v>
      </c>
      <c r="Q10" s="73" t="s">
        <v>157</v>
      </c>
      <c r="R10" s="73">
        <v>66.25</v>
      </c>
      <c r="S10" s="73">
        <v>47.96</v>
      </c>
      <c r="T10" s="73">
        <v>1.22</v>
      </c>
      <c r="U10" s="70">
        <v>0.12</v>
      </c>
      <c r="V10" s="42">
        <v>1</v>
      </c>
      <c r="W10" t="s">
        <v>158</v>
      </c>
      <c r="X10" t="s">
        <v>159</v>
      </c>
    </row>
    <row r="11" spans="1:26" hidden="1" x14ac:dyDescent="0.25">
      <c r="A11" s="2">
        <v>1</v>
      </c>
      <c r="B11" t="s">
        <v>178</v>
      </c>
      <c r="C11" t="s">
        <v>175</v>
      </c>
      <c r="D11" t="s">
        <v>179</v>
      </c>
      <c r="E11" s="2" t="s">
        <v>154</v>
      </c>
      <c r="F11" s="7" t="s">
        <v>172</v>
      </c>
      <c r="G11" s="7" t="s">
        <v>281</v>
      </c>
      <c r="H11">
        <v>10</v>
      </c>
      <c r="I11">
        <v>2000</v>
      </c>
      <c r="J11">
        <v>6000</v>
      </c>
      <c r="K11" s="2" t="s">
        <v>156</v>
      </c>
      <c r="M11" s="70">
        <v>1</v>
      </c>
      <c r="N11" s="70">
        <v>942</v>
      </c>
      <c r="O11" s="75" t="s">
        <v>180</v>
      </c>
      <c r="P11" s="70">
        <v>9.82</v>
      </c>
      <c r="Q11" s="73">
        <v>942</v>
      </c>
      <c r="R11" s="73" t="s">
        <v>157</v>
      </c>
      <c r="S11" s="73">
        <v>927.56</v>
      </c>
      <c r="T11" s="73">
        <v>4.55</v>
      </c>
      <c r="U11" s="70">
        <v>7.0000000000000007E-2</v>
      </c>
      <c r="V11" s="42">
        <v>2</v>
      </c>
      <c r="W11" t="s">
        <v>282</v>
      </c>
      <c r="X11" t="s">
        <v>113</v>
      </c>
    </row>
    <row r="12" spans="1:26" hidden="1" x14ac:dyDescent="0.25">
      <c r="A12" s="2">
        <v>2</v>
      </c>
      <c r="B12" t="s">
        <v>178</v>
      </c>
      <c r="C12" t="s">
        <v>185</v>
      </c>
      <c r="D12" t="s">
        <v>179</v>
      </c>
      <c r="E12" s="2" t="s">
        <v>154</v>
      </c>
      <c r="F12" s="7" t="s">
        <v>172</v>
      </c>
      <c r="G12" s="7" t="s">
        <v>283</v>
      </c>
      <c r="H12">
        <v>12</v>
      </c>
      <c r="I12">
        <v>2438</v>
      </c>
      <c r="J12">
        <v>10000</v>
      </c>
      <c r="K12" s="2" t="s">
        <v>156</v>
      </c>
      <c r="M12" s="70">
        <v>1</v>
      </c>
      <c r="N12" s="70">
        <v>2296.6</v>
      </c>
      <c r="O12" s="75" t="s">
        <v>180</v>
      </c>
      <c r="P12" s="70">
        <v>1470.96</v>
      </c>
      <c r="Q12" s="73">
        <v>2296.6</v>
      </c>
      <c r="R12" s="73" t="s">
        <v>157</v>
      </c>
      <c r="S12" s="73">
        <v>529.64</v>
      </c>
      <c r="T12" s="73">
        <v>285.7</v>
      </c>
      <c r="U12" s="70">
        <v>10.3</v>
      </c>
      <c r="V12" s="42">
        <v>2</v>
      </c>
      <c r="W12" t="s">
        <v>282</v>
      </c>
      <c r="X12" t="s">
        <v>113</v>
      </c>
    </row>
    <row r="13" spans="1:26" hidden="1" x14ac:dyDescent="0.25">
      <c r="A13" s="2">
        <v>3</v>
      </c>
      <c r="B13" t="s">
        <v>178</v>
      </c>
      <c r="C13" t="s">
        <v>196</v>
      </c>
      <c r="D13" t="s">
        <v>179</v>
      </c>
      <c r="E13" s="2" t="s">
        <v>154</v>
      </c>
      <c r="F13" s="7" t="s">
        <v>172</v>
      </c>
      <c r="G13" s="7" t="s">
        <v>284</v>
      </c>
      <c r="H13">
        <v>20</v>
      </c>
      <c r="I13">
        <v>2550</v>
      </c>
      <c r="J13">
        <v>11050</v>
      </c>
      <c r="K13" s="2" t="s">
        <v>156</v>
      </c>
      <c r="M13" s="70">
        <v>1</v>
      </c>
      <c r="N13" s="70">
        <v>4423.87</v>
      </c>
      <c r="O13" s="75" t="s">
        <v>180</v>
      </c>
      <c r="P13" s="70">
        <v>3194.98</v>
      </c>
      <c r="Q13" s="73">
        <v>4423.87</v>
      </c>
      <c r="R13" s="73" t="s">
        <v>157</v>
      </c>
      <c r="S13" s="73">
        <v>3195</v>
      </c>
      <c r="T13" s="73">
        <v>0</v>
      </c>
      <c r="U13" s="70">
        <v>22.36</v>
      </c>
      <c r="V13" s="42">
        <v>2</v>
      </c>
      <c r="W13" t="s">
        <v>282</v>
      </c>
      <c r="X13" t="s">
        <v>113</v>
      </c>
    </row>
    <row r="14" spans="1:26" hidden="1" x14ac:dyDescent="0.25">
      <c r="A14" s="2">
        <v>4</v>
      </c>
      <c r="B14" t="s">
        <v>178</v>
      </c>
      <c r="C14" t="s">
        <v>212</v>
      </c>
      <c r="D14" t="s">
        <v>179</v>
      </c>
      <c r="E14" s="2" t="s">
        <v>154</v>
      </c>
      <c r="F14" s="7" t="s">
        <v>172</v>
      </c>
      <c r="G14" s="7" t="s">
        <v>285</v>
      </c>
      <c r="H14">
        <v>25</v>
      </c>
      <c r="I14">
        <v>3000</v>
      </c>
      <c r="J14">
        <v>12000</v>
      </c>
      <c r="K14" s="2" t="s">
        <v>156</v>
      </c>
      <c r="M14" s="70">
        <v>1</v>
      </c>
      <c r="N14" s="70">
        <v>7065</v>
      </c>
      <c r="O14" s="75" t="s">
        <v>180</v>
      </c>
      <c r="P14" s="70">
        <v>832.71</v>
      </c>
      <c r="Q14" s="73">
        <v>7065</v>
      </c>
      <c r="R14" s="73" t="s">
        <v>157</v>
      </c>
      <c r="S14" s="73">
        <v>6157.74</v>
      </c>
      <c r="T14" s="73">
        <v>68.72</v>
      </c>
      <c r="U14" s="70">
        <v>5.83</v>
      </c>
      <c r="V14" s="42">
        <v>2</v>
      </c>
      <c r="W14" t="s">
        <v>282</v>
      </c>
      <c r="X14" t="s">
        <v>113</v>
      </c>
    </row>
    <row r="15" spans="1:26" hidden="1" x14ac:dyDescent="0.25">
      <c r="A15" s="2">
        <v>5</v>
      </c>
      <c r="B15" t="s">
        <v>178</v>
      </c>
      <c r="C15" t="s">
        <v>228</v>
      </c>
      <c r="D15" t="s">
        <v>179</v>
      </c>
      <c r="E15" s="2" t="s">
        <v>154</v>
      </c>
      <c r="F15" s="7" t="s">
        <v>172</v>
      </c>
      <c r="G15" s="7" t="s">
        <v>286</v>
      </c>
      <c r="H15">
        <v>32</v>
      </c>
      <c r="I15">
        <v>2700</v>
      </c>
      <c r="J15">
        <v>14150</v>
      </c>
      <c r="K15" s="2" t="s">
        <v>156</v>
      </c>
      <c r="M15" s="70">
        <v>1</v>
      </c>
      <c r="N15" s="70">
        <v>9597.1</v>
      </c>
      <c r="O15" s="75" t="s">
        <v>180</v>
      </c>
      <c r="P15" s="70">
        <v>9173.91</v>
      </c>
      <c r="Q15" s="73">
        <v>9597.1</v>
      </c>
      <c r="R15" s="73" t="s">
        <v>157</v>
      </c>
      <c r="S15" s="73">
        <v>218.34</v>
      </c>
      <c r="T15" s="73">
        <v>140.63</v>
      </c>
      <c r="U15" s="70">
        <v>64.22</v>
      </c>
      <c r="V15" s="42">
        <v>2</v>
      </c>
      <c r="W15" t="s">
        <v>282</v>
      </c>
      <c r="X15" t="s">
        <v>113</v>
      </c>
    </row>
    <row r="16" spans="1:26" hidden="1" x14ac:dyDescent="0.25">
      <c r="A16" s="2">
        <v>6</v>
      </c>
      <c r="B16" t="s">
        <v>178</v>
      </c>
      <c r="C16" t="s">
        <v>230</v>
      </c>
      <c r="D16" t="s">
        <v>179</v>
      </c>
      <c r="E16" s="2" t="s">
        <v>154</v>
      </c>
      <c r="F16" s="7" t="s">
        <v>172</v>
      </c>
      <c r="G16" s="7" t="s">
        <v>286</v>
      </c>
      <c r="H16">
        <v>32</v>
      </c>
      <c r="I16">
        <v>2700</v>
      </c>
      <c r="J16">
        <v>14150</v>
      </c>
      <c r="K16" s="2" t="s">
        <v>156</v>
      </c>
      <c r="M16" s="70">
        <v>1</v>
      </c>
      <c r="N16" s="70">
        <v>9597.1</v>
      </c>
      <c r="O16" s="75" t="s">
        <v>180</v>
      </c>
      <c r="P16" s="70">
        <v>9173.91</v>
      </c>
      <c r="Q16" s="73">
        <v>9597.1</v>
      </c>
      <c r="R16" s="73" t="s">
        <v>157</v>
      </c>
      <c r="S16" s="73">
        <v>218.34</v>
      </c>
      <c r="T16" s="73">
        <v>140.63</v>
      </c>
      <c r="U16" s="70">
        <v>64.22</v>
      </c>
      <c r="V16" s="42">
        <v>2</v>
      </c>
      <c r="W16" t="s">
        <v>282</v>
      </c>
      <c r="X16" t="s">
        <v>113</v>
      </c>
    </row>
    <row r="17" spans="1:26" hidden="1" x14ac:dyDescent="0.25">
      <c r="A17" s="2">
        <v>7</v>
      </c>
      <c r="B17" t="s">
        <v>178</v>
      </c>
      <c r="C17" t="s">
        <v>234</v>
      </c>
      <c r="D17" t="s">
        <v>179</v>
      </c>
      <c r="E17" s="2" t="s">
        <v>154</v>
      </c>
      <c r="F17" s="7" t="s">
        <v>172</v>
      </c>
      <c r="G17" s="7" t="s">
        <v>287</v>
      </c>
      <c r="H17">
        <v>32</v>
      </c>
      <c r="I17">
        <v>2700</v>
      </c>
      <c r="J17">
        <v>13700</v>
      </c>
      <c r="K17" s="2" t="s">
        <v>156</v>
      </c>
      <c r="M17" s="70">
        <v>1</v>
      </c>
      <c r="N17" s="70">
        <v>9291.89</v>
      </c>
      <c r="O17" s="75" t="s">
        <v>180</v>
      </c>
      <c r="P17" s="70">
        <v>8875.48</v>
      </c>
      <c r="Q17" s="73">
        <v>9291.89</v>
      </c>
      <c r="R17" s="73" t="s">
        <v>157</v>
      </c>
      <c r="S17" s="73">
        <v>221.68</v>
      </c>
      <c r="T17" s="73">
        <v>132.6</v>
      </c>
      <c r="U17" s="70">
        <v>62.13</v>
      </c>
      <c r="V17" s="42">
        <v>2</v>
      </c>
      <c r="W17" t="s">
        <v>282</v>
      </c>
      <c r="X17" t="s">
        <v>113</v>
      </c>
    </row>
    <row r="18" spans="1:26" hidden="1" x14ac:dyDescent="0.25">
      <c r="A18" s="2">
        <v>8</v>
      </c>
      <c r="B18" t="s">
        <v>178</v>
      </c>
      <c r="C18" t="s">
        <v>237</v>
      </c>
      <c r="D18" t="s">
        <v>179</v>
      </c>
      <c r="E18" s="2" t="s">
        <v>154</v>
      </c>
      <c r="F18" s="7" t="s">
        <v>172</v>
      </c>
      <c r="G18" s="7" t="s">
        <v>287</v>
      </c>
      <c r="H18">
        <v>32</v>
      </c>
      <c r="I18">
        <v>2700</v>
      </c>
      <c r="J18">
        <v>13700</v>
      </c>
      <c r="K18" s="2" t="s">
        <v>156</v>
      </c>
      <c r="M18" s="70">
        <v>1</v>
      </c>
      <c r="N18" s="70">
        <v>9291.89</v>
      </c>
      <c r="O18" s="75" t="s">
        <v>180</v>
      </c>
      <c r="P18" s="70">
        <v>8875.48</v>
      </c>
      <c r="Q18" s="73">
        <v>9291.89</v>
      </c>
      <c r="R18" s="73" t="s">
        <v>157</v>
      </c>
      <c r="S18" s="73">
        <v>221.68</v>
      </c>
      <c r="T18" s="73">
        <v>132.6</v>
      </c>
      <c r="U18" s="70">
        <v>62.13</v>
      </c>
      <c r="V18" s="42">
        <v>2</v>
      </c>
      <c r="W18" t="s">
        <v>282</v>
      </c>
      <c r="X18" t="s">
        <v>113</v>
      </c>
    </row>
    <row r="19" spans="1:26" hidden="1" x14ac:dyDescent="0.25">
      <c r="A19" s="2">
        <v>9</v>
      </c>
      <c r="B19" t="s">
        <v>178</v>
      </c>
      <c r="C19" t="s">
        <v>241</v>
      </c>
      <c r="D19" t="s">
        <v>179</v>
      </c>
      <c r="E19" s="2" t="s">
        <v>154</v>
      </c>
      <c r="F19" s="7" t="s">
        <v>172</v>
      </c>
      <c r="G19" s="7" t="s">
        <v>288</v>
      </c>
      <c r="H19">
        <v>40</v>
      </c>
      <c r="I19">
        <v>2250</v>
      </c>
      <c r="J19">
        <v>8050</v>
      </c>
      <c r="K19" s="2" t="s">
        <v>156</v>
      </c>
      <c r="M19" s="70">
        <v>1</v>
      </c>
      <c r="N19" s="70">
        <v>5687.32</v>
      </c>
      <c r="O19" s="75" t="s">
        <v>180</v>
      </c>
      <c r="P19" s="70">
        <v>1990.79</v>
      </c>
      <c r="Q19" s="73">
        <v>5687.32</v>
      </c>
      <c r="R19" s="73" t="s">
        <v>157</v>
      </c>
      <c r="S19" s="73">
        <v>3634.23</v>
      </c>
      <c r="T19" s="73">
        <v>48.36</v>
      </c>
      <c r="U19" s="70">
        <v>13.94</v>
      </c>
      <c r="V19" s="42">
        <v>2</v>
      </c>
      <c r="W19" t="s">
        <v>282</v>
      </c>
      <c r="X19" t="s">
        <v>113</v>
      </c>
    </row>
    <row r="20" spans="1:26" hidden="1" x14ac:dyDescent="0.25">
      <c r="A20" s="2">
        <v>10</v>
      </c>
      <c r="B20" t="s">
        <v>178</v>
      </c>
      <c r="C20" t="s">
        <v>245</v>
      </c>
      <c r="D20" t="s">
        <v>179</v>
      </c>
      <c r="E20" s="2" t="s">
        <v>154</v>
      </c>
      <c r="F20" s="7" t="s">
        <v>172</v>
      </c>
      <c r="G20" s="7" t="s">
        <v>289</v>
      </c>
      <c r="H20">
        <v>50</v>
      </c>
      <c r="I20">
        <v>2380</v>
      </c>
      <c r="J20">
        <v>12100</v>
      </c>
      <c r="K20" s="2" t="s">
        <v>156</v>
      </c>
      <c r="M20" s="70">
        <v>1</v>
      </c>
      <c r="N20" s="70">
        <v>11303.22</v>
      </c>
      <c r="O20" s="75" t="s">
        <v>180</v>
      </c>
      <c r="P20" s="70">
        <v>3530.46</v>
      </c>
      <c r="Q20" s="73">
        <v>11303.22</v>
      </c>
      <c r="R20" s="73" t="s">
        <v>157</v>
      </c>
      <c r="S20" s="73">
        <v>7566.62</v>
      </c>
      <c r="T20" s="73">
        <v>181.43</v>
      </c>
      <c r="U20" s="70">
        <v>24.71</v>
      </c>
      <c r="V20" s="42">
        <v>2</v>
      </c>
      <c r="W20" t="s">
        <v>282</v>
      </c>
      <c r="X20" t="s">
        <v>113</v>
      </c>
    </row>
    <row r="21" spans="1:26" hidden="1" x14ac:dyDescent="0.25">
      <c r="A21" s="2">
        <v>11</v>
      </c>
      <c r="B21" t="s">
        <v>178</v>
      </c>
      <c r="C21" t="s">
        <v>250</v>
      </c>
      <c r="D21" t="s">
        <v>179</v>
      </c>
      <c r="E21" s="2" t="s">
        <v>154</v>
      </c>
      <c r="F21" s="7" t="s">
        <v>172</v>
      </c>
      <c r="G21" s="7" t="s">
        <v>290</v>
      </c>
      <c r="H21">
        <v>50</v>
      </c>
      <c r="I21">
        <v>2380</v>
      </c>
      <c r="J21">
        <v>11300</v>
      </c>
      <c r="K21" s="2" t="s">
        <v>156</v>
      </c>
      <c r="M21" s="70">
        <v>1</v>
      </c>
      <c r="N21" s="70">
        <v>10555.89</v>
      </c>
      <c r="O21" s="75" t="s">
        <v>180</v>
      </c>
      <c r="P21" s="70">
        <v>3359.28</v>
      </c>
      <c r="Q21" s="73">
        <v>10555.89</v>
      </c>
      <c r="R21" s="73" t="s">
        <v>157</v>
      </c>
      <c r="S21" s="73">
        <v>6389.59</v>
      </c>
      <c r="T21" s="73">
        <v>783.51</v>
      </c>
      <c r="U21" s="70">
        <v>23.51</v>
      </c>
      <c r="V21" s="42">
        <v>2</v>
      </c>
      <c r="W21" t="s">
        <v>282</v>
      </c>
      <c r="X21" t="s">
        <v>113</v>
      </c>
    </row>
    <row r="22" spans="1:26" hidden="1" x14ac:dyDescent="0.25">
      <c r="A22" s="2">
        <v>12</v>
      </c>
      <c r="B22" t="s">
        <v>178</v>
      </c>
      <c r="C22" t="s">
        <v>255</v>
      </c>
      <c r="D22" t="s">
        <v>179</v>
      </c>
      <c r="E22" s="2" t="s">
        <v>154</v>
      </c>
      <c r="F22" s="7" t="s">
        <v>172</v>
      </c>
      <c r="G22" s="7" t="s">
        <v>291</v>
      </c>
      <c r="H22">
        <v>50</v>
      </c>
      <c r="I22">
        <v>2550</v>
      </c>
      <c r="J22">
        <v>10700</v>
      </c>
      <c r="K22" s="2" t="s">
        <v>156</v>
      </c>
      <c r="M22" s="70">
        <v>1</v>
      </c>
      <c r="N22" s="70">
        <v>10709.36</v>
      </c>
      <c r="O22" s="75" t="s">
        <v>180</v>
      </c>
      <c r="P22" s="70">
        <v>2851.27</v>
      </c>
      <c r="Q22" s="73">
        <v>10709.36</v>
      </c>
      <c r="R22" s="73" t="s">
        <v>157</v>
      </c>
      <c r="S22" s="73">
        <v>7755.31</v>
      </c>
      <c r="T22" s="73">
        <v>82.82</v>
      </c>
      <c r="U22" s="70">
        <v>19.96</v>
      </c>
      <c r="V22" s="42">
        <v>2</v>
      </c>
      <c r="W22" t="s">
        <v>282</v>
      </c>
      <c r="X22" t="s">
        <v>113</v>
      </c>
    </row>
    <row r="23" spans="1:26" hidden="1" x14ac:dyDescent="0.25">
      <c r="A23" s="2">
        <v>13</v>
      </c>
      <c r="B23" t="s">
        <v>178</v>
      </c>
      <c r="C23" t="s">
        <v>260</v>
      </c>
      <c r="D23" t="s">
        <v>179</v>
      </c>
      <c r="E23" s="2" t="s">
        <v>154</v>
      </c>
      <c r="F23" s="7" t="s">
        <v>257</v>
      </c>
      <c r="G23" s="7" t="s">
        <v>292</v>
      </c>
      <c r="H23">
        <v>50</v>
      </c>
      <c r="I23">
        <v>2000</v>
      </c>
      <c r="J23">
        <v>6000</v>
      </c>
      <c r="K23" s="2" t="s">
        <v>156</v>
      </c>
      <c r="M23" s="70">
        <v>1</v>
      </c>
      <c r="N23" s="70">
        <v>4710</v>
      </c>
      <c r="O23" s="75" t="s">
        <v>180</v>
      </c>
      <c r="P23" s="70">
        <v>3549.84</v>
      </c>
      <c r="Q23" s="73">
        <v>4710</v>
      </c>
      <c r="R23" s="73" t="s">
        <v>157</v>
      </c>
      <c r="S23" s="73">
        <v>3549.84</v>
      </c>
      <c r="T23" s="73">
        <v>0</v>
      </c>
      <c r="U23" s="70">
        <v>24.85</v>
      </c>
      <c r="V23" s="42">
        <v>2</v>
      </c>
      <c r="W23" t="s">
        <v>282</v>
      </c>
      <c r="X23" t="s">
        <v>113</v>
      </c>
    </row>
    <row r="24" spans="1:26" hidden="1" x14ac:dyDescent="0.25">
      <c r="A24" s="2">
        <v>14</v>
      </c>
      <c r="B24" t="s">
        <v>178</v>
      </c>
      <c r="C24" t="s">
        <v>262</v>
      </c>
      <c r="D24" t="s">
        <v>179</v>
      </c>
      <c r="E24" s="2" t="s">
        <v>154</v>
      </c>
      <c r="F24" s="7" t="s">
        <v>257</v>
      </c>
      <c r="G24" s="7" t="s">
        <v>292</v>
      </c>
      <c r="H24">
        <v>50</v>
      </c>
      <c r="I24">
        <v>2000</v>
      </c>
      <c r="J24">
        <v>6000</v>
      </c>
      <c r="K24" s="2" t="s">
        <v>156</v>
      </c>
      <c r="M24" s="70">
        <v>1</v>
      </c>
      <c r="N24" s="70">
        <v>4710</v>
      </c>
      <c r="O24" s="75" t="s">
        <v>180</v>
      </c>
      <c r="P24" s="70">
        <v>2129.91</v>
      </c>
      <c r="Q24" s="73">
        <v>4710</v>
      </c>
      <c r="R24" s="73" t="s">
        <v>157</v>
      </c>
      <c r="S24" s="73">
        <v>2476.9499999999998</v>
      </c>
      <c r="T24" s="73">
        <v>88.23</v>
      </c>
      <c r="U24" s="70">
        <v>14.91</v>
      </c>
      <c r="V24" s="42">
        <v>2</v>
      </c>
      <c r="W24" t="s">
        <v>282</v>
      </c>
      <c r="X24" t="s">
        <v>113</v>
      </c>
    </row>
    <row r="25" spans="1:26" hidden="1" x14ac:dyDescent="0.25">
      <c r="A25" s="2">
        <v>15</v>
      </c>
      <c r="B25" t="s">
        <v>178</v>
      </c>
      <c r="C25" t="s">
        <v>266</v>
      </c>
      <c r="D25" t="s">
        <v>179</v>
      </c>
      <c r="E25" s="2" t="s">
        <v>154</v>
      </c>
      <c r="F25" s="7" t="s">
        <v>172</v>
      </c>
      <c r="G25" s="7" t="s">
        <v>293</v>
      </c>
      <c r="H25">
        <v>60</v>
      </c>
      <c r="I25">
        <v>2200</v>
      </c>
      <c r="J25">
        <v>10100</v>
      </c>
      <c r="K25" s="2" t="s">
        <v>156</v>
      </c>
      <c r="M25" s="70">
        <v>1</v>
      </c>
      <c r="N25" s="70">
        <v>10465.620000000001</v>
      </c>
      <c r="O25" s="75" t="s">
        <v>180</v>
      </c>
      <c r="P25" s="70">
        <v>7854.02</v>
      </c>
      <c r="Q25" s="73">
        <v>10465.620000000001</v>
      </c>
      <c r="R25" s="73" t="s">
        <v>157</v>
      </c>
      <c r="S25" s="73">
        <v>2445.4299999999998</v>
      </c>
      <c r="T25" s="73">
        <v>111.19</v>
      </c>
      <c r="U25" s="70">
        <v>54.98</v>
      </c>
      <c r="V25" s="42">
        <v>2</v>
      </c>
      <c r="W25" t="s">
        <v>282</v>
      </c>
      <c r="X25" t="s">
        <v>113</v>
      </c>
    </row>
    <row r="26" spans="1:26" hidden="1" x14ac:dyDescent="0.25">
      <c r="A26" s="2">
        <v>16</v>
      </c>
      <c r="B26" t="s">
        <v>178</v>
      </c>
      <c r="C26" t="s">
        <v>270</v>
      </c>
      <c r="D26" t="s">
        <v>179</v>
      </c>
      <c r="E26" s="2" t="s">
        <v>154</v>
      </c>
      <c r="F26" s="7" t="s">
        <v>172</v>
      </c>
      <c r="G26" s="7" t="s">
        <v>293</v>
      </c>
      <c r="H26">
        <v>60</v>
      </c>
      <c r="I26">
        <v>2200</v>
      </c>
      <c r="J26">
        <v>10100</v>
      </c>
      <c r="K26" s="2" t="s">
        <v>156</v>
      </c>
      <c r="M26" s="70">
        <v>1</v>
      </c>
      <c r="N26" s="70">
        <v>10465.620000000001</v>
      </c>
      <c r="O26" s="75" t="s">
        <v>180</v>
      </c>
      <c r="P26" s="70">
        <v>7854.02</v>
      </c>
      <c r="Q26" s="73">
        <v>10465.620000000001</v>
      </c>
      <c r="R26" s="73" t="s">
        <v>157</v>
      </c>
      <c r="S26" s="73">
        <v>2445.4299999999998</v>
      </c>
      <c r="T26" s="73">
        <v>111.19</v>
      </c>
      <c r="U26" s="70">
        <v>54.98</v>
      </c>
      <c r="V26" s="42">
        <v>2</v>
      </c>
      <c r="W26" t="s">
        <v>282</v>
      </c>
      <c r="X26" t="s">
        <v>113</v>
      </c>
    </row>
    <row r="27" spans="1:26" hidden="1" x14ac:dyDescent="0.25">
      <c r="A27" s="2">
        <v>17</v>
      </c>
      <c r="B27" t="s">
        <v>178</v>
      </c>
      <c r="C27" t="s">
        <v>276</v>
      </c>
      <c r="D27" t="s">
        <v>179</v>
      </c>
      <c r="E27" s="2" t="s">
        <v>154</v>
      </c>
      <c r="F27" s="7" t="s">
        <v>273</v>
      </c>
      <c r="G27" s="7" t="s">
        <v>294</v>
      </c>
      <c r="H27">
        <v>80</v>
      </c>
      <c r="I27">
        <v>1450</v>
      </c>
      <c r="J27">
        <v>18050</v>
      </c>
      <c r="K27" s="2" t="s">
        <v>156</v>
      </c>
      <c r="M27" s="70">
        <v>1</v>
      </c>
      <c r="N27" s="70">
        <v>16436.330000000002</v>
      </c>
      <c r="O27" s="75" t="s">
        <v>180</v>
      </c>
      <c r="P27" s="70">
        <v>13504.51</v>
      </c>
      <c r="Q27" s="73">
        <v>16436.330000000002</v>
      </c>
      <c r="R27" s="73" t="s">
        <v>157</v>
      </c>
      <c r="S27" s="73">
        <v>2752.41</v>
      </c>
      <c r="T27" s="73">
        <v>84.88</v>
      </c>
      <c r="U27" s="70">
        <v>94.53</v>
      </c>
      <c r="V27" s="42">
        <v>2</v>
      </c>
      <c r="W27" t="s">
        <v>282</v>
      </c>
      <c r="X27" t="s">
        <v>113</v>
      </c>
    </row>
    <row r="28" spans="1:26" hidden="1" x14ac:dyDescent="0.25">
      <c r="A28" s="2">
        <v>18</v>
      </c>
      <c r="B28" t="s">
        <v>178</v>
      </c>
      <c r="C28" t="s">
        <v>277</v>
      </c>
      <c r="D28" t="s">
        <v>179</v>
      </c>
      <c r="E28" s="2" t="s">
        <v>154</v>
      </c>
      <c r="F28" s="7" t="s">
        <v>273</v>
      </c>
      <c r="G28" s="7" t="s">
        <v>294</v>
      </c>
      <c r="H28">
        <v>80</v>
      </c>
      <c r="I28">
        <v>1450</v>
      </c>
      <c r="J28">
        <v>18050</v>
      </c>
      <c r="K28" s="2" t="s">
        <v>156</v>
      </c>
      <c r="M28" s="70">
        <v>1</v>
      </c>
      <c r="N28" s="70">
        <v>16436.330000000002</v>
      </c>
      <c r="O28" s="75" t="s">
        <v>180</v>
      </c>
      <c r="P28" s="70">
        <v>13504.51</v>
      </c>
      <c r="Q28" s="73">
        <v>16436.330000000002</v>
      </c>
      <c r="R28" s="73" t="s">
        <v>157</v>
      </c>
      <c r="S28" s="73">
        <v>2752.41</v>
      </c>
      <c r="T28" s="73">
        <v>84.88</v>
      </c>
      <c r="U28" s="70">
        <v>94.53</v>
      </c>
      <c r="V28" s="42">
        <v>2</v>
      </c>
      <c r="W28" t="s">
        <v>282</v>
      </c>
      <c r="X28" t="s">
        <v>113</v>
      </c>
    </row>
    <row r="29" spans="1:26" hidden="1" x14ac:dyDescent="0.25">
      <c r="A29" s="2">
        <v>19</v>
      </c>
      <c r="B29" t="s">
        <v>178</v>
      </c>
      <c r="C29" t="s">
        <v>279</v>
      </c>
      <c r="D29" t="s">
        <v>179</v>
      </c>
      <c r="E29" s="2" t="s">
        <v>154</v>
      </c>
      <c r="F29" s="7" t="s">
        <v>273</v>
      </c>
      <c r="G29" s="7" t="s">
        <v>294</v>
      </c>
      <c r="H29">
        <v>80</v>
      </c>
      <c r="I29">
        <v>1450</v>
      </c>
      <c r="J29">
        <v>18050</v>
      </c>
      <c r="K29" s="2" t="s">
        <v>156</v>
      </c>
      <c r="M29" s="70">
        <v>1</v>
      </c>
      <c r="N29" s="70">
        <v>16436.330000000002</v>
      </c>
      <c r="O29" s="75" t="s">
        <v>180</v>
      </c>
      <c r="P29" s="70">
        <v>13504.51</v>
      </c>
      <c r="Q29" s="73">
        <v>16436.330000000002</v>
      </c>
      <c r="R29" s="73" t="s">
        <v>157</v>
      </c>
      <c r="S29" s="73">
        <v>2752.41</v>
      </c>
      <c r="T29" s="73">
        <v>84.88</v>
      </c>
      <c r="U29" s="70">
        <v>94.53</v>
      </c>
      <c r="V29" s="42">
        <v>2</v>
      </c>
      <c r="W29" t="s">
        <v>282</v>
      </c>
      <c r="X29" t="s">
        <v>113</v>
      </c>
    </row>
    <row r="30" spans="1:26" hidden="1" x14ac:dyDescent="0.25">
      <c r="A30" s="2">
        <v>20</v>
      </c>
      <c r="B30" t="s">
        <v>178</v>
      </c>
      <c r="C30" t="s">
        <v>280</v>
      </c>
      <c r="D30" t="s">
        <v>179</v>
      </c>
      <c r="E30" s="2" t="s">
        <v>154</v>
      </c>
      <c r="F30" s="7" t="s">
        <v>273</v>
      </c>
      <c r="G30" s="7" t="s">
        <v>294</v>
      </c>
      <c r="H30">
        <v>80</v>
      </c>
      <c r="I30">
        <v>1450</v>
      </c>
      <c r="J30">
        <v>18050</v>
      </c>
      <c r="K30" s="2" t="s">
        <v>156</v>
      </c>
      <c r="M30" s="70">
        <v>1</v>
      </c>
      <c r="N30" s="70">
        <v>16436.330000000002</v>
      </c>
      <c r="O30" s="75" t="s">
        <v>180</v>
      </c>
      <c r="P30" s="70">
        <v>13504.51</v>
      </c>
      <c r="Q30" s="73">
        <v>16436.330000000002</v>
      </c>
      <c r="R30" s="73" t="s">
        <v>157</v>
      </c>
      <c r="S30" s="73">
        <v>2752.41</v>
      </c>
      <c r="T30" s="73">
        <v>84.88</v>
      </c>
      <c r="U30" s="70">
        <v>94.53</v>
      </c>
      <c r="V30" s="42">
        <v>2</v>
      </c>
      <c r="W30" t="s">
        <v>282</v>
      </c>
      <c r="X30" t="s">
        <v>113</v>
      </c>
    </row>
    <row r="31" spans="1:26" hidden="1" x14ac:dyDescent="0.25">
      <c r="A31" s="2">
        <v>1</v>
      </c>
      <c r="B31" t="s">
        <v>178</v>
      </c>
      <c r="C31" t="s">
        <v>305</v>
      </c>
      <c r="D31" t="s">
        <v>308</v>
      </c>
      <c r="E31" s="2" t="s">
        <v>154</v>
      </c>
      <c r="F31" s="7" t="s">
        <v>134</v>
      </c>
      <c r="G31" s="7" t="s">
        <v>321</v>
      </c>
      <c r="H31">
        <v>30</v>
      </c>
      <c r="I31">
        <v>925</v>
      </c>
      <c r="J31">
        <v>6000</v>
      </c>
      <c r="K31" s="2" t="s">
        <v>156</v>
      </c>
      <c r="M31" s="70">
        <v>1</v>
      </c>
      <c r="N31" s="70">
        <v>1307.02</v>
      </c>
      <c r="O31" s="75" t="s">
        <v>309</v>
      </c>
      <c r="P31" s="70">
        <v>639.58000000000004</v>
      </c>
      <c r="Q31" s="73" t="s">
        <v>157</v>
      </c>
      <c r="R31" s="73">
        <v>1307.02</v>
      </c>
      <c r="S31" s="73">
        <v>346.34</v>
      </c>
      <c r="T31" s="73">
        <v>316.62</v>
      </c>
      <c r="U31" s="70">
        <v>4.4800000000000004</v>
      </c>
      <c r="V31" s="42">
        <v>3</v>
      </c>
      <c r="W31" t="s">
        <v>322</v>
      </c>
      <c r="X31" t="s">
        <v>113</v>
      </c>
      <c r="Y31" t="s">
        <v>307</v>
      </c>
      <c r="Z31" t="s">
        <v>323</v>
      </c>
    </row>
    <row r="32" spans="1:26" hidden="1" x14ac:dyDescent="0.25">
      <c r="A32" s="2">
        <v>2</v>
      </c>
      <c r="B32" t="s">
        <v>178</v>
      </c>
      <c r="C32" t="s">
        <v>315</v>
      </c>
      <c r="D32" t="s">
        <v>308</v>
      </c>
      <c r="E32" s="2" t="s">
        <v>154</v>
      </c>
      <c r="F32" s="7" t="s">
        <v>134</v>
      </c>
      <c r="G32" s="7" t="s">
        <v>324</v>
      </c>
      <c r="H32">
        <v>35</v>
      </c>
      <c r="I32">
        <v>2000</v>
      </c>
      <c r="J32">
        <v>4524</v>
      </c>
      <c r="K32" s="2" t="s">
        <v>156</v>
      </c>
      <c r="M32" s="70">
        <v>1</v>
      </c>
      <c r="N32" s="70">
        <v>2485.91</v>
      </c>
      <c r="O32" s="75" t="s">
        <v>316</v>
      </c>
      <c r="P32" s="70">
        <v>2061.88</v>
      </c>
      <c r="Q32" s="73" t="s">
        <v>157</v>
      </c>
      <c r="R32" s="73">
        <v>2485.91</v>
      </c>
      <c r="S32" s="73">
        <v>338.56</v>
      </c>
      <c r="T32" s="73">
        <v>71.040000000000006</v>
      </c>
      <c r="U32" s="70">
        <v>14.43</v>
      </c>
      <c r="V32" s="42">
        <v>3</v>
      </c>
      <c r="W32" t="s">
        <v>322</v>
      </c>
      <c r="X32" t="s">
        <v>113</v>
      </c>
      <c r="Y32" t="s">
        <v>307</v>
      </c>
      <c r="Z32" t="s">
        <v>323</v>
      </c>
    </row>
    <row r="33" spans="1:26" hidden="1" x14ac:dyDescent="0.25">
      <c r="A33" s="2">
        <v>1</v>
      </c>
      <c r="B33" t="s">
        <v>178</v>
      </c>
      <c r="C33" t="s">
        <v>329</v>
      </c>
      <c r="D33" t="s">
        <v>330</v>
      </c>
      <c r="E33" s="2" t="s">
        <v>154</v>
      </c>
      <c r="F33" s="7" t="s">
        <v>172</v>
      </c>
      <c r="G33" s="7" t="s">
        <v>283</v>
      </c>
      <c r="H33">
        <v>12</v>
      </c>
      <c r="I33">
        <v>2438</v>
      </c>
      <c r="J33">
        <v>10000</v>
      </c>
      <c r="K33" s="2" t="s">
        <v>156</v>
      </c>
      <c r="M33" s="70">
        <v>1</v>
      </c>
      <c r="N33" s="70">
        <v>2296.6</v>
      </c>
      <c r="O33" s="75" t="s">
        <v>180</v>
      </c>
      <c r="P33" s="70">
        <v>882.76</v>
      </c>
      <c r="Q33" s="73">
        <v>2296.6</v>
      </c>
      <c r="R33" s="73" t="s">
        <v>157</v>
      </c>
      <c r="S33" s="73">
        <v>1269.27</v>
      </c>
      <c r="T33" s="73">
        <v>138.38999999999999</v>
      </c>
      <c r="U33" s="70">
        <v>6.18</v>
      </c>
      <c r="V33" s="42">
        <v>4</v>
      </c>
      <c r="W33" t="s">
        <v>376</v>
      </c>
      <c r="X33" t="s">
        <v>113</v>
      </c>
    </row>
    <row r="34" spans="1:26" hidden="1" x14ac:dyDescent="0.25">
      <c r="A34" s="2">
        <v>2</v>
      </c>
      <c r="B34" t="s">
        <v>178</v>
      </c>
      <c r="C34" t="s">
        <v>335</v>
      </c>
      <c r="D34" t="s">
        <v>330</v>
      </c>
      <c r="E34" s="2" t="s">
        <v>154</v>
      </c>
      <c r="F34" s="7" t="s">
        <v>172</v>
      </c>
      <c r="G34" s="7" t="s">
        <v>283</v>
      </c>
      <c r="H34">
        <v>12</v>
      </c>
      <c r="I34">
        <v>2438</v>
      </c>
      <c r="J34">
        <v>10000</v>
      </c>
      <c r="K34" s="2" t="s">
        <v>156</v>
      </c>
      <c r="M34" s="70">
        <v>1</v>
      </c>
      <c r="N34" s="70">
        <v>2296.6</v>
      </c>
      <c r="O34" s="75" t="s">
        <v>180</v>
      </c>
      <c r="P34" s="70">
        <v>884.88</v>
      </c>
      <c r="Q34" s="73">
        <v>2296.6</v>
      </c>
      <c r="R34" s="73" t="s">
        <v>157</v>
      </c>
      <c r="S34" s="73">
        <v>1269.27</v>
      </c>
      <c r="T34" s="73">
        <v>136.26</v>
      </c>
      <c r="U34" s="70">
        <v>6.19</v>
      </c>
      <c r="V34" s="42">
        <v>4</v>
      </c>
      <c r="W34" t="s">
        <v>376</v>
      </c>
      <c r="X34" t="s">
        <v>113</v>
      </c>
    </row>
    <row r="35" spans="1:26" hidden="1" x14ac:dyDescent="0.25">
      <c r="A35" s="2">
        <v>3</v>
      </c>
      <c r="B35" t="s">
        <v>178</v>
      </c>
      <c r="C35" t="s">
        <v>340</v>
      </c>
      <c r="D35" t="s">
        <v>330</v>
      </c>
      <c r="E35" s="2" t="s">
        <v>154</v>
      </c>
      <c r="F35" s="7" t="s">
        <v>172</v>
      </c>
      <c r="G35" s="7" t="s">
        <v>283</v>
      </c>
      <c r="H35">
        <v>12</v>
      </c>
      <c r="I35">
        <v>2438</v>
      </c>
      <c r="J35">
        <v>10000</v>
      </c>
      <c r="K35" s="2" t="s">
        <v>156</v>
      </c>
      <c r="M35" s="70">
        <v>1</v>
      </c>
      <c r="N35" s="70">
        <v>2296.6</v>
      </c>
      <c r="O35" s="75" t="s">
        <v>180</v>
      </c>
      <c r="P35" s="70">
        <v>583.97</v>
      </c>
      <c r="Q35" s="73">
        <v>2296.6</v>
      </c>
      <c r="R35" s="73" t="s">
        <v>157</v>
      </c>
      <c r="S35" s="73">
        <v>1651.22</v>
      </c>
      <c r="T35" s="73">
        <v>57.32</v>
      </c>
      <c r="U35" s="70">
        <v>4.09</v>
      </c>
      <c r="V35" s="42">
        <v>4</v>
      </c>
      <c r="W35" t="s">
        <v>376</v>
      </c>
      <c r="X35" t="s">
        <v>113</v>
      </c>
    </row>
    <row r="36" spans="1:26" hidden="1" x14ac:dyDescent="0.25">
      <c r="A36" s="2">
        <v>4</v>
      </c>
      <c r="B36" t="s">
        <v>178</v>
      </c>
      <c r="C36" t="s">
        <v>342</v>
      </c>
      <c r="D36" t="s">
        <v>330</v>
      </c>
      <c r="E36" s="2" t="s">
        <v>154</v>
      </c>
      <c r="F36" s="7" t="s">
        <v>172</v>
      </c>
      <c r="G36" s="7" t="s">
        <v>284</v>
      </c>
      <c r="H36">
        <v>20</v>
      </c>
      <c r="I36">
        <v>2550</v>
      </c>
      <c r="J36">
        <v>11050</v>
      </c>
      <c r="K36" s="2" t="s">
        <v>156</v>
      </c>
      <c r="M36" s="70">
        <v>1</v>
      </c>
      <c r="N36" s="70">
        <v>4423.87</v>
      </c>
      <c r="O36" s="75" t="s">
        <v>180</v>
      </c>
      <c r="P36" s="70">
        <v>1341.45</v>
      </c>
      <c r="Q36" s="73">
        <v>4423.87</v>
      </c>
      <c r="R36" s="73" t="s">
        <v>157</v>
      </c>
      <c r="S36" s="73">
        <v>3045.78</v>
      </c>
      <c r="T36" s="73">
        <v>27.25</v>
      </c>
      <c r="U36" s="70">
        <v>9.39</v>
      </c>
      <c r="V36" s="42">
        <v>4</v>
      </c>
      <c r="W36" t="s">
        <v>376</v>
      </c>
      <c r="X36" t="s">
        <v>113</v>
      </c>
    </row>
    <row r="37" spans="1:26" hidden="1" x14ac:dyDescent="0.25">
      <c r="A37" s="2">
        <v>5</v>
      </c>
      <c r="B37" t="s">
        <v>178</v>
      </c>
      <c r="C37" t="s">
        <v>350</v>
      </c>
      <c r="D37" t="s">
        <v>330</v>
      </c>
      <c r="E37" s="2" t="s">
        <v>154</v>
      </c>
      <c r="F37" s="7" t="s">
        <v>172</v>
      </c>
      <c r="G37" s="7" t="s">
        <v>437</v>
      </c>
      <c r="H37">
        <v>25</v>
      </c>
      <c r="I37">
        <v>3000</v>
      </c>
      <c r="J37">
        <v>16050</v>
      </c>
      <c r="K37" s="2" t="s">
        <v>156</v>
      </c>
      <c r="M37" s="70">
        <v>1</v>
      </c>
      <c r="N37" s="70">
        <v>9449.44</v>
      </c>
      <c r="O37" s="75" t="s">
        <v>180</v>
      </c>
      <c r="P37" s="70">
        <v>371.44</v>
      </c>
      <c r="Q37" s="73">
        <v>9449.44</v>
      </c>
      <c r="R37" s="73" t="s">
        <v>157</v>
      </c>
      <c r="S37" s="73">
        <v>8799.93</v>
      </c>
      <c r="T37" s="73">
        <v>275.47000000000003</v>
      </c>
      <c r="U37" s="70">
        <v>2.6</v>
      </c>
      <c r="V37" s="42">
        <v>4</v>
      </c>
      <c r="W37" t="s">
        <v>376</v>
      </c>
      <c r="X37" t="s">
        <v>113</v>
      </c>
    </row>
    <row r="38" spans="1:26" hidden="1" x14ac:dyDescent="0.25">
      <c r="A38" s="2">
        <v>6</v>
      </c>
      <c r="B38" t="s">
        <v>178</v>
      </c>
      <c r="C38" t="s">
        <v>361</v>
      </c>
      <c r="D38" t="s">
        <v>330</v>
      </c>
      <c r="E38" s="2" t="s">
        <v>154</v>
      </c>
      <c r="F38" s="7" t="s">
        <v>172</v>
      </c>
      <c r="G38" s="7" t="s">
        <v>289</v>
      </c>
      <c r="H38">
        <v>50</v>
      </c>
      <c r="I38">
        <v>2380</v>
      </c>
      <c r="J38">
        <v>12100</v>
      </c>
      <c r="K38" s="2" t="s">
        <v>156</v>
      </c>
      <c r="M38" s="70">
        <v>1</v>
      </c>
      <c r="N38" s="70">
        <v>11303.22</v>
      </c>
      <c r="O38" s="75" t="s">
        <v>180</v>
      </c>
      <c r="P38" s="70">
        <v>3530.46</v>
      </c>
      <c r="Q38" s="73">
        <v>11303.22</v>
      </c>
      <c r="R38" s="73" t="s">
        <v>157</v>
      </c>
      <c r="S38" s="73">
        <v>7566.62</v>
      </c>
      <c r="T38" s="73">
        <v>181.43</v>
      </c>
      <c r="U38" s="70">
        <v>24.71</v>
      </c>
      <c r="V38" s="42">
        <v>4</v>
      </c>
      <c r="W38" t="s">
        <v>376</v>
      </c>
      <c r="X38" t="s">
        <v>113</v>
      </c>
    </row>
    <row r="39" spans="1:26" hidden="1" x14ac:dyDescent="0.25">
      <c r="A39" s="2">
        <v>7</v>
      </c>
      <c r="B39" t="s">
        <v>178</v>
      </c>
      <c r="C39" t="s">
        <v>366</v>
      </c>
      <c r="D39" t="s">
        <v>330</v>
      </c>
      <c r="E39" s="2" t="s">
        <v>154</v>
      </c>
      <c r="F39" s="7" t="s">
        <v>364</v>
      </c>
      <c r="G39" s="7" t="s">
        <v>435</v>
      </c>
      <c r="H39">
        <v>50</v>
      </c>
      <c r="I39">
        <v>2500</v>
      </c>
      <c r="J39">
        <v>6000</v>
      </c>
      <c r="K39" s="2" t="s">
        <v>156</v>
      </c>
      <c r="M39" s="70">
        <v>1</v>
      </c>
      <c r="N39" s="70">
        <v>5887.5</v>
      </c>
      <c r="O39" s="75" t="s">
        <v>180</v>
      </c>
      <c r="P39" s="70">
        <v>3673.72</v>
      </c>
      <c r="Q39" s="73">
        <v>5887.5</v>
      </c>
      <c r="R39" s="73" t="s">
        <v>157</v>
      </c>
      <c r="S39" s="73">
        <v>1747.07</v>
      </c>
      <c r="T39" s="73">
        <v>440.99</v>
      </c>
      <c r="U39" s="70">
        <v>25.72</v>
      </c>
      <c r="V39" s="42">
        <v>4</v>
      </c>
      <c r="W39" t="s">
        <v>376</v>
      </c>
      <c r="X39" t="s">
        <v>113</v>
      </c>
    </row>
    <row r="40" spans="1:26" hidden="1" x14ac:dyDescent="0.25">
      <c r="A40" s="2">
        <v>8</v>
      </c>
      <c r="B40" t="s">
        <v>178</v>
      </c>
      <c r="C40" t="s">
        <v>371</v>
      </c>
      <c r="D40" t="s">
        <v>330</v>
      </c>
      <c r="E40" s="2" t="s">
        <v>154</v>
      </c>
      <c r="F40" s="7" t="s">
        <v>172</v>
      </c>
      <c r="G40" s="7" t="s">
        <v>290</v>
      </c>
      <c r="H40">
        <v>50</v>
      </c>
      <c r="I40">
        <v>2380</v>
      </c>
      <c r="J40">
        <v>11300</v>
      </c>
      <c r="K40" s="2" t="s">
        <v>156</v>
      </c>
      <c r="M40" s="70">
        <v>1</v>
      </c>
      <c r="N40" s="70">
        <v>10555.89</v>
      </c>
      <c r="O40" s="75" t="s">
        <v>180</v>
      </c>
      <c r="P40" s="70">
        <v>3591.76</v>
      </c>
      <c r="Q40" s="73">
        <v>10555.89</v>
      </c>
      <c r="R40" s="73" t="s">
        <v>157</v>
      </c>
      <c r="S40" s="73">
        <v>6389.59</v>
      </c>
      <c r="T40" s="73">
        <v>549.4</v>
      </c>
      <c r="U40" s="70">
        <v>25.14</v>
      </c>
      <c r="V40" s="42">
        <v>4</v>
      </c>
      <c r="W40" t="s">
        <v>376</v>
      </c>
      <c r="X40" t="s">
        <v>113</v>
      </c>
    </row>
    <row r="41" spans="1:26" hidden="1" x14ac:dyDescent="0.25">
      <c r="A41" s="2">
        <v>9</v>
      </c>
      <c r="B41" t="s">
        <v>178</v>
      </c>
      <c r="C41" t="s">
        <v>374</v>
      </c>
      <c r="D41" t="s">
        <v>330</v>
      </c>
      <c r="E41" s="2" t="s">
        <v>154</v>
      </c>
      <c r="F41" s="7" t="s">
        <v>172</v>
      </c>
      <c r="G41" s="7" t="s">
        <v>291</v>
      </c>
      <c r="H41">
        <v>50</v>
      </c>
      <c r="I41">
        <v>2550</v>
      </c>
      <c r="J41">
        <v>10700</v>
      </c>
      <c r="K41" s="2" t="s">
        <v>156</v>
      </c>
      <c r="M41" s="70">
        <v>1</v>
      </c>
      <c r="N41" s="70">
        <v>10709.36</v>
      </c>
      <c r="O41" s="75" t="s">
        <v>180</v>
      </c>
      <c r="P41" s="70">
        <v>4989.72</v>
      </c>
      <c r="Q41" s="73">
        <v>10709.36</v>
      </c>
      <c r="R41" s="73" t="s">
        <v>157</v>
      </c>
      <c r="S41" s="73">
        <v>5163.5600000000004</v>
      </c>
      <c r="T41" s="73">
        <v>521.15</v>
      </c>
      <c r="U41" s="70">
        <v>34.93</v>
      </c>
      <c r="V41" s="42">
        <v>4</v>
      </c>
      <c r="W41" t="s">
        <v>376</v>
      </c>
      <c r="X41" t="s">
        <v>113</v>
      </c>
    </row>
    <row r="42" spans="1:26" hidden="1" x14ac:dyDescent="0.25">
      <c r="A42" s="2">
        <v>1</v>
      </c>
      <c r="B42" t="s">
        <v>178</v>
      </c>
      <c r="C42" t="s">
        <v>381</v>
      </c>
      <c r="D42" t="s">
        <v>383</v>
      </c>
      <c r="E42" s="2" t="s">
        <v>154</v>
      </c>
      <c r="F42" s="7" t="s">
        <v>378</v>
      </c>
      <c r="G42" s="7" t="s">
        <v>402</v>
      </c>
      <c r="H42">
        <v>10</v>
      </c>
      <c r="I42">
        <v>549</v>
      </c>
      <c r="J42">
        <v>1500</v>
      </c>
      <c r="K42" s="2" t="s">
        <v>156</v>
      </c>
      <c r="M42" s="70">
        <v>1</v>
      </c>
      <c r="N42" s="70">
        <v>64.61</v>
      </c>
      <c r="O42" s="75" t="s">
        <v>384</v>
      </c>
      <c r="P42" s="70">
        <v>28.17</v>
      </c>
      <c r="Q42" s="73" t="s">
        <v>157</v>
      </c>
      <c r="R42" s="73">
        <v>64.61</v>
      </c>
      <c r="S42" s="73">
        <v>34.880000000000003</v>
      </c>
      <c r="T42" s="73">
        <v>1.36</v>
      </c>
      <c r="U42" s="70">
        <v>0.2</v>
      </c>
      <c r="V42" s="42">
        <v>5</v>
      </c>
      <c r="W42" t="s">
        <v>403</v>
      </c>
      <c r="X42" t="s">
        <v>113</v>
      </c>
      <c r="Y42" t="s">
        <v>307</v>
      </c>
      <c r="Z42" t="s">
        <v>404</v>
      </c>
    </row>
    <row r="43" spans="1:26" hidden="1" x14ac:dyDescent="0.25">
      <c r="A43" s="2">
        <v>2</v>
      </c>
      <c r="B43" t="s">
        <v>178</v>
      </c>
      <c r="C43" t="s">
        <v>388</v>
      </c>
      <c r="D43" t="s">
        <v>383</v>
      </c>
      <c r="E43" s="2" t="s">
        <v>154</v>
      </c>
      <c r="F43" s="7" t="s">
        <v>115</v>
      </c>
      <c r="G43" s="7" t="s">
        <v>405</v>
      </c>
      <c r="H43">
        <v>20</v>
      </c>
      <c r="I43">
        <v>610</v>
      </c>
      <c r="J43">
        <v>1998</v>
      </c>
      <c r="K43" s="2" t="s">
        <v>156</v>
      </c>
      <c r="M43" s="70">
        <v>1</v>
      </c>
      <c r="N43" s="70">
        <v>191.35</v>
      </c>
      <c r="O43" s="75" t="s">
        <v>122</v>
      </c>
      <c r="P43" s="70">
        <v>142.13</v>
      </c>
      <c r="Q43" s="73" t="s">
        <v>157</v>
      </c>
      <c r="R43" s="73">
        <v>191.35</v>
      </c>
      <c r="T43" s="73">
        <v>48.23</v>
      </c>
      <c r="U43" s="70">
        <v>0.99</v>
      </c>
      <c r="V43" s="42">
        <v>5</v>
      </c>
      <c r="W43" t="s">
        <v>403</v>
      </c>
      <c r="X43" t="s">
        <v>113</v>
      </c>
      <c r="Y43" t="s">
        <v>307</v>
      </c>
      <c r="Z43" t="s">
        <v>404</v>
      </c>
    </row>
    <row r="44" spans="1:26" hidden="1" x14ac:dyDescent="0.25">
      <c r="A44" s="2">
        <v>3</v>
      </c>
      <c r="B44" s="86" t="s">
        <v>178</v>
      </c>
      <c r="C44" s="86" t="s">
        <v>395</v>
      </c>
      <c r="D44" s="86" t="s">
        <v>383</v>
      </c>
      <c r="E44" s="86" t="s">
        <v>154</v>
      </c>
      <c r="F44" s="86" t="s">
        <v>172</v>
      </c>
      <c r="G44" s="86" t="s">
        <v>437</v>
      </c>
      <c r="H44" s="86">
        <v>25</v>
      </c>
      <c r="I44" s="86">
        <v>3000</v>
      </c>
      <c r="J44" s="86">
        <v>16050</v>
      </c>
      <c r="K44" s="86" t="s">
        <v>156</v>
      </c>
      <c r="L44" s="86"/>
      <c r="M44" s="86">
        <v>1</v>
      </c>
      <c r="N44" s="86">
        <v>9053.02</v>
      </c>
      <c r="O44" s="86" t="s">
        <v>350</v>
      </c>
      <c r="P44" s="86">
        <v>141.30000000000001</v>
      </c>
      <c r="Q44" s="86" t="str">
        <f>IF(O44="NEWPLATE", N44, "")</f>
        <v/>
      </c>
      <c r="R44" s="86">
        <f>IF(O44&lt;&gt;"NEWPLATE", N44, "")</f>
        <v>9053.02</v>
      </c>
      <c r="S44" s="86">
        <v>8908.18</v>
      </c>
      <c r="T44" s="86">
        <f>MAX(ROUND(N44-P44-IF(S44="",0,S44)-U44, 2), 0)</f>
        <v>2.5499999999999998</v>
      </c>
      <c r="U44" s="86">
        <f>ROUND(P44*0.7/100, 2)</f>
        <v>0.99</v>
      </c>
      <c r="V44" s="86">
        <v>5</v>
      </c>
      <c r="W44" s="86" t="s">
        <v>403</v>
      </c>
      <c r="X44" s="86" t="s">
        <v>113</v>
      </c>
      <c r="Y44" s="86" t="s">
        <v>434</v>
      </c>
      <c r="Z44" s="86" t="s">
        <v>404</v>
      </c>
    </row>
    <row r="45" spans="1:26" hidden="1" x14ac:dyDescent="0.25">
      <c r="A45" s="2">
        <v>5</v>
      </c>
      <c r="B45" t="s">
        <v>178</v>
      </c>
      <c r="C45" t="s">
        <v>399</v>
      </c>
      <c r="D45" t="s">
        <v>383</v>
      </c>
      <c r="E45" s="2" t="s">
        <v>154</v>
      </c>
      <c r="F45" s="7" t="s">
        <v>273</v>
      </c>
      <c r="G45" s="7" t="s">
        <v>406</v>
      </c>
      <c r="H45">
        <v>32</v>
      </c>
      <c r="I45">
        <v>2250</v>
      </c>
      <c r="J45">
        <v>8500</v>
      </c>
      <c r="K45" s="2" t="s">
        <v>156</v>
      </c>
      <c r="M45" s="70">
        <v>1</v>
      </c>
      <c r="N45" s="70">
        <v>4804.2</v>
      </c>
      <c r="O45" s="75" t="s">
        <v>180</v>
      </c>
      <c r="P45" s="70">
        <v>331.59</v>
      </c>
      <c r="Q45" s="73">
        <v>4804.2</v>
      </c>
      <c r="R45" s="73" t="s">
        <v>157</v>
      </c>
      <c r="S45" s="73">
        <v>4455.8500000000004</v>
      </c>
      <c r="T45" s="73">
        <v>14.44</v>
      </c>
      <c r="U45" s="70">
        <v>2.3199999999999998</v>
      </c>
      <c r="V45" s="42">
        <v>5</v>
      </c>
      <c r="W45" t="s">
        <v>403</v>
      </c>
      <c r="X45" t="s">
        <v>113</v>
      </c>
      <c r="Y45" t="s">
        <v>307</v>
      </c>
      <c r="Z45" t="s">
        <v>404</v>
      </c>
    </row>
    <row r="46" spans="1:26" hidden="1" x14ac:dyDescent="0.25">
      <c r="A46" s="2">
        <v>1</v>
      </c>
      <c r="B46" t="s">
        <v>178</v>
      </c>
      <c r="C46" t="s">
        <v>408</v>
      </c>
      <c r="D46" t="s">
        <v>409</v>
      </c>
      <c r="E46" s="2" t="s">
        <v>154</v>
      </c>
      <c r="F46" s="7" t="s">
        <v>273</v>
      </c>
      <c r="G46" s="7" t="s">
        <v>283</v>
      </c>
      <c r="H46">
        <v>12</v>
      </c>
      <c r="I46">
        <v>2438</v>
      </c>
      <c r="J46">
        <v>10000</v>
      </c>
      <c r="K46" s="2" t="s">
        <v>156</v>
      </c>
      <c r="M46" s="70">
        <v>1</v>
      </c>
      <c r="N46" s="70">
        <v>2296.6</v>
      </c>
      <c r="O46" s="75" t="s">
        <v>180</v>
      </c>
      <c r="P46" s="70">
        <v>884.87</v>
      </c>
      <c r="Q46" s="73">
        <v>2296.6</v>
      </c>
      <c r="R46" s="73" t="s">
        <v>157</v>
      </c>
      <c r="S46" s="73">
        <v>1269.27</v>
      </c>
      <c r="T46" s="73">
        <v>136.27000000000001</v>
      </c>
      <c r="U46" s="70">
        <v>6.19</v>
      </c>
      <c r="V46" s="42">
        <v>6</v>
      </c>
      <c r="W46" t="s">
        <v>429</v>
      </c>
      <c r="X46" t="s">
        <v>113</v>
      </c>
      <c r="Y46" t="s">
        <v>307</v>
      </c>
      <c r="Z46" t="s">
        <v>430</v>
      </c>
    </row>
    <row r="47" spans="1:26" hidden="1" x14ac:dyDescent="0.25">
      <c r="A47" s="2">
        <v>2</v>
      </c>
      <c r="B47" t="s">
        <v>178</v>
      </c>
      <c r="C47" t="s">
        <v>414</v>
      </c>
      <c r="D47" t="s">
        <v>409</v>
      </c>
      <c r="E47" s="2" t="s">
        <v>154</v>
      </c>
      <c r="F47" s="7" t="s">
        <v>273</v>
      </c>
      <c r="G47" s="7" t="s">
        <v>283</v>
      </c>
      <c r="H47">
        <v>12</v>
      </c>
      <c r="I47">
        <v>2438</v>
      </c>
      <c r="J47">
        <v>10000</v>
      </c>
      <c r="K47" s="2" t="s">
        <v>156</v>
      </c>
      <c r="M47" s="70">
        <v>1</v>
      </c>
      <c r="N47" s="70">
        <v>2296.6</v>
      </c>
      <c r="O47" s="75" t="s">
        <v>180</v>
      </c>
      <c r="P47" s="70">
        <v>583.97</v>
      </c>
      <c r="Q47" s="73">
        <v>2296.6</v>
      </c>
      <c r="R47" s="73" t="s">
        <v>157</v>
      </c>
      <c r="S47" s="73">
        <v>1603.35</v>
      </c>
      <c r="T47" s="73">
        <v>105.19</v>
      </c>
      <c r="U47" s="70">
        <v>4.09</v>
      </c>
      <c r="V47" s="42">
        <v>6</v>
      </c>
      <c r="W47" t="s">
        <v>429</v>
      </c>
      <c r="X47" t="s">
        <v>113</v>
      </c>
      <c r="Y47" t="s">
        <v>307</v>
      </c>
      <c r="Z47" t="s">
        <v>430</v>
      </c>
    </row>
    <row r="48" spans="1:26" hidden="1" x14ac:dyDescent="0.25">
      <c r="A48" s="2">
        <v>3</v>
      </c>
      <c r="B48" s="86" t="s">
        <v>178</v>
      </c>
      <c r="C48" s="86" t="s">
        <v>416</v>
      </c>
      <c r="D48" s="86" t="s">
        <v>409</v>
      </c>
      <c r="E48" s="86" t="s">
        <v>154</v>
      </c>
      <c r="F48" s="86" t="s">
        <v>172</v>
      </c>
      <c r="G48" s="86" t="s">
        <v>437</v>
      </c>
      <c r="H48" s="86">
        <v>25</v>
      </c>
      <c r="I48" s="86">
        <v>3000</v>
      </c>
      <c r="J48" s="86">
        <v>16050</v>
      </c>
      <c r="K48" s="86" t="s">
        <v>156</v>
      </c>
      <c r="L48" s="86"/>
      <c r="M48" s="86">
        <v>1</v>
      </c>
      <c r="N48" s="86">
        <v>8908.18</v>
      </c>
      <c r="O48" s="86" t="s">
        <v>395</v>
      </c>
      <c r="P48" s="86">
        <v>178.36</v>
      </c>
      <c r="Q48" s="86" t="s">
        <v>157</v>
      </c>
      <c r="R48" s="86">
        <v>8908.18</v>
      </c>
      <c r="S48" s="86">
        <v>8722.19</v>
      </c>
      <c r="T48" s="86">
        <v>6.38</v>
      </c>
      <c r="U48" s="86">
        <v>1.25</v>
      </c>
      <c r="V48" s="86">
        <v>6</v>
      </c>
      <c r="W48" s="86" t="s">
        <v>429</v>
      </c>
      <c r="X48" s="86" t="s">
        <v>113</v>
      </c>
      <c r="Y48" s="86" t="s">
        <v>434</v>
      </c>
      <c r="Z48" s="86" t="s">
        <v>430</v>
      </c>
    </row>
    <row r="49" spans="1:26" hidden="1" x14ac:dyDescent="0.25">
      <c r="A49" s="2">
        <v>4</v>
      </c>
      <c r="B49" t="s">
        <v>178</v>
      </c>
      <c r="C49" t="s">
        <v>421</v>
      </c>
      <c r="D49" t="s">
        <v>409</v>
      </c>
      <c r="E49" s="2" t="s">
        <v>154</v>
      </c>
      <c r="F49" s="7" t="s">
        <v>273</v>
      </c>
      <c r="G49" s="7" t="s">
        <v>288</v>
      </c>
      <c r="H49">
        <v>40</v>
      </c>
      <c r="I49">
        <v>2250</v>
      </c>
      <c r="J49">
        <v>8050</v>
      </c>
      <c r="K49" s="2" t="s">
        <v>156</v>
      </c>
      <c r="M49" s="70">
        <v>1</v>
      </c>
      <c r="N49" s="70">
        <v>5687.33</v>
      </c>
      <c r="O49" s="75" t="s">
        <v>180</v>
      </c>
      <c r="P49" s="70">
        <v>994.79</v>
      </c>
      <c r="Q49" s="73">
        <v>5687.33</v>
      </c>
      <c r="R49" s="73" t="s">
        <v>157</v>
      </c>
      <c r="S49" s="73">
        <v>4668.6899999999996</v>
      </c>
      <c r="T49" s="73">
        <v>16.89</v>
      </c>
      <c r="U49" s="70">
        <v>6.96</v>
      </c>
      <c r="V49" s="42">
        <v>6</v>
      </c>
      <c r="W49" t="s">
        <v>429</v>
      </c>
      <c r="X49" t="s">
        <v>113</v>
      </c>
      <c r="Y49" t="s">
        <v>307</v>
      </c>
      <c r="Z49" t="s">
        <v>430</v>
      </c>
    </row>
    <row r="50" spans="1:26" hidden="1" x14ac:dyDescent="0.25">
      <c r="A50" s="2">
        <v>5</v>
      </c>
      <c r="B50" t="s">
        <v>178</v>
      </c>
      <c r="C50" t="s">
        <v>424</v>
      </c>
      <c r="D50" t="s">
        <v>409</v>
      </c>
      <c r="E50" s="2" t="s">
        <v>154</v>
      </c>
      <c r="F50" s="7" t="s">
        <v>273</v>
      </c>
      <c r="G50" s="7" t="s">
        <v>431</v>
      </c>
      <c r="H50">
        <v>50</v>
      </c>
      <c r="I50">
        <v>1984</v>
      </c>
      <c r="J50">
        <v>10700</v>
      </c>
      <c r="K50" s="2" t="s">
        <v>156</v>
      </c>
      <c r="M50" s="70">
        <v>1</v>
      </c>
      <c r="N50" s="70">
        <v>5163.5600000000004</v>
      </c>
      <c r="O50" s="75" t="s">
        <v>374</v>
      </c>
      <c r="P50" s="70">
        <v>2851.27</v>
      </c>
      <c r="Q50" s="73" t="s">
        <v>157</v>
      </c>
      <c r="R50" s="73">
        <v>5163.5600000000004</v>
      </c>
      <c r="S50" s="73">
        <v>2059.5100000000002</v>
      </c>
      <c r="T50" s="73">
        <v>232.82</v>
      </c>
      <c r="U50" s="70">
        <v>19.96</v>
      </c>
      <c r="V50" s="42">
        <v>6</v>
      </c>
      <c r="W50" t="s">
        <v>429</v>
      </c>
      <c r="X50" t="s">
        <v>113</v>
      </c>
      <c r="Y50" t="s">
        <v>307</v>
      </c>
      <c r="Z50" t="s">
        <v>430</v>
      </c>
    </row>
    <row r="51" spans="1:26" hidden="1" x14ac:dyDescent="0.25">
      <c r="A51" s="2">
        <v>6</v>
      </c>
      <c r="B51" t="s">
        <v>178</v>
      </c>
      <c r="C51" t="s">
        <v>428</v>
      </c>
      <c r="D51" t="s">
        <v>409</v>
      </c>
      <c r="E51" s="2" t="s">
        <v>154</v>
      </c>
      <c r="F51" s="7" t="s">
        <v>426</v>
      </c>
      <c r="G51" s="7" t="s">
        <v>293</v>
      </c>
      <c r="H51">
        <v>60</v>
      </c>
      <c r="I51">
        <v>2200</v>
      </c>
      <c r="J51">
        <v>10100</v>
      </c>
      <c r="K51" s="2" t="s">
        <v>156</v>
      </c>
      <c r="M51" s="70">
        <v>1</v>
      </c>
      <c r="N51" s="70">
        <v>10465.620000000001</v>
      </c>
      <c r="O51" s="75" t="s">
        <v>180</v>
      </c>
      <c r="P51" s="70">
        <v>2298.83</v>
      </c>
      <c r="Q51" s="73">
        <v>10465.620000000001</v>
      </c>
      <c r="R51" s="73" t="s">
        <v>157</v>
      </c>
      <c r="S51" s="73">
        <v>8117.59</v>
      </c>
      <c r="T51" s="73">
        <v>33.11</v>
      </c>
      <c r="U51" s="70">
        <v>16.09</v>
      </c>
      <c r="V51" s="42">
        <v>6</v>
      </c>
      <c r="W51" t="s">
        <v>429</v>
      </c>
      <c r="X51" t="s">
        <v>113</v>
      </c>
      <c r="Y51" t="s">
        <v>307</v>
      </c>
      <c r="Z51" t="s">
        <v>430</v>
      </c>
    </row>
    <row r="52" spans="1:26" hidden="1" x14ac:dyDescent="0.25">
      <c r="A52" s="2">
        <v>1</v>
      </c>
      <c r="B52" t="s">
        <v>178</v>
      </c>
      <c r="C52" t="s">
        <v>439</v>
      </c>
      <c r="D52" t="s">
        <v>440</v>
      </c>
      <c r="E52" s="2" t="s">
        <v>154</v>
      </c>
      <c r="F52" s="7" t="s">
        <v>172</v>
      </c>
      <c r="G52" s="7" t="s">
        <v>437</v>
      </c>
      <c r="H52">
        <v>25</v>
      </c>
      <c r="I52">
        <v>3000</v>
      </c>
      <c r="J52">
        <v>16050</v>
      </c>
      <c r="K52" s="2" t="s">
        <v>156</v>
      </c>
      <c r="M52" s="70">
        <v>1</v>
      </c>
      <c r="N52" s="70">
        <v>8722.19</v>
      </c>
      <c r="O52" s="75" t="s">
        <v>416</v>
      </c>
      <c r="P52" s="70">
        <v>515.14</v>
      </c>
      <c r="Q52" s="73" t="s">
        <v>157</v>
      </c>
      <c r="R52" s="73">
        <v>8722.19</v>
      </c>
      <c r="S52" s="73">
        <v>8158.18</v>
      </c>
      <c r="T52" s="73">
        <v>45.26</v>
      </c>
      <c r="U52" s="70">
        <v>3.61</v>
      </c>
      <c r="V52" s="42">
        <v>7</v>
      </c>
      <c r="W52" t="s">
        <v>478</v>
      </c>
      <c r="X52" t="s">
        <v>113</v>
      </c>
      <c r="Y52" t="s">
        <v>307</v>
      </c>
      <c r="Z52" t="s">
        <v>430</v>
      </c>
    </row>
    <row r="53" spans="1:26" hidden="1" x14ac:dyDescent="0.25">
      <c r="A53" s="2">
        <v>2</v>
      </c>
      <c r="B53" t="s">
        <v>178</v>
      </c>
      <c r="C53" t="s">
        <v>453</v>
      </c>
      <c r="D53" t="s">
        <v>440</v>
      </c>
      <c r="E53" s="2" t="s">
        <v>154</v>
      </c>
      <c r="F53" s="7" t="s">
        <v>257</v>
      </c>
      <c r="G53" s="7" t="s">
        <v>292</v>
      </c>
      <c r="H53">
        <v>50</v>
      </c>
      <c r="I53">
        <v>2000</v>
      </c>
      <c r="J53">
        <v>6000</v>
      </c>
      <c r="K53" s="2" t="s">
        <v>156</v>
      </c>
      <c r="M53" s="70">
        <v>1</v>
      </c>
      <c r="N53" s="70">
        <v>4710</v>
      </c>
      <c r="O53" s="75" t="s">
        <v>180</v>
      </c>
      <c r="P53" s="70">
        <v>3873.9</v>
      </c>
      <c r="Q53" s="73">
        <v>4710</v>
      </c>
      <c r="R53" s="73" t="s">
        <v>157</v>
      </c>
      <c r="S53" s="73">
        <v>355.59</v>
      </c>
      <c r="T53" s="73">
        <v>453.39</v>
      </c>
      <c r="U53" s="70">
        <v>27.12</v>
      </c>
      <c r="V53" s="42">
        <v>7</v>
      </c>
      <c r="W53" t="s">
        <v>478</v>
      </c>
      <c r="X53" t="s">
        <v>113</v>
      </c>
      <c r="Y53" t="s">
        <v>307</v>
      </c>
      <c r="Z53" t="s">
        <v>430</v>
      </c>
    </row>
    <row r="54" spans="1:26" hidden="1" x14ac:dyDescent="0.25">
      <c r="A54" s="2">
        <v>3</v>
      </c>
      <c r="B54" t="s">
        <v>178</v>
      </c>
      <c r="C54" t="s">
        <v>460</v>
      </c>
      <c r="D54" t="s">
        <v>440</v>
      </c>
      <c r="E54" s="2" t="s">
        <v>154</v>
      </c>
      <c r="F54" s="7" t="s">
        <v>257</v>
      </c>
      <c r="G54" s="7" t="s">
        <v>292</v>
      </c>
      <c r="H54">
        <v>50</v>
      </c>
      <c r="I54">
        <v>2000</v>
      </c>
      <c r="J54">
        <v>6000</v>
      </c>
      <c r="K54" s="2" t="s">
        <v>156</v>
      </c>
      <c r="M54" s="70">
        <v>1</v>
      </c>
      <c r="N54" s="70">
        <v>4710</v>
      </c>
      <c r="O54" s="75" t="s">
        <v>180</v>
      </c>
      <c r="P54" s="70">
        <v>3555.97</v>
      </c>
      <c r="Q54" s="73">
        <v>4710</v>
      </c>
      <c r="R54" s="73" t="s">
        <v>157</v>
      </c>
      <c r="S54" s="73">
        <v>997.91</v>
      </c>
      <c r="T54" s="73">
        <v>131.22999999999999</v>
      </c>
      <c r="U54" s="70">
        <v>24.89</v>
      </c>
      <c r="V54" s="42">
        <v>7</v>
      </c>
      <c r="W54" t="s">
        <v>478</v>
      </c>
      <c r="X54" t="s">
        <v>113</v>
      </c>
      <c r="Y54" t="s">
        <v>307</v>
      </c>
      <c r="Z54" t="s">
        <v>430</v>
      </c>
    </row>
    <row r="55" spans="1:26" hidden="1" x14ac:dyDescent="0.25">
      <c r="A55" s="2">
        <v>4</v>
      </c>
      <c r="B55" t="s">
        <v>178</v>
      </c>
      <c r="C55" t="s">
        <v>462</v>
      </c>
      <c r="D55" t="s">
        <v>440</v>
      </c>
      <c r="E55" s="2" t="s">
        <v>154</v>
      </c>
      <c r="F55" s="7" t="s">
        <v>257</v>
      </c>
      <c r="G55" s="7" t="s">
        <v>292</v>
      </c>
      <c r="H55">
        <v>50</v>
      </c>
      <c r="I55">
        <v>2000</v>
      </c>
      <c r="J55">
        <v>6000</v>
      </c>
      <c r="K55" s="2" t="s">
        <v>156</v>
      </c>
      <c r="M55" s="70">
        <v>1</v>
      </c>
      <c r="N55" s="70">
        <v>4710</v>
      </c>
      <c r="O55" s="75" t="s">
        <v>180</v>
      </c>
      <c r="P55" s="70">
        <v>1422.39</v>
      </c>
      <c r="Q55" s="73">
        <v>4710</v>
      </c>
      <c r="R55" s="73" t="s">
        <v>157</v>
      </c>
      <c r="S55" s="73">
        <v>3181.14</v>
      </c>
      <c r="T55" s="73">
        <v>96.51</v>
      </c>
      <c r="U55" s="70">
        <v>9.9600000000000009</v>
      </c>
      <c r="V55" s="42">
        <v>7</v>
      </c>
      <c r="W55" t="s">
        <v>478</v>
      </c>
      <c r="X55" t="s">
        <v>113</v>
      </c>
      <c r="Y55" t="s">
        <v>307</v>
      </c>
      <c r="Z55" t="s">
        <v>430</v>
      </c>
    </row>
    <row r="56" spans="1:26" hidden="1" x14ac:dyDescent="0.25">
      <c r="A56" s="2">
        <v>5</v>
      </c>
      <c r="B56" t="s">
        <v>178</v>
      </c>
      <c r="C56" t="s">
        <v>465</v>
      </c>
      <c r="D56" t="s">
        <v>440</v>
      </c>
      <c r="E56" s="2" t="s">
        <v>154</v>
      </c>
      <c r="F56" s="7" t="s">
        <v>172</v>
      </c>
      <c r="G56" s="7" t="s">
        <v>479</v>
      </c>
      <c r="H56">
        <v>50</v>
      </c>
      <c r="I56">
        <v>2380</v>
      </c>
      <c r="J56">
        <v>6840</v>
      </c>
      <c r="K56" s="2" t="s">
        <v>156</v>
      </c>
      <c r="M56" s="70">
        <v>1</v>
      </c>
      <c r="N56" s="70">
        <v>6389.59</v>
      </c>
      <c r="O56" s="75" t="s">
        <v>371</v>
      </c>
      <c r="P56" s="70">
        <v>5034.3900000000003</v>
      </c>
      <c r="Q56" s="73" t="s">
        <v>157</v>
      </c>
      <c r="R56" s="73">
        <v>6389.59</v>
      </c>
      <c r="S56" s="73">
        <v>1142.76</v>
      </c>
      <c r="T56" s="73">
        <v>177.2</v>
      </c>
      <c r="U56" s="70">
        <v>35.24</v>
      </c>
      <c r="V56" s="42">
        <v>7</v>
      </c>
      <c r="W56" t="s">
        <v>478</v>
      </c>
      <c r="X56" t="s">
        <v>113</v>
      </c>
      <c r="Y56" t="s">
        <v>307</v>
      </c>
      <c r="Z56" t="s">
        <v>430</v>
      </c>
    </row>
    <row r="57" spans="1:26" hidden="1" x14ac:dyDescent="0.25">
      <c r="A57" s="2">
        <v>6</v>
      </c>
      <c r="B57" t="s">
        <v>178</v>
      </c>
      <c r="C57" t="s">
        <v>470</v>
      </c>
      <c r="D57" t="s">
        <v>440</v>
      </c>
      <c r="E57" s="2" t="s">
        <v>154</v>
      </c>
      <c r="F57" s="7" t="s">
        <v>172</v>
      </c>
      <c r="G57" s="7" t="s">
        <v>480</v>
      </c>
      <c r="H57">
        <v>50</v>
      </c>
      <c r="I57">
        <v>2380</v>
      </c>
      <c r="J57">
        <v>8100</v>
      </c>
      <c r="K57" s="2" t="s">
        <v>156</v>
      </c>
      <c r="M57" s="70">
        <v>1</v>
      </c>
      <c r="N57" s="70">
        <v>7566.62</v>
      </c>
      <c r="O57" s="75" t="s">
        <v>361</v>
      </c>
      <c r="P57" s="70">
        <v>5295.69</v>
      </c>
      <c r="Q57" s="73" t="s">
        <v>157</v>
      </c>
      <c r="R57" s="73">
        <v>7566.62</v>
      </c>
      <c r="S57" s="73">
        <v>1972.61</v>
      </c>
      <c r="T57" s="73">
        <v>261.25</v>
      </c>
      <c r="U57" s="70">
        <v>37.07</v>
      </c>
      <c r="V57" s="42">
        <v>7</v>
      </c>
      <c r="W57" t="s">
        <v>478</v>
      </c>
      <c r="X57" t="s">
        <v>113</v>
      </c>
      <c r="Y57" t="s">
        <v>307</v>
      </c>
      <c r="Z57" t="s">
        <v>430</v>
      </c>
    </row>
    <row r="58" spans="1:26" hidden="1" x14ac:dyDescent="0.25">
      <c r="A58" s="2">
        <v>7</v>
      </c>
      <c r="B58" t="s">
        <v>178</v>
      </c>
      <c r="C58" t="s">
        <v>474</v>
      </c>
      <c r="D58" t="s">
        <v>440</v>
      </c>
      <c r="E58" s="2" t="s">
        <v>154</v>
      </c>
      <c r="F58" s="7" t="s">
        <v>364</v>
      </c>
      <c r="G58" s="7" t="s">
        <v>481</v>
      </c>
      <c r="H58">
        <v>50</v>
      </c>
      <c r="I58">
        <v>623</v>
      </c>
      <c r="J58">
        <v>760</v>
      </c>
      <c r="K58" s="2" t="s">
        <v>156</v>
      </c>
      <c r="M58" s="70">
        <v>1</v>
      </c>
      <c r="N58" s="70">
        <v>92.93</v>
      </c>
      <c r="O58" s="75" t="s">
        <v>475</v>
      </c>
      <c r="P58" s="70">
        <v>41.21</v>
      </c>
      <c r="Q58" s="73" t="s">
        <v>157</v>
      </c>
      <c r="R58" s="73">
        <v>92.93</v>
      </c>
      <c r="T58" s="73">
        <v>51.43</v>
      </c>
      <c r="U58" s="70">
        <v>0.28999999999999998</v>
      </c>
      <c r="V58" s="42">
        <v>7</v>
      </c>
      <c r="W58" t="s">
        <v>478</v>
      </c>
      <c r="X58" t="s">
        <v>113</v>
      </c>
      <c r="Y58" t="s">
        <v>307</v>
      </c>
      <c r="Z58" t="s">
        <v>430</v>
      </c>
    </row>
    <row r="59" spans="1:26" hidden="1" x14ac:dyDescent="0.25">
      <c r="A59" s="2">
        <v>8</v>
      </c>
      <c r="B59" t="s">
        <v>178</v>
      </c>
      <c r="C59" t="s">
        <v>476</v>
      </c>
      <c r="D59" t="s">
        <v>440</v>
      </c>
      <c r="E59" s="2" t="s">
        <v>154</v>
      </c>
      <c r="F59" s="7" t="s">
        <v>364</v>
      </c>
      <c r="G59" s="7" t="s">
        <v>481</v>
      </c>
      <c r="H59">
        <v>50</v>
      </c>
      <c r="I59">
        <v>623</v>
      </c>
      <c r="J59">
        <v>760</v>
      </c>
      <c r="K59" s="2" t="s">
        <v>156</v>
      </c>
      <c r="M59" s="70">
        <v>1</v>
      </c>
      <c r="N59" s="70">
        <v>92.93</v>
      </c>
      <c r="O59" s="75" t="s">
        <v>477</v>
      </c>
      <c r="P59" s="70">
        <v>41.21</v>
      </c>
      <c r="Q59" s="73" t="s">
        <v>157</v>
      </c>
      <c r="R59" s="73">
        <v>92.93</v>
      </c>
      <c r="T59" s="73">
        <v>51.43</v>
      </c>
      <c r="U59" s="70">
        <v>0.28999999999999998</v>
      </c>
      <c r="V59" s="42">
        <v>7</v>
      </c>
      <c r="W59" t="s">
        <v>478</v>
      </c>
      <c r="X59" t="s">
        <v>113</v>
      </c>
      <c r="Y59" t="s">
        <v>307</v>
      </c>
      <c r="Z59" t="s">
        <v>430</v>
      </c>
    </row>
    <row r="60" spans="1:26" hidden="1" x14ac:dyDescent="0.25">
      <c r="A60" s="2">
        <v>1</v>
      </c>
      <c r="B60" t="s">
        <v>178</v>
      </c>
      <c r="C60" t="s">
        <v>483</v>
      </c>
      <c r="D60" t="s">
        <v>485</v>
      </c>
      <c r="E60" s="2" t="s">
        <v>154</v>
      </c>
      <c r="F60" s="7" t="s">
        <v>172</v>
      </c>
      <c r="G60" s="7" t="s">
        <v>437</v>
      </c>
      <c r="H60">
        <v>25</v>
      </c>
      <c r="I60">
        <v>3000</v>
      </c>
      <c r="J60">
        <v>16050</v>
      </c>
      <c r="K60" s="2" t="s">
        <v>156</v>
      </c>
      <c r="M60" s="70">
        <v>1</v>
      </c>
      <c r="N60" s="70">
        <v>8158.18</v>
      </c>
      <c r="O60" s="75" t="s">
        <v>439</v>
      </c>
      <c r="P60" s="70">
        <v>313.26</v>
      </c>
      <c r="Q60" s="73" t="s">
        <v>157</v>
      </c>
      <c r="R60" s="73">
        <v>8158.18</v>
      </c>
      <c r="S60" s="73">
        <v>7833.37</v>
      </c>
      <c r="T60" s="73">
        <v>9.36</v>
      </c>
      <c r="U60" s="70">
        <v>2.19</v>
      </c>
      <c r="V60" s="42">
        <v>8</v>
      </c>
      <c r="W60" t="s">
        <v>503</v>
      </c>
      <c r="X60" t="s">
        <v>113</v>
      </c>
      <c r="Y60" t="s">
        <v>307</v>
      </c>
      <c r="Z60" t="s">
        <v>430</v>
      </c>
    </row>
    <row r="61" spans="1:26" hidden="1" x14ac:dyDescent="0.25">
      <c r="A61" s="2">
        <v>2</v>
      </c>
      <c r="B61" t="s">
        <v>178</v>
      </c>
      <c r="C61" t="s">
        <v>492</v>
      </c>
      <c r="D61" t="s">
        <v>485</v>
      </c>
      <c r="E61" s="2" t="s">
        <v>154</v>
      </c>
      <c r="F61" s="7" t="s">
        <v>172</v>
      </c>
      <c r="G61" s="7" t="s">
        <v>504</v>
      </c>
      <c r="H61">
        <v>50</v>
      </c>
      <c r="I61">
        <v>2112</v>
      </c>
      <c r="J61">
        <v>2380</v>
      </c>
      <c r="K61" s="2" t="s">
        <v>156</v>
      </c>
      <c r="M61" s="70">
        <v>1</v>
      </c>
      <c r="N61" s="70">
        <v>1972.61</v>
      </c>
      <c r="O61" s="75" t="s">
        <v>470</v>
      </c>
      <c r="P61" s="70">
        <v>1765.23</v>
      </c>
      <c r="Q61" s="73" t="s">
        <v>157</v>
      </c>
      <c r="R61" s="73">
        <v>1972.61</v>
      </c>
      <c r="T61" s="73">
        <v>195.02</v>
      </c>
      <c r="U61" s="70">
        <v>12.36</v>
      </c>
      <c r="V61" s="42">
        <v>8</v>
      </c>
      <c r="W61" t="s">
        <v>503</v>
      </c>
      <c r="X61" t="s">
        <v>113</v>
      </c>
      <c r="Y61" t="s">
        <v>307</v>
      </c>
      <c r="Z61" t="s">
        <v>430</v>
      </c>
    </row>
    <row r="62" spans="1:26" hidden="1" x14ac:dyDescent="0.25">
      <c r="A62" s="2">
        <v>3</v>
      </c>
      <c r="B62" t="s">
        <v>178</v>
      </c>
      <c r="C62" t="s">
        <v>494</v>
      </c>
      <c r="D62" t="s">
        <v>485</v>
      </c>
      <c r="E62" s="2" t="s">
        <v>154</v>
      </c>
      <c r="F62" s="7" t="s">
        <v>257</v>
      </c>
      <c r="G62" s="7" t="s">
        <v>292</v>
      </c>
      <c r="H62">
        <v>50</v>
      </c>
      <c r="I62">
        <v>2000</v>
      </c>
      <c r="J62">
        <v>6000</v>
      </c>
      <c r="K62" s="2" t="s">
        <v>156</v>
      </c>
      <c r="M62" s="70">
        <v>1</v>
      </c>
      <c r="N62" s="70">
        <v>3181.14</v>
      </c>
      <c r="O62" s="75" t="s">
        <v>462</v>
      </c>
      <c r="P62" s="70">
        <v>2133.58</v>
      </c>
      <c r="Q62" s="73" t="s">
        <v>157</v>
      </c>
      <c r="R62" s="73">
        <v>3181.14</v>
      </c>
      <c r="S62" s="73">
        <v>957.26</v>
      </c>
      <c r="T62" s="73">
        <v>75.36</v>
      </c>
      <c r="U62" s="70">
        <v>14.94</v>
      </c>
      <c r="V62" s="42">
        <v>8</v>
      </c>
      <c r="W62" t="s">
        <v>503</v>
      </c>
      <c r="X62" t="s">
        <v>113</v>
      </c>
      <c r="Y62" t="s">
        <v>307</v>
      </c>
      <c r="Z62" t="s">
        <v>430</v>
      </c>
    </row>
    <row r="63" spans="1:26" hidden="1" x14ac:dyDescent="0.25">
      <c r="A63" s="2">
        <v>4</v>
      </c>
      <c r="B63" t="s">
        <v>178</v>
      </c>
      <c r="C63" t="s">
        <v>496</v>
      </c>
      <c r="D63" t="s">
        <v>485</v>
      </c>
      <c r="E63" s="2" t="s">
        <v>154</v>
      </c>
      <c r="F63" s="7" t="s">
        <v>257</v>
      </c>
      <c r="G63" s="7" t="s">
        <v>292</v>
      </c>
      <c r="H63">
        <v>50</v>
      </c>
      <c r="I63">
        <v>2000</v>
      </c>
      <c r="J63">
        <v>6000</v>
      </c>
      <c r="K63" s="2" t="s">
        <v>156</v>
      </c>
      <c r="M63" s="70">
        <v>1</v>
      </c>
      <c r="N63" s="70">
        <v>4710</v>
      </c>
      <c r="O63" s="75" t="s">
        <v>180</v>
      </c>
      <c r="P63" s="70">
        <v>711.19</v>
      </c>
      <c r="Q63" s="73">
        <v>4710</v>
      </c>
      <c r="R63" s="73" t="s">
        <v>157</v>
      </c>
      <c r="S63" s="73">
        <v>3961.75</v>
      </c>
      <c r="T63" s="73">
        <v>32.08</v>
      </c>
      <c r="U63" s="70">
        <v>4.9800000000000004</v>
      </c>
      <c r="V63" s="42">
        <v>8</v>
      </c>
      <c r="W63" t="s">
        <v>503</v>
      </c>
      <c r="X63" t="s">
        <v>113</v>
      </c>
      <c r="Y63" t="s">
        <v>307</v>
      </c>
      <c r="Z63" t="s">
        <v>430</v>
      </c>
    </row>
    <row r="64" spans="1:26" hidden="1" x14ac:dyDescent="0.25">
      <c r="A64" s="2">
        <v>5</v>
      </c>
      <c r="B64" t="s">
        <v>178</v>
      </c>
      <c r="C64" t="s">
        <v>498</v>
      </c>
      <c r="D64" t="s">
        <v>485</v>
      </c>
      <c r="E64" s="2" t="s">
        <v>154</v>
      </c>
      <c r="F64" s="7" t="s">
        <v>257</v>
      </c>
      <c r="G64" s="7" t="s">
        <v>435</v>
      </c>
      <c r="H64">
        <v>50</v>
      </c>
      <c r="I64">
        <v>2500</v>
      </c>
      <c r="J64">
        <v>6000</v>
      </c>
      <c r="K64" s="2" t="s">
        <v>156</v>
      </c>
      <c r="M64" s="70">
        <v>1</v>
      </c>
      <c r="N64" s="70">
        <v>5887.5</v>
      </c>
      <c r="O64" s="75" t="s">
        <v>180</v>
      </c>
      <c r="P64" s="70">
        <v>4267.17</v>
      </c>
      <c r="Q64" s="73">
        <v>5887.5</v>
      </c>
      <c r="R64" s="73" t="s">
        <v>157</v>
      </c>
      <c r="S64" s="73">
        <v>1347.04</v>
      </c>
      <c r="T64" s="73">
        <v>243.42</v>
      </c>
      <c r="U64" s="70">
        <v>29.87</v>
      </c>
      <c r="V64" s="42">
        <v>8</v>
      </c>
      <c r="W64" t="s">
        <v>503</v>
      </c>
      <c r="X64" t="s">
        <v>113</v>
      </c>
      <c r="Y64" t="s">
        <v>307</v>
      </c>
      <c r="Z64" t="s">
        <v>430</v>
      </c>
    </row>
    <row r="65" spans="1:26" hidden="1" x14ac:dyDescent="0.25">
      <c r="A65" s="2">
        <v>6</v>
      </c>
      <c r="B65" t="s">
        <v>178</v>
      </c>
      <c r="C65" t="s">
        <v>500</v>
      </c>
      <c r="D65" t="s">
        <v>485</v>
      </c>
      <c r="E65" s="2" t="s">
        <v>154</v>
      </c>
      <c r="F65" s="7" t="s">
        <v>257</v>
      </c>
      <c r="G65" s="7" t="s">
        <v>435</v>
      </c>
      <c r="H65">
        <v>50</v>
      </c>
      <c r="I65">
        <v>2500</v>
      </c>
      <c r="J65">
        <v>6000</v>
      </c>
      <c r="K65" s="2" t="s">
        <v>156</v>
      </c>
      <c r="M65" s="70">
        <v>1</v>
      </c>
      <c r="N65" s="70">
        <v>5887.5</v>
      </c>
      <c r="O65" s="75" t="s">
        <v>180</v>
      </c>
      <c r="P65" s="70">
        <v>4267.16</v>
      </c>
      <c r="Q65" s="73">
        <v>5887.5</v>
      </c>
      <c r="R65" s="73" t="s">
        <v>157</v>
      </c>
      <c r="S65" s="73">
        <v>1251.52</v>
      </c>
      <c r="T65" s="73">
        <v>338.95</v>
      </c>
      <c r="U65" s="70">
        <v>29.87</v>
      </c>
      <c r="V65" s="42">
        <v>8</v>
      </c>
      <c r="W65" t="s">
        <v>503</v>
      </c>
      <c r="X65" t="s">
        <v>113</v>
      </c>
      <c r="Y65" t="s">
        <v>307</v>
      </c>
      <c r="Z65" t="s">
        <v>430</v>
      </c>
    </row>
    <row r="66" spans="1:26" hidden="1" x14ac:dyDescent="0.25">
      <c r="A66" s="2">
        <v>7</v>
      </c>
      <c r="B66" t="s">
        <v>178</v>
      </c>
      <c r="C66" t="s">
        <v>502</v>
      </c>
      <c r="D66" t="s">
        <v>485</v>
      </c>
      <c r="E66" s="2" t="s">
        <v>154</v>
      </c>
      <c r="F66" s="7" t="s">
        <v>172</v>
      </c>
      <c r="G66" s="7" t="s">
        <v>290</v>
      </c>
      <c r="H66">
        <v>50</v>
      </c>
      <c r="I66">
        <v>2380</v>
      </c>
      <c r="J66">
        <v>11300</v>
      </c>
      <c r="K66" s="2" t="s">
        <v>156</v>
      </c>
      <c r="M66" s="70">
        <v>1</v>
      </c>
      <c r="N66" s="70">
        <v>10555.9</v>
      </c>
      <c r="O66" s="75" t="s">
        <v>180</v>
      </c>
      <c r="P66" s="70">
        <v>1678.13</v>
      </c>
      <c r="Q66" s="73">
        <v>10555.9</v>
      </c>
      <c r="R66" s="73" t="s">
        <v>157</v>
      </c>
      <c r="S66" s="73">
        <v>8748.39</v>
      </c>
      <c r="T66" s="73">
        <v>117.63</v>
      </c>
      <c r="U66" s="70">
        <v>11.75</v>
      </c>
      <c r="V66" s="42">
        <v>8</v>
      </c>
      <c r="W66" t="s">
        <v>503</v>
      </c>
      <c r="X66" t="s">
        <v>113</v>
      </c>
      <c r="Y66" t="s">
        <v>307</v>
      </c>
      <c r="Z66" t="s">
        <v>430</v>
      </c>
    </row>
    <row r="67" spans="1:26" hidden="1" x14ac:dyDescent="0.25">
      <c r="A67" s="2">
        <v>1</v>
      </c>
      <c r="B67" t="s">
        <v>178</v>
      </c>
      <c r="C67" t="s">
        <v>506</v>
      </c>
      <c r="D67" t="s">
        <v>507</v>
      </c>
      <c r="E67" s="2" t="s">
        <v>154</v>
      </c>
      <c r="F67" s="7" t="s">
        <v>273</v>
      </c>
      <c r="G67" s="7" t="s">
        <v>283</v>
      </c>
      <c r="H67">
        <v>12</v>
      </c>
      <c r="I67">
        <v>2438</v>
      </c>
      <c r="J67">
        <v>10000</v>
      </c>
      <c r="K67" s="2" t="s">
        <v>156</v>
      </c>
      <c r="M67" s="70">
        <v>1</v>
      </c>
      <c r="N67" s="70">
        <v>2296.6</v>
      </c>
      <c r="O67" s="75" t="s">
        <v>180</v>
      </c>
      <c r="P67" s="70">
        <v>735.48</v>
      </c>
      <c r="Q67" s="73">
        <v>2296.6</v>
      </c>
      <c r="R67" s="73" t="s">
        <v>157</v>
      </c>
      <c r="S67" s="73">
        <v>1431.24</v>
      </c>
      <c r="T67" s="73">
        <v>124.73</v>
      </c>
      <c r="U67" s="70">
        <v>5.15</v>
      </c>
      <c r="V67" s="42">
        <v>9</v>
      </c>
      <c r="W67" t="s">
        <v>540</v>
      </c>
      <c r="X67" t="s">
        <v>113</v>
      </c>
      <c r="Y67" t="s">
        <v>307</v>
      </c>
      <c r="Z67" t="s">
        <v>541</v>
      </c>
    </row>
    <row r="68" spans="1:26" hidden="1" x14ac:dyDescent="0.25">
      <c r="A68" s="2">
        <v>2</v>
      </c>
      <c r="B68" t="s">
        <v>178</v>
      </c>
      <c r="C68" t="s">
        <v>512</v>
      </c>
      <c r="D68" t="s">
        <v>507</v>
      </c>
      <c r="E68" s="2" t="s">
        <v>154</v>
      </c>
      <c r="F68" s="7" t="s">
        <v>172</v>
      </c>
      <c r="G68" s="7" t="s">
        <v>542</v>
      </c>
      <c r="H68">
        <v>20</v>
      </c>
      <c r="I68">
        <v>2550</v>
      </c>
      <c r="J68">
        <v>8407</v>
      </c>
      <c r="K68" s="2" t="s">
        <v>156</v>
      </c>
      <c r="M68" s="70">
        <v>1</v>
      </c>
      <c r="N68" s="70">
        <v>3048.72</v>
      </c>
      <c r="O68" s="75" t="s">
        <v>342</v>
      </c>
      <c r="P68" s="70">
        <v>1453.14</v>
      </c>
      <c r="Q68" s="73" t="s">
        <v>157</v>
      </c>
      <c r="R68" s="73">
        <v>3048.72</v>
      </c>
      <c r="S68" s="73">
        <v>1557</v>
      </c>
      <c r="T68" s="73">
        <v>28.41</v>
      </c>
      <c r="U68" s="70">
        <v>10.17</v>
      </c>
      <c r="V68" s="42">
        <v>9</v>
      </c>
      <c r="W68" t="s">
        <v>540</v>
      </c>
      <c r="X68" t="s">
        <v>113</v>
      </c>
      <c r="Y68" t="s">
        <v>307</v>
      </c>
      <c r="Z68" t="s">
        <v>541</v>
      </c>
    </row>
    <row r="69" spans="1:26" hidden="1" x14ac:dyDescent="0.25">
      <c r="A69" s="2">
        <v>3</v>
      </c>
      <c r="B69" t="s">
        <v>178</v>
      </c>
      <c r="C69" t="s">
        <v>516</v>
      </c>
      <c r="D69" t="s">
        <v>507</v>
      </c>
      <c r="E69" s="2" t="s">
        <v>154</v>
      </c>
      <c r="F69" s="7" t="s">
        <v>172</v>
      </c>
      <c r="G69" s="7" t="s">
        <v>437</v>
      </c>
      <c r="H69">
        <v>25</v>
      </c>
      <c r="I69">
        <v>3000</v>
      </c>
      <c r="J69">
        <v>16050</v>
      </c>
      <c r="K69" s="2" t="s">
        <v>156</v>
      </c>
      <c r="M69" s="70">
        <v>1</v>
      </c>
      <c r="N69" s="70">
        <v>7833.37</v>
      </c>
      <c r="O69" s="75" t="s">
        <v>483</v>
      </c>
      <c r="P69" s="70">
        <v>176.35</v>
      </c>
      <c r="Q69" s="73" t="s">
        <v>157</v>
      </c>
      <c r="R69" s="73">
        <v>7833.37</v>
      </c>
      <c r="S69" s="73">
        <v>7638.9</v>
      </c>
      <c r="T69" s="73">
        <v>16.89</v>
      </c>
      <c r="U69" s="70">
        <v>1.23</v>
      </c>
      <c r="V69" s="42">
        <v>9</v>
      </c>
      <c r="W69" t="s">
        <v>540</v>
      </c>
      <c r="X69" t="s">
        <v>113</v>
      </c>
      <c r="Y69" t="s">
        <v>307</v>
      </c>
      <c r="Z69" t="s">
        <v>541</v>
      </c>
    </row>
    <row r="70" spans="1:26" hidden="1" x14ac:dyDescent="0.25">
      <c r="A70" s="2">
        <v>4</v>
      </c>
      <c r="B70" t="s">
        <v>178</v>
      </c>
      <c r="C70" t="s">
        <v>522</v>
      </c>
      <c r="D70" t="s">
        <v>507</v>
      </c>
      <c r="E70" s="2" t="s">
        <v>154</v>
      </c>
      <c r="F70" s="7" t="s">
        <v>172</v>
      </c>
      <c r="G70" s="7" t="s">
        <v>286</v>
      </c>
      <c r="H70">
        <v>32</v>
      </c>
      <c r="I70">
        <v>2700</v>
      </c>
      <c r="J70">
        <v>14150</v>
      </c>
      <c r="K70" s="2" t="s">
        <v>156</v>
      </c>
      <c r="M70" s="70">
        <v>1</v>
      </c>
      <c r="N70" s="70">
        <v>9597.1</v>
      </c>
      <c r="O70" s="75" t="s">
        <v>180</v>
      </c>
      <c r="P70" s="70">
        <v>9173.23</v>
      </c>
      <c r="Q70" s="73">
        <v>9597.1</v>
      </c>
      <c r="R70" s="73" t="s">
        <v>157</v>
      </c>
      <c r="S70" s="73">
        <v>215.5</v>
      </c>
      <c r="T70" s="73">
        <v>144.16</v>
      </c>
      <c r="U70" s="70">
        <v>64.209999999999994</v>
      </c>
      <c r="V70" s="42">
        <v>9</v>
      </c>
      <c r="W70" t="s">
        <v>540</v>
      </c>
      <c r="X70" t="s">
        <v>113</v>
      </c>
      <c r="Y70" t="s">
        <v>307</v>
      </c>
      <c r="Z70" t="s">
        <v>541</v>
      </c>
    </row>
    <row r="71" spans="1:26" hidden="1" x14ac:dyDescent="0.25">
      <c r="A71" s="2">
        <v>5</v>
      </c>
      <c r="B71" t="s">
        <v>178</v>
      </c>
      <c r="C71" t="s">
        <v>525</v>
      </c>
      <c r="D71" t="s">
        <v>507</v>
      </c>
      <c r="E71" s="2" t="s">
        <v>154</v>
      </c>
      <c r="F71" s="7" t="s">
        <v>172</v>
      </c>
      <c r="G71" s="7" t="s">
        <v>287</v>
      </c>
      <c r="H71">
        <v>32</v>
      </c>
      <c r="I71">
        <v>2700</v>
      </c>
      <c r="J71">
        <v>13700</v>
      </c>
      <c r="K71" s="2" t="s">
        <v>156</v>
      </c>
      <c r="M71" s="70">
        <v>1</v>
      </c>
      <c r="N71" s="70">
        <v>9291.89</v>
      </c>
      <c r="O71" s="75" t="s">
        <v>180</v>
      </c>
      <c r="P71" s="70">
        <v>8877.4</v>
      </c>
      <c r="Q71" s="73">
        <v>9291.89</v>
      </c>
      <c r="R71" s="73" t="s">
        <v>157</v>
      </c>
      <c r="S71" s="73">
        <v>212.07</v>
      </c>
      <c r="T71" s="73">
        <v>140.28</v>
      </c>
      <c r="U71" s="70">
        <v>62.14</v>
      </c>
      <c r="V71" s="42">
        <v>9</v>
      </c>
      <c r="W71" t="s">
        <v>540</v>
      </c>
      <c r="X71" t="s">
        <v>113</v>
      </c>
      <c r="Y71" t="s">
        <v>307</v>
      </c>
      <c r="Z71" t="s">
        <v>541</v>
      </c>
    </row>
    <row r="72" spans="1:26" hidden="1" x14ac:dyDescent="0.25">
      <c r="A72" s="2">
        <v>6</v>
      </c>
      <c r="B72" t="s">
        <v>178</v>
      </c>
      <c r="C72" t="s">
        <v>527</v>
      </c>
      <c r="D72" t="s">
        <v>507</v>
      </c>
      <c r="E72" s="2" t="s">
        <v>154</v>
      </c>
      <c r="F72" s="7" t="s">
        <v>273</v>
      </c>
      <c r="G72" s="7" t="s">
        <v>288</v>
      </c>
      <c r="H72">
        <v>40</v>
      </c>
      <c r="I72">
        <v>2250</v>
      </c>
      <c r="J72">
        <v>8050</v>
      </c>
      <c r="K72" s="2" t="s">
        <v>156</v>
      </c>
      <c r="M72" s="70">
        <v>1</v>
      </c>
      <c r="N72" s="70">
        <v>4668.6899999999996</v>
      </c>
      <c r="O72" s="75" t="s">
        <v>421</v>
      </c>
      <c r="P72" s="70">
        <v>1989.59</v>
      </c>
      <c r="Q72" s="73" t="s">
        <v>157</v>
      </c>
      <c r="R72" s="73">
        <v>4668.6899999999996</v>
      </c>
      <c r="S72" s="73">
        <v>2269.87</v>
      </c>
      <c r="T72" s="73">
        <v>395.3</v>
      </c>
      <c r="U72" s="70">
        <v>13.93</v>
      </c>
      <c r="V72" s="42">
        <v>9</v>
      </c>
      <c r="W72" t="s">
        <v>540</v>
      </c>
      <c r="X72" t="s">
        <v>113</v>
      </c>
      <c r="Y72" t="s">
        <v>307</v>
      </c>
      <c r="Z72" t="s">
        <v>541</v>
      </c>
    </row>
    <row r="73" spans="1:26" hidden="1" x14ac:dyDescent="0.25">
      <c r="A73" s="2">
        <v>7</v>
      </c>
      <c r="B73" t="s">
        <v>178</v>
      </c>
      <c r="C73" t="s">
        <v>530</v>
      </c>
      <c r="D73" t="s">
        <v>507</v>
      </c>
      <c r="E73" s="2" t="s">
        <v>154</v>
      </c>
      <c r="F73" s="7" t="s">
        <v>172</v>
      </c>
      <c r="G73" s="7" t="s">
        <v>543</v>
      </c>
      <c r="H73">
        <v>50</v>
      </c>
      <c r="I73">
        <v>1029</v>
      </c>
      <c r="J73">
        <v>10700</v>
      </c>
      <c r="K73" s="2" t="s">
        <v>156</v>
      </c>
      <c r="M73" s="70">
        <v>1</v>
      </c>
      <c r="N73" s="70">
        <v>2059.5100000000002</v>
      </c>
      <c r="O73" s="75" t="s">
        <v>424</v>
      </c>
      <c r="P73" s="70">
        <v>712.82</v>
      </c>
      <c r="Q73" s="73" t="s">
        <v>157</v>
      </c>
      <c r="R73" s="73">
        <v>2059.5100000000002</v>
      </c>
      <c r="S73" s="73">
        <v>1325.8</v>
      </c>
      <c r="T73" s="73">
        <v>15.9</v>
      </c>
      <c r="U73" s="70">
        <v>4.99</v>
      </c>
      <c r="V73" s="42">
        <v>9</v>
      </c>
      <c r="W73" t="s">
        <v>540</v>
      </c>
      <c r="X73" t="s">
        <v>113</v>
      </c>
      <c r="Y73" t="s">
        <v>307</v>
      </c>
      <c r="Z73" t="s">
        <v>541</v>
      </c>
    </row>
    <row r="74" spans="1:26" hidden="1" x14ac:dyDescent="0.25">
      <c r="A74" s="2">
        <v>8</v>
      </c>
      <c r="B74" t="s">
        <v>178</v>
      </c>
      <c r="C74" t="s">
        <v>531</v>
      </c>
      <c r="D74" t="s">
        <v>507</v>
      </c>
      <c r="E74" s="2" t="s">
        <v>154</v>
      </c>
      <c r="F74" s="7" t="s">
        <v>172</v>
      </c>
      <c r="G74" s="7" t="s">
        <v>291</v>
      </c>
      <c r="H74">
        <v>50</v>
      </c>
      <c r="I74">
        <v>2550</v>
      </c>
      <c r="J74">
        <v>10700</v>
      </c>
      <c r="K74" s="2" t="s">
        <v>156</v>
      </c>
      <c r="M74" s="70">
        <v>1</v>
      </c>
      <c r="N74" s="70">
        <v>10709.36</v>
      </c>
      <c r="O74" s="75" t="s">
        <v>180</v>
      </c>
      <c r="P74" s="70">
        <v>2138.4499999999998</v>
      </c>
      <c r="Q74" s="73">
        <v>10709.36</v>
      </c>
      <c r="R74" s="73" t="s">
        <v>157</v>
      </c>
      <c r="S74" s="73">
        <v>8509.4</v>
      </c>
      <c r="T74" s="73">
        <v>46.54</v>
      </c>
      <c r="U74" s="70">
        <v>14.97</v>
      </c>
      <c r="V74" s="42">
        <v>9</v>
      </c>
      <c r="W74" t="s">
        <v>540</v>
      </c>
      <c r="X74" t="s">
        <v>113</v>
      </c>
      <c r="Y74" t="s">
        <v>307</v>
      </c>
      <c r="Z74" t="s">
        <v>541</v>
      </c>
    </row>
    <row r="75" spans="1:26" hidden="1" x14ac:dyDescent="0.25">
      <c r="A75" s="2">
        <v>9</v>
      </c>
      <c r="B75" t="s">
        <v>178</v>
      </c>
      <c r="C75" t="s">
        <v>534</v>
      </c>
      <c r="D75" t="s">
        <v>507</v>
      </c>
      <c r="E75" s="2" t="s">
        <v>154</v>
      </c>
      <c r="F75" s="7" t="s">
        <v>172</v>
      </c>
      <c r="G75" s="7" t="s">
        <v>544</v>
      </c>
      <c r="H75">
        <v>60</v>
      </c>
      <c r="I75">
        <v>2200</v>
      </c>
      <c r="J75">
        <v>7834</v>
      </c>
      <c r="K75" s="2" t="s">
        <v>156</v>
      </c>
      <c r="M75" s="70">
        <v>1</v>
      </c>
      <c r="N75" s="70">
        <v>8117.59</v>
      </c>
      <c r="O75" s="75" t="s">
        <v>428</v>
      </c>
      <c r="P75" s="70">
        <v>7854.02</v>
      </c>
      <c r="Q75" s="73" t="s">
        <v>157</v>
      </c>
      <c r="R75" s="73">
        <v>8117.59</v>
      </c>
      <c r="T75" s="73">
        <v>208.59</v>
      </c>
      <c r="U75" s="70">
        <v>54.98</v>
      </c>
      <c r="V75" s="42">
        <v>9</v>
      </c>
      <c r="W75" t="s">
        <v>540</v>
      </c>
      <c r="X75" t="s">
        <v>113</v>
      </c>
      <c r="Y75" t="s">
        <v>307</v>
      </c>
      <c r="Z75" t="s">
        <v>541</v>
      </c>
    </row>
    <row r="76" spans="1:26" hidden="1" x14ac:dyDescent="0.25">
      <c r="A76" s="2">
        <v>10</v>
      </c>
      <c r="B76" t="s">
        <v>178</v>
      </c>
      <c r="C76" t="s">
        <v>538</v>
      </c>
      <c r="D76" t="s">
        <v>507</v>
      </c>
      <c r="E76" s="2" t="s">
        <v>154</v>
      </c>
      <c r="F76" s="7" t="s">
        <v>273</v>
      </c>
      <c r="G76" s="7" t="s">
        <v>294</v>
      </c>
      <c r="H76">
        <v>80</v>
      </c>
      <c r="I76">
        <v>1450</v>
      </c>
      <c r="J76">
        <v>18050</v>
      </c>
      <c r="K76" s="2" t="s">
        <v>156</v>
      </c>
      <c r="M76" s="70">
        <v>1</v>
      </c>
      <c r="N76" s="70">
        <v>16436.330000000002</v>
      </c>
      <c r="O76" s="75" t="s">
        <v>180</v>
      </c>
      <c r="P76" s="70">
        <v>13503.16</v>
      </c>
      <c r="Q76" s="73">
        <v>16436.330000000002</v>
      </c>
      <c r="R76" s="73" t="s">
        <v>157</v>
      </c>
      <c r="S76" s="73">
        <v>2752.41</v>
      </c>
      <c r="T76" s="73">
        <v>86.24</v>
      </c>
      <c r="U76" s="70">
        <v>94.52</v>
      </c>
      <c r="V76" s="42">
        <v>9</v>
      </c>
      <c r="W76" t="s">
        <v>540</v>
      </c>
      <c r="X76" t="s">
        <v>113</v>
      </c>
      <c r="Y76" t="s">
        <v>307</v>
      </c>
      <c r="Z76" t="s">
        <v>541</v>
      </c>
    </row>
    <row r="77" spans="1:26" hidden="1" x14ac:dyDescent="0.25">
      <c r="A77" s="2">
        <v>11</v>
      </c>
      <c r="B77" t="s">
        <v>178</v>
      </c>
      <c r="C77" t="s">
        <v>539</v>
      </c>
      <c r="D77" t="s">
        <v>507</v>
      </c>
      <c r="E77" s="2" t="s">
        <v>154</v>
      </c>
      <c r="F77" s="7" t="s">
        <v>273</v>
      </c>
      <c r="G77" s="7" t="s">
        <v>294</v>
      </c>
      <c r="H77">
        <v>80</v>
      </c>
      <c r="I77">
        <v>1450</v>
      </c>
      <c r="J77">
        <v>18050</v>
      </c>
      <c r="K77" s="2" t="s">
        <v>156</v>
      </c>
      <c r="M77" s="70">
        <v>1</v>
      </c>
      <c r="N77" s="70">
        <v>16436.330000000002</v>
      </c>
      <c r="O77" s="75" t="s">
        <v>180</v>
      </c>
      <c r="P77" s="70">
        <v>13503.16</v>
      </c>
      <c r="Q77" s="73">
        <v>16436.330000000002</v>
      </c>
      <c r="R77" s="73" t="s">
        <v>157</v>
      </c>
      <c r="S77" s="73">
        <v>2752.41</v>
      </c>
      <c r="T77" s="73">
        <v>86.24</v>
      </c>
      <c r="U77" s="70">
        <v>94.52</v>
      </c>
      <c r="V77" s="42">
        <v>9</v>
      </c>
      <c r="W77" t="s">
        <v>540</v>
      </c>
      <c r="X77" t="s">
        <v>113</v>
      </c>
      <c r="Y77" t="s">
        <v>307</v>
      </c>
      <c r="Z77" t="s">
        <v>541</v>
      </c>
    </row>
    <row r="78" spans="1:26" hidden="1" x14ac:dyDescent="0.25">
      <c r="A78" s="2">
        <v>1</v>
      </c>
      <c r="B78" t="s">
        <v>550</v>
      </c>
      <c r="C78" t="s">
        <v>548</v>
      </c>
      <c r="D78" t="s">
        <v>551</v>
      </c>
      <c r="E78" s="2" t="s">
        <v>154</v>
      </c>
      <c r="F78" s="7" t="s">
        <v>115</v>
      </c>
      <c r="G78" s="7" t="s">
        <v>574</v>
      </c>
      <c r="H78">
        <v>20</v>
      </c>
      <c r="I78">
        <v>491</v>
      </c>
      <c r="J78">
        <v>12000</v>
      </c>
      <c r="K78" s="2" t="s">
        <v>156</v>
      </c>
      <c r="M78" s="70">
        <v>1</v>
      </c>
      <c r="N78" s="70">
        <v>925.04</v>
      </c>
      <c r="O78" s="75" t="s">
        <v>552</v>
      </c>
      <c r="P78" s="70">
        <v>309.06</v>
      </c>
      <c r="Q78" s="73" t="s">
        <v>157</v>
      </c>
      <c r="R78" s="73">
        <v>925.04</v>
      </c>
      <c r="S78" s="73">
        <v>525.04999999999995</v>
      </c>
      <c r="T78" s="73">
        <v>88.77</v>
      </c>
      <c r="U78" s="70">
        <v>2.16</v>
      </c>
      <c r="V78" s="42">
        <v>10</v>
      </c>
      <c r="W78" t="s">
        <v>575</v>
      </c>
      <c r="X78" t="s">
        <v>113</v>
      </c>
      <c r="Y78" t="s">
        <v>307</v>
      </c>
      <c r="Z78" t="s">
        <v>404</v>
      </c>
    </row>
    <row r="79" spans="1:26" hidden="1" x14ac:dyDescent="0.25">
      <c r="A79" s="2">
        <v>2</v>
      </c>
      <c r="B79" t="s">
        <v>550</v>
      </c>
      <c r="C79" t="s">
        <v>569</v>
      </c>
      <c r="D79" t="s">
        <v>551</v>
      </c>
      <c r="E79" s="2" t="s">
        <v>154</v>
      </c>
      <c r="F79" s="7" t="s">
        <v>566</v>
      </c>
      <c r="G79" s="7" t="s">
        <v>576</v>
      </c>
      <c r="H79">
        <v>30</v>
      </c>
      <c r="I79">
        <v>2000</v>
      </c>
      <c r="J79">
        <v>12000</v>
      </c>
      <c r="K79" s="2" t="s">
        <v>156</v>
      </c>
      <c r="M79" s="70">
        <v>1</v>
      </c>
      <c r="N79" s="70">
        <v>5652</v>
      </c>
      <c r="O79" s="75" t="s">
        <v>180</v>
      </c>
      <c r="P79" s="70">
        <v>1102.81</v>
      </c>
      <c r="Q79" s="73">
        <v>5652</v>
      </c>
      <c r="R79" s="73" t="s">
        <v>157</v>
      </c>
      <c r="S79" s="73">
        <v>4228.6400000000003</v>
      </c>
      <c r="T79" s="73">
        <v>312.83</v>
      </c>
      <c r="U79" s="70">
        <v>7.72</v>
      </c>
      <c r="V79" s="42">
        <v>10</v>
      </c>
      <c r="W79" t="s">
        <v>575</v>
      </c>
      <c r="X79" t="s">
        <v>113</v>
      </c>
      <c r="Y79" t="s">
        <v>307</v>
      </c>
      <c r="Z79" t="s">
        <v>404</v>
      </c>
    </row>
    <row r="80" spans="1:26" hidden="1" x14ac:dyDescent="0.25">
      <c r="A80" s="2">
        <v>1</v>
      </c>
      <c r="B80" t="s">
        <v>178</v>
      </c>
      <c r="C80" t="s">
        <v>579</v>
      </c>
      <c r="D80" t="s">
        <v>580</v>
      </c>
      <c r="E80" s="2" t="s">
        <v>154</v>
      </c>
      <c r="F80" s="7" t="s">
        <v>273</v>
      </c>
      <c r="G80" s="7" t="s">
        <v>616</v>
      </c>
      <c r="H80">
        <v>12</v>
      </c>
      <c r="I80">
        <v>1965</v>
      </c>
      <c r="J80">
        <v>7738</v>
      </c>
      <c r="K80" s="2" t="s">
        <v>156</v>
      </c>
      <c r="M80" s="70">
        <v>1</v>
      </c>
      <c r="N80" s="70">
        <v>1431.24</v>
      </c>
      <c r="O80" s="75" t="s">
        <v>506</v>
      </c>
      <c r="P80" s="70">
        <v>167.81</v>
      </c>
      <c r="Q80" s="73" t="s">
        <v>157</v>
      </c>
      <c r="R80" s="73">
        <v>1431.24</v>
      </c>
      <c r="S80" s="73">
        <v>1245.44</v>
      </c>
      <c r="T80" s="73">
        <v>16.82</v>
      </c>
      <c r="U80" s="70">
        <v>1.17</v>
      </c>
      <c r="V80" s="42">
        <v>11</v>
      </c>
      <c r="W80" t="s">
        <v>617</v>
      </c>
      <c r="X80" t="s">
        <v>113</v>
      </c>
      <c r="Y80" t="s">
        <v>307</v>
      </c>
      <c r="Z80" t="s">
        <v>541</v>
      </c>
    </row>
    <row r="81" spans="1:26" hidden="1" x14ac:dyDescent="0.25">
      <c r="A81" s="2">
        <v>2</v>
      </c>
      <c r="B81" t="s">
        <v>178</v>
      </c>
      <c r="C81" t="s">
        <v>582</v>
      </c>
      <c r="D81" t="s">
        <v>580</v>
      </c>
      <c r="E81" s="2" t="s">
        <v>154</v>
      </c>
      <c r="F81" s="7" t="s">
        <v>273</v>
      </c>
      <c r="G81" s="7" t="s">
        <v>618</v>
      </c>
      <c r="H81">
        <v>12</v>
      </c>
      <c r="I81">
        <v>2438</v>
      </c>
      <c r="J81">
        <v>9349</v>
      </c>
      <c r="K81" s="2" t="s">
        <v>156</v>
      </c>
      <c r="M81" s="70">
        <v>1</v>
      </c>
      <c r="N81" s="70">
        <v>1603.35</v>
      </c>
      <c r="O81" s="75" t="s">
        <v>414</v>
      </c>
      <c r="P81" s="70">
        <v>315.48</v>
      </c>
      <c r="Q81" s="73" t="s">
        <v>157</v>
      </c>
      <c r="R81" s="73">
        <v>1603.35</v>
      </c>
      <c r="S81" s="73">
        <v>1229.94</v>
      </c>
      <c r="T81" s="73">
        <v>55.72</v>
      </c>
      <c r="U81" s="70">
        <v>2.21</v>
      </c>
      <c r="V81" s="42">
        <v>11</v>
      </c>
      <c r="W81" t="s">
        <v>617</v>
      </c>
      <c r="X81" t="s">
        <v>113</v>
      </c>
      <c r="Y81" t="s">
        <v>307</v>
      </c>
      <c r="Z81" t="s">
        <v>541</v>
      </c>
    </row>
    <row r="82" spans="1:26" hidden="1" x14ac:dyDescent="0.25">
      <c r="A82" s="2">
        <v>3</v>
      </c>
      <c r="B82" t="s">
        <v>178</v>
      </c>
      <c r="C82" t="s">
        <v>584</v>
      </c>
      <c r="D82" t="s">
        <v>580</v>
      </c>
      <c r="E82" s="2" t="s">
        <v>154</v>
      </c>
      <c r="F82" s="7" t="s">
        <v>172</v>
      </c>
      <c r="G82" s="7" t="s">
        <v>619</v>
      </c>
      <c r="H82">
        <v>12</v>
      </c>
      <c r="I82">
        <v>2438</v>
      </c>
      <c r="J82">
        <v>7415</v>
      </c>
      <c r="K82" s="2" t="s">
        <v>156</v>
      </c>
      <c r="M82" s="70">
        <v>1</v>
      </c>
      <c r="N82" s="70">
        <v>1651.22</v>
      </c>
      <c r="O82" s="75" t="s">
        <v>340</v>
      </c>
      <c r="P82" s="70">
        <v>250.08</v>
      </c>
      <c r="Q82" s="73" t="s">
        <v>157</v>
      </c>
      <c r="R82" s="73">
        <v>1651.22</v>
      </c>
      <c r="S82" s="73">
        <v>1326.06</v>
      </c>
      <c r="T82" s="73">
        <v>73.33</v>
      </c>
      <c r="U82" s="70">
        <v>1.75</v>
      </c>
      <c r="V82" s="42">
        <v>11</v>
      </c>
      <c r="W82" t="s">
        <v>617</v>
      </c>
      <c r="X82" t="s">
        <v>113</v>
      </c>
      <c r="Y82" t="s">
        <v>307</v>
      </c>
      <c r="Z82" t="s">
        <v>541</v>
      </c>
    </row>
    <row r="83" spans="1:26" hidden="1" x14ac:dyDescent="0.25">
      <c r="A83" s="2">
        <v>4</v>
      </c>
      <c r="B83" t="s">
        <v>178</v>
      </c>
      <c r="C83" t="s">
        <v>588</v>
      </c>
      <c r="D83" t="s">
        <v>580</v>
      </c>
      <c r="E83" s="2" t="s">
        <v>154</v>
      </c>
      <c r="F83" s="7" t="s">
        <v>172</v>
      </c>
      <c r="G83" s="7" t="s">
        <v>620</v>
      </c>
      <c r="H83">
        <v>20</v>
      </c>
      <c r="I83">
        <v>2550</v>
      </c>
      <c r="J83">
        <v>5764</v>
      </c>
      <c r="K83" s="2" t="s">
        <v>156</v>
      </c>
      <c r="M83" s="70">
        <v>1</v>
      </c>
      <c r="N83" s="70">
        <v>1557</v>
      </c>
      <c r="O83" s="75" t="s">
        <v>512</v>
      </c>
      <c r="P83" s="70">
        <v>1446.16</v>
      </c>
      <c r="Q83" s="73" t="s">
        <v>157</v>
      </c>
      <c r="R83" s="73">
        <v>1557</v>
      </c>
      <c r="S83" s="73">
        <v>72.12</v>
      </c>
      <c r="T83" s="73">
        <v>28.6</v>
      </c>
      <c r="U83" s="70">
        <v>10.119999999999999</v>
      </c>
      <c r="V83" s="42">
        <v>11</v>
      </c>
      <c r="W83" t="s">
        <v>617</v>
      </c>
      <c r="X83" t="s">
        <v>113</v>
      </c>
      <c r="Y83" t="s">
        <v>307</v>
      </c>
      <c r="Z83" t="s">
        <v>541</v>
      </c>
    </row>
    <row r="84" spans="1:26" hidden="1" x14ac:dyDescent="0.25">
      <c r="A84" s="2">
        <v>5</v>
      </c>
      <c r="B84" t="s">
        <v>178</v>
      </c>
      <c r="C84" t="s">
        <v>593</v>
      </c>
      <c r="D84" t="s">
        <v>580</v>
      </c>
      <c r="E84" s="2" t="s">
        <v>154</v>
      </c>
      <c r="F84" s="7" t="s">
        <v>172</v>
      </c>
      <c r="G84" s="7" t="s">
        <v>284</v>
      </c>
      <c r="H84">
        <v>20</v>
      </c>
      <c r="I84">
        <v>2550</v>
      </c>
      <c r="J84">
        <v>11050</v>
      </c>
      <c r="K84" s="2" t="s">
        <v>156</v>
      </c>
      <c r="M84" s="70">
        <v>1</v>
      </c>
      <c r="N84" s="70">
        <v>4423.87</v>
      </c>
      <c r="O84" s="75" t="s">
        <v>180</v>
      </c>
      <c r="P84" s="70">
        <v>104.28</v>
      </c>
      <c r="Q84" s="73">
        <v>4423.87</v>
      </c>
      <c r="R84" s="73" t="s">
        <v>157</v>
      </c>
      <c r="S84" s="73">
        <v>4316.8100000000004</v>
      </c>
      <c r="T84" s="73">
        <v>2.0499999999999998</v>
      </c>
      <c r="U84" s="70">
        <v>0.73</v>
      </c>
      <c r="V84" s="42">
        <v>11</v>
      </c>
      <c r="W84" t="s">
        <v>617</v>
      </c>
      <c r="X84" t="s">
        <v>113</v>
      </c>
      <c r="Y84" t="s">
        <v>307</v>
      </c>
      <c r="Z84" t="s">
        <v>541</v>
      </c>
    </row>
    <row r="85" spans="1:26" hidden="1" x14ac:dyDescent="0.25">
      <c r="A85" s="2">
        <v>6</v>
      </c>
      <c r="B85" t="s">
        <v>178</v>
      </c>
      <c r="C85" t="s">
        <v>595</v>
      </c>
      <c r="D85" t="s">
        <v>580</v>
      </c>
      <c r="E85" s="2" t="s">
        <v>154</v>
      </c>
      <c r="F85" s="7" t="s">
        <v>172</v>
      </c>
      <c r="G85" s="7" t="s">
        <v>437</v>
      </c>
      <c r="H85">
        <v>25</v>
      </c>
      <c r="I85">
        <v>3000</v>
      </c>
      <c r="J85">
        <v>16050</v>
      </c>
      <c r="K85" s="2" t="s">
        <v>156</v>
      </c>
      <c r="M85" s="70">
        <v>1</v>
      </c>
      <c r="N85" s="70">
        <v>7638.9</v>
      </c>
      <c r="O85" s="75" t="s">
        <v>516</v>
      </c>
      <c r="P85" s="70">
        <v>18.66</v>
      </c>
      <c r="Q85" s="73" t="s">
        <v>157</v>
      </c>
      <c r="R85" s="73">
        <v>7638.9</v>
      </c>
      <c r="S85" s="73">
        <v>7611.41</v>
      </c>
      <c r="T85" s="73">
        <v>8.6999999999999993</v>
      </c>
      <c r="U85" s="70">
        <v>0.13</v>
      </c>
      <c r="V85" s="42">
        <v>11</v>
      </c>
      <c r="W85" t="s">
        <v>617</v>
      </c>
      <c r="X85" t="s">
        <v>113</v>
      </c>
      <c r="Y85" t="s">
        <v>307</v>
      </c>
      <c r="Z85" t="s">
        <v>541</v>
      </c>
    </row>
    <row r="86" spans="1:26" hidden="1" x14ac:dyDescent="0.25">
      <c r="A86" s="2">
        <v>7</v>
      </c>
      <c r="B86" t="s">
        <v>178</v>
      </c>
      <c r="C86" t="s">
        <v>599</v>
      </c>
      <c r="D86" t="s">
        <v>580</v>
      </c>
      <c r="E86" s="2" t="s">
        <v>154</v>
      </c>
      <c r="F86" s="7" t="s">
        <v>172</v>
      </c>
      <c r="G86" s="7" t="s">
        <v>286</v>
      </c>
      <c r="H86">
        <v>32</v>
      </c>
      <c r="I86">
        <v>2700</v>
      </c>
      <c r="J86">
        <v>14150</v>
      </c>
      <c r="K86" s="2" t="s">
        <v>156</v>
      </c>
      <c r="M86" s="70">
        <v>1</v>
      </c>
      <c r="N86" s="70">
        <v>9597.1</v>
      </c>
      <c r="O86" s="75" t="s">
        <v>180</v>
      </c>
      <c r="P86" s="70">
        <v>9173.23</v>
      </c>
      <c r="Q86" s="73">
        <v>9597.1</v>
      </c>
      <c r="R86" s="73" t="s">
        <v>157</v>
      </c>
      <c r="S86" s="73">
        <v>215.5</v>
      </c>
      <c r="T86" s="73">
        <v>144.16</v>
      </c>
      <c r="U86" s="70">
        <v>64.209999999999994</v>
      </c>
      <c r="V86" s="42">
        <v>11</v>
      </c>
      <c r="W86" t="s">
        <v>617</v>
      </c>
      <c r="X86" t="s">
        <v>113</v>
      </c>
      <c r="Y86" t="s">
        <v>307</v>
      </c>
      <c r="Z86" t="s">
        <v>541</v>
      </c>
    </row>
    <row r="87" spans="1:26" hidden="1" x14ac:dyDescent="0.25">
      <c r="A87" s="2">
        <v>8</v>
      </c>
      <c r="B87" t="s">
        <v>178</v>
      </c>
      <c r="C87" t="s">
        <v>601</v>
      </c>
      <c r="D87" t="s">
        <v>580</v>
      </c>
      <c r="E87" s="2" t="s">
        <v>154</v>
      </c>
      <c r="F87" s="7" t="s">
        <v>172</v>
      </c>
      <c r="G87" s="7" t="s">
        <v>287</v>
      </c>
      <c r="H87">
        <v>32</v>
      </c>
      <c r="I87">
        <v>2700</v>
      </c>
      <c r="J87">
        <v>13700</v>
      </c>
      <c r="K87" s="2" t="s">
        <v>156</v>
      </c>
      <c r="M87" s="70">
        <v>1</v>
      </c>
      <c r="N87" s="70">
        <v>9291.89</v>
      </c>
      <c r="O87" s="75" t="s">
        <v>180</v>
      </c>
      <c r="P87" s="70">
        <v>8877.4</v>
      </c>
      <c r="Q87" s="73">
        <v>9291.89</v>
      </c>
      <c r="R87" s="73" t="s">
        <v>157</v>
      </c>
      <c r="S87" s="73">
        <v>212.07</v>
      </c>
      <c r="T87" s="73">
        <v>140.28</v>
      </c>
      <c r="U87" s="70">
        <v>62.14</v>
      </c>
      <c r="V87" s="42">
        <v>11</v>
      </c>
      <c r="W87" t="s">
        <v>617</v>
      </c>
      <c r="X87" t="s">
        <v>113</v>
      </c>
      <c r="Y87" t="s">
        <v>307</v>
      </c>
      <c r="Z87" t="s">
        <v>541</v>
      </c>
    </row>
    <row r="88" spans="1:26" hidden="1" x14ac:dyDescent="0.25">
      <c r="A88" s="2">
        <v>9</v>
      </c>
      <c r="B88" t="s">
        <v>178</v>
      </c>
      <c r="C88" t="s">
        <v>604</v>
      </c>
      <c r="D88" t="s">
        <v>580</v>
      </c>
      <c r="E88" s="2" t="s">
        <v>154</v>
      </c>
      <c r="F88" s="7" t="s">
        <v>273</v>
      </c>
      <c r="G88" s="7" t="s">
        <v>621</v>
      </c>
      <c r="H88">
        <v>40</v>
      </c>
      <c r="I88">
        <v>898</v>
      </c>
      <c r="J88">
        <v>8050</v>
      </c>
      <c r="K88" s="2" t="s">
        <v>156</v>
      </c>
      <c r="M88" s="70">
        <v>1</v>
      </c>
      <c r="N88" s="70">
        <v>2269.87</v>
      </c>
      <c r="O88" s="75" t="s">
        <v>527</v>
      </c>
      <c r="P88" s="70">
        <v>994.79</v>
      </c>
      <c r="Q88" s="73" t="s">
        <v>157</v>
      </c>
      <c r="R88" s="73">
        <v>2269.87</v>
      </c>
      <c r="S88" s="73">
        <v>1251.25</v>
      </c>
      <c r="T88" s="73">
        <v>16.87</v>
      </c>
      <c r="U88" s="70">
        <v>6.96</v>
      </c>
      <c r="V88" s="42">
        <v>11</v>
      </c>
      <c r="W88" t="s">
        <v>617</v>
      </c>
      <c r="X88" t="s">
        <v>113</v>
      </c>
      <c r="Y88" t="s">
        <v>307</v>
      </c>
      <c r="Z88" t="s">
        <v>541</v>
      </c>
    </row>
    <row r="89" spans="1:26" hidden="1" x14ac:dyDescent="0.25">
      <c r="A89" s="2">
        <v>10</v>
      </c>
      <c r="B89" t="s">
        <v>178</v>
      </c>
      <c r="C89" t="s">
        <v>606</v>
      </c>
      <c r="D89" t="s">
        <v>580</v>
      </c>
      <c r="E89" s="2" t="s">
        <v>154</v>
      </c>
      <c r="F89" s="7" t="s">
        <v>172</v>
      </c>
      <c r="G89" s="7" t="s">
        <v>291</v>
      </c>
      <c r="H89">
        <v>50</v>
      </c>
      <c r="I89">
        <v>2550</v>
      </c>
      <c r="J89">
        <v>10700</v>
      </c>
      <c r="K89" s="2" t="s">
        <v>156</v>
      </c>
      <c r="M89" s="70">
        <v>1</v>
      </c>
      <c r="N89" s="70">
        <v>8509.4</v>
      </c>
      <c r="O89" s="75" t="s">
        <v>531</v>
      </c>
      <c r="P89" s="70">
        <v>2851.27</v>
      </c>
      <c r="Q89" s="73" t="s">
        <v>157</v>
      </c>
      <c r="R89" s="73">
        <v>8509.4</v>
      </c>
      <c r="S89" s="73">
        <v>5202.7299999999996</v>
      </c>
      <c r="T89" s="73">
        <v>435.44</v>
      </c>
      <c r="U89" s="70">
        <v>19.96</v>
      </c>
      <c r="V89" s="42">
        <v>11</v>
      </c>
      <c r="W89" t="s">
        <v>617</v>
      </c>
      <c r="X89" t="s">
        <v>113</v>
      </c>
      <c r="Y89" t="s">
        <v>307</v>
      </c>
      <c r="Z89" t="s">
        <v>541</v>
      </c>
    </row>
    <row r="90" spans="1:26" hidden="1" x14ac:dyDescent="0.25">
      <c r="A90" s="2">
        <v>11</v>
      </c>
      <c r="B90" t="s">
        <v>178</v>
      </c>
      <c r="C90" t="s">
        <v>608</v>
      </c>
      <c r="D90" t="s">
        <v>580</v>
      </c>
      <c r="E90" s="2" t="s">
        <v>154</v>
      </c>
      <c r="F90" s="7" t="s">
        <v>172</v>
      </c>
      <c r="G90" s="7" t="s">
        <v>293</v>
      </c>
      <c r="H90">
        <v>60</v>
      </c>
      <c r="I90">
        <v>2200</v>
      </c>
      <c r="J90">
        <v>10100</v>
      </c>
      <c r="K90" s="2" t="s">
        <v>156</v>
      </c>
      <c r="M90" s="70">
        <v>1</v>
      </c>
      <c r="N90" s="70">
        <v>10465.620000000001</v>
      </c>
      <c r="O90" s="75" t="s">
        <v>180</v>
      </c>
      <c r="P90" s="70">
        <v>10151.61</v>
      </c>
      <c r="Q90" s="73">
        <v>10465.620000000001</v>
      </c>
      <c r="R90" s="73" t="s">
        <v>157</v>
      </c>
      <c r="T90" s="73">
        <v>242.95</v>
      </c>
      <c r="U90" s="70">
        <v>71.06</v>
      </c>
      <c r="V90" s="42">
        <v>11</v>
      </c>
      <c r="W90" t="s">
        <v>617</v>
      </c>
      <c r="X90" t="s">
        <v>113</v>
      </c>
      <c r="Y90" t="s">
        <v>307</v>
      </c>
      <c r="Z90" t="s">
        <v>541</v>
      </c>
    </row>
    <row r="91" spans="1:26" hidden="1" x14ac:dyDescent="0.25">
      <c r="A91" s="2">
        <v>12</v>
      </c>
      <c r="B91" t="s">
        <v>178</v>
      </c>
      <c r="C91" t="s">
        <v>614</v>
      </c>
      <c r="D91" t="s">
        <v>580</v>
      </c>
      <c r="E91" s="2" t="s">
        <v>154</v>
      </c>
      <c r="F91" s="7" t="s">
        <v>273</v>
      </c>
      <c r="G91" s="7" t="s">
        <v>294</v>
      </c>
      <c r="H91">
        <v>80</v>
      </c>
      <c r="I91">
        <v>1450</v>
      </c>
      <c r="J91">
        <v>18050</v>
      </c>
      <c r="K91" s="2" t="s">
        <v>156</v>
      </c>
      <c r="M91" s="70">
        <v>1</v>
      </c>
      <c r="N91" s="70">
        <v>16436.330000000002</v>
      </c>
      <c r="O91" s="75" t="s">
        <v>180</v>
      </c>
      <c r="P91" s="70">
        <v>13503.16</v>
      </c>
      <c r="Q91" s="73">
        <v>16436.330000000002</v>
      </c>
      <c r="R91" s="73" t="s">
        <v>157</v>
      </c>
      <c r="S91" s="73">
        <v>2752.41</v>
      </c>
      <c r="T91" s="73">
        <v>86.24</v>
      </c>
      <c r="U91" s="70">
        <v>94.52</v>
      </c>
      <c r="V91" s="42">
        <v>11</v>
      </c>
      <c r="W91" t="s">
        <v>617</v>
      </c>
      <c r="X91" t="s">
        <v>113</v>
      </c>
      <c r="Y91" t="s">
        <v>307</v>
      </c>
      <c r="Z91" t="s">
        <v>541</v>
      </c>
    </row>
    <row r="92" spans="1:26" hidden="1" x14ac:dyDescent="0.25">
      <c r="A92" s="2">
        <v>13</v>
      </c>
      <c r="B92" t="s">
        <v>178</v>
      </c>
      <c r="C92" t="s">
        <v>615</v>
      </c>
      <c r="D92" t="s">
        <v>580</v>
      </c>
      <c r="E92" s="2" t="s">
        <v>154</v>
      </c>
      <c r="F92" s="7" t="s">
        <v>273</v>
      </c>
      <c r="G92" s="7" t="s">
        <v>294</v>
      </c>
      <c r="H92">
        <v>80</v>
      </c>
      <c r="I92">
        <v>1450</v>
      </c>
      <c r="J92">
        <v>18050</v>
      </c>
      <c r="K92" s="2" t="s">
        <v>156</v>
      </c>
      <c r="M92" s="70">
        <v>1</v>
      </c>
      <c r="N92" s="70">
        <v>16436.330000000002</v>
      </c>
      <c r="O92" s="75" t="s">
        <v>180</v>
      </c>
      <c r="P92" s="70">
        <v>13503.16</v>
      </c>
      <c r="Q92" s="73">
        <v>16436.330000000002</v>
      </c>
      <c r="R92" s="73" t="s">
        <v>157</v>
      </c>
      <c r="S92" s="73">
        <v>2752.41</v>
      </c>
      <c r="T92" s="73">
        <v>86.24</v>
      </c>
      <c r="U92" s="70">
        <v>94.52</v>
      </c>
      <c r="V92" s="42">
        <v>11</v>
      </c>
      <c r="W92" t="s">
        <v>617</v>
      </c>
      <c r="X92" t="s">
        <v>113</v>
      </c>
      <c r="Y92" t="s">
        <v>307</v>
      </c>
      <c r="Z92" t="s">
        <v>541</v>
      </c>
    </row>
    <row r="93" spans="1:26" hidden="1" x14ac:dyDescent="0.25">
      <c r="A93" s="2">
        <v>1</v>
      </c>
      <c r="B93" t="s">
        <v>178</v>
      </c>
      <c r="C93" t="s">
        <v>623</v>
      </c>
      <c r="D93" t="s">
        <v>625</v>
      </c>
      <c r="E93" s="2" t="s">
        <v>154</v>
      </c>
      <c r="F93" s="7" t="s">
        <v>172</v>
      </c>
      <c r="G93" s="7" t="s">
        <v>283</v>
      </c>
      <c r="H93">
        <v>12</v>
      </c>
      <c r="I93">
        <v>2438</v>
      </c>
      <c r="J93">
        <v>10000</v>
      </c>
      <c r="K93" s="2" t="s">
        <v>156</v>
      </c>
      <c r="M93" s="70">
        <v>1</v>
      </c>
      <c r="N93" s="70">
        <v>2296.6</v>
      </c>
      <c r="O93" s="75" t="s">
        <v>180</v>
      </c>
      <c r="P93" s="70">
        <v>911.72</v>
      </c>
      <c r="Q93" s="73">
        <v>2296.6</v>
      </c>
      <c r="R93" s="73" t="s">
        <v>157</v>
      </c>
      <c r="S93" s="73">
        <v>1239.8399999999999</v>
      </c>
      <c r="T93" s="73">
        <v>138.66</v>
      </c>
      <c r="U93" s="70">
        <v>6.38</v>
      </c>
      <c r="V93" s="42">
        <v>12</v>
      </c>
      <c r="W93" t="s">
        <v>676</v>
      </c>
      <c r="X93" t="s">
        <v>113</v>
      </c>
      <c r="Y93" t="s">
        <v>307</v>
      </c>
      <c r="Z93" t="s">
        <v>541</v>
      </c>
    </row>
    <row r="94" spans="1:26" hidden="1" x14ac:dyDescent="0.25">
      <c r="A94" s="2">
        <v>2</v>
      </c>
      <c r="B94" t="s">
        <v>178</v>
      </c>
      <c r="C94" t="s">
        <v>630</v>
      </c>
      <c r="D94" t="s">
        <v>625</v>
      </c>
      <c r="E94" s="2" t="s">
        <v>154</v>
      </c>
      <c r="F94" s="7" t="s">
        <v>172</v>
      </c>
      <c r="G94" s="7" t="s">
        <v>283</v>
      </c>
      <c r="H94">
        <v>12</v>
      </c>
      <c r="I94">
        <v>2438</v>
      </c>
      <c r="J94">
        <v>10000</v>
      </c>
      <c r="K94" s="2" t="s">
        <v>156</v>
      </c>
      <c r="M94" s="70">
        <v>1</v>
      </c>
      <c r="N94" s="70">
        <v>2296.6</v>
      </c>
      <c r="O94" s="75" t="s">
        <v>180</v>
      </c>
      <c r="P94" s="70">
        <v>557.12</v>
      </c>
      <c r="Q94" s="73">
        <v>2296.6</v>
      </c>
      <c r="R94" s="73" t="s">
        <v>157</v>
      </c>
      <c r="S94" s="73">
        <v>1681.69</v>
      </c>
      <c r="T94" s="73">
        <v>53.89</v>
      </c>
      <c r="U94" s="70">
        <v>3.9</v>
      </c>
      <c r="V94" s="42">
        <v>12</v>
      </c>
      <c r="W94" t="s">
        <v>676</v>
      </c>
      <c r="X94" t="s">
        <v>113</v>
      </c>
      <c r="Y94" t="s">
        <v>307</v>
      </c>
      <c r="Z94" t="s">
        <v>541</v>
      </c>
    </row>
    <row r="95" spans="1:26" hidden="1" x14ac:dyDescent="0.25">
      <c r="A95" s="2">
        <v>3</v>
      </c>
      <c r="B95" t="s">
        <v>178</v>
      </c>
      <c r="C95" t="s">
        <v>632</v>
      </c>
      <c r="D95" t="s">
        <v>625</v>
      </c>
      <c r="E95" s="2" t="s">
        <v>154</v>
      </c>
      <c r="F95" s="7" t="s">
        <v>172</v>
      </c>
      <c r="G95" s="7" t="s">
        <v>284</v>
      </c>
      <c r="H95">
        <v>20</v>
      </c>
      <c r="I95">
        <v>2550</v>
      </c>
      <c r="J95">
        <v>11050</v>
      </c>
      <c r="K95" s="2" t="s">
        <v>156</v>
      </c>
      <c r="M95" s="70">
        <v>1</v>
      </c>
      <c r="N95" s="70">
        <v>4316.8100000000004</v>
      </c>
      <c r="O95" s="75" t="s">
        <v>593</v>
      </c>
      <c r="P95" s="70">
        <v>3000.82</v>
      </c>
      <c r="Q95" s="73" t="s">
        <v>157</v>
      </c>
      <c r="R95" s="73">
        <v>4316.8100000000004</v>
      </c>
      <c r="S95" s="73">
        <v>1247.52</v>
      </c>
      <c r="T95" s="73">
        <v>47.46</v>
      </c>
      <c r="U95" s="70">
        <v>21.01</v>
      </c>
      <c r="V95" s="42">
        <v>12</v>
      </c>
      <c r="W95" t="s">
        <v>676</v>
      </c>
      <c r="X95" t="s">
        <v>113</v>
      </c>
      <c r="Y95" t="s">
        <v>307</v>
      </c>
      <c r="Z95" t="s">
        <v>541</v>
      </c>
    </row>
    <row r="96" spans="1:26" hidden="1" x14ac:dyDescent="0.25">
      <c r="A96" s="2">
        <v>4</v>
      </c>
      <c r="B96" t="s">
        <v>178</v>
      </c>
      <c r="C96" t="s">
        <v>639</v>
      </c>
      <c r="D96" t="s">
        <v>625</v>
      </c>
      <c r="E96" s="2" t="s">
        <v>154</v>
      </c>
      <c r="F96" s="7" t="s">
        <v>172</v>
      </c>
      <c r="G96" s="7" t="s">
        <v>437</v>
      </c>
      <c r="H96">
        <v>25</v>
      </c>
      <c r="I96">
        <v>3000</v>
      </c>
      <c r="J96">
        <v>16050</v>
      </c>
      <c r="K96" s="2" t="s">
        <v>156</v>
      </c>
      <c r="M96" s="70">
        <v>1</v>
      </c>
      <c r="N96" s="70">
        <v>7611.41</v>
      </c>
      <c r="O96" s="75" t="s">
        <v>595</v>
      </c>
      <c r="P96" s="70">
        <v>195.01</v>
      </c>
      <c r="Q96" s="73" t="s">
        <v>157</v>
      </c>
      <c r="R96" s="73">
        <v>7611.41</v>
      </c>
      <c r="S96" s="73">
        <v>7386.12</v>
      </c>
      <c r="T96" s="73">
        <v>28.91</v>
      </c>
      <c r="U96" s="70">
        <v>1.37</v>
      </c>
      <c r="V96" s="42">
        <v>12</v>
      </c>
      <c r="W96" t="s">
        <v>676</v>
      </c>
      <c r="X96" t="s">
        <v>113</v>
      </c>
      <c r="Y96" t="s">
        <v>307</v>
      </c>
      <c r="Z96" t="s">
        <v>541</v>
      </c>
    </row>
    <row r="97" spans="1:26" hidden="1" x14ac:dyDescent="0.25">
      <c r="A97" s="2">
        <v>5</v>
      </c>
      <c r="B97" t="s">
        <v>178</v>
      </c>
      <c r="C97" t="s">
        <v>647</v>
      </c>
      <c r="D97" t="s">
        <v>625</v>
      </c>
      <c r="E97" s="2" t="s">
        <v>154</v>
      </c>
      <c r="F97" s="7" t="s">
        <v>172</v>
      </c>
      <c r="G97" s="7" t="s">
        <v>286</v>
      </c>
      <c r="H97">
        <v>32</v>
      </c>
      <c r="I97">
        <v>2700</v>
      </c>
      <c r="J97">
        <v>14150</v>
      </c>
      <c r="K97" s="2" t="s">
        <v>156</v>
      </c>
      <c r="M97" s="70">
        <v>1</v>
      </c>
      <c r="N97" s="70">
        <v>9597.1</v>
      </c>
      <c r="O97" s="75" t="s">
        <v>180</v>
      </c>
      <c r="P97" s="70">
        <v>9173.23</v>
      </c>
      <c r="Q97" s="73">
        <v>9597.1</v>
      </c>
      <c r="R97" s="73" t="s">
        <v>157</v>
      </c>
      <c r="S97" s="73">
        <v>215.5</v>
      </c>
      <c r="T97" s="73">
        <v>144.16</v>
      </c>
      <c r="U97" s="70">
        <v>64.209999999999994</v>
      </c>
      <c r="V97" s="42">
        <v>12</v>
      </c>
      <c r="W97" t="s">
        <v>676</v>
      </c>
      <c r="X97" t="s">
        <v>113</v>
      </c>
      <c r="Y97" t="s">
        <v>307</v>
      </c>
      <c r="Z97" t="s">
        <v>541</v>
      </c>
    </row>
    <row r="98" spans="1:26" hidden="1" x14ac:dyDescent="0.25">
      <c r="A98" s="2">
        <v>6</v>
      </c>
      <c r="B98" t="s">
        <v>178</v>
      </c>
      <c r="C98" t="s">
        <v>649</v>
      </c>
      <c r="D98" t="s">
        <v>625</v>
      </c>
      <c r="E98" s="2" t="s">
        <v>154</v>
      </c>
      <c r="F98" s="7" t="s">
        <v>172</v>
      </c>
      <c r="G98" s="7" t="s">
        <v>286</v>
      </c>
      <c r="H98">
        <v>32</v>
      </c>
      <c r="I98">
        <v>2700</v>
      </c>
      <c r="J98">
        <v>14150</v>
      </c>
      <c r="K98" s="2" t="s">
        <v>156</v>
      </c>
      <c r="M98" s="70">
        <v>1</v>
      </c>
      <c r="N98" s="70">
        <v>9597.1</v>
      </c>
      <c r="O98" s="75" t="s">
        <v>180</v>
      </c>
      <c r="P98" s="70">
        <v>9173.23</v>
      </c>
      <c r="Q98" s="73">
        <v>9597.1</v>
      </c>
      <c r="R98" s="73" t="s">
        <v>157</v>
      </c>
      <c r="S98" s="73">
        <v>215.5</v>
      </c>
      <c r="T98" s="73">
        <v>144.16</v>
      </c>
      <c r="U98" s="70">
        <v>64.209999999999994</v>
      </c>
      <c r="V98" s="42">
        <v>12</v>
      </c>
      <c r="W98" t="s">
        <v>676</v>
      </c>
      <c r="X98" t="s">
        <v>113</v>
      </c>
      <c r="Y98" t="s">
        <v>307</v>
      </c>
      <c r="Z98" t="s">
        <v>541</v>
      </c>
    </row>
    <row r="99" spans="1:26" hidden="1" x14ac:dyDescent="0.25">
      <c r="A99" s="2">
        <v>7</v>
      </c>
      <c r="B99" t="s">
        <v>178</v>
      </c>
      <c r="C99" t="s">
        <v>651</v>
      </c>
      <c r="D99" t="s">
        <v>625</v>
      </c>
      <c r="E99" s="2" t="s">
        <v>154</v>
      </c>
      <c r="F99" s="7" t="s">
        <v>172</v>
      </c>
      <c r="G99" s="7" t="s">
        <v>287</v>
      </c>
      <c r="H99">
        <v>32</v>
      </c>
      <c r="I99">
        <v>2700</v>
      </c>
      <c r="J99">
        <v>13700</v>
      </c>
      <c r="K99" s="2" t="s">
        <v>156</v>
      </c>
      <c r="M99" s="70">
        <v>1</v>
      </c>
      <c r="N99" s="70">
        <v>9291.89</v>
      </c>
      <c r="O99" s="75" t="s">
        <v>180</v>
      </c>
      <c r="P99" s="70">
        <v>8877.4</v>
      </c>
      <c r="Q99" s="73">
        <v>9291.89</v>
      </c>
      <c r="R99" s="73" t="s">
        <v>157</v>
      </c>
      <c r="S99" s="73">
        <v>212.07</v>
      </c>
      <c r="T99" s="73">
        <v>140.28</v>
      </c>
      <c r="U99" s="70">
        <v>62.14</v>
      </c>
      <c r="V99" s="42">
        <v>12</v>
      </c>
      <c r="W99" t="s">
        <v>676</v>
      </c>
      <c r="X99" t="s">
        <v>113</v>
      </c>
      <c r="Y99" t="s">
        <v>307</v>
      </c>
      <c r="Z99" t="s">
        <v>541</v>
      </c>
    </row>
    <row r="100" spans="1:26" hidden="1" x14ac:dyDescent="0.25">
      <c r="A100" s="2">
        <v>8</v>
      </c>
      <c r="B100" t="s">
        <v>178</v>
      </c>
      <c r="C100" t="s">
        <v>653</v>
      </c>
      <c r="D100" t="s">
        <v>625</v>
      </c>
      <c r="E100" s="2" t="s">
        <v>154</v>
      </c>
      <c r="F100" s="7" t="s">
        <v>172</v>
      </c>
      <c r="G100" s="7" t="s">
        <v>287</v>
      </c>
      <c r="H100">
        <v>32</v>
      </c>
      <c r="I100">
        <v>2700</v>
      </c>
      <c r="J100">
        <v>13700</v>
      </c>
      <c r="K100" s="2" t="s">
        <v>156</v>
      </c>
      <c r="M100" s="70">
        <v>1</v>
      </c>
      <c r="N100" s="70">
        <v>9291.89</v>
      </c>
      <c r="O100" s="75" t="s">
        <v>180</v>
      </c>
      <c r="P100" s="70">
        <v>8877.4</v>
      </c>
      <c r="Q100" s="73">
        <v>9291.89</v>
      </c>
      <c r="R100" s="73" t="s">
        <v>157</v>
      </c>
      <c r="S100" s="73">
        <v>212.07</v>
      </c>
      <c r="T100" s="73">
        <v>140.28</v>
      </c>
      <c r="U100" s="70">
        <v>62.14</v>
      </c>
      <c r="V100" s="42">
        <v>12</v>
      </c>
      <c r="W100" t="s">
        <v>676</v>
      </c>
      <c r="X100" t="s">
        <v>113</v>
      </c>
      <c r="Y100" t="s">
        <v>307</v>
      </c>
      <c r="Z100" t="s">
        <v>541</v>
      </c>
    </row>
    <row r="101" spans="1:26" hidden="1" x14ac:dyDescent="0.25">
      <c r="A101" s="2">
        <v>9</v>
      </c>
      <c r="B101" t="s">
        <v>178</v>
      </c>
      <c r="C101" t="s">
        <v>655</v>
      </c>
      <c r="D101" t="s">
        <v>625</v>
      </c>
      <c r="E101" s="2" t="s">
        <v>154</v>
      </c>
      <c r="F101" s="7" t="s">
        <v>273</v>
      </c>
      <c r="G101" s="7" t="s">
        <v>621</v>
      </c>
      <c r="H101">
        <v>40</v>
      </c>
      <c r="I101">
        <v>898</v>
      </c>
      <c r="J101">
        <v>8050</v>
      </c>
      <c r="K101" s="2" t="s">
        <v>156</v>
      </c>
      <c r="M101" s="70">
        <v>1</v>
      </c>
      <c r="N101" s="70">
        <v>1251.25</v>
      </c>
      <c r="O101" s="75" t="s">
        <v>604</v>
      </c>
      <c r="P101" s="70">
        <v>497.4</v>
      </c>
      <c r="Q101" s="73" t="s">
        <v>157</v>
      </c>
      <c r="R101" s="73">
        <v>1251.25</v>
      </c>
      <c r="S101" s="73">
        <v>740.92</v>
      </c>
      <c r="T101" s="73">
        <v>9.4499999999999993</v>
      </c>
      <c r="U101" s="70">
        <v>3.48</v>
      </c>
      <c r="V101" s="42">
        <v>12</v>
      </c>
      <c r="W101" t="s">
        <v>676</v>
      </c>
      <c r="X101" t="s">
        <v>113</v>
      </c>
      <c r="Y101" t="s">
        <v>307</v>
      </c>
      <c r="Z101" t="s">
        <v>541</v>
      </c>
    </row>
    <row r="102" spans="1:26" hidden="1" x14ac:dyDescent="0.25">
      <c r="A102" s="2">
        <v>10</v>
      </c>
      <c r="B102" t="s">
        <v>178</v>
      </c>
      <c r="C102" t="s">
        <v>656</v>
      </c>
      <c r="D102" t="s">
        <v>625</v>
      </c>
      <c r="E102" s="2" t="s">
        <v>154</v>
      </c>
      <c r="F102" s="7" t="s">
        <v>273</v>
      </c>
      <c r="G102" s="7" t="s">
        <v>288</v>
      </c>
      <c r="H102">
        <v>40</v>
      </c>
      <c r="I102">
        <v>2250</v>
      </c>
      <c r="J102">
        <v>8050</v>
      </c>
      <c r="K102" s="2" t="s">
        <v>156</v>
      </c>
      <c r="M102" s="70">
        <v>1</v>
      </c>
      <c r="N102" s="70">
        <v>5687.33</v>
      </c>
      <c r="O102" s="75" t="s">
        <v>180</v>
      </c>
      <c r="P102" s="70">
        <v>3481.78</v>
      </c>
      <c r="Q102" s="73">
        <v>5687.33</v>
      </c>
      <c r="R102" s="73" t="s">
        <v>157</v>
      </c>
      <c r="S102" s="73">
        <v>1776.09</v>
      </c>
      <c r="T102" s="73">
        <v>405.09</v>
      </c>
      <c r="U102" s="70">
        <v>24.37</v>
      </c>
      <c r="V102" s="42">
        <v>12</v>
      </c>
      <c r="W102" t="s">
        <v>676</v>
      </c>
      <c r="X102" t="s">
        <v>113</v>
      </c>
      <c r="Y102" t="s">
        <v>307</v>
      </c>
      <c r="Z102" t="s">
        <v>541</v>
      </c>
    </row>
    <row r="103" spans="1:26" hidden="1" x14ac:dyDescent="0.25">
      <c r="A103" s="2">
        <v>11</v>
      </c>
      <c r="B103" t="s">
        <v>178</v>
      </c>
      <c r="C103" t="s">
        <v>659</v>
      </c>
      <c r="D103" t="s">
        <v>625</v>
      </c>
      <c r="E103" s="2" t="s">
        <v>154</v>
      </c>
      <c r="F103" s="7" t="s">
        <v>172</v>
      </c>
      <c r="G103" s="7" t="s">
        <v>431</v>
      </c>
      <c r="H103">
        <v>50</v>
      </c>
      <c r="I103">
        <v>1984</v>
      </c>
      <c r="J103">
        <v>10700</v>
      </c>
      <c r="K103" s="2" t="s">
        <v>156</v>
      </c>
      <c r="M103" s="70">
        <v>1</v>
      </c>
      <c r="N103" s="70">
        <v>5202.7299999999996</v>
      </c>
      <c r="O103" s="75" t="s">
        <v>606</v>
      </c>
      <c r="P103" s="70">
        <v>3564.09</v>
      </c>
      <c r="Q103" s="73" t="s">
        <v>157</v>
      </c>
      <c r="R103" s="73">
        <v>5202.7299999999996</v>
      </c>
      <c r="S103" s="73">
        <v>1296.26</v>
      </c>
      <c r="T103" s="73">
        <v>317.43</v>
      </c>
      <c r="U103" s="70">
        <v>24.95</v>
      </c>
      <c r="V103" s="42">
        <v>12</v>
      </c>
      <c r="W103" t="s">
        <v>676</v>
      </c>
      <c r="X103" t="s">
        <v>113</v>
      </c>
      <c r="Y103" t="s">
        <v>307</v>
      </c>
      <c r="Z103" t="s">
        <v>541</v>
      </c>
    </row>
    <row r="104" spans="1:26" hidden="1" x14ac:dyDescent="0.25">
      <c r="A104" s="2">
        <v>12</v>
      </c>
      <c r="B104" s="86" t="s">
        <v>178</v>
      </c>
      <c r="C104" s="86" t="s">
        <v>661</v>
      </c>
      <c r="D104" s="86" t="s">
        <v>625</v>
      </c>
      <c r="E104" s="86" t="s">
        <v>154</v>
      </c>
      <c r="F104" s="86" t="s">
        <v>172</v>
      </c>
      <c r="G104" s="86" t="s">
        <v>745</v>
      </c>
      <c r="H104" s="86">
        <v>50</v>
      </c>
      <c r="I104" s="86">
        <v>2380</v>
      </c>
      <c r="J104" s="86">
        <v>9379</v>
      </c>
      <c r="K104" s="86" t="s">
        <v>156</v>
      </c>
      <c r="L104" s="86"/>
      <c r="M104" s="86">
        <v>1</v>
      </c>
      <c r="N104" s="86">
        <v>8534.4</v>
      </c>
      <c r="O104" s="86" t="s">
        <v>502</v>
      </c>
      <c r="P104" s="86">
        <v>2138.4499999999998</v>
      </c>
      <c r="Q104" s="86" t="s">
        <v>157</v>
      </c>
      <c r="R104" s="86">
        <v>8534.4</v>
      </c>
      <c r="S104" s="86">
        <v>6334.31</v>
      </c>
      <c r="T104" s="86">
        <v>46.67</v>
      </c>
      <c r="U104" s="86">
        <v>14.97</v>
      </c>
      <c r="V104" s="86">
        <v>12</v>
      </c>
      <c r="W104" s="86" t="s">
        <v>676</v>
      </c>
      <c r="X104" s="86" t="s">
        <v>113</v>
      </c>
      <c r="Y104" s="86" t="s">
        <v>434</v>
      </c>
      <c r="Z104" s="86" t="s">
        <v>430</v>
      </c>
    </row>
    <row r="105" spans="1:26" hidden="1" x14ac:dyDescent="0.25">
      <c r="A105" s="2">
        <v>13</v>
      </c>
      <c r="B105" t="s">
        <v>178</v>
      </c>
      <c r="C105" t="s">
        <v>663</v>
      </c>
      <c r="D105" t="s">
        <v>625</v>
      </c>
      <c r="E105" s="2" t="s">
        <v>154</v>
      </c>
      <c r="F105" s="7" t="s">
        <v>172</v>
      </c>
      <c r="G105" s="7" t="s">
        <v>293</v>
      </c>
      <c r="H105">
        <v>60</v>
      </c>
      <c r="I105">
        <v>2200</v>
      </c>
      <c r="J105">
        <v>10100</v>
      </c>
      <c r="K105" s="2" t="s">
        <v>156</v>
      </c>
      <c r="M105" s="70">
        <v>1</v>
      </c>
      <c r="N105" s="70">
        <v>10465.620000000001</v>
      </c>
      <c r="O105" s="75" t="s">
        <v>180</v>
      </c>
      <c r="P105" s="70">
        <v>10151.61</v>
      </c>
      <c r="Q105" s="73">
        <v>10465.620000000001</v>
      </c>
      <c r="R105" s="73" t="s">
        <v>157</v>
      </c>
      <c r="T105" s="73">
        <v>242.95</v>
      </c>
      <c r="U105" s="70">
        <v>71.06</v>
      </c>
      <c r="V105" s="42">
        <v>12</v>
      </c>
      <c r="W105" t="s">
        <v>676</v>
      </c>
      <c r="X105" t="s">
        <v>113</v>
      </c>
      <c r="Y105" t="s">
        <v>307</v>
      </c>
      <c r="Z105" t="s">
        <v>541</v>
      </c>
    </row>
    <row r="106" spans="1:26" hidden="1" x14ac:dyDescent="0.25">
      <c r="A106" s="2">
        <v>14</v>
      </c>
      <c r="B106" t="s">
        <v>178</v>
      </c>
      <c r="C106" t="s">
        <v>667</v>
      </c>
      <c r="D106" t="s">
        <v>625</v>
      </c>
      <c r="E106" s="2" t="s">
        <v>154</v>
      </c>
      <c r="F106" s="7" t="s">
        <v>172</v>
      </c>
      <c r="G106" s="7" t="s">
        <v>293</v>
      </c>
      <c r="H106">
        <v>60</v>
      </c>
      <c r="I106">
        <v>2200</v>
      </c>
      <c r="J106">
        <v>10100</v>
      </c>
      <c r="K106" s="2" t="s">
        <v>156</v>
      </c>
      <c r="M106" s="70">
        <v>1</v>
      </c>
      <c r="N106" s="70">
        <v>10465.620000000001</v>
      </c>
      <c r="O106" s="75" t="s">
        <v>180</v>
      </c>
      <c r="P106" s="70">
        <v>10151.61</v>
      </c>
      <c r="Q106" s="73">
        <v>10465.620000000001</v>
      </c>
      <c r="R106" s="73" t="s">
        <v>157</v>
      </c>
      <c r="T106" s="73">
        <v>242.95</v>
      </c>
      <c r="U106" s="70">
        <v>71.06</v>
      </c>
      <c r="V106" s="42">
        <v>12</v>
      </c>
      <c r="W106" t="s">
        <v>676</v>
      </c>
      <c r="X106" t="s">
        <v>113</v>
      </c>
      <c r="Y106" t="s">
        <v>307</v>
      </c>
      <c r="Z106" t="s">
        <v>541</v>
      </c>
    </row>
    <row r="107" spans="1:26" hidden="1" x14ac:dyDescent="0.25">
      <c r="A107" s="2">
        <v>15</v>
      </c>
      <c r="B107" t="s">
        <v>178</v>
      </c>
      <c r="C107" t="s">
        <v>671</v>
      </c>
      <c r="D107" t="s">
        <v>625</v>
      </c>
      <c r="E107" s="2" t="s">
        <v>154</v>
      </c>
      <c r="F107" s="7" t="s">
        <v>273</v>
      </c>
      <c r="G107" s="7" t="s">
        <v>294</v>
      </c>
      <c r="H107">
        <v>80</v>
      </c>
      <c r="I107">
        <v>1450</v>
      </c>
      <c r="J107">
        <v>18050</v>
      </c>
      <c r="K107" s="2" t="s">
        <v>156</v>
      </c>
      <c r="M107" s="70">
        <v>1</v>
      </c>
      <c r="N107" s="70">
        <v>16436.330000000002</v>
      </c>
      <c r="O107" s="75" t="s">
        <v>180</v>
      </c>
      <c r="P107" s="70">
        <v>13503.16</v>
      </c>
      <c r="Q107" s="73">
        <v>16436.330000000002</v>
      </c>
      <c r="R107" s="73" t="s">
        <v>157</v>
      </c>
      <c r="S107" s="73">
        <v>2752.41</v>
      </c>
      <c r="T107" s="73">
        <v>86.24</v>
      </c>
      <c r="U107" s="70">
        <v>94.52</v>
      </c>
      <c r="V107" s="42">
        <v>12</v>
      </c>
      <c r="W107" t="s">
        <v>676</v>
      </c>
      <c r="X107" t="s">
        <v>113</v>
      </c>
      <c r="Y107" t="s">
        <v>307</v>
      </c>
      <c r="Z107" t="s">
        <v>541</v>
      </c>
    </row>
    <row r="108" spans="1:26" hidden="1" x14ac:dyDescent="0.25">
      <c r="A108" s="2">
        <v>16</v>
      </c>
      <c r="B108" t="s">
        <v>178</v>
      </c>
      <c r="C108" t="s">
        <v>672</v>
      </c>
      <c r="D108" t="s">
        <v>625</v>
      </c>
      <c r="E108" s="2" t="s">
        <v>154</v>
      </c>
      <c r="F108" s="7" t="s">
        <v>273</v>
      </c>
      <c r="G108" s="7" t="s">
        <v>294</v>
      </c>
      <c r="H108">
        <v>80</v>
      </c>
      <c r="I108">
        <v>1450</v>
      </c>
      <c r="J108">
        <v>18050</v>
      </c>
      <c r="K108" s="2" t="s">
        <v>156</v>
      </c>
      <c r="M108" s="70">
        <v>1</v>
      </c>
      <c r="N108" s="70">
        <v>16436.330000000002</v>
      </c>
      <c r="O108" s="75" t="s">
        <v>180</v>
      </c>
      <c r="P108" s="70">
        <v>13503.16</v>
      </c>
      <c r="Q108" s="73">
        <v>16436.330000000002</v>
      </c>
      <c r="R108" s="73" t="s">
        <v>157</v>
      </c>
      <c r="S108" s="73">
        <v>2752.41</v>
      </c>
      <c r="T108" s="73">
        <v>86.24</v>
      </c>
      <c r="U108" s="70">
        <v>94.52</v>
      </c>
      <c r="V108" s="42">
        <v>12</v>
      </c>
      <c r="W108" t="s">
        <v>676</v>
      </c>
      <c r="X108" t="s">
        <v>113</v>
      </c>
      <c r="Y108" t="s">
        <v>307</v>
      </c>
      <c r="Z108" t="s">
        <v>541</v>
      </c>
    </row>
    <row r="109" spans="1:26" hidden="1" x14ac:dyDescent="0.25">
      <c r="A109" s="2">
        <v>17</v>
      </c>
      <c r="B109" t="s">
        <v>178</v>
      </c>
      <c r="C109" t="s">
        <v>674</v>
      </c>
      <c r="D109" t="s">
        <v>625</v>
      </c>
      <c r="E109" s="2" t="s">
        <v>154</v>
      </c>
      <c r="F109" s="7" t="s">
        <v>273</v>
      </c>
      <c r="G109" s="7" t="s">
        <v>294</v>
      </c>
      <c r="H109">
        <v>80</v>
      </c>
      <c r="I109">
        <v>1450</v>
      </c>
      <c r="J109">
        <v>18050</v>
      </c>
      <c r="K109" s="2" t="s">
        <v>156</v>
      </c>
      <c r="M109" s="70">
        <v>1</v>
      </c>
      <c r="N109" s="70">
        <v>16436.330000000002</v>
      </c>
      <c r="O109" s="75" t="s">
        <v>180</v>
      </c>
      <c r="P109" s="70">
        <v>13503.16</v>
      </c>
      <c r="Q109" s="73">
        <v>16436.330000000002</v>
      </c>
      <c r="R109" s="73" t="s">
        <v>157</v>
      </c>
      <c r="S109" s="73">
        <v>2752.41</v>
      </c>
      <c r="T109" s="73">
        <v>86.24</v>
      </c>
      <c r="U109" s="70">
        <v>94.52</v>
      </c>
      <c r="V109" s="42">
        <v>12</v>
      </c>
      <c r="W109" t="s">
        <v>676</v>
      </c>
      <c r="X109" t="s">
        <v>113</v>
      </c>
      <c r="Y109" t="s">
        <v>307</v>
      </c>
      <c r="Z109" t="s">
        <v>541</v>
      </c>
    </row>
    <row r="110" spans="1:26" hidden="1" x14ac:dyDescent="0.25">
      <c r="A110" s="2">
        <v>18</v>
      </c>
      <c r="B110" t="s">
        <v>178</v>
      </c>
      <c r="C110" t="s">
        <v>675</v>
      </c>
      <c r="D110" t="s">
        <v>625</v>
      </c>
      <c r="E110" s="2" t="s">
        <v>154</v>
      </c>
      <c r="F110" s="7" t="s">
        <v>273</v>
      </c>
      <c r="G110" s="7" t="s">
        <v>294</v>
      </c>
      <c r="H110">
        <v>80</v>
      </c>
      <c r="I110">
        <v>1450</v>
      </c>
      <c r="J110">
        <v>18050</v>
      </c>
      <c r="K110" s="2" t="s">
        <v>156</v>
      </c>
      <c r="M110" s="70">
        <v>1</v>
      </c>
      <c r="N110" s="70">
        <v>16436.330000000002</v>
      </c>
      <c r="O110" s="75" t="s">
        <v>180</v>
      </c>
      <c r="P110" s="70">
        <v>13503.16</v>
      </c>
      <c r="Q110" s="73">
        <v>16436.330000000002</v>
      </c>
      <c r="R110" s="73" t="s">
        <v>157</v>
      </c>
      <c r="S110" s="73">
        <v>2752.41</v>
      </c>
      <c r="T110" s="73">
        <v>86.24</v>
      </c>
      <c r="U110" s="70">
        <v>94.52</v>
      </c>
      <c r="V110" s="42">
        <v>12</v>
      </c>
      <c r="W110" t="s">
        <v>676</v>
      </c>
      <c r="X110" t="s">
        <v>113</v>
      </c>
      <c r="Y110" t="s">
        <v>307</v>
      </c>
      <c r="Z110" t="s">
        <v>541</v>
      </c>
    </row>
    <row r="111" spans="1:26" hidden="1" x14ac:dyDescent="0.25">
      <c r="A111" s="2">
        <v>1</v>
      </c>
      <c r="B111" t="s">
        <v>178</v>
      </c>
      <c r="C111" t="s">
        <v>678</v>
      </c>
      <c r="D111" t="s">
        <v>179</v>
      </c>
      <c r="E111" s="2" t="s">
        <v>154</v>
      </c>
      <c r="F111" s="7" t="s">
        <v>172</v>
      </c>
      <c r="G111" s="7" t="s">
        <v>281</v>
      </c>
      <c r="H111">
        <v>10</v>
      </c>
      <c r="I111">
        <v>2000</v>
      </c>
      <c r="J111">
        <v>6000</v>
      </c>
      <c r="K111" s="2" t="s">
        <v>156</v>
      </c>
      <c r="M111" s="70">
        <v>1</v>
      </c>
      <c r="N111" s="70">
        <v>942</v>
      </c>
      <c r="O111" s="75" t="s">
        <v>180</v>
      </c>
      <c r="P111" s="70">
        <v>4.0199999999999996</v>
      </c>
      <c r="Q111" s="73">
        <v>942</v>
      </c>
      <c r="R111" s="73" t="s">
        <v>157</v>
      </c>
      <c r="S111" s="73">
        <v>936.3</v>
      </c>
      <c r="T111" s="73">
        <v>1.65</v>
      </c>
      <c r="U111" s="70">
        <v>0.03</v>
      </c>
      <c r="V111" s="42">
        <v>13</v>
      </c>
      <c r="W111" t="s">
        <v>739</v>
      </c>
      <c r="X111" t="s">
        <v>113</v>
      </c>
      <c r="Y111" t="s">
        <v>307</v>
      </c>
      <c r="Z111" t="s">
        <v>541</v>
      </c>
    </row>
    <row r="112" spans="1:26" hidden="1" x14ac:dyDescent="0.25">
      <c r="A112" s="2">
        <v>2</v>
      </c>
      <c r="B112" t="s">
        <v>178</v>
      </c>
      <c r="C112" t="s">
        <v>682</v>
      </c>
      <c r="D112" t="s">
        <v>179</v>
      </c>
      <c r="E112" s="2" t="s">
        <v>154</v>
      </c>
      <c r="F112" s="7" t="s">
        <v>172</v>
      </c>
      <c r="G112" s="7" t="s">
        <v>740</v>
      </c>
      <c r="H112">
        <v>12</v>
      </c>
      <c r="I112">
        <v>2438</v>
      </c>
      <c r="J112">
        <v>7418</v>
      </c>
      <c r="K112" s="2" t="s">
        <v>156</v>
      </c>
      <c r="M112" s="70">
        <v>1</v>
      </c>
      <c r="N112" s="70">
        <v>1681.69</v>
      </c>
      <c r="O112" s="75" t="s">
        <v>630</v>
      </c>
      <c r="P112" s="70">
        <v>335.61</v>
      </c>
      <c r="Q112" s="73" t="s">
        <v>157</v>
      </c>
      <c r="R112" s="73">
        <v>1681.69</v>
      </c>
      <c r="S112" s="73">
        <v>1250.83</v>
      </c>
      <c r="T112" s="73">
        <v>92.9</v>
      </c>
      <c r="U112" s="70">
        <v>2.35</v>
      </c>
      <c r="V112" s="42">
        <v>13</v>
      </c>
      <c r="W112" t="s">
        <v>739</v>
      </c>
      <c r="X112" t="s">
        <v>113</v>
      </c>
      <c r="Y112" t="s">
        <v>307</v>
      </c>
      <c r="Z112" t="s">
        <v>541</v>
      </c>
    </row>
    <row r="113" spans="1:27" hidden="1" x14ac:dyDescent="0.25">
      <c r="A113" s="2">
        <v>3</v>
      </c>
      <c r="B113" t="s">
        <v>178</v>
      </c>
      <c r="C113" t="s">
        <v>684</v>
      </c>
      <c r="D113" t="s">
        <v>179</v>
      </c>
      <c r="E113" s="2" t="s">
        <v>154</v>
      </c>
      <c r="F113" s="7" t="s">
        <v>172</v>
      </c>
      <c r="G113" s="7" t="s">
        <v>283</v>
      </c>
      <c r="H113">
        <v>12</v>
      </c>
      <c r="I113">
        <v>2438</v>
      </c>
      <c r="J113">
        <v>10000</v>
      </c>
      <c r="K113" s="2" t="s">
        <v>156</v>
      </c>
      <c r="M113" s="70">
        <v>1</v>
      </c>
      <c r="N113" s="70">
        <v>2296.6</v>
      </c>
      <c r="O113" s="75" t="s">
        <v>180</v>
      </c>
      <c r="P113" s="70">
        <v>913.84</v>
      </c>
      <c r="Q113" s="73">
        <v>2296.6</v>
      </c>
      <c r="R113" s="73" t="s">
        <v>157</v>
      </c>
      <c r="S113" s="73">
        <v>1239.8399999999999</v>
      </c>
      <c r="T113" s="73">
        <v>136.52000000000001</v>
      </c>
      <c r="U113" s="70">
        <v>6.4</v>
      </c>
      <c r="V113" s="42">
        <v>13</v>
      </c>
      <c r="W113" t="s">
        <v>739</v>
      </c>
      <c r="X113" t="s">
        <v>113</v>
      </c>
      <c r="Y113" t="s">
        <v>307</v>
      </c>
      <c r="Z113" t="s">
        <v>541</v>
      </c>
    </row>
    <row r="114" spans="1:27" hidden="1" x14ac:dyDescent="0.25">
      <c r="A114" s="2">
        <v>4</v>
      </c>
      <c r="B114" t="s">
        <v>178</v>
      </c>
      <c r="C114" t="s">
        <v>689</v>
      </c>
      <c r="D114" t="s">
        <v>179</v>
      </c>
      <c r="E114" s="2" t="s">
        <v>154</v>
      </c>
      <c r="F114" s="7" t="s">
        <v>172</v>
      </c>
      <c r="G114" s="7" t="s">
        <v>283</v>
      </c>
      <c r="H114">
        <v>12</v>
      </c>
      <c r="I114">
        <v>2438</v>
      </c>
      <c r="J114">
        <v>10000</v>
      </c>
      <c r="K114" s="2" t="s">
        <v>156</v>
      </c>
      <c r="M114" s="70">
        <v>1</v>
      </c>
      <c r="N114" s="70">
        <v>2296.6</v>
      </c>
      <c r="O114" s="75" t="s">
        <v>180</v>
      </c>
      <c r="P114" s="70">
        <v>201.37</v>
      </c>
      <c r="Q114" s="73">
        <v>2296.6</v>
      </c>
      <c r="R114" s="73" t="s">
        <v>157</v>
      </c>
      <c r="S114" s="73">
        <v>2020.73</v>
      </c>
      <c r="T114" s="73">
        <v>73.09</v>
      </c>
      <c r="U114" s="70">
        <v>1.41</v>
      </c>
      <c r="V114" s="42">
        <v>13</v>
      </c>
      <c r="W114" t="s">
        <v>739</v>
      </c>
      <c r="X114" t="s">
        <v>113</v>
      </c>
      <c r="Y114" t="s">
        <v>307</v>
      </c>
      <c r="Z114" t="s">
        <v>541</v>
      </c>
    </row>
    <row r="115" spans="1:27" hidden="1" x14ac:dyDescent="0.25">
      <c r="A115" s="2">
        <v>5</v>
      </c>
      <c r="B115" t="s">
        <v>178</v>
      </c>
      <c r="C115" t="s">
        <v>692</v>
      </c>
      <c r="D115" t="s">
        <v>179</v>
      </c>
      <c r="E115" s="2" t="s">
        <v>154</v>
      </c>
      <c r="F115" s="7" t="s">
        <v>172</v>
      </c>
      <c r="G115" s="7" t="s">
        <v>741</v>
      </c>
      <c r="H115">
        <v>20</v>
      </c>
      <c r="I115">
        <v>2550</v>
      </c>
      <c r="J115">
        <v>3315</v>
      </c>
      <c r="K115" s="2" t="s">
        <v>156</v>
      </c>
      <c r="M115" s="70">
        <v>1</v>
      </c>
      <c r="N115" s="70">
        <v>1247.52</v>
      </c>
      <c r="O115" s="75" t="s">
        <v>632</v>
      </c>
      <c r="P115" s="70">
        <v>1133.32</v>
      </c>
      <c r="Q115" s="73" t="s">
        <v>157</v>
      </c>
      <c r="R115" s="73">
        <v>1247.52</v>
      </c>
      <c r="S115" s="73">
        <v>77.3</v>
      </c>
      <c r="T115" s="73">
        <v>28.97</v>
      </c>
      <c r="U115" s="70">
        <v>7.93</v>
      </c>
      <c r="V115" s="42">
        <v>13</v>
      </c>
      <c r="W115" t="s">
        <v>739</v>
      </c>
      <c r="X115" t="s">
        <v>113</v>
      </c>
      <c r="Y115" t="s">
        <v>307</v>
      </c>
      <c r="Z115" t="s">
        <v>541</v>
      </c>
    </row>
    <row r="116" spans="1:27" hidden="1" x14ac:dyDescent="0.25">
      <c r="A116" s="2">
        <v>6</v>
      </c>
      <c r="B116" t="s">
        <v>178</v>
      </c>
      <c r="C116" t="s">
        <v>697</v>
      </c>
      <c r="D116" t="s">
        <v>179</v>
      </c>
      <c r="E116" s="2" t="s">
        <v>154</v>
      </c>
      <c r="F116" s="7" t="s">
        <v>172</v>
      </c>
      <c r="G116" s="7" t="s">
        <v>284</v>
      </c>
      <c r="H116">
        <v>20</v>
      </c>
      <c r="I116">
        <v>2550</v>
      </c>
      <c r="J116">
        <v>11050</v>
      </c>
      <c r="K116" s="2" t="s">
        <v>156</v>
      </c>
      <c r="M116" s="70">
        <v>1</v>
      </c>
      <c r="N116" s="70">
        <v>4423.87</v>
      </c>
      <c r="O116" s="75" t="s">
        <v>180</v>
      </c>
      <c r="P116" s="70">
        <v>2060.27</v>
      </c>
      <c r="Q116" s="73">
        <v>4423.87</v>
      </c>
      <c r="R116" s="73" t="s">
        <v>157</v>
      </c>
      <c r="S116" s="73">
        <v>2316.15</v>
      </c>
      <c r="T116" s="73">
        <v>33.03</v>
      </c>
      <c r="U116" s="70">
        <v>14.42</v>
      </c>
      <c r="V116" s="42">
        <v>13</v>
      </c>
      <c r="W116" t="s">
        <v>739</v>
      </c>
      <c r="X116" t="s">
        <v>113</v>
      </c>
      <c r="Y116" t="s">
        <v>307</v>
      </c>
      <c r="Z116" t="s">
        <v>541</v>
      </c>
    </row>
    <row r="117" spans="1:27" hidden="1" x14ac:dyDescent="0.25">
      <c r="A117" s="2">
        <v>7</v>
      </c>
      <c r="B117" t="s">
        <v>178</v>
      </c>
      <c r="C117" t="s">
        <v>702</v>
      </c>
      <c r="D117" t="s">
        <v>179</v>
      </c>
      <c r="E117" s="2" t="s">
        <v>154</v>
      </c>
      <c r="F117" s="7" t="s">
        <v>172</v>
      </c>
      <c r="G117" s="7" t="s">
        <v>437</v>
      </c>
      <c r="H117">
        <v>25</v>
      </c>
      <c r="I117">
        <v>3000</v>
      </c>
      <c r="J117">
        <v>16050</v>
      </c>
      <c r="K117" s="2" t="s">
        <v>156</v>
      </c>
      <c r="M117" s="70">
        <v>1</v>
      </c>
      <c r="N117" s="70">
        <v>7386.12</v>
      </c>
      <c r="O117" s="75" t="s">
        <v>639</v>
      </c>
      <c r="P117" s="70">
        <v>352.7</v>
      </c>
      <c r="Q117" s="73" t="s">
        <v>157</v>
      </c>
      <c r="R117" s="73">
        <v>7386.12</v>
      </c>
      <c r="S117" s="73">
        <v>6983.37</v>
      </c>
      <c r="T117" s="73">
        <v>47.58</v>
      </c>
      <c r="U117" s="70">
        <v>2.4700000000000002</v>
      </c>
      <c r="V117" s="42">
        <v>13</v>
      </c>
      <c r="W117" t="s">
        <v>739</v>
      </c>
      <c r="X117" t="s">
        <v>113</v>
      </c>
      <c r="Y117" t="s">
        <v>307</v>
      </c>
      <c r="Z117" t="s">
        <v>541</v>
      </c>
    </row>
    <row r="118" spans="1:27" hidden="1" x14ac:dyDescent="0.25">
      <c r="A118" s="2">
        <v>8</v>
      </c>
      <c r="B118" t="s">
        <v>178</v>
      </c>
      <c r="C118" t="s">
        <v>710</v>
      </c>
      <c r="D118" t="s">
        <v>179</v>
      </c>
      <c r="E118" s="2" t="s">
        <v>154</v>
      </c>
      <c r="F118" s="7" t="s">
        <v>172</v>
      </c>
      <c r="G118" s="7" t="s">
        <v>437</v>
      </c>
      <c r="H118">
        <v>25</v>
      </c>
      <c r="I118">
        <v>3000</v>
      </c>
      <c r="J118">
        <v>16050</v>
      </c>
      <c r="K118" s="2" t="s">
        <v>156</v>
      </c>
      <c r="M118" s="70">
        <v>1</v>
      </c>
      <c r="N118" s="70">
        <v>9449.44</v>
      </c>
      <c r="O118" s="75" t="s">
        <v>180</v>
      </c>
      <c r="P118" s="70">
        <v>157.69</v>
      </c>
      <c r="Q118" s="73">
        <v>9449.44</v>
      </c>
      <c r="R118" s="73" t="s">
        <v>157</v>
      </c>
      <c r="S118" s="73">
        <v>9285.2099999999991</v>
      </c>
      <c r="T118" s="73">
        <v>5.44</v>
      </c>
      <c r="U118" s="70">
        <v>1.1000000000000001</v>
      </c>
      <c r="V118" s="42">
        <v>13</v>
      </c>
      <c r="W118" t="s">
        <v>739</v>
      </c>
      <c r="X118" t="s">
        <v>113</v>
      </c>
      <c r="Y118" t="s">
        <v>307</v>
      </c>
      <c r="Z118" t="s">
        <v>541</v>
      </c>
    </row>
    <row r="119" spans="1:27" hidden="1" x14ac:dyDescent="0.25">
      <c r="A119" s="2">
        <v>9</v>
      </c>
      <c r="B119" t="s">
        <v>178</v>
      </c>
      <c r="C119" t="s">
        <v>712</v>
      </c>
      <c r="D119" t="s">
        <v>179</v>
      </c>
      <c r="E119" s="2" t="s">
        <v>154</v>
      </c>
      <c r="F119" s="7" t="s">
        <v>172</v>
      </c>
      <c r="G119" s="7" t="s">
        <v>286</v>
      </c>
      <c r="H119">
        <v>32</v>
      </c>
      <c r="I119">
        <v>2700</v>
      </c>
      <c r="J119">
        <v>14150</v>
      </c>
      <c r="K119" s="2" t="s">
        <v>156</v>
      </c>
      <c r="M119" s="70">
        <v>1</v>
      </c>
      <c r="N119" s="70">
        <v>9597.1</v>
      </c>
      <c r="O119" s="75" t="s">
        <v>180</v>
      </c>
      <c r="P119" s="70">
        <v>9173.23</v>
      </c>
      <c r="Q119" s="73">
        <v>9597.1</v>
      </c>
      <c r="R119" s="73" t="s">
        <v>157</v>
      </c>
      <c r="S119" s="73">
        <v>215.5</v>
      </c>
      <c r="T119" s="73">
        <v>144.16</v>
      </c>
      <c r="U119" s="70">
        <v>64.209999999999994</v>
      </c>
      <c r="V119" s="42">
        <v>13</v>
      </c>
      <c r="W119" t="s">
        <v>739</v>
      </c>
      <c r="X119" t="s">
        <v>113</v>
      </c>
      <c r="Y119" t="s">
        <v>307</v>
      </c>
      <c r="Z119" t="s">
        <v>541</v>
      </c>
    </row>
    <row r="120" spans="1:27" hidden="1" x14ac:dyDescent="0.25">
      <c r="A120" s="2">
        <v>10</v>
      </c>
      <c r="B120" t="s">
        <v>178</v>
      </c>
      <c r="C120" t="s">
        <v>714</v>
      </c>
      <c r="D120" t="s">
        <v>179</v>
      </c>
      <c r="E120" s="2" t="s">
        <v>154</v>
      </c>
      <c r="F120" s="7" t="s">
        <v>172</v>
      </c>
      <c r="G120" s="7" t="s">
        <v>286</v>
      </c>
      <c r="H120">
        <v>32</v>
      </c>
      <c r="I120">
        <v>2700</v>
      </c>
      <c r="J120">
        <v>14150</v>
      </c>
      <c r="K120" s="2" t="s">
        <v>156</v>
      </c>
      <c r="M120" s="70">
        <v>1</v>
      </c>
      <c r="N120" s="70">
        <v>9597.1</v>
      </c>
      <c r="O120" s="75" t="s">
        <v>180</v>
      </c>
      <c r="P120" s="70">
        <v>9173.23</v>
      </c>
      <c r="Q120" s="73">
        <v>9597.1</v>
      </c>
      <c r="R120" s="73" t="s">
        <v>157</v>
      </c>
      <c r="S120" s="73">
        <v>215.5</v>
      </c>
      <c r="T120" s="73">
        <v>144.16</v>
      </c>
      <c r="U120" s="70">
        <v>64.209999999999994</v>
      </c>
      <c r="V120" s="42">
        <v>13</v>
      </c>
      <c r="W120" t="s">
        <v>739</v>
      </c>
      <c r="X120" t="s">
        <v>113</v>
      </c>
      <c r="Y120" t="s">
        <v>307</v>
      </c>
      <c r="Z120" t="s">
        <v>541</v>
      </c>
    </row>
    <row r="121" spans="1:27" hidden="1" x14ac:dyDescent="0.25">
      <c r="A121" s="2">
        <v>11</v>
      </c>
      <c r="B121" t="s">
        <v>178</v>
      </c>
      <c r="C121" t="s">
        <v>716</v>
      </c>
      <c r="D121" t="s">
        <v>179</v>
      </c>
      <c r="E121" s="2" t="s">
        <v>154</v>
      </c>
      <c r="F121" s="7" t="s">
        <v>172</v>
      </c>
      <c r="G121" s="7" t="s">
        <v>287</v>
      </c>
      <c r="H121">
        <v>32</v>
      </c>
      <c r="I121">
        <v>2700</v>
      </c>
      <c r="J121">
        <v>13700</v>
      </c>
      <c r="K121" s="2" t="s">
        <v>156</v>
      </c>
      <c r="M121" s="70">
        <v>1</v>
      </c>
      <c r="N121" s="70">
        <v>9291.89</v>
      </c>
      <c r="O121" s="75" t="s">
        <v>180</v>
      </c>
      <c r="P121" s="70">
        <v>8877.4</v>
      </c>
      <c r="Q121" s="73">
        <v>9291.89</v>
      </c>
      <c r="R121" s="73" t="s">
        <v>157</v>
      </c>
      <c r="S121" s="73">
        <v>212.07</v>
      </c>
      <c r="T121" s="73">
        <v>140.28</v>
      </c>
      <c r="U121" s="70">
        <v>62.14</v>
      </c>
      <c r="V121" s="42">
        <v>13</v>
      </c>
      <c r="W121" t="s">
        <v>739</v>
      </c>
      <c r="X121" t="s">
        <v>113</v>
      </c>
      <c r="Y121" t="s">
        <v>307</v>
      </c>
      <c r="Z121" t="s">
        <v>541</v>
      </c>
    </row>
    <row r="122" spans="1:27" hidden="1" x14ac:dyDescent="0.25">
      <c r="A122" s="2">
        <v>12</v>
      </c>
      <c r="B122" t="s">
        <v>178</v>
      </c>
      <c r="C122" t="s">
        <v>718</v>
      </c>
      <c r="D122" t="s">
        <v>179</v>
      </c>
      <c r="E122" s="2" t="s">
        <v>154</v>
      </c>
      <c r="F122" s="7" t="s">
        <v>172</v>
      </c>
      <c r="G122" s="7" t="s">
        <v>287</v>
      </c>
      <c r="H122">
        <v>32</v>
      </c>
      <c r="I122">
        <v>2700</v>
      </c>
      <c r="J122">
        <v>13700</v>
      </c>
      <c r="K122" s="2" t="s">
        <v>156</v>
      </c>
      <c r="M122" s="70">
        <v>1</v>
      </c>
      <c r="N122" s="70">
        <v>9291.89</v>
      </c>
      <c r="O122" s="75" t="s">
        <v>180</v>
      </c>
      <c r="P122" s="70">
        <v>8877.4</v>
      </c>
      <c r="Q122" s="73">
        <v>9291.89</v>
      </c>
      <c r="R122" s="73" t="s">
        <v>157</v>
      </c>
      <c r="S122" s="73">
        <v>212.07</v>
      </c>
      <c r="T122" s="73">
        <v>140.28</v>
      </c>
      <c r="U122" s="70">
        <v>62.14</v>
      </c>
      <c r="V122" s="42">
        <v>13</v>
      </c>
      <c r="W122" t="s">
        <v>739</v>
      </c>
      <c r="X122" t="s">
        <v>113</v>
      </c>
      <c r="Y122" t="s">
        <v>307</v>
      </c>
      <c r="Z122" t="s">
        <v>541</v>
      </c>
    </row>
    <row r="123" spans="1:27" hidden="1" x14ac:dyDescent="0.25">
      <c r="A123" s="2">
        <v>13</v>
      </c>
      <c r="B123" t="s">
        <v>178</v>
      </c>
      <c r="C123" t="s">
        <v>721</v>
      </c>
      <c r="D123" t="s">
        <v>179</v>
      </c>
      <c r="E123" s="2" t="s">
        <v>154</v>
      </c>
      <c r="F123" s="7" t="s">
        <v>273</v>
      </c>
      <c r="G123" s="7" t="s">
        <v>742</v>
      </c>
      <c r="H123">
        <v>40</v>
      </c>
      <c r="I123">
        <v>929</v>
      </c>
      <c r="J123">
        <v>8050</v>
      </c>
      <c r="K123" s="2" t="s">
        <v>156</v>
      </c>
      <c r="M123" s="70">
        <v>1</v>
      </c>
      <c r="N123" s="70">
        <v>1776.09</v>
      </c>
      <c r="O123" s="75" t="s">
        <v>656</v>
      </c>
      <c r="P123" s="70">
        <v>994.79</v>
      </c>
      <c r="Q123" s="73" t="s">
        <v>157</v>
      </c>
      <c r="R123" s="73">
        <v>1776.09</v>
      </c>
      <c r="S123" s="73">
        <v>747.82</v>
      </c>
      <c r="T123" s="73">
        <v>26.52</v>
      </c>
      <c r="U123" s="70">
        <v>6.96</v>
      </c>
      <c r="V123" s="42">
        <v>13</v>
      </c>
      <c r="W123" t="s">
        <v>739</v>
      </c>
      <c r="X123" t="s">
        <v>113</v>
      </c>
      <c r="Y123" t="s">
        <v>307</v>
      </c>
      <c r="Z123" t="s">
        <v>541</v>
      </c>
    </row>
    <row r="124" spans="1:27" hidden="1" x14ac:dyDescent="0.25">
      <c r="A124" s="2">
        <v>14</v>
      </c>
      <c r="B124" s="86" t="str">
        <f>IF(LEN('[1]List chi tiet'!$B$3)=0,"",'[1]List chi tiet'!$B$3)</f>
        <v>10726-141</v>
      </c>
      <c r="C124" s="86" t="s">
        <v>722</v>
      </c>
      <c r="D124" s="86" t="str">
        <f>IF(LEN('[1]List chi tiet'!$B$4)=0,"",'[1]List chi tiet'!$B$4)</f>
        <v>CRANEBEAM(1C001.5-1D001.1)</v>
      </c>
      <c r="E124" s="86" t="s">
        <v>154</v>
      </c>
      <c r="F124" s="86" t="s">
        <v>273</v>
      </c>
      <c r="G124" s="86" t="s">
        <v>1482</v>
      </c>
      <c r="H124" s="86">
        <v>40</v>
      </c>
      <c r="I124" s="86">
        <v>2400</v>
      </c>
      <c r="J124" s="86">
        <v>8100</v>
      </c>
      <c r="K124" s="86" t="s">
        <v>156</v>
      </c>
      <c r="L124" s="86"/>
      <c r="M124" s="86">
        <v>1</v>
      </c>
      <c r="N124" s="86">
        <v>6104.16</v>
      </c>
      <c r="O124" s="86" t="s">
        <v>180</v>
      </c>
      <c r="P124" s="86">
        <v>994.79</v>
      </c>
      <c r="Q124" s="86">
        <f t="shared" ref="Q124" si="0">IF(O124="NEWPLATE", N124, "")</f>
        <v>6104.16</v>
      </c>
      <c r="R124" s="86" t="str">
        <f t="shared" ref="R124" si="1">IF(O124&lt;&gt;"NEWPLATE", N124, "")</f>
        <v/>
      </c>
      <c r="S124" s="86">
        <v>5085.55</v>
      </c>
      <c r="T124" s="86">
        <f t="shared" ref="T124" si="2">MAX(ROUND(N124-P124-IF(S124="",0,S124)-U124, 2), 0)</f>
        <v>16.86</v>
      </c>
      <c r="U124" s="86">
        <f t="shared" ref="U124" si="3">ROUND(P124*0.7/100, 2)</f>
        <v>6.96</v>
      </c>
      <c r="V124" s="86">
        <v>13</v>
      </c>
      <c r="W124" s="86" t="s">
        <v>739</v>
      </c>
      <c r="X124" s="86" t="str">
        <f>IF(LEN('[1]List chi tiet'!$B$2)=0,"",'[1]List chi tiet'!$B$2)</f>
        <v>10726-141 DG XK SHIPLIFT ÚC</v>
      </c>
      <c r="Y124" s="86" t="s">
        <v>434</v>
      </c>
      <c r="Z124" s="86" t="s">
        <v>541</v>
      </c>
      <c r="AA124" s="100" t="s">
        <v>1568</v>
      </c>
    </row>
    <row r="125" spans="1:27" hidden="1" x14ac:dyDescent="0.25">
      <c r="A125" s="2">
        <v>15</v>
      </c>
      <c r="B125" s="86" t="s">
        <v>178</v>
      </c>
      <c r="C125" s="86" t="s">
        <v>724</v>
      </c>
      <c r="D125" s="86" t="s">
        <v>179</v>
      </c>
      <c r="E125" s="86" t="s">
        <v>154</v>
      </c>
      <c r="F125" s="86" t="s">
        <v>172</v>
      </c>
      <c r="G125" s="86" t="s">
        <v>745</v>
      </c>
      <c r="H125" s="86">
        <v>50</v>
      </c>
      <c r="I125" s="86">
        <v>2380</v>
      </c>
      <c r="J125" s="86">
        <v>9379</v>
      </c>
      <c r="K125" s="86" t="s">
        <v>156</v>
      </c>
      <c r="L125" s="86"/>
      <c r="M125" s="86">
        <v>1</v>
      </c>
      <c r="N125" s="86">
        <v>6334.31</v>
      </c>
      <c r="O125" s="86" t="s">
        <v>661</v>
      </c>
      <c r="P125" s="86">
        <v>2851.27</v>
      </c>
      <c r="Q125" s="86" t="s">
        <v>157</v>
      </c>
      <c r="R125" s="86">
        <v>6334.31</v>
      </c>
      <c r="S125" s="86">
        <v>2836.76</v>
      </c>
      <c r="T125" s="86">
        <v>626.32000000000005</v>
      </c>
      <c r="U125" s="86">
        <v>19.96</v>
      </c>
      <c r="V125" s="86">
        <v>13</v>
      </c>
      <c r="W125" s="86" t="s">
        <v>739</v>
      </c>
      <c r="X125" s="86" t="s">
        <v>113</v>
      </c>
      <c r="Y125" s="86" t="s">
        <v>434</v>
      </c>
      <c r="Z125" s="86" t="s">
        <v>430</v>
      </c>
    </row>
    <row r="126" spans="1:27" hidden="1" x14ac:dyDescent="0.25">
      <c r="A126" s="2">
        <v>16</v>
      </c>
      <c r="B126" t="s">
        <v>178</v>
      </c>
      <c r="C126" t="s">
        <v>726</v>
      </c>
      <c r="D126" t="s">
        <v>179</v>
      </c>
      <c r="E126" s="2" t="s">
        <v>154</v>
      </c>
      <c r="F126" s="7" t="s">
        <v>172</v>
      </c>
      <c r="G126" s="7" t="s">
        <v>293</v>
      </c>
      <c r="H126">
        <v>60</v>
      </c>
      <c r="I126">
        <v>2200</v>
      </c>
      <c r="J126">
        <v>10100</v>
      </c>
      <c r="K126" s="2" t="s">
        <v>156</v>
      </c>
      <c r="M126" s="70">
        <v>1</v>
      </c>
      <c r="N126" s="70">
        <v>10465.620000000001</v>
      </c>
      <c r="O126" s="75" t="s">
        <v>180</v>
      </c>
      <c r="P126" s="70">
        <v>10151.61</v>
      </c>
      <c r="Q126" s="73">
        <v>10465.620000000001</v>
      </c>
      <c r="R126" s="73" t="s">
        <v>157</v>
      </c>
      <c r="T126" s="73">
        <v>242.95</v>
      </c>
      <c r="U126" s="70">
        <v>71.06</v>
      </c>
      <c r="V126" s="42">
        <v>13</v>
      </c>
      <c r="W126" t="s">
        <v>739</v>
      </c>
      <c r="X126" t="s">
        <v>113</v>
      </c>
      <c r="Y126" t="s">
        <v>307</v>
      </c>
      <c r="Z126" t="s">
        <v>541</v>
      </c>
    </row>
    <row r="127" spans="1:27" hidden="1" x14ac:dyDescent="0.25">
      <c r="A127" s="2">
        <v>17</v>
      </c>
      <c r="B127" t="s">
        <v>178</v>
      </c>
      <c r="C127" t="s">
        <v>730</v>
      </c>
      <c r="D127" t="s">
        <v>179</v>
      </c>
      <c r="E127" s="2" t="s">
        <v>154</v>
      </c>
      <c r="F127" s="7" t="s">
        <v>172</v>
      </c>
      <c r="G127" s="7" t="s">
        <v>293</v>
      </c>
      <c r="H127">
        <v>60</v>
      </c>
      <c r="I127">
        <v>2200</v>
      </c>
      <c r="J127">
        <v>10100</v>
      </c>
      <c r="K127" s="2" t="s">
        <v>156</v>
      </c>
      <c r="M127" s="70">
        <v>1</v>
      </c>
      <c r="N127" s="70">
        <v>10465.620000000001</v>
      </c>
      <c r="O127" s="75" t="s">
        <v>180</v>
      </c>
      <c r="P127" s="70">
        <v>10151.61</v>
      </c>
      <c r="Q127" s="73">
        <v>10465.620000000001</v>
      </c>
      <c r="R127" s="73" t="s">
        <v>157</v>
      </c>
      <c r="T127" s="73">
        <v>242.95</v>
      </c>
      <c r="U127" s="70">
        <v>71.06</v>
      </c>
      <c r="V127" s="42">
        <v>13</v>
      </c>
      <c r="W127" t="s">
        <v>739</v>
      </c>
      <c r="X127" t="s">
        <v>113</v>
      </c>
      <c r="Y127" t="s">
        <v>307</v>
      </c>
      <c r="Z127" t="s">
        <v>541</v>
      </c>
    </row>
    <row r="128" spans="1:27" hidden="1" x14ac:dyDescent="0.25">
      <c r="A128" s="2">
        <v>18</v>
      </c>
      <c r="B128" t="s">
        <v>178</v>
      </c>
      <c r="C128" t="s">
        <v>734</v>
      </c>
      <c r="D128" t="s">
        <v>179</v>
      </c>
      <c r="E128" s="2" t="s">
        <v>154</v>
      </c>
      <c r="F128" s="7" t="s">
        <v>273</v>
      </c>
      <c r="G128" s="7" t="s">
        <v>294</v>
      </c>
      <c r="H128">
        <v>80</v>
      </c>
      <c r="I128">
        <v>1450</v>
      </c>
      <c r="J128">
        <v>18050</v>
      </c>
      <c r="K128" s="2" t="s">
        <v>156</v>
      </c>
      <c r="M128" s="70">
        <v>1</v>
      </c>
      <c r="N128" s="70">
        <v>16436.330000000002</v>
      </c>
      <c r="O128" s="75" t="s">
        <v>180</v>
      </c>
      <c r="P128" s="70">
        <v>13503.16</v>
      </c>
      <c r="Q128" s="73">
        <v>16436.330000000002</v>
      </c>
      <c r="R128" s="73" t="s">
        <v>157</v>
      </c>
      <c r="S128" s="73">
        <v>2752.41</v>
      </c>
      <c r="T128" s="73">
        <v>86.24</v>
      </c>
      <c r="U128" s="70">
        <v>94.52</v>
      </c>
      <c r="V128" s="42">
        <v>13</v>
      </c>
      <c r="W128" t="s">
        <v>739</v>
      </c>
      <c r="X128" t="s">
        <v>113</v>
      </c>
      <c r="Y128" t="s">
        <v>307</v>
      </c>
      <c r="Z128" t="s">
        <v>541</v>
      </c>
    </row>
    <row r="129" spans="1:27" hidden="1" x14ac:dyDescent="0.25">
      <c r="A129" s="2">
        <v>19</v>
      </c>
      <c r="B129" t="s">
        <v>178</v>
      </c>
      <c r="C129" t="s">
        <v>735</v>
      </c>
      <c r="D129" t="s">
        <v>179</v>
      </c>
      <c r="E129" s="2" t="s">
        <v>154</v>
      </c>
      <c r="F129" s="7" t="s">
        <v>273</v>
      </c>
      <c r="G129" s="7" t="s">
        <v>294</v>
      </c>
      <c r="H129">
        <v>80</v>
      </c>
      <c r="I129">
        <v>1450</v>
      </c>
      <c r="J129">
        <v>18050</v>
      </c>
      <c r="K129" s="2" t="s">
        <v>156</v>
      </c>
      <c r="M129" s="70">
        <v>1</v>
      </c>
      <c r="N129" s="70">
        <v>16436.330000000002</v>
      </c>
      <c r="O129" s="75" t="s">
        <v>180</v>
      </c>
      <c r="P129" s="70">
        <v>13503.16</v>
      </c>
      <c r="Q129" s="73">
        <v>16436.330000000002</v>
      </c>
      <c r="R129" s="73" t="s">
        <v>157</v>
      </c>
      <c r="S129" s="73">
        <v>2752.41</v>
      </c>
      <c r="T129" s="73">
        <v>86.24</v>
      </c>
      <c r="U129" s="70">
        <v>94.52</v>
      </c>
      <c r="V129" s="42">
        <v>13</v>
      </c>
      <c r="W129" t="s">
        <v>739</v>
      </c>
      <c r="X129" t="s">
        <v>113</v>
      </c>
      <c r="Y129" t="s">
        <v>307</v>
      </c>
      <c r="Z129" t="s">
        <v>541</v>
      </c>
    </row>
    <row r="130" spans="1:27" hidden="1" x14ac:dyDescent="0.25">
      <c r="A130" s="2">
        <v>20</v>
      </c>
      <c r="B130" t="s">
        <v>178</v>
      </c>
      <c r="C130" t="s">
        <v>737</v>
      </c>
      <c r="D130" t="s">
        <v>179</v>
      </c>
      <c r="E130" s="2" t="s">
        <v>154</v>
      </c>
      <c r="F130" s="7" t="s">
        <v>273</v>
      </c>
      <c r="G130" s="7" t="s">
        <v>294</v>
      </c>
      <c r="H130">
        <v>80</v>
      </c>
      <c r="I130">
        <v>1450</v>
      </c>
      <c r="J130">
        <v>18050</v>
      </c>
      <c r="K130" s="2" t="s">
        <v>156</v>
      </c>
      <c r="M130" s="70">
        <v>1</v>
      </c>
      <c r="N130" s="70">
        <v>16436.330000000002</v>
      </c>
      <c r="O130" s="75" t="s">
        <v>180</v>
      </c>
      <c r="P130" s="70">
        <v>13503.16</v>
      </c>
      <c r="Q130" s="73">
        <v>16436.330000000002</v>
      </c>
      <c r="R130" s="73" t="s">
        <v>157</v>
      </c>
      <c r="S130" s="73">
        <v>2752.41</v>
      </c>
      <c r="T130" s="73">
        <v>86.24</v>
      </c>
      <c r="U130" s="70">
        <v>94.52</v>
      </c>
      <c r="V130" s="42">
        <v>13</v>
      </c>
      <c r="W130" t="s">
        <v>739</v>
      </c>
      <c r="X130" t="s">
        <v>113</v>
      </c>
      <c r="Y130" t="s">
        <v>307</v>
      </c>
      <c r="Z130" t="s">
        <v>541</v>
      </c>
    </row>
    <row r="131" spans="1:27" hidden="1" x14ac:dyDescent="0.25">
      <c r="A131" s="2">
        <v>21</v>
      </c>
      <c r="B131" t="s">
        <v>178</v>
      </c>
      <c r="C131" t="s">
        <v>738</v>
      </c>
      <c r="D131" t="s">
        <v>179</v>
      </c>
      <c r="E131" s="2" t="s">
        <v>154</v>
      </c>
      <c r="F131" s="7" t="s">
        <v>273</v>
      </c>
      <c r="G131" s="7" t="s">
        <v>294</v>
      </c>
      <c r="H131">
        <v>80</v>
      </c>
      <c r="I131">
        <v>1450</v>
      </c>
      <c r="J131">
        <v>18050</v>
      </c>
      <c r="K131" s="2" t="s">
        <v>156</v>
      </c>
      <c r="M131" s="70">
        <v>1</v>
      </c>
      <c r="N131" s="70">
        <v>16436.330000000002</v>
      </c>
      <c r="O131" s="75" t="s">
        <v>180</v>
      </c>
      <c r="P131" s="70">
        <v>13503.16</v>
      </c>
      <c r="Q131" s="73">
        <v>16436.330000000002</v>
      </c>
      <c r="R131" s="73" t="s">
        <v>157</v>
      </c>
      <c r="S131" s="73">
        <v>2752.41</v>
      </c>
      <c r="T131" s="73">
        <v>86.24</v>
      </c>
      <c r="U131" s="70">
        <v>94.52</v>
      </c>
      <c r="V131" s="42">
        <v>13</v>
      </c>
      <c r="W131" t="s">
        <v>739</v>
      </c>
      <c r="X131" t="s">
        <v>113</v>
      </c>
      <c r="Y131" t="s">
        <v>307</v>
      </c>
      <c r="Z131" t="s">
        <v>541</v>
      </c>
    </row>
    <row r="132" spans="1:27" hidden="1" x14ac:dyDescent="0.25">
      <c r="A132" s="2">
        <v>1</v>
      </c>
      <c r="B132" t="s">
        <v>178</v>
      </c>
      <c r="C132" t="s">
        <v>757</v>
      </c>
      <c r="D132" t="s">
        <v>747</v>
      </c>
      <c r="E132" s="2" t="s">
        <v>154</v>
      </c>
      <c r="F132" s="7" t="s">
        <v>126</v>
      </c>
      <c r="G132" s="7" t="s">
        <v>618</v>
      </c>
      <c r="H132">
        <v>12</v>
      </c>
      <c r="I132">
        <v>2438</v>
      </c>
      <c r="J132">
        <v>9349</v>
      </c>
      <c r="K132" s="2" t="s">
        <v>156</v>
      </c>
      <c r="M132" s="70">
        <v>1</v>
      </c>
      <c r="N132" s="70">
        <v>1603.35</v>
      </c>
      <c r="O132" s="75" t="s">
        <v>759</v>
      </c>
      <c r="P132" s="70">
        <v>324.99</v>
      </c>
      <c r="Q132" s="73" t="s">
        <v>157</v>
      </c>
      <c r="R132" s="73">
        <v>1603.35</v>
      </c>
      <c r="S132" s="73">
        <v>1217.1600000000001</v>
      </c>
      <c r="T132" s="73">
        <v>58.93</v>
      </c>
      <c r="U132" s="70">
        <v>2.27</v>
      </c>
      <c r="V132" s="42">
        <v>14</v>
      </c>
      <c r="W132" t="s">
        <v>755</v>
      </c>
      <c r="X132" t="s">
        <v>113</v>
      </c>
      <c r="Y132" t="s">
        <v>22</v>
      </c>
      <c r="Z132" t="s">
        <v>761</v>
      </c>
      <c r="AA132" t="s">
        <v>618</v>
      </c>
    </row>
    <row r="133" spans="1:27" hidden="1" x14ac:dyDescent="0.25">
      <c r="A133" s="2">
        <v>2</v>
      </c>
      <c r="B133" t="s">
        <v>178</v>
      </c>
      <c r="C133" t="s">
        <v>760</v>
      </c>
      <c r="D133" t="s">
        <v>747</v>
      </c>
      <c r="E133" s="2" t="s">
        <v>154</v>
      </c>
      <c r="F133" s="7" t="s">
        <v>141</v>
      </c>
      <c r="G133" s="7" t="s">
        <v>756</v>
      </c>
      <c r="H133">
        <v>16</v>
      </c>
      <c r="I133">
        <v>1020</v>
      </c>
      <c r="J133">
        <v>2480</v>
      </c>
      <c r="K133" s="2" t="s">
        <v>156</v>
      </c>
      <c r="M133" s="70">
        <v>1</v>
      </c>
      <c r="N133" s="70">
        <v>317.72000000000003</v>
      </c>
      <c r="O133" s="75" t="s">
        <v>753</v>
      </c>
      <c r="P133" s="70">
        <v>169.56</v>
      </c>
      <c r="Q133" s="73" t="s">
        <v>157</v>
      </c>
      <c r="R133" s="73">
        <v>317.72000000000003</v>
      </c>
      <c r="S133" s="73">
        <v>139.29</v>
      </c>
      <c r="T133" s="73">
        <v>7.68</v>
      </c>
      <c r="U133" s="70">
        <v>1.19</v>
      </c>
      <c r="V133" s="42">
        <v>14</v>
      </c>
      <c r="W133" t="s">
        <v>755</v>
      </c>
      <c r="X133" t="s">
        <v>113</v>
      </c>
      <c r="Y133" t="s">
        <v>307</v>
      </c>
      <c r="Z133" t="s">
        <v>761</v>
      </c>
    </row>
    <row r="134" spans="1:27" hidden="1" x14ac:dyDescent="0.25">
      <c r="A134" s="2">
        <v>1</v>
      </c>
      <c r="B134" t="s">
        <v>178</v>
      </c>
      <c r="C134" t="s">
        <v>765</v>
      </c>
      <c r="D134" t="s">
        <v>767</v>
      </c>
      <c r="E134" s="2" t="s">
        <v>154</v>
      </c>
      <c r="F134" s="7" t="s">
        <v>134</v>
      </c>
      <c r="G134" s="7" t="s">
        <v>796</v>
      </c>
      <c r="H134">
        <v>20</v>
      </c>
      <c r="I134">
        <v>928</v>
      </c>
      <c r="J134">
        <v>5178</v>
      </c>
      <c r="K134" s="2" t="s">
        <v>156</v>
      </c>
      <c r="M134" s="70">
        <v>1</v>
      </c>
      <c r="N134" s="70">
        <v>754.41</v>
      </c>
      <c r="O134" s="75" t="s">
        <v>768</v>
      </c>
      <c r="P134" s="70">
        <v>671.24</v>
      </c>
      <c r="Q134" s="73" t="s">
        <v>157</v>
      </c>
      <c r="R134" s="73">
        <v>754.41</v>
      </c>
      <c r="T134" s="73">
        <v>78.47</v>
      </c>
      <c r="U134" s="70">
        <v>4.7</v>
      </c>
      <c r="V134" s="42">
        <v>15</v>
      </c>
      <c r="W134" t="s">
        <v>797</v>
      </c>
      <c r="X134" t="s">
        <v>113</v>
      </c>
      <c r="Y134" t="s">
        <v>307</v>
      </c>
      <c r="Z134" t="s">
        <v>323</v>
      </c>
    </row>
    <row r="135" spans="1:27" hidden="1" x14ac:dyDescent="0.25">
      <c r="A135" s="2">
        <v>2</v>
      </c>
      <c r="B135" t="s">
        <v>178</v>
      </c>
      <c r="C135" t="s">
        <v>771</v>
      </c>
      <c r="D135" t="s">
        <v>767</v>
      </c>
      <c r="E135" s="2" t="s">
        <v>154</v>
      </c>
      <c r="F135" s="7" t="s">
        <v>115</v>
      </c>
      <c r="G135" s="7" t="s">
        <v>798</v>
      </c>
      <c r="H135">
        <v>20</v>
      </c>
      <c r="I135">
        <v>376</v>
      </c>
      <c r="J135">
        <v>7732</v>
      </c>
      <c r="K135" s="2" t="s">
        <v>156</v>
      </c>
      <c r="M135" s="70">
        <v>1</v>
      </c>
      <c r="N135" s="70">
        <v>456.44</v>
      </c>
      <c r="O135" s="75" t="s">
        <v>772</v>
      </c>
      <c r="P135" s="70">
        <v>402.74</v>
      </c>
      <c r="Q135" s="73" t="s">
        <v>157</v>
      </c>
      <c r="R135" s="73">
        <v>456.44</v>
      </c>
      <c r="T135" s="73">
        <v>50.88</v>
      </c>
      <c r="U135" s="70">
        <v>2.82</v>
      </c>
      <c r="V135" s="42">
        <v>15</v>
      </c>
      <c r="W135" t="s">
        <v>797</v>
      </c>
      <c r="X135" t="s">
        <v>113</v>
      </c>
      <c r="Y135" t="s">
        <v>307</v>
      </c>
      <c r="Z135" t="s">
        <v>323</v>
      </c>
    </row>
    <row r="136" spans="1:27" hidden="1" x14ac:dyDescent="0.25">
      <c r="A136" s="2">
        <v>3</v>
      </c>
      <c r="B136" t="s">
        <v>178</v>
      </c>
      <c r="C136" t="s">
        <v>776</v>
      </c>
      <c r="D136" t="s">
        <v>767</v>
      </c>
      <c r="E136" s="2" t="s">
        <v>154</v>
      </c>
      <c r="F136" s="7" t="s">
        <v>115</v>
      </c>
      <c r="G136" s="7" t="s">
        <v>799</v>
      </c>
      <c r="H136">
        <v>20</v>
      </c>
      <c r="I136">
        <v>188</v>
      </c>
      <c r="J136">
        <v>12000</v>
      </c>
      <c r="K136" s="2" t="s">
        <v>156</v>
      </c>
      <c r="M136" s="70">
        <v>1</v>
      </c>
      <c r="N136" s="70">
        <v>354.19</v>
      </c>
      <c r="O136" s="75" t="s">
        <v>777</v>
      </c>
      <c r="P136" s="70">
        <v>303.43</v>
      </c>
      <c r="Q136" s="73" t="s">
        <v>157</v>
      </c>
      <c r="R136" s="73">
        <v>354.19</v>
      </c>
      <c r="T136" s="73">
        <v>48.64</v>
      </c>
      <c r="U136" s="70">
        <v>2.12</v>
      </c>
      <c r="V136" s="42">
        <v>15</v>
      </c>
      <c r="W136" t="s">
        <v>797</v>
      </c>
      <c r="X136" t="s">
        <v>113</v>
      </c>
      <c r="Y136" t="s">
        <v>307</v>
      </c>
      <c r="Z136" t="s">
        <v>323</v>
      </c>
    </row>
    <row r="137" spans="1:27" hidden="1" x14ac:dyDescent="0.25">
      <c r="A137" s="2">
        <v>4</v>
      </c>
      <c r="B137" t="s">
        <v>178</v>
      </c>
      <c r="C137" t="s">
        <v>781</v>
      </c>
      <c r="D137" t="s">
        <v>767</v>
      </c>
      <c r="E137" s="2" t="s">
        <v>154</v>
      </c>
      <c r="F137" s="7" t="s">
        <v>779</v>
      </c>
      <c r="G137" s="7" t="s">
        <v>800</v>
      </c>
      <c r="H137">
        <v>20</v>
      </c>
      <c r="I137">
        <v>216</v>
      </c>
      <c r="J137">
        <v>8451</v>
      </c>
      <c r="K137" s="2" t="s">
        <v>156</v>
      </c>
      <c r="M137" s="70">
        <v>1</v>
      </c>
      <c r="N137" s="70">
        <v>259.61</v>
      </c>
      <c r="O137" s="75" t="s">
        <v>782</v>
      </c>
      <c r="P137" s="70">
        <v>101.09</v>
      </c>
      <c r="Q137" s="73" t="s">
        <v>157</v>
      </c>
      <c r="R137" s="73">
        <v>259.61</v>
      </c>
      <c r="S137" s="73">
        <v>128.41999999999999</v>
      </c>
      <c r="T137" s="73">
        <v>29.39</v>
      </c>
      <c r="U137" s="70">
        <v>0.71</v>
      </c>
      <c r="V137" s="42">
        <v>15</v>
      </c>
      <c r="W137" t="s">
        <v>797</v>
      </c>
      <c r="X137" t="s">
        <v>113</v>
      </c>
      <c r="Y137" t="s">
        <v>307</v>
      </c>
      <c r="Z137" t="s">
        <v>323</v>
      </c>
    </row>
    <row r="138" spans="1:27" hidden="1" x14ac:dyDescent="0.25">
      <c r="A138" s="2">
        <v>5</v>
      </c>
      <c r="B138" t="s">
        <v>178</v>
      </c>
      <c r="C138" t="s">
        <v>786</v>
      </c>
      <c r="D138" t="s">
        <v>767</v>
      </c>
      <c r="E138" s="2" t="s">
        <v>154</v>
      </c>
      <c r="F138" s="7" t="s">
        <v>115</v>
      </c>
      <c r="G138" s="7" t="s">
        <v>801</v>
      </c>
      <c r="H138">
        <v>30</v>
      </c>
      <c r="I138">
        <v>1360</v>
      </c>
      <c r="J138">
        <v>12000</v>
      </c>
      <c r="K138" s="2" t="s">
        <v>156</v>
      </c>
      <c r="M138" s="70">
        <v>1</v>
      </c>
      <c r="N138" s="70">
        <v>3843.36</v>
      </c>
      <c r="O138" s="75" t="s">
        <v>787</v>
      </c>
      <c r="P138" s="70">
        <v>577.73</v>
      </c>
      <c r="Q138" s="73" t="s">
        <v>157</v>
      </c>
      <c r="R138" s="73">
        <v>3843.36</v>
      </c>
      <c r="S138" s="73">
        <v>3101.85</v>
      </c>
      <c r="T138" s="73">
        <v>159.74</v>
      </c>
      <c r="U138" s="70">
        <v>4.04</v>
      </c>
      <c r="V138" s="42">
        <v>15</v>
      </c>
      <c r="W138" t="s">
        <v>797</v>
      </c>
      <c r="X138" t="s">
        <v>113</v>
      </c>
      <c r="Y138" t="s">
        <v>307</v>
      </c>
      <c r="Z138" t="s">
        <v>323</v>
      </c>
    </row>
    <row r="139" spans="1:27" hidden="1" x14ac:dyDescent="0.25">
      <c r="A139" s="2">
        <v>1</v>
      </c>
      <c r="B139" t="s">
        <v>178</v>
      </c>
      <c r="C139" t="s">
        <v>805</v>
      </c>
      <c r="D139" t="s">
        <v>807</v>
      </c>
      <c r="E139" s="2" t="s">
        <v>154</v>
      </c>
      <c r="F139" s="7" t="s">
        <v>172</v>
      </c>
      <c r="G139" s="7" t="s">
        <v>1131</v>
      </c>
      <c r="H139">
        <v>12</v>
      </c>
      <c r="I139">
        <v>1957</v>
      </c>
      <c r="J139">
        <v>7054</v>
      </c>
      <c r="K139" s="2" t="s">
        <v>156</v>
      </c>
      <c r="M139" s="70">
        <v>1</v>
      </c>
      <c r="N139" s="70">
        <v>1269.27</v>
      </c>
      <c r="O139" s="75" t="s">
        <v>329</v>
      </c>
      <c r="P139" s="70">
        <v>1252.5899999999999</v>
      </c>
      <c r="Q139" s="73" t="s">
        <v>157</v>
      </c>
      <c r="R139" s="73">
        <v>1269.27</v>
      </c>
      <c r="T139" s="73">
        <v>7.91</v>
      </c>
      <c r="U139" s="70">
        <v>8.77</v>
      </c>
      <c r="V139" s="42">
        <v>16</v>
      </c>
      <c r="W139" t="s">
        <v>1132</v>
      </c>
      <c r="X139" t="s">
        <v>113</v>
      </c>
      <c r="Y139" t="s">
        <v>22</v>
      </c>
      <c r="Z139" t="s">
        <v>541</v>
      </c>
    </row>
    <row r="140" spans="1:27" hidden="1" x14ac:dyDescent="0.25">
      <c r="A140" s="2">
        <v>2</v>
      </c>
      <c r="B140" t="s">
        <v>178</v>
      </c>
      <c r="C140" t="s">
        <v>816</v>
      </c>
      <c r="D140" t="s">
        <v>807</v>
      </c>
      <c r="E140" s="2" t="s">
        <v>154</v>
      </c>
      <c r="F140" s="7" t="s">
        <v>172</v>
      </c>
      <c r="G140" s="7" t="s">
        <v>1131</v>
      </c>
      <c r="H140">
        <v>12</v>
      </c>
      <c r="I140">
        <v>1957</v>
      </c>
      <c r="J140">
        <v>7054</v>
      </c>
      <c r="K140" s="2" t="s">
        <v>156</v>
      </c>
      <c r="M140" s="70">
        <v>1</v>
      </c>
      <c r="N140" s="70">
        <v>1269.27</v>
      </c>
      <c r="O140" s="75" t="s">
        <v>335</v>
      </c>
      <c r="P140" s="70">
        <v>1252.5899999999999</v>
      </c>
      <c r="Q140" s="73" t="s">
        <v>157</v>
      </c>
      <c r="R140" s="73">
        <v>1269.27</v>
      </c>
      <c r="T140" s="73">
        <v>7.91</v>
      </c>
      <c r="U140" s="70">
        <v>8.77</v>
      </c>
      <c r="V140" s="42">
        <v>16</v>
      </c>
      <c r="W140" t="s">
        <v>1132</v>
      </c>
      <c r="X140" t="s">
        <v>113</v>
      </c>
      <c r="Y140" t="s">
        <v>22</v>
      </c>
      <c r="Z140" t="s">
        <v>541</v>
      </c>
    </row>
    <row r="141" spans="1:27" hidden="1" x14ac:dyDescent="0.25">
      <c r="A141" s="2">
        <v>3</v>
      </c>
      <c r="B141" t="s">
        <v>178</v>
      </c>
      <c r="C141" t="s">
        <v>821</v>
      </c>
      <c r="D141" t="s">
        <v>807</v>
      </c>
      <c r="E141" s="2" t="s">
        <v>154</v>
      </c>
      <c r="F141" s="7" t="s">
        <v>172</v>
      </c>
      <c r="G141" s="7" t="s">
        <v>283</v>
      </c>
      <c r="H141">
        <v>12</v>
      </c>
      <c r="I141">
        <v>2438</v>
      </c>
      <c r="J141">
        <v>10000</v>
      </c>
      <c r="K141" s="2" t="s">
        <v>156</v>
      </c>
      <c r="M141" s="70">
        <v>1</v>
      </c>
      <c r="N141" s="70">
        <v>2296.6</v>
      </c>
      <c r="O141" s="75" t="s">
        <v>180</v>
      </c>
      <c r="P141" s="70">
        <v>2183.8200000000002</v>
      </c>
      <c r="Q141" s="73">
        <v>2296.6</v>
      </c>
      <c r="R141" s="73" t="s">
        <v>157</v>
      </c>
      <c r="T141" s="73">
        <v>97.49</v>
      </c>
      <c r="U141" s="70">
        <v>15.29</v>
      </c>
      <c r="V141" s="42">
        <v>16</v>
      </c>
      <c r="W141" t="s">
        <v>1132</v>
      </c>
      <c r="X141" t="s">
        <v>113</v>
      </c>
      <c r="Y141" t="s">
        <v>22</v>
      </c>
      <c r="Z141" t="s">
        <v>541</v>
      </c>
    </row>
    <row r="142" spans="1:27" hidden="1" x14ac:dyDescent="0.25">
      <c r="A142" s="2">
        <v>4</v>
      </c>
      <c r="B142" t="s">
        <v>178</v>
      </c>
      <c r="C142" t="s">
        <v>837</v>
      </c>
      <c r="D142" t="s">
        <v>807</v>
      </c>
      <c r="E142" s="2" t="s">
        <v>154</v>
      </c>
      <c r="F142" s="7" t="s">
        <v>172</v>
      </c>
      <c r="G142" s="7" t="s">
        <v>283</v>
      </c>
      <c r="H142">
        <v>12</v>
      </c>
      <c r="I142">
        <v>2438</v>
      </c>
      <c r="J142">
        <v>10000</v>
      </c>
      <c r="K142" s="2" t="s">
        <v>156</v>
      </c>
      <c r="M142" s="70">
        <v>1</v>
      </c>
      <c r="N142" s="70">
        <v>2296.6</v>
      </c>
      <c r="O142" s="75" t="s">
        <v>180</v>
      </c>
      <c r="P142" s="70">
        <v>2204.36</v>
      </c>
      <c r="Q142" s="73">
        <v>2296.6</v>
      </c>
      <c r="R142" s="73" t="s">
        <v>157</v>
      </c>
      <c r="T142" s="73">
        <v>76.81</v>
      </c>
      <c r="U142" s="70">
        <v>15.43</v>
      </c>
      <c r="V142" s="42">
        <v>16</v>
      </c>
      <c r="W142" t="s">
        <v>1132</v>
      </c>
      <c r="X142" t="s">
        <v>113</v>
      </c>
      <c r="Y142" t="s">
        <v>22</v>
      </c>
      <c r="Z142" t="s">
        <v>541</v>
      </c>
    </row>
    <row r="143" spans="1:27" hidden="1" x14ac:dyDescent="0.25">
      <c r="A143" s="2">
        <v>5</v>
      </c>
      <c r="B143" t="s">
        <v>178</v>
      </c>
      <c r="C143" t="s">
        <v>856</v>
      </c>
      <c r="D143" t="s">
        <v>807</v>
      </c>
      <c r="E143" s="2" t="s">
        <v>154</v>
      </c>
      <c r="F143" s="7" t="s">
        <v>172</v>
      </c>
      <c r="G143" s="7" t="s">
        <v>283</v>
      </c>
      <c r="H143">
        <v>12</v>
      </c>
      <c r="I143">
        <v>2438</v>
      </c>
      <c r="J143">
        <v>10000</v>
      </c>
      <c r="K143" s="2" t="s">
        <v>156</v>
      </c>
      <c r="M143" s="70">
        <v>1</v>
      </c>
      <c r="N143" s="70">
        <v>2296.6</v>
      </c>
      <c r="O143" s="75" t="s">
        <v>180</v>
      </c>
      <c r="P143" s="70">
        <v>2211.9899999999998</v>
      </c>
      <c r="Q143" s="73">
        <v>2296.6</v>
      </c>
      <c r="R143" s="73" t="s">
        <v>157</v>
      </c>
      <c r="T143" s="73">
        <v>69.13</v>
      </c>
      <c r="U143" s="70">
        <v>15.48</v>
      </c>
      <c r="V143" s="42">
        <v>16</v>
      </c>
      <c r="W143" t="s">
        <v>1132</v>
      </c>
      <c r="X143" t="s">
        <v>113</v>
      </c>
      <c r="Y143" t="s">
        <v>22</v>
      </c>
      <c r="Z143" t="s">
        <v>541</v>
      </c>
    </row>
    <row r="144" spans="1:27" hidden="1" x14ac:dyDescent="0.25">
      <c r="A144" s="2">
        <v>6</v>
      </c>
      <c r="B144" t="s">
        <v>178</v>
      </c>
      <c r="C144" t="s">
        <v>883</v>
      </c>
      <c r="D144" t="s">
        <v>807</v>
      </c>
      <c r="E144" s="2" t="s">
        <v>154</v>
      </c>
      <c r="F144" s="7" t="s">
        <v>172</v>
      </c>
      <c r="G144" s="7" t="s">
        <v>283</v>
      </c>
      <c r="H144">
        <v>12</v>
      </c>
      <c r="I144">
        <v>2438</v>
      </c>
      <c r="J144">
        <v>10000</v>
      </c>
      <c r="K144" s="2" t="s">
        <v>156</v>
      </c>
      <c r="M144" s="70">
        <v>1</v>
      </c>
      <c r="N144" s="70">
        <v>2296.6</v>
      </c>
      <c r="O144" s="75" t="s">
        <v>180</v>
      </c>
      <c r="P144" s="70">
        <v>2213.11</v>
      </c>
      <c r="Q144" s="73">
        <v>2296.6</v>
      </c>
      <c r="R144" s="73" t="s">
        <v>157</v>
      </c>
      <c r="T144" s="73">
        <v>68</v>
      </c>
      <c r="U144" s="70">
        <v>15.49</v>
      </c>
      <c r="V144" s="42">
        <v>16</v>
      </c>
      <c r="W144" t="s">
        <v>1132</v>
      </c>
      <c r="X144" t="s">
        <v>113</v>
      </c>
      <c r="Y144" t="s">
        <v>22</v>
      </c>
      <c r="Z144" t="s">
        <v>541</v>
      </c>
    </row>
    <row r="145" spans="1:26" hidden="1" x14ac:dyDescent="0.25">
      <c r="A145" s="2">
        <v>7</v>
      </c>
      <c r="B145" t="s">
        <v>178</v>
      </c>
      <c r="C145" t="s">
        <v>903</v>
      </c>
      <c r="D145" t="s">
        <v>807</v>
      </c>
      <c r="E145" s="2" t="s">
        <v>154</v>
      </c>
      <c r="F145" s="7" t="s">
        <v>172</v>
      </c>
      <c r="G145" s="7" t="s">
        <v>283</v>
      </c>
      <c r="H145">
        <v>12</v>
      </c>
      <c r="I145">
        <v>2438</v>
      </c>
      <c r="J145">
        <v>10000</v>
      </c>
      <c r="K145" s="2" t="s">
        <v>156</v>
      </c>
      <c r="M145" s="70">
        <v>1</v>
      </c>
      <c r="N145" s="70">
        <v>2296.6</v>
      </c>
      <c r="O145" s="75" t="s">
        <v>180</v>
      </c>
      <c r="P145" s="70">
        <v>1545.47</v>
      </c>
      <c r="Q145" s="73">
        <v>2296.6</v>
      </c>
      <c r="R145" s="73" t="s">
        <v>157</v>
      </c>
      <c r="S145" s="73">
        <v>694.47</v>
      </c>
      <c r="T145" s="73">
        <v>45.84</v>
      </c>
      <c r="U145" s="70">
        <v>10.82</v>
      </c>
      <c r="V145" s="42">
        <v>16</v>
      </c>
      <c r="W145" t="s">
        <v>1132</v>
      </c>
      <c r="X145" t="s">
        <v>113</v>
      </c>
      <c r="Y145" t="s">
        <v>22</v>
      </c>
      <c r="Z145" t="s">
        <v>541</v>
      </c>
    </row>
    <row r="146" spans="1:26" hidden="1" x14ac:dyDescent="0.25">
      <c r="A146" s="2">
        <v>8</v>
      </c>
      <c r="B146" t="s">
        <v>178</v>
      </c>
      <c r="C146" t="s">
        <v>910</v>
      </c>
      <c r="D146" t="s">
        <v>807</v>
      </c>
      <c r="E146" s="2" t="s">
        <v>154</v>
      </c>
      <c r="F146" s="7" t="s">
        <v>172</v>
      </c>
      <c r="G146" s="7" t="s">
        <v>283</v>
      </c>
      <c r="H146">
        <v>12</v>
      </c>
      <c r="I146">
        <v>2438</v>
      </c>
      <c r="J146">
        <v>10000</v>
      </c>
      <c r="K146" s="2" t="s">
        <v>156</v>
      </c>
      <c r="M146" s="70">
        <v>1</v>
      </c>
      <c r="N146" s="70">
        <v>2296.6</v>
      </c>
      <c r="O146" s="75" t="s">
        <v>180</v>
      </c>
      <c r="P146" s="70">
        <v>844.02</v>
      </c>
      <c r="Q146" s="73">
        <v>2296.6</v>
      </c>
      <c r="R146" s="73" t="s">
        <v>157</v>
      </c>
      <c r="S146" s="73">
        <v>1429.5</v>
      </c>
      <c r="T146" s="73">
        <v>17.170000000000002</v>
      </c>
      <c r="U146" s="70">
        <v>5.91</v>
      </c>
      <c r="V146" s="42">
        <v>16</v>
      </c>
      <c r="W146" t="s">
        <v>1132</v>
      </c>
      <c r="X146" t="s">
        <v>113</v>
      </c>
      <c r="Y146" t="s">
        <v>22</v>
      </c>
      <c r="Z146" t="s">
        <v>541</v>
      </c>
    </row>
    <row r="147" spans="1:26" hidden="1" x14ac:dyDescent="0.25">
      <c r="A147" s="2">
        <v>9</v>
      </c>
      <c r="B147" t="s">
        <v>178</v>
      </c>
      <c r="C147" t="s">
        <v>915</v>
      </c>
      <c r="D147" t="s">
        <v>807</v>
      </c>
      <c r="E147" s="2" t="s">
        <v>154</v>
      </c>
      <c r="F147" s="7" t="s">
        <v>172</v>
      </c>
      <c r="G147" s="7" t="s">
        <v>283</v>
      </c>
      <c r="H147">
        <v>12</v>
      </c>
      <c r="I147">
        <v>2438</v>
      </c>
      <c r="J147">
        <v>10000</v>
      </c>
      <c r="K147" s="2" t="s">
        <v>156</v>
      </c>
      <c r="M147" s="70">
        <v>1</v>
      </c>
      <c r="N147" s="70">
        <v>2296.6</v>
      </c>
      <c r="O147" s="75" t="s">
        <v>180</v>
      </c>
      <c r="P147" s="70">
        <v>479.68</v>
      </c>
      <c r="Q147" s="73">
        <v>2296.6</v>
      </c>
      <c r="R147" s="73" t="s">
        <v>157</v>
      </c>
      <c r="S147" s="73">
        <v>1800.48</v>
      </c>
      <c r="T147" s="73">
        <v>13.08</v>
      </c>
      <c r="U147" s="70">
        <v>3.36</v>
      </c>
      <c r="V147" s="42">
        <v>16</v>
      </c>
      <c r="W147" t="s">
        <v>1132</v>
      </c>
      <c r="X147" t="s">
        <v>113</v>
      </c>
      <c r="Y147" t="s">
        <v>22</v>
      </c>
      <c r="Z147" t="s">
        <v>541</v>
      </c>
    </row>
    <row r="148" spans="1:26" hidden="1" x14ac:dyDescent="0.25">
      <c r="A148" s="2">
        <v>10</v>
      </c>
      <c r="B148" t="s">
        <v>178</v>
      </c>
      <c r="C148" t="s">
        <v>927</v>
      </c>
      <c r="D148" t="s">
        <v>807</v>
      </c>
      <c r="E148" s="2" t="s">
        <v>154</v>
      </c>
      <c r="F148" s="7" t="s">
        <v>172</v>
      </c>
      <c r="G148" s="7" t="s">
        <v>283</v>
      </c>
      <c r="H148">
        <v>12</v>
      </c>
      <c r="I148">
        <v>2438</v>
      </c>
      <c r="J148">
        <v>10000</v>
      </c>
      <c r="K148" s="2" t="s">
        <v>156</v>
      </c>
      <c r="M148" s="70">
        <v>1</v>
      </c>
      <c r="N148" s="70">
        <v>2296.6</v>
      </c>
      <c r="O148" s="75" t="s">
        <v>180</v>
      </c>
      <c r="P148" s="70">
        <v>765.38</v>
      </c>
      <c r="Q148" s="73">
        <v>2296.6</v>
      </c>
      <c r="R148" s="73" t="s">
        <v>157</v>
      </c>
      <c r="S148" s="73">
        <v>1422.15</v>
      </c>
      <c r="T148" s="73">
        <v>103.71</v>
      </c>
      <c r="U148" s="70">
        <v>5.36</v>
      </c>
      <c r="V148" s="42">
        <v>16</v>
      </c>
      <c r="W148" t="s">
        <v>1132</v>
      </c>
      <c r="X148" t="s">
        <v>113</v>
      </c>
      <c r="Y148" t="s">
        <v>22</v>
      </c>
      <c r="Z148" t="s">
        <v>541</v>
      </c>
    </row>
    <row r="149" spans="1:26" hidden="1" x14ac:dyDescent="0.25">
      <c r="A149" s="2">
        <v>11</v>
      </c>
      <c r="B149" t="s">
        <v>178</v>
      </c>
      <c r="C149" t="s">
        <v>1001</v>
      </c>
      <c r="D149" t="s">
        <v>807</v>
      </c>
      <c r="E149" s="2" t="s">
        <v>154</v>
      </c>
      <c r="F149" s="7" t="s">
        <v>172</v>
      </c>
      <c r="G149" s="7" t="s">
        <v>1133</v>
      </c>
      <c r="H149">
        <v>16</v>
      </c>
      <c r="I149">
        <v>2438</v>
      </c>
      <c r="J149">
        <v>12000</v>
      </c>
      <c r="K149" s="2" t="s">
        <v>156</v>
      </c>
      <c r="M149" s="70">
        <v>1</v>
      </c>
      <c r="N149" s="70">
        <v>3674.55</v>
      </c>
      <c r="O149" s="75" t="s">
        <v>180</v>
      </c>
      <c r="P149" s="70">
        <v>118.64</v>
      </c>
      <c r="Q149" s="73">
        <v>3674.55</v>
      </c>
      <c r="R149" s="73" t="s">
        <v>157</v>
      </c>
      <c r="S149" s="73">
        <v>3551.72</v>
      </c>
      <c r="T149" s="73">
        <v>3.36</v>
      </c>
      <c r="U149" s="70">
        <v>0.83</v>
      </c>
      <c r="V149" s="42">
        <v>16</v>
      </c>
      <c r="W149" t="s">
        <v>1132</v>
      </c>
      <c r="X149" t="s">
        <v>113</v>
      </c>
      <c r="Y149" t="s">
        <v>307</v>
      </c>
      <c r="Z149" t="s">
        <v>541</v>
      </c>
    </row>
    <row r="150" spans="1:26" hidden="1" x14ac:dyDescent="0.25">
      <c r="A150" s="2">
        <v>12</v>
      </c>
      <c r="B150" t="s">
        <v>178</v>
      </c>
      <c r="C150" t="s">
        <v>1012</v>
      </c>
      <c r="D150" t="s">
        <v>807</v>
      </c>
      <c r="E150" s="2" t="s">
        <v>154</v>
      </c>
      <c r="F150" s="7" t="s">
        <v>172</v>
      </c>
      <c r="G150" s="7" t="s">
        <v>284</v>
      </c>
      <c r="H150">
        <v>20</v>
      </c>
      <c r="I150">
        <v>2550</v>
      </c>
      <c r="J150">
        <v>11050</v>
      </c>
      <c r="K150" s="2" t="s">
        <v>156</v>
      </c>
      <c r="M150" s="70">
        <v>1</v>
      </c>
      <c r="N150" s="70">
        <v>4423.87</v>
      </c>
      <c r="O150" s="75" t="s">
        <v>180</v>
      </c>
      <c r="P150" s="70">
        <v>3980.26</v>
      </c>
      <c r="Q150" s="73">
        <v>4423.87</v>
      </c>
      <c r="R150" s="73" t="s">
        <v>157</v>
      </c>
      <c r="S150" s="73">
        <v>375.23</v>
      </c>
      <c r="T150" s="73">
        <v>40.520000000000003</v>
      </c>
      <c r="U150" s="70">
        <v>27.86</v>
      </c>
      <c r="V150" s="42">
        <v>16</v>
      </c>
      <c r="W150" t="s">
        <v>1132</v>
      </c>
      <c r="X150" t="s">
        <v>113</v>
      </c>
      <c r="Y150" t="s">
        <v>22</v>
      </c>
      <c r="Z150" t="s">
        <v>541</v>
      </c>
    </row>
    <row r="151" spans="1:26" hidden="1" x14ac:dyDescent="0.25">
      <c r="A151" s="2">
        <v>13</v>
      </c>
      <c r="B151" t="s">
        <v>178</v>
      </c>
      <c r="C151" t="s">
        <v>1026</v>
      </c>
      <c r="D151" t="s">
        <v>807</v>
      </c>
      <c r="E151" s="2" t="s">
        <v>154</v>
      </c>
      <c r="F151" s="7" t="s">
        <v>172</v>
      </c>
      <c r="G151" s="7" t="s">
        <v>284</v>
      </c>
      <c r="H151">
        <v>20</v>
      </c>
      <c r="I151">
        <v>2550</v>
      </c>
      <c r="J151">
        <v>11050</v>
      </c>
      <c r="K151" s="2" t="s">
        <v>156</v>
      </c>
      <c r="M151" s="70">
        <v>1</v>
      </c>
      <c r="N151" s="70">
        <v>4423.87</v>
      </c>
      <c r="O151" s="75" t="s">
        <v>180</v>
      </c>
      <c r="P151" s="70">
        <v>4010.93</v>
      </c>
      <c r="Q151" s="73">
        <v>4423.87</v>
      </c>
      <c r="R151" s="73" t="s">
        <v>157</v>
      </c>
      <c r="S151" s="73">
        <v>358.74</v>
      </c>
      <c r="T151" s="73">
        <v>26.12</v>
      </c>
      <c r="U151" s="70">
        <v>28.08</v>
      </c>
      <c r="V151" s="42">
        <v>16</v>
      </c>
      <c r="W151" t="s">
        <v>1132</v>
      </c>
      <c r="X151" t="s">
        <v>113</v>
      </c>
      <c r="Y151" t="s">
        <v>22</v>
      </c>
      <c r="Z151" t="s">
        <v>541</v>
      </c>
    </row>
    <row r="152" spans="1:26" hidden="1" x14ac:dyDescent="0.25">
      <c r="A152" s="2">
        <v>14</v>
      </c>
      <c r="B152" t="s">
        <v>178</v>
      </c>
      <c r="C152" t="s">
        <v>1039</v>
      </c>
      <c r="D152" t="s">
        <v>807</v>
      </c>
      <c r="E152" s="2" t="s">
        <v>154</v>
      </c>
      <c r="F152" s="7" t="s">
        <v>172</v>
      </c>
      <c r="G152" s="7" t="s">
        <v>284</v>
      </c>
      <c r="H152">
        <v>20</v>
      </c>
      <c r="I152">
        <v>2550</v>
      </c>
      <c r="J152">
        <v>11050</v>
      </c>
      <c r="K152" s="2" t="s">
        <v>156</v>
      </c>
      <c r="M152" s="70">
        <v>1</v>
      </c>
      <c r="N152" s="70">
        <v>4423.87</v>
      </c>
      <c r="O152" s="75" t="s">
        <v>180</v>
      </c>
      <c r="P152" s="70">
        <v>4087.07</v>
      </c>
      <c r="Q152" s="73">
        <v>4423.87</v>
      </c>
      <c r="R152" s="73" t="s">
        <v>157</v>
      </c>
      <c r="S152" s="73">
        <v>247.53</v>
      </c>
      <c r="T152" s="73">
        <v>60.66</v>
      </c>
      <c r="U152" s="70">
        <v>28.61</v>
      </c>
      <c r="V152" s="42">
        <v>16</v>
      </c>
      <c r="W152" t="s">
        <v>1132</v>
      </c>
      <c r="X152" t="s">
        <v>113</v>
      </c>
      <c r="Y152" t="s">
        <v>22</v>
      </c>
      <c r="Z152" t="s">
        <v>541</v>
      </c>
    </row>
    <row r="153" spans="1:26" hidden="1" x14ac:dyDescent="0.25">
      <c r="A153" s="2">
        <v>15</v>
      </c>
      <c r="B153" t="s">
        <v>178</v>
      </c>
      <c r="C153" t="s">
        <v>1068</v>
      </c>
      <c r="D153" t="s">
        <v>807</v>
      </c>
      <c r="E153" s="2" t="s">
        <v>154</v>
      </c>
      <c r="F153" s="7" t="s">
        <v>172</v>
      </c>
      <c r="G153" s="7" t="s">
        <v>1134</v>
      </c>
      <c r="H153">
        <v>20</v>
      </c>
      <c r="I153">
        <v>2550</v>
      </c>
      <c r="J153">
        <v>13000</v>
      </c>
      <c r="K153" s="2" t="s">
        <v>156</v>
      </c>
      <c r="M153" s="70">
        <v>1</v>
      </c>
      <c r="N153" s="70">
        <v>5204.55</v>
      </c>
      <c r="O153" s="75" t="s">
        <v>180</v>
      </c>
      <c r="P153" s="70">
        <v>4754.8599999999997</v>
      </c>
      <c r="Q153" s="73">
        <v>5204.55</v>
      </c>
      <c r="R153" s="73" t="s">
        <v>157</v>
      </c>
      <c r="S153" s="73">
        <v>328.43</v>
      </c>
      <c r="T153" s="73">
        <v>87.98</v>
      </c>
      <c r="U153" s="70">
        <v>33.28</v>
      </c>
      <c r="V153" s="42">
        <v>16</v>
      </c>
      <c r="W153" t="s">
        <v>1132</v>
      </c>
      <c r="X153" t="s">
        <v>113</v>
      </c>
      <c r="Y153" t="s">
        <v>22</v>
      </c>
      <c r="Z153" t="s">
        <v>541</v>
      </c>
    </row>
    <row r="154" spans="1:26" hidden="1" x14ac:dyDescent="0.25">
      <c r="A154" s="2">
        <v>16</v>
      </c>
      <c r="B154" t="s">
        <v>178</v>
      </c>
      <c r="C154" t="s">
        <v>1082</v>
      </c>
      <c r="D154" t="s">
        <v>807</v>
      </c>
      <c r="E154" s="2" t="s">
        <v>154</v>
      </c>
      <c r="F154" s="7" t="s">
        <v>172</v>
      </c>
      <c r="G154" s="7" t="s">
        <v>284</v>
      </c>
      <c r="H154">
        <v>20</v>
      </c>
      <c r="I154">
        <v>2550</v>
      </c>
      <c r="J154">
        <v>11050</v>
      </c>
      <c r="K154" s="2" t="s">
        <v>156</v>
      </c>
      <c r="M154" s="70">
        <v>1</v>
      </c>
      <c r="N154" s="70">
        <v>4423.87</v>
      </c>
      <c r="O154" s="75" t="s">
        <v>180</v>
      </c>
      <c r="P154" s="70">
        <v>2251.7600000000002</v>
      </c>
      <c r="Q154" s="73">
        <v>4423.87</v>
      </c>
      <c r="R154" s="73" t="s">
        <v>157</v>
      </c>
      <c r="S154" s="73">
        <v>2104.7399999999998</v>
      </c>
      <c r="T154" s="73">
        <v>51.61</v>
      </c>
      <c r="U154" s="70">
        <v>15.76</v>
      </c>
      <c r="V154" s="42">
        <v>16</v>
      </c>
      <c r="W154" t="s">
        <v>1132</v>
      </c>
      <c r="X154" t="s">
        <v>113</v>
      </c>
      <c r="Y154" t="s">
        <v>22</v>
      </c>
      <c r="Z154" t="s">
        <v>541</v>
      </c>
    </row>
    <row r="155" spans="1:26" hidden="1" x14ac:dyDescent="0.25">
      <c r="A155" s="2">
        <v>17</v>
      </c>
      <c r="B155" t="s">
        <v>178</v>
      </c>
      <c r="C155" t="s">
        <v>1098</v>
      </c>
      <c r="D155" t="s">
        <v>807</v>
      </c>
      <c r="E155" s="2" t="s">
        <v>154</v>
      </c>
      <c r="F155" s="7" t="s">
        <v>172</v>
      </c>
      <c r="G155" s="7" t="s">
        <v>284</v>
      </c>
      <c r="H155">
        <v>20</v>
      </c>
      <c r="I155">
        <v>2550</v>
      </c>
      <c r="J155">
        <v>11050</v>
      </c>
      <c r="K155" s="2" t="s">
        <v>156</v>
      </c>
      <c r="M155" s="70">
        <v>1</v>
      </c>
      <c r="N155" s="70">
        <v>4423.87</v>
      </c>
      <c r="O155" s="75" t="s">
        <v>180</v>
      </c>
      <c r="P155" s="70">
        <v>1470.13</v>
      </c>
      <c r="Q155" s="73">
        <v>4423.87</v>
      </c>
      <c r="R155" s="73" t="s">
        <v>157</v>
      </c>
      <c r="S155" s="73">
        <v>2903.91</v>
      </c>
      <c r="T155" s="73">
        <v>39.54</v>
      </c>
      <c r="U155" s="70">
        <v>10.29</v>
      </c>
      <c r="V155" s="42">
        <v>16</v>
      </c>
      <c r="W155" t="s">
        <v>1132</v>
      </c>
      <c r="X155" t="s">
        <v>113</v>
      </c>
      <c r="Y155" t="s">
        <v>22</v>
      </c>
      <c r="Z155" t="s">
        <v>541</v>
      </c>
    </row>
    <row r="156" spans="1:26" hidden="1" x14ac:dyDescent="0.25">
      <c r="A156" s="2">
        <v>18</v>
      </c>
      <c r="B156" t="s">
        <v>178</v>
      </c>
      <c r="C156" t="s">
        <v>1112</v>
      </c>
      <c r="D156" t="s">
        <v>807</v>
      </c>
      <c r="E156" s="2" t="s">
        <v>154</v>
      </c>
      <c r="F156" s="7" t="s">
        <v>172</v>
      </c>
      <c r="G156" s="7" t="s">
        <v>1135</v>
      </c>
      <c r="H156">
        <v>32</v>
      </c>
      <c r="I156">
        <v>2250</v>
      </c>
      <c r="J156">
        <v>9100</v>
      </c>
      <c r="K156" s="2" t="s">
        <v>156</v>
      </c>
      <c r="M156" s="70">
        <v>1</v>
      </c>
      <c r="N156" s="70">
        <v>5143.32</v>
      </c>
      <c r="O156" s="75" t="s">
        <v>180</v>
      </c>
      <c r="P156" s="70">
        <v>2695.22</v>
      </c>
      <c r="Q156" s="73">
        <v>5143.32</v>
      </c>
      <c r="R156" s="73" t="s">
        <v>157</v>
      </c>
      <c r="S156" s="73">
        <v>2371.38</v>
      </c>
      <c r="T156" s="73">
        <v>57.85</v>
      </c>
      <c r="U156" s="70">
        <v>18.87</v>
      </c>
      <c r="V156" s="42">
        <v>16</v>
      </c>
      <c r="W156" t="s">
        <v>1132</v>
      </c>
      <c r="X156" t="s">
        <v>113</v>
      </c>
      <c r="Y156" t="s">
        <v>22</v>
      </c>
      <c r="Z156" t="s">
        <v>541</v>
      </c>
    </row>
    <row r="157" spans="1:26" hidden="1" x14ac:dyDescent="0.25">
      <c r="A157" s="2">
        <v>19</v>
      </c>
      <c r="B157" t="s">
        <v>178</v>
      </c>
      <c r="C157" t="s">
        <v>1120</v>
      </c>
      <c r="D157" t="s">
        <v>807</v>
      </c>
      <c r="E157" s="2" t="s">
        <v>154</v>
      </c>
      <c r="F157" s="7" t="s">
        <v>172</v>
      </c>
      <c r="G157" s="7" t="s">
        <v>1135</v>
      </c>
      <c r="H157">
        <v>32</v>
      </c>
      <c r="I157">
        <v>2250</v>
      </c>
      <c r="J157">
        <v>9100</v>
      </c>
      <c r="K157" s="2" t="s">
        <v>156</v>
      </c>
      <c r="M157" s="70">
        <v>1</v>
      </c>
      <c r="N157" s="70">
        <v>5143.32</v>
      </c>
      <c r="O157" s="75" t="s">
        <v>180</v>
      </c>
      <c r="P157" s="70">
        <v>117.16</v>
      </c>
      <c r="Q157" s="73">
        <v>5143.32</v>
      </c>
      <c r="R157" s="73" t="s">
        <v>157</v>
      </c>
      <c r="S157" s="73">
        <v>5024.04</v>
      </c>
      <c r="T157" s="73">
        <v>1.3</v>
      </c>
      <c r="U157" s="70">
        <v>0.82</v>
      </c>
      <c r="V157" s="42">
        <v>16</v>
      </c>
      <c r="W157" t="s">
        <v>1132</v>
      </c>
      <c r="X157" t="s">
        <v>113</v>
      </c>
      <c r="Y157" t="s">
        <v>22</v>
      </c>
      <c r="Z157" t="s">
        <v>541</v>
      </c>
    </row>
    <row r="158" spans="1:26" hidden="1" x14ac:dyDescent="0.25">
      <c r="A158" s="2">
        <v>20</v>
      </c>
      <c r="B158" t="s">
        <v>178</v>
      </c>
      <c r="C158" t="s">
        <v>1124</v>
      </c>
      <c r="D158" t="s">
        <v>807</v>
      </c>
      <c r="E158" s="2" t="s">
        <v>154</v>
      </c>
      <c r="F158" s="7" t="s">
        <v>172</v>
      </c>
      <c r="G158" s="7" t="s">
        <v>1136</v>
      </c>
      <c r="H158">
        <v>32</v>
      </c>
      <c r="I158">
        <v>2250</v>
      </c>
      <c r="J158">
        <v>7800</v>
      </c>
      <c r="K158" s="2" t="s">
        <v>156</v>
      </c>
      <c r="M158" s="70">
        <v>1</v>
      </c>
      <c r="N158" s="70">
        <v>4408.5600000000004</v>
      </c>
      <c r="O158" s="75" t="s">
        <v>180</v>
      </c>
      <c r="P158" s="70">
        <v>4233.22</v>
      </c>
      <c r="Q158" s="73">
        <v>4408.5600000000004</v>
      </c>
      <c r="R158" s="73" t="s">
        <v>157</v>
      </c>
      <c r="T158" s="73">
        <v>145.71</v>
      </c>
      <c r="U158" s="70">
        <v>29.63</v>
      </c>
      <c r="V158" s="42">
        <v>16</v>
      </c>
      <c r="W158" t="s">
        <v>1132</v>
      </c>
      <c r="X158" t="s">
        <v>113</v>
      </c>
      <c r="Y158" t="s">
        <v>22</v>
      </c>
      <c r="Z158" t="s">
        <v>541</v>
      </c>
    </row>
    <row r="159" spans="1:26" hidden="1" x14ac:dyDescent="0.25">
      <c r="A159" s="2">
        <v>21</v>
      </c>
      <c r="B159" t="s">
        <v>178</v>
      </c>
      <c r="C159" t="s">
        <v>1129</v>
      </c>
      <c r="D159" t="s">
        <v>807</v>
      </c>
      <c r="E159" s="2" t="s">
        <v>154</v>
      </c>
      <c r="F159" s="7" t="s">
        <v>257</v>
      </c>
      <c r="G159" s="7" t="s">
        <v>1137</v>
      </c>
      <c r="H159">
        <v>50</v>
      </c>
      <c r="I159">
        <v>2000</v>
      </c>
      <c r="J159">
        <v>5608</v>
      </c>
      <c r="K159" s="2" t="s">
        <v>156</v>
      </c>
      <c r="M159" s="70">
        <v>1</v>
      </c>
      <c r="N159" s="70">
        <v>3961.75</v>
      </c>
      <c r="O159" s="75" t="s">
        <v>496</v>
      </c>
      <c r="P159" s="70">
        <v>1985.72</v>
      </c>
      <c r="Q159" s="73" t="s">
        <v>157</v>
      </c>
      <c r="R159" s="73">
        <v>3961.75</v>
      </c>
      <c r="S159" s="73">
        <v>1780.37</v>
      </c>
      <c r="T159" s="73">
        <v>181.76</v>
      </c>
      <c r="U159" s="70">
        <v>13.9</v>
      </c>
      <c r="V159" s="42">
        <v>16</v>
      </c>
      <c r="W159" t="s">
        <v>1132</v>
      </c>
      <c r="X159" t="s">
        <v>113</v>
      </c>
      <c r="Y159" t="s">
        <v>307</v>
      </c>
      <c r="Z159" t="s">
        <v>541</v>
      </c>
    </row>
    <row r="160" spans="1:26" hidden="1" x14ac:dyDescent="0.25">
      <c r="A160" s="2">
        <v>1</v>
      </c>
      <c r="B160" t="s">
        <v>178</v>
      </c>
      <c r="C160" t="s">
        <v>1140</v>
      </c>
      <c r="D160" t="s">
        <v>1142</v>
      </c>
      <c r="E160" s="2" t="s">
        <v>154</v>
      </c>
      <c r="F160" s="7" t="s">
        <v>172</v>
      </c>
      <c r="G160" s="7" t="s">
        <v>1476</v>
      </c>
      <c r="H160">
        <v>12</v>
      </c>
      <c r="I160">
        <v>2438</v>
      </c>
      <c r="J160">
        <v>3530</v>
      </c>
      <c r="K160" s="2" t="s">
        <v>156</v>
      </c>
      <c r="M160" s="70">
        <v>1</v>
      </c>
      <c r="N160" s="70">
        <v>694.47</v>
      </c>
      <c r="O160" s="75" t="s">
        <v>903</v>
      </c>
      <c r="P160" s="70">
        <v>663.47</v>
      </c>
      <c r="Q160" s="73" t="s">
        <v>157</v>
      </c>
      <c r="R160" s="73">
        <v>694.47</v>
      </c>
      <c r="T160" s="73">
        <v>26.36</v>
      </c>
      <c r="U160" s="70">
        <v>4.6399999999999997</v>
      </c>
      <c r="V160" s="42">
        <v>17</v>
      </c>
      <c r="W160" t="s">
        <v>1477</v>
      </c>
      <c r="X160" t="s">
        <v>113</v>
      </c>
      <c r="Y160" t="s">
        <v>307</v>
      </c>
      <c r="Z160" t="s">
        <v>541</v>
      </c>
    </row>
    <row r="161" spans="1:26" hidden="1" x14ac:dyDescent="0.25">
      <c r="A161" s="2">
        <v>2</v>
      </c>
      <c r="B161" t="s">
        <v>178</v>
      </c>
      <c r="C161" t="s">
        <v>1156</v>
      </c>
      <c r="D161" t="s">
        <v>1142</v>
      </c>
      <c r="E161" s="2" t="s">
        <v>154</v>
      </c>
      <c r="F161" s="7" t="s">
        <v>172</v>
      </c>
      <c r="G161" s="7" t="s">
        <v>1131</v>
      </c>
      <c r="H161">
        <v>12</v>
      </c>
      <c r="I161">
        <v>1957</v>
      </c>
      <c r="J161">
        <v>7054</v>
      </c>
      <c r="K161" s="2" t="s">
        <v>156</v>
      </c>
      <c r="M161" s="70">
        <v>1</v>
      </c>
      <c r="N161" s="70">
        <v>1269.27</v>
      </c>
      <c r="O161" s="75" t="s">
        <v>408</v>
      </c>
      <c r="P161" s="70">
        <v>1252.69</v>
      </c>
      <c r="Q161" s="73" t="s">
        <v>157</v>
      </c>
      <c r="R161" s="73">
        <v>1269.27</v>
      </c>
      <c r="T161" s="73">
        <v>7.81</v>
      </c>
      <c r="U161" s="70">
        <v>8.77</v>
      </c>
      <c r="V161" s="42">
        <v>17</v>
      </c>
      <c r="W161" t="s">
        <v>1477</v>
      </c>
      <c r="X161" t="s">
        <v>113</v>
      </c>
      <c r="Y161" t="s">
        <v>307</v>
      </c>
      <c r="Z161" t="s">
        <v>541</v>
      </c>
    </row>
    <row r="162" spans="1:26" hidden="1" x14ac:dyDescent="0.25">
      <c r="A162" s="2">
        <v>3</v>
      </c>
      <c r="B162" t="s">
        <v>178</v>
      </c>
      <c r="C162" t="s">
        <v>1162</v>
      </c>
      <c r="D162" t="s">
        <v>1142</v>
      </c>
      <c r="E162" s="2" t="s">
        <v>154</v>
      </c>
      <c r="F162" s="7" t="s">
        <v>172</v>
      </c>
      <c r="G162" s="7" t="s">
        <v>283</v>
      </c>
      <c r="H162">
        <v>12</v>
      </c>
      <c r="I162">
        <v>2438</v>
      </c>
      <c r="J162">
        <v>10000</v>
      </c>
      <c r="K162" s="2" t="s">
        <v>156</v>
      </c>
      <c r="M162" s="70">
        <v>1</v>
      </c>
      <c r="N162" s="70">
        <v>1429.5</v>
      </c>
      <c r="O162" s="75" t="s">
        <v>910</v>
      </c>
      <c r="P162" s="70">
        <v>1365.02</v>
      </c>
      <c r="Q162" s="73" t="s">
        <v>157</v>
      </c>
      <c r="R162" s="73">
        <v>1429.5</v>
      </c>
      <c r="T162" s="73">
        <v>54.92</v>
      </c>
      <c r="U162" s="70">
        <v>9.56</v>
      </c>
      <c r="V162" s="42">
        <v>17</v>
      </c>
      <c r="W162" t="s">
        <v>1477</v>
      </c>
      <c r="X162" t="s">
        <v>113</v>
      </c>
      <c r="Y162" t="s">
        <v>307</v>
      </c>
      <c r="Z162" t="s">
        <v>541</v>
      </c>
    </row>
    <row r="163" spans="1:26" hidden="1" x14ac:dyDescent="0.25">
      <c r="A163" s="2">
        <v>4</v>
      </c>
      <c r="B163" t="s">
        <v>178</v>
      </c>
      <c r="C163" t="s">
        <v>1175</v>
      </c>
      <c r="D163" t="s">
        <v>1142</v>
      </c>
      <c r="E163" s="2" t="s">
        <v>154</v>
      </c>
      <c r="F163" s="7" t="s">
        <v>172</v>
      </c>
      <c r="G163" s="7" t="s">
        <v>283</v>
      </c>
      <c r="H163">
        <v>12</v>
      </c>
      <c r="I163">
        <v>2438</v>
      </c>
      <c r="J163">
        <v>10000</v>
      </c>
      <c r="K163" s="2" t="s">
        <v>156</v>
      </c>
      <c r="M163" s="70">
        <v>1</v>
      </c>
      <c r="N163" s="70">
        <v>1800.48</v>
      </c>
      <c r="O163" s="75" t="s">
        <v>915</v>
      </c>
      <c r="P163" s="70">
        <v>1710.44</v>
      </c>
      <c r="Q163" s="73" t="s">
        <v>157</v>
      </c>
      <c r="R163" s="73">
        <v>1800.48</v>
      </c>
      <c r="T163" s="73">
        <v>78.069999999999993</v>
      </c>
      <c r="U163" s="70">
        <v>11.97</v>
      </c>
      <c r="V163" s="42">
        <v>17</v>
      </c>
      <c r="W163" t="s">
        <v>1477</v>
      </c>
      <c r="X163" t="s">
        <v>113</v>
      </c>
      <c r="Y163" t="s">
        <v>307</v>
      </c>
      <c r="Z163" t="s">
        <v>541</v>
      </c>
    </row>
    <row r="164" spans="1:26" hidden="1" x14ac:dyDescent="0.25">
      <c r="A164" s="2">
        <v>5</v>
      </c>
      <c r="B164" t="s">
        <v>178</v>
      </c>
      <c r="C164" t="s">
        <v>1196</v>
      </c>
      <c r="D164" t="s">
        <v>1142</v>
      </c>
      <c r="E164" s="2" t="s">
        <v>154</v>
      </c>
      <c r="F164" s="7" t="s">
        <v>172</v>
      </c>
      <c r="G164" s="7" t="s">
        <v>1478</v>
      </c>
      <c r="H164">
        <v>12</v>
      </c>
      <c r="I164">
        <v>2438</v>
      </c>
      <c r="J164">
        <v>7837</v>
      </c>
      <c r="K164" s="2" t="s">
        <v>156</v>
      </c>
      <c r="M164" s="70">
        <v>1</v>
      </c>
      <c r="N164" s="70">
        <v>1422.15</v>
      </c>
      <c r="O164" s="75" t="s">
        <v>927</v>
      </c>
      <c r="P164" s="70">
        <v>427.27</v>
      </c>
      <c r="Q164" s="73" t="s">
        <v>157</v>
      </c>
      <c r="R164" s="73">
        <v>1422.15</v>
      </c>
      <c r="S164" s="73">
        <v>972.87</v>
      </c>
      <c r="T164" s="73">
        <v>19.02</v>
      </c>
      <c r="U164" s="70">
        <v>2.99</v>
      </c>
      <c r="V164" s="42">
        <v>17</v>
      </c>
      <c r="W164" t="s">
        <v>1477</v>
      </c>
      <c r="X164" t="s">
        <v>113</v>
      </c>
      <c r="Y164" t="s">
        <v>307</v>
      </c>
      <c r="Z164" t="s">
        <v>541</v>
      </c>
    </row>
    <row r="165" spans="1:26" hidden="1" x14ac:dyDescent="0.25">
      <c r="A165" s="2">
        <v>6</v>
      </c>
      <c r="B165" t="s">
        <v>178</v>
      </c>
      <c r="C165" t="s">
        <v>1205</v>
      </c>
      <c r="D165" t="s">
        <v>1142</v>
      </c>
      <c r="E165" s="2" t="s">
        <v>154</v>
      </c>
      <c r="F165" s="7" t="s">
        <v>172</v>
      </c>
      <c r="G165" s="7" t="s">
        <v>283</v>
      </c>
      <c r="H165">
        <v>12</v>
      </c>
      <c r="I165">
        <v>2438</v>
      </c>
      <c r="J165">
        <v>10000</v>
      </c>
      <c r="K165" s="2" t="s">
        <v>156</v>
      </c>
      <c r="M165" s="70">
        <v>1</v>
      </c>
      <c r="N165" s="70">
        <v>2296.6</v>
      </c>
      <c r="O165" s="75" t="s">
        <v>180</v>
      </c>
      <c r="P165" s="70">
        <v>2204.81</v>
      </c>
      <c r="Q165" s="73">
        <v>2296.6</v>
      </c>
      <c r="R165" s="73" t="s">
        <v>157</v>
      </c>
      <c r="T165" s="73">
        <v>76.36</v>
      </c>
      <c r="U165" s="70">
        <v>15.43</v>
      </c>
      <c r="V165" s="42">
        <v>17</v>
      </c>
      <c r="W165" t="s">
        <v>1477</v>
      </c>
      <c r="X165" t="s">
        <v>113</v>
      </c>
      <c r="Y165" t="s">
        <v>307</v>
      </c>
      <c r="Z165" t="s">
        <v>541</v>
      </c>
    </row>
    <row r="166" spans="1:26" hidden="1" x14ac:dyDescent="0.25">
      <c r="A166" s="2">
        <v>7</v>
      </c>
      <c r="B166" t="s">
        <v>178</v>
      </c>
      <c r="C166" t="s">
        <v>1229</v>
      </c>
      <c r="D166" t="s">
        <v>1142</v>
      </c>
      <c r="E166" s="2" t="s">
        <v>154</v>
      </c>
      <c r="F166" s="7" t="s">
        <v>172</v>
      </c>
      <c r="G166" s="7" t="s">
        <v>283</v>
      </c>
      <c r="H166">
        <v>12</v>
      </c>
      <c r="I166">
        <v>2438</v>
      </c>
      <c r="J166">
        <v>10000</v>
      </c>
      <c r="K166" s="2" t="s">
        <v>156</v>
      </c>
      <c r="M166" s="70">
        <v>1</v>
      </c>
      <c r="N166" s="70">
        <v>2296.6</v>
      </c>
      <c r="O166" s="75" t="s">
        <v>180</v>
      </c>
      <c r="P166" s="70">
        <v>2187.54</v>
      </c>
      <c r="Q166" s="73">
        <v>2296.6</v>
      </c>
      <c r="R166" s="73" t="s">
        <v>157</v>
      </c>
      <c r="T166" s="73">
        <v>93.75</v>
      </c>
      <c r="U166" s="70">
        <v>15.31</v>
      </c>
      <c r="V166" s="42">
        <v>17</v>
      </c>
      <c r="W166" t="s">
        <v>1477</v>
      </c>
      <c r="X166" t="s">
        <v>113</v>
      </c>
      <c r="Y166" t="s">
        <v>307</v>
      </c>
      <c r="Z166" t="s">
        <v>541</v>
      </c>
    </row>
    <row r="167" spans="1:26" hidden="1" x14ac:dyDescent="0.25">
      <c r="A167" s="2">
        <v>8</v>
      </c>
      <c r="B167" t="s">
        <v>178</v>
      </c>
      <c r="C167" t="s">
        <v>1246</v>
      </c>
      <c r="D167" t="s">
        <v>1142</v>
      </c>
      <c r="E167" s="2" t="s">
        <v>154</v>
      </c>
      <c r="F167" s="7" t="s">
        <v>172</v>
      </c>
      <c r="G167" s="7" t="s">
        <v>283</v>
      </c>
      <c r="H167">
        <v>12</v>
      </c>
      <c r="I167">
        <v>2438</v>
      </c>
      <c r="J167">
        <v>10000</v>
      </c>
      <c r="K167" s="2" t="s">
        <v>156</v>
      </c>
      <c r="M167" s="70">
        <v>1</v>
      </c>
      <c r="N167" s="70">
        <v>2296.6</v>
      </c>
      <c r="O167" s="75" t="s">
        <v>180</v>
      </c>
      <c r="P167" s="70">
        <v>2190.35</v>
      </c>
      <c r="Q167" s="73">
        <v>2296.6</v>
      </c>
      <c r="R167" s="73" t="s">
        <v>157</v>
      </c>
      <c r="T167" s="73">
        <v>90.92</v>
      </c>
      <c r="U167" s="70">
        <v>15.33</v>
      </c>
      <c r="V167" s="42">
        <v>17</v>
      </c>
      <c r="W167" t="s">
        <v>1477</v>
      </c>
      <c r="X167" t="s">
        <v>113</v>
      </c>
      <c r="Y167" t="s">
        <v>307</v>
      </c>
      <c r="Z167" t="s">
        <v>541</v>
      </c>
    </row>
    <row r="168" spans="1:26" hidden="1" x14ac:dyDescent="0.25">
      <c r="A168" s="2">
        <v>9</v>
      </c>
      <c r="B168" t="s">
        <v>178</v>
      </c>
      <c r="C168" t="s">
        <v>1258</v>
      </c>
      <c r="D168" t="s">
        <v>1142</v>
      </c>
      <c r="E168" s="2" t="s">
        <v>154</v>
      </c>
      <c r="F168" s="7" t="s">
        <v>172</v>
      </c>
      <c r="G168" s="7" t="s">
        <v>283</v>
      </c>
      <c r="H168">
        <v>12</v>
      </c>
      <c r="I168">
        <v>2438</v>
      </c>
      <c r="J168">
        <v>10000</v>
      </c>
      <c r="K168" s="2" t="s">
        <v>156</v>
      </c>
      <c r="M168" s="70">
        <v>1</v>
      </c>
      <c r="N168" s="70">
        <v>2296.6</v>
      </c>
      <c r="O168" s="75" t="s">
        <v>180</v>
      </c>
      <c r="P168" s="70">
        <v>2170.96</v>
      </c>
      <c r="Q168" s="73">
        <v>2296.6</v>
      </c>
      <c r="R168" s="73" t="s">
        <v>157</v>
      </c>
      <c r="T168" s="73">
        <v>110.44</v>
      </c>
      <c r="U168" s="70">
        <v>15.2</v>
      </c>
      <c r="V168" s="42">
        <v>17</v>
      </c>
      <c r="W168" t="s">
        <v>1477</v>
      </c>
      <c r="X168" t="s">
        <v>113</v>
      </c>
      <c r="Y168" t="s">
        <v>307</v>
      </c>
      <c r="Z168" t="s">
        <v>541</v>
      </c>
    </row>
    <row r="169" spans="1:26" hidden="1" x14ac:dyDescent="0.25">
      <c r="A169" s="2">
        <v>10</v>
      </c>
      <c r="B169" t="s">
        <v>178</v>
      </c>
      <c r="C169" t="s">
        <v>1277</v>
      </c>
      <c r="D169" t="s">
        <v>1142</v>
      </c>
      <c r="E169" s="2" t="s">
        <v>154</v>
      </c>
      <c r="F169" s="7" t="s">
        <v>172</v>
      </c>
      <c r="G169" s="7" t="s">
        <v>283</v>
      </c>
      <c r="H169">
        <v>12</v>
      </c>
      <c r="I169">
        <v>2438</v>
      </c>
      <c r="J169">
        <v>10000</v>
      </c>
      <c r="K169" s="2" t="s">
        <v>156</v>
      </c>
      <c r="M169" s="70">
        <v>1</v>
      </c>
      <c r="N169" s="70">
        <v>2296.6</v>
      </c>
      <c r="O169" s="75" t="s">
        <v>180</v>
      </c>
      <c r="P169" s="70">
        <v>1177.1099999999999</v>
      </c>
      <c r="Q169" s="73">
        <v>2296.6</v>
      </c>
      <c r="R169" s="73" t="s">
        <v>157</v>
      </c>
      <c r="S169" s="73">
        <v>1002.25</v>
      </c>
      <c r="T169" s="73">
        <v>109</v>
      </c>
      <c r="U169" s="70">
        <v>8.24</v>
      </c>
      <c r="V169" s="42">
        <v>17</v>
      </c>
      <c r="W169" t="s">
        <v>1477</v>
      </c>
      <c r="X169" t="s">
        <v>113</v>
      </c>
      <c r="Y169" t="s">
        <v>307</v>
      </c>
      <c r="Z169" t="s">
        <v>541</v>
      </c>
    </row>
    <row r="170" spans="1:26" hidden="1" x14ac:dyDescent="0.25">
      <c r="A170" s="2">
        <v>11</v>
      </c>
      <c r="B170" t="s">
        <v>178</v>
      </c>
      <c r="C170" t="s">
        <v>1323</v>
      </c>
      <c r="D170" t="s">
        <v>1142</v>
      </c>
      <c r="E170" s="2" t="s">
        <v>154</v>
      </c>
      <c r="F170" s="7" t="s">
        <v>172</v>
      </c>
      <c r="G170" s="7" t="s">
        <v>283</v>
      </c>
      <c r="H170">
        <v>12</v>
      </c>
      <c r="I170">
        <v>2438</v>
      </c>
      <c r="J170">
        <v>10000</v>
      </c>
      <c r="K170" s="2" t="s">
        <v>156</v>
      </c>
      <c r="M170" s="70">
        <v>1</v>
      </c>
      <c r="N170" s="70">
        <v>2296.6</v>
      </c>
      <c r="O170" s="75" t="s">
        <v>180</v>
      </c>
      <c r="P170" s="70">
        <v>920.92</v>
      </c>
      <c r="Q170" s="73">
        <v>2296.6</v>
      </c>
      <c r="R170" s="73" t="s">
        <v>157</v>
      </c>
      <c r="S170" s="73">
        <v>1362.13</v>
      </c>
      <c r="T170" s="73">
        <v>7.1</v>
      </c>
      <c r="U170" s="70">
        <v>6.45</v>
      </c>
      <c r="V170" s="42">
        <v>17</v>
      </c>
      <c r="W170" t="s">
        <v>1477</v>
      </c>
      <c r="X170" t="s">
        <v>113</v>
      </c>
      <c r="Y170" t="s">
        <v>307</v>
      </c>
      <c r="Z170" t="s">
        <v>541</v>
      </c>
    </row>
    <row r="171" spans="1:26" hidden="1" x14ac:dyDescent="0.25">
      <c r="A171" s="2">
        <v>12</v>
      </c>
      <c r="B171" t="s">
        <v>178</v>
      </c>
      <c r="C171" t="s">
        <v>1326</v>
      </c>
      <c r="D171" t="s">
        <v>1142</v>
      </c>
      <c r="E171" s="2" t="s">
        <v>154</v>
      </c>
      <c r="F171" s="7" t="s">
        <v>172</v>
      </c>
      <c r="G171" s="7" t="s">
        <v>283</v>
      </c>
      <c r="H171">
        <v>12</v>
      </c>
      <c r="I171">
        <v>2438</v>
      </c>
      <c r="J171">
        <v>10000</v>
      </c>
      <c r="K171" s="2" t="s">
        <v>156</v>
      </c>
      <c r="M171" s="70">
        <v>1</v>
      </c>
      <c r="N171" s="70">
        <v>2296.6</v>
      </c>
      <c r="O171" s="75" t="s">
        <v>180</v>
      </c>
      <c r="P171" s="70">
        <v>596.32000000000005</v>
      </c>
      <c r="Q171" s="73">
        <v>2296.6</v>
      </c>
      <c r="R171" s="73" t="s">
        <v>157</v>
      </c>
      <c r="S171" s="73">
        <v>1692</v>
      </c>
      <c r="T171" s="73">
        <v>4.1100000000000003</v>
      </c>
      <c r="U171" s="70">
        <v>4.17</v>
      </c>
      <c r="V171" s="42">
        <v>17</v>
      </c>
      <c r="W171" t="s">
        <v>1477</v>
      </c>
      <c r="X171" t="s">
        <v>113</v>
      </c>
      <c r="Y171" t="s">
        <v>307</v>
      </c>
      <c r="Z171" t="s">
        <v>541</v>
      </c>
    </row>
    <row r="172" spans="1:26" hidden="1" x14ac:dyDescent="0.25">
      <c r="A172" s="2">
        <v>13</v>
      </c>
      <c r="B172" t="s">
        <v>178</v>
      </c>
      <c r="C172" t="s">
        <v>1329</v>
      </c>
      <c r="D172" t="s">
        <v>1142</v>
      </c>
      <c r="E172" s="2" t="s">
        <v>154</v>
      </c>
      <c r="F172" s="7" t="s">
        <v>172</v>
      </c>
      <c r="G172" s="7" t="s">
        <v>283</v>
      </c>
      <c r="H172">
        <v>12</v>
      </c>
      <c r="I172">
        <v>2438</v>
      </c>
      <c r="J172">
        <v>10000</v>
      </c>
      <c r="K172" s="2" t="s">
        <v>156</v>
      </c>
      <c r="M172" s="70">
        <v>1</v>
      </c>
      <c r="N172" s="70">
        <v>2296.6</v>
      </c>
      <c r="O172" s="75" t="s">
        <v>180</v>
      </c>
      <c r="P172" s="70">
        <v>1192.6400000000001</v>
      </c>
      <c r="Q172" s="73">
        <v>2296.6</v>
      </c>
      <c r="R172" s="73" t="s">
        <v>157</v>
      </c>
      <c r="S172" s="73">
        <v>1087.4000000000001</v>
      </c>
      <c r="T172" s="73">
        <v>8.2100000000000009</v>
      </c>
      <c r="U172" s="70">
        <v>8.35</v>
      </c>
      <c r="V172" s="42">
        <v>17</v>
      </c>
      <c r="W172" t="s">
        <v>1477</v>
      </c>
      <c r="X172" t="s">
        <v>113</v>
      </c>
      <c r="Y172" t="s">
        <v>307</v>
      </c>
      <c r="Z172" t="s">
        <v>541</v>
      </c>
    </row>
    <row r="173" spans="1:26" hidden="1" x14ac:dyDescent="0.25">
      <c r="A173" s="2">
        <v>14</v>
      </c>
      <c r="B173" t="s">
        <v>178</v>
      </c>
      <c r="C173" t="s">
        <v>1335</v>
      </c>
      <c r="D173" t="s">
        <v>1142</v>
      </c>
      <c r="E173" s="2" t="s">
        <v>154</v>
      </c>
      <c r="F173" s="7" t="s">
        <v>172</v>
      </c>
      <c r="G173" s="7" t="s">
        <v>1133</v>
      </c>
      <c r="H173">
        <v>16</v>
      </c>
      <c r="I173">
        <v>2438</v>
      </c>
      <c r="J173">
        <v>12000</v>
      </c>
      <c r="K173" s="2" t="s">
        <v>156</v>
      </c>
      <c r="M173" s="70">
        <v>1</v>
      </c>
      <c r="N173" s="70">
        <v>3551.72</v>
      </c>
      <c r="O173" s="75" t="s">
        <v>1001</v>
      </c>
      <c r="P173" s="70">
        <v>784.33</v>
      </c>
      <c r="Q173" s="73" t="s">
        <v>157</v>
      </c>
      <c r="R173" s="73">
        <v>3551.72</v>
      </c>
      <c r="S173" s="73">
        <v>2699.16</v>
      </c>
      <c r="T173" s="73">
        <v>62.74</v>
      </c>
      <c r="U173" s="70">
        <v>5.49</v>
      </c>
      <c r="V173" s="42">
        <v>17</v>
      </c>
      <c r="W173" t="s">
        <v>1477</v>
      </c>
      <c r="X173" t="s">
        <v>113</v>
      </c>
      <c r="Y173" t="s">
        <v>307</v>
      </c>
      <c r="Z173" t="s">
        <v>541</v>
      </c>
    </row>
    <row r="174" spans="1:26" hidden="1" x14ac:dyDescent="0.25">
      <c r="A174" s="2">
        <v>15</v>
      </c>
      <c r="B174" t="s">
        <v>178</v>
      </c>
      <c r="C174" t="s">
        <v>1343</v>
      </c>
      <c r="D174" t="s">
        <v>1142</v>
      </c>
      <c r="E174" s="2" t="s">
        <v>154</v>
      </c>
      <c r="F174" s="7" t="s">
        <v>172</v>
      </c>
      <c r="G174" s="7" t="s">
        <v>1479</v>
      </c>
      <c r="H174">
        <v>20</v>
      </c>
      <c r="I174">
        <v>1632</v>
      </c>
      <c r="J174">
        <v>11050</v>
      </c>
      <c r="K174" s="2" t="s">
        <v>156</v>
      </c>
      <c r="M174" s="70">
        <v>1</v>
      </c>
      <c r="N174" s="70">
        <v>2104.7399999999998</v>
      </c>
      <c r="O174" s="75" t="s">
        <v>1082</v>
      </c>
      <c r="P174" s="70">
        <v>1831.8</v>
      </c>
      <c r="Q174" s="73" t="s">
        <v>157</v>
      </c>
      <c r="R174" s="73">
        <v>2104.7399999999998</v>
      </c>
      <c r="S174" s="73">
        <v>224.61</v>
      </c>
      <c r="T174" s="73">
        <v>35.51</v>
      </c>
      <c r="U174" s="70">
        <v>12.82</v>
      </c>
      <c r="V174" s="42">
        <v>17</v>
      </c>
      <c r="W174" t="s">
        <v>1477</v>
      </c>
      <c r="X174" t="s">
        <v>113</v>
      </c>
      <c r="Y174" t="s">
        <v>307</v>
      </c>
      <c r="Z174" t="s">
        <v>541</v>
      </c>
    </row>
    <row r="175" spans="1:26" hidden="1" x14ac:dyDescent="0.25">
      <c r="A175" s="2">
        <v>16</v>
      </c>
      <c r="B175" t="s">
        <v>178</v>
      </c>
      <c r="C175" t="s">
        <v>1359</v>
      </c>
      <c r="D175" t="s">
        <v>1142</v>
      </c>
      <c r="E175" s="2" t="s">
        <v>154</v>
      </c>
      <c r="F175" s="7" t="s">
        <v>172</v>
      </c>
      <c r="G175" s="7" t="s">
        <v>1480</v>
      </c>
      <c r="H175">
        <v>20</v>
      </c>
      <c r="I175">
        <v>1938</v>
      </c>
      <c r="J175">
        <v>10744</v>
      </c>
      <c r="K175" s="2" t="s">
        <v>156</v>
      </c>
      <c r="M175" s="70">
        <v>1</v>
      </c>
      <c r="N175" s="70">
        <v>2903.91</v>
      </c>
      <c r="O175" s="75" t="s">
        <v>1098</v>
      </c>
      <c r="P175" s="70">
        <v>2534.9</v>
      </c>
      <c r="Q175" s="73" t="s">
        <v>157</v>
      </c>
      <c r="R175" s="73">
        <v>2903.91</v>
      </c>
      <c r="S175" s="73">
        <v>270.58999999999997</v>
      </c>
      <c r="T175" s="73">
        <v>80.680000000000007</v>
      </c>
      <c r="U175" s="70">
        <v>17.739999999999998</v>
      </c>
      <c r="V175" s="42">
        <v>17</v>
      </c>
      <c r="W175" t="s">
        <v>1477</v>
      </c>
      <c r="X175" t="s">
        <v>113</v>
      </c>
      <c r="Y175" t="s">
        <v>307</v>
      </c>
      <c r="Z175" t="s">
        <v>541</v>
      </c>
    </row>
    <row r="176" spans="1:26" hidden="1" x14ac:dyDescent="0.25">
      <c r="A176" s="2">
        <v>17</v>
      </c>
      <c r="B176" t="s">
        <v>178</v>
      </c>
      <c r="C176" t="s">
        <v>1365</v>
      </c>
      <c r="D176" t="s">
        <v>1142</v>
      </c>
      <c r="E176" s="2" t="s">
        <v>154</v>
      </c>
      <c r="F176" s="7" t="s">
        <v>172</v>
      </c>
      <c r="G176" s="7" t="s">
        <v>284</v>
      </c>
      <c r="H176">
        <v>20</v>
      </c>
      <c r="I176">
        <v>2550</v>
      </c>
      <c r="J176">
        <v>11050</v>
      </c>
      <c r="K176" s="2" t="s">
        <v>156</v>
      </c>
      <c r="M176" s="70">
        <v>1</v>
      </c>
      <c r="N176" s="70">
        <v>4423.87</v>
      </c>
      <c r="O176" s="75" t="s">
        <v>180</v>
      </c>
      <c r="P176" s="70">
        <v>4001.56</v>
      </c>
      <c r="Q176" s="73">
        <v>4423.87</v>
      </c>
      <c r="R176" s="73" t="s">
        <v>157</v>
      </c>
      <c r="S176" s="73">
        <v>270.58</v>
      </c>
      <c r="T176" s="73">
        <v>123.72</v>
      </c>
      <c r="U176" s="70">
        <v>28.01</v>
      </c>
      <c r="V176" s="42">
        <v>17</v>
      </c>
      <c r="W176" t="s">
        <v>1477</v>
      </c>
      <c r="X176" t="s">
        <v>113</v>
      </c>
      <c r="Y176" t="s">
        <v>307</v>
      </c>
      <c r="Z176" t="s">
        <v>541</v>
      </c>
    </row>
    <row r="177" spans="1:26" hidden="1" x14ac:dyDescent="0.25">
      <c r="A177" s="2">
        <v>18</v>
      </c>
      <c r="B177" t="s">
        <v>178</v>
      </c>
      <c r="C177" t="s">
        <v>1380</v>
      </c>
      <c r="D177" t="s">
        <v>1142</v>
      </c>
      <c r="E177" s="2" t="s">
        <v>154</v>
      </c>
      <c r="F177" s="7" t="s">
        <v>172</v>
      </c>
      <c r="G177" s="7" t="s">
        <v>284</v>
      </c>
      <c r="H177">
        <v>20</v>
      </c>
      <c r="I177">
        <v>2550</v>
      </c>
      <c r="J177">
        <v>11050</v>
      </c>
      <c r="K177" s="2" t="s">
        <v>156</v>
      </c>
      <c r="M177" s="70">
        <v>1</v>
      </c>
      <c r="N177" s="70">
        <v>4423.87</v>
      </c>
      <c r="O177" s="75" t="s">
        <v>180</v>
      </c>
      <c r="P177" s="70">
        <v>4156.08</v>
      </c>
      <c r="Q177" s="73">
        <v>4423.87</v>
      </c>
      <c r="R177" s="73" t="s">
        <v>157</v>
      </c>
      <c r="T177" s="73">
        <v>238.7</v>
      </c>
      <c r="U177" s="70">
        <v>29.09</v>
      </c>
      <c r="V177" s="42">
        <v>17</v>
      </c>
      <c r="W177" t="s">
        <v>1477</v>
      </c>
      <c r="X177" t="s">
        <v>113</v>
      </c>
      <c r="Y177" t="s">
        <v>307</v>
      </c>
      <c r="Z177" t="s">
        <v>541</v>
      </c>
    </row>
    <row r="178" spans="1:26" hidden="1" x14ac:dyDescent="0.25">
      <c r="A178" s="2">
        <v>19</v>
      </c>
      <c r="B178" t="s">
        <v>178</v>
      </c>
      <c r="C178" t="s">
        <v>1397</v>
      </c>
      <c r="D178" t="s">
        <v>1142</v>
      </c>
      <c r="E178" s="2" t="s">
        <v>154</v>
      </c>
      <c r="F178" s="7" t="s">
        <v>172</v>
      </c>
      <c r="G178" s="7" t="s">
        <v>284</v>
      </c>
      <c r="H178">
        <v>20</v>
      </c>
      <c r="I178">
        <v>2550</v>
      </c>
      <c r="J178">
        <v>11050</v>
      </c>
      <c r="K178" s="2" t="s">
        <v>156</v>
      </c>
      <c r="M178" s="70">
        <v>1</v>
      </c>
      <c r="N178" s="70">
        <v>4423.87</v>
      </c>
      <c r="O178" s="75" t="s">
        <v>180</v>
      </c>
      <c r="P178" s="70">
        <v>4106.93</v>
      </c>
      <c r="Q178" s="73">
        <v>4423.87</v>
      </c>
      <c r="R178" s="73" t="s">
        <v>157</v>
      </c>
      <c r="T178" s="73">
        <v>288.19</v>
      </c>
      <c r="U178" s="70">
        <v>28.75</v>
      </c>
      <c r="V178" s="42">
        <v>17</v>
      </c>
      <c r="W178" t="s">
        <v>1477</v>
      </c>
      <c r="X178" t="s">
        <v>113</v>
      </c>
      <c r="Y178" t="s">
        <v>307</v>
      </c>
      <c r="Z178" t="s">
        <v>541</v>
      </c>
    </row>
    <row r="179" spans="1:26" hidden="1" x14ac:dyDescent="0.25">
      <c r="A179" s="2">
        <v>20</v>
      </c>
      <c r="B179" t="s">
        <v>178</v>
      </c>
      <c r="C179" t="s">
        <v>1419</v>
      </c>
      <c r="D179" t="s">
        <v>1142</v>
      </c>
      <c r="E179" s="2" t="s">
        <v>154</v>
      </c>
      <c r="F179" s="7" t="s">
        <v>172</v>
      </c>
      <c r="G179" s="7" t="s">
        <v>284</v>
      </c>
      <c r="H179">
        <v>20</v>
      </c>
      <c r="I179">
        <v>2550</v>
      </c>
      <c r="J179">
        <v>11050</v>
      </c>
      <c r="K179" s="2" t="s">
        <v>156</v>
      </c>
      <c r="M179" s="70">
        <v>1</v>
      </c>
      <c r="N179" s="70">
        <v>4423.87</v>
      </c>
      <c r="O179" s="75" t="s">
        <v>180</v>
      </c>
      <c r="P179" s="70">
        <v>287.36</v>
      </c>
      <c r="Q179" s="73">
        <v>4423.87</v>
      </c>
      <c r="R179" s="73" t="s">
        <v>157</v>
      </c>
      <c r="S179" s="73">
        <v>4130.4799999999996</v>
      </c>
      <c r="T179" s="73">
        <v>4.0199999999999996</v>
      </c>
      <c r="U179" s="70">
        <v>2.0099999999999998</v>
      </c>
      <c r="V179" s="42">
        <v>17</v>
      </c>
      <c r="W179" t="s">
        <v>1477</v>
      </c>
      <c r="X179" t="s">
        <v>113</v>
      </c>
      <c r="Y179" t="s">
        <v>307</v>
      </c>
      <c r="Z179" t="s">
        <v>541</v>
      </c>
    </row>
    <row r="180" spans="1:26" hidden="1" x14ac:dyDescent="0.25">
      <c r="A180" s="2">
        <v>21</v>
      </c>
      <c r="B180" t="s">
        <v>178</v>
      </c>
      <c r="C180" t="s">
        <v>1421</v>
      </c>
      <c r="D180" t="s">
        <v>1142</v>
      </c>
      <c r="E180" s="2" t="s">
        <v>154</v>
      </c>
      <c r="F180" s="7" t="s">
        <v>172</v>
      </c>
      <c r="G180" s="7" t="s">
        <v>1134</v>
      </c>
      <c r="H180">
        <v>20</v>
      </c>
      <c r="I180">
        <v>2550</v>
      </c>
      <c r="J180">
        <v>13000</v>
      </c>
      <c r="K180" s="2" t="s">
        <v>156</v>
      </c>
      <c r="M180" s="70">
        <v>1</v>
      </c>
      <c r="N180" s="70">
        <v>5204.55</v>
      </c>
      <c r="O180" s="75" t="s">
        <v>180</v>
      </c>
      <c r="P180" s="70">
        <v>4719.5600000000004</v>
      </c>
      <c r="Q180" s="73">
        <v>5204.55</v>
      </c>
      <c r="R180" s="73" t="s">
        <v>157</v>
      </c>
      <c r="S180" s="73">
        <v>387.79</v>
      </c>
      <c r="T180" s="73">
        <v>64.16</v>
      </c>
      <c r="U180" s="70">
        <v>33.04</v>
      </c>
      <c r="V180" s="42">
        <v>17</v>
      </c>
      <c r="W180" t="s">
        <v>1477</v>
      </c>
      <c r="X180" t="s">
        <v>113</v>
      </c>
      <c r="Y180" t="s">
        <v>307</v>
      </c>
      <c r="Z180" t="s">
        <v>541</v>
      </c>
    </row>
    <row r="181" spans="1:26" hidden="1" x14ac:dyDescent="0.25">
      <c r="A181" s="2">
        <v>22</v>
      </c>
      <c r="B181" t="s">
        <v>178</v>
      </c>
      <c r="C181" t="s">
        <v>1431</v>
      </c>
      <c r="D181" t="s">
        <v>1142</v>
      </c>
      <c r="E181" s="2" t="s">
        <v>154</v>
      </c>
      <c r="F181" s="7" t="s">
        <v>172</v>
      </c>
      <c r="G181" s="7" t="s">
        <v>1134</v>
      </c>
      <c r="H181">
        <v>20</v>
      </c>
      <c r="I181">
        <v>2550</v>
      </c>
      <c r="J181">
        <v>13000</v>
      </c>
      <c r="K181" s="2" t="s">
        <v>156</v>
      </c>
      <c r="M181" s="70">
        <v>1</v>
      </c>
      <c r="N181" s="70">
        <v>5204.55</v>
      </c>
      <c r="O181" s="75" t="s">
        <v>180</v>
      </c>
      <c r="P181" s="70">
        <v>4893.7299999999996</v>
      </c>
      <c r="Q181" s="73">
        <v>5204.55</v>
      </c>
      <c r="R181" s="73" t="s">
        <v>157</v>
      </c>
      <c r="T181" s="73">
        <v>276.56</v>
      </c>
      <c r="U181" s="70">
        <v>34.26</v>
      </c>
      <c r="V181" s="42">
        <v>17</v>
      </c>
      <c r="W181" t="s">
        <v>1477</v>
      </c>
      <c r="X181" t="s">
        <v>113</v>
      </c>
      <c r="Y181" t="s">
        <v>307</v>
      </c>
      <c r="Z181" t="s">
        <v>541</v>
      </c>
    </row>
    <row r="182" spans="1:26" hidden="1" x14ac:dyDescent="0.25">
      <c r="A182" s="2">
        <v>23</v>
      </c>
      <c r="B182" t="s">
        <v>178</v>
      </c>
      <c r="C182" t="s">
        <v>1450</v>
      </c>
      <c r="D182" t="s">
        <v>1142</v>
      </c>
      <c r="E182" s="2" t="s">
        <v>154</v>
      </c>
      <c r="F182" s="7" t="s">
        <v>172</v>
      </c>
      <c r="G182" s="7" t="s">
        <v>1481</v>
      </c>
      <c r="H182">
        <v>32</v>
      </c>
      <c r="I182">
        <v>1138</v>
      </c>
      <c r="J182">
        <v>9100</v>
      </c>
      <c r="K182" s="2" t="s">
        <v>156</v>
      </c>
      <c r="M182" s="70">
        <v>1</v>
      </c>
      <c r="N182" s="70">
        <v>2371.38</v>
      </c>
      <c r="O182" s="75" t="s">
        <v>1112</v>
      </c>
      <c r="P182" s="70">
        <v>2181.8200000000002</v>
      </c>
      <c r="Q182" s="73" t="s">
        <v>157</v>
      </c>
      <c r="R182" s="73">
        <v>2371.38</v>
      </c>
      <c r="S182" s="73">
        <v>112.47</v>
      </c>
      <c r="T182" s="73">
        <v>61.82</v>
      </c>
      <c r="U182" s="70">
        <v>15.27</v>
      </c>
      <c r="V182" s="42">
        <v>17</v>
      </c>
      <c r="W182" t="s">
        <v>1477</v>
      </c>
      <c r="X182" t="s">
        <v>113</v>
      </c>
      <c r="Y182" t="s">
        <v>307</v>
      </c>
      <c r="Z182" t="s">
        <v>541</v>
      </c>
    </row>
    <row r="183" spans="1:26" hidden="1" x14ac:dyDescent="0.25">
      <c r="A183" s="2">
        <v>24</v>
      </c>
      <c r="B183" t="s">
        <v>178</v>
      </c>
      <c r="C183" t="s">
        <v>1453</v>
      </c>
      <c r="D183" t="s">
        <v>1142</v>
      </c>
      <c r="E183" s="2" t="s">
        <v>154</v>
      </c>
      <c r="F183" s="7" t="s">
        <v>172</v>
      </c>
      <c r="G183" s="7" t="s">
        <v>1136</v>
      </c>
      <c r="H183">
        <v>32</v>
      </c>
      <c r="I183">
        <v>2250</v>
      </c>
      <c r="J183">
        <v>7800</v>
      </c>
      <c r="K183" s="2" t="s">
        <v>156</v>
      </c>
      <c r="M183" s="70">
        <v>1</v>
      </c>
      <c r="N183" s="70">
        <v>4408.5600000000004</v>
      </c>
      <c r="O183" s="75" t="s">
        <v>180</v>
      </c>
      <c r="P183" s="70">
        <v>4233.22</v>
      </c>
      <c r="Q183" s="73">
        <v>4408.5600000000004</v>
      </c>
      <c r="R183" s="73" t="s">
        <v>157</v>
      </c>
      <c r="T183" s="73">
        <v>145.71</v>
      </c>
      <c r="U183" s="70">
        <v>29.63</v>
      </c>
      <c r="V183" s="42">
        <v>17</v>
      </c>
      <c r="W183" t="s">
        <v>1477</v>
      </c>
      <c r="X183" t="s">
        <v>113</v>
      </c>
      <c r="Y183" t="s">
        <v>307</v>
      </c>
      <c r="Z183" t="s">
        <v>541</v>
      </c>
    </row>
    <row r="184" spans="1:26" hidden="1" x14ac:dyDescent="0.25">
      <c r="A184" s="2">
        <v>25</v>
      </c>
      <c r="B184" t="s">
        <v>178</v>
      </c>
      <c r="C184" t="s">
        <v>1458</v>
      </c>
      <c r="D184" t="s">
        <v>1142</v>
      </c>
      <c r="E184" s="2" t="s">
        <v>154</v>
      </c>
      <c r="F184" s="7" t="s">
        <v>273</v>
      </c>
      <c r="G184" s="7" t="s">
        <v>1482</v>
      </c>
      <c r="H184">
        <v>40</v>
      </c>
      <c r="I184">
        <v>2400</v>
      </c>
      <c r="J184">
        <v>8100</v>
      </c>
      <c r="K184" s="2" t="s">
        <v>156</v>
      </c>
      <c r="M184" s="70">
        <v>1</v>
      </c>
      <c r="N184" s="70">
        <v>5085.55</v>
      </c>
      <c r="O184" s="75" t="s">
        <v>722</v>
      </c>
      <c r="P184" s="70">
        <v>3332.35</v>
      </c>
      <c r="Q184" s="73" t="s">
        <v>157</v>
      </c>
      <c r="R184" s="73">
        <v>5085.55</v>
      </c>
      <c r="S184" s="73">
        <v>1601.21</v>
      </c>
      <c r="T184" s="73">
        <v>128.66</v>
      </c>
      <c r="U184" s="70">
        <v>23.33</v>
      </c>
      <c r="V184" s="42">
        <v>17</v>
      </c>
      <c r="W184" t="s">
        <v>1477</v>
      </c>
      <c r="X184" t="s">
        <v>113</v>
      </c>
      <c r="Y184" t="s">
        <v>307</v>
      </c>
    </row>
    <row r="185" spans="1:26" hidden="1" x14ac:dyDescent="0.25">
      <c r="A185" s="2">
        <v>26</v>
      </c>
      <c r="B185" t="s">
        <v>178</v>
      </c>
      <c r="C185" t="s">
        <v>1465</v>
      </c>
      <c r="D185" t="s">
        <v>1142</v>
      </c>
      <c r="E185" s="2" t="s">
        <v>154</v>
      </c>
      <c r="F185" s="7" t="s">
        <v>257</v>
      </c>
      <c r="G185" s="7" t="s">
        <v>1483</v>
      </c>
      <c r="H185">
        <v>50</v>
      </c>
      <c r="I185">
        <v>2000</v>
      </c>
      <c r="J185">
        <v>3678</v>
      </c>
      <c r="K185" s="2" t="s">
        <v>156</v>
      </c>
      <c r="M185" s="70">
        <v>1</v>
      </c>
      <c r="N185" s="70">
        <v>1564.16</v>
      </c>
      <c r="O185" s="75" t="s">
        <v>1466</v>
      </c>
      <c r="P185" s="70">
        <v>992.86</v>
      </c>
      <c r="Q185" s="73" t="s">
        <v>157</v>
      </c>
      <c r="R185" s="73">
        <v>1564.16</v>
      </c>
      <c r="S185" s="73">
        <v>417.67</v>
      </c>
      <c r="T185" s="73">
        <v>146.68</v>
      </c>
      <c r="U185" s="70">
        <v>6.95</v>
      </c>
      <c r="V185" s="42">
        <v>17</v>
      </c>
      <c r="W185" t="s">
        <v>1477</v>
      </c>
      <c r="X185" t="s">
        <v>113</v>
      </c>
      <c r="Y185" t="s">
        <v>307</v>
      </c>
      <c r="Z185" t="s">
        <v>541</v>
      </c>
    </row>
    <row r="186" spans="1:26" hidden="1" x14ac:dyDescent="0.25">
      <c r="A186" s="2">
        <v>27</v>
      </c>
      <c r="B186" t="s">
        <v>178</v>
      </c>
      <c r="C186" t="s">
        <v>1468</v>
      </c>
      <c r="D186" t="s">
        <v>1142</v>
      </c>
      <c r="E186" s="2" t="s">
        <v>154</v>
      </c>
      <c r="F186" s="7" t="s">
        <v>257</v>
      </c>
      <c r="G186" s="7" t="s">
        <v>435</v>
      </c>
      <c r="H186">
        <v>50</v>
      </c>
      <c r="I186">
        <v>2500</v>
      </c>
      <c r="J186">
        <v>6000</v>
      </c>
      <c r="K186" s="2" t="s">
        <v>156</v>
      </c>
      <c r="M186" s="70">
        <v>1</v>
      </c>
      <c r="N186" s="70">
        <v>5887.5</v>
      </c>
      <c r="O186" s="75" t="s">
        <v>180</v>
      </c>
      <c r="P186" s="70">
        <v>4467.87</v>
      </c>
      <c r="Q186" s="73">
        <v>5887.5</v>
      </c>
      <c r="R186" s="73" t="s">
        <v>157</v>
      </c>
      <c r="T186" s="73">
        <v>1388.35</v>
      </c>
      <c r="U186" s="70">
        <v>31.28</v>
      </c>
      <c r="V186" s="42">
        <v>17</v>
      </c>
      <c r="W186" t="s">
        <v>1477</v>
      </c>
      <c r="X186" t="s">
        <v>113</v>
      </c>
      <c r="Y186" t="s">
        <v>307</v>
      </c>
      <c r="Z186" t="s">
        <v>541</v>
      </c>
    </row>
    <row r="187" spans="1:26" hidden="1" x14ac:dyDescent="0.25">
      <c r="A187" s="2">
        <v>28</v>
      </c>
      <c r="B187" s="98" t="str">
        <f>IF(LEN('[2]List chi tiet'!$B$3)=0,"",'[2]List chi tiet'!$B$3)</f>
        <v xml:space="preserve"> 10726-141</v>
      </c>
      <c r="C187" s="98" t="s">
        <v>1473</v>
      </c>
      <c r="D187" s="98" t="str">
        <f>IF(LEN('[2]List chi tiet'!$B$4)=0,"",'[2]List chi tiet'!$B$4)</f>
        <v>PLATFORM-MAIN STRUCTURE-BEAM(9.KC2-8.KMB)</v>
      </c>
      <c r="E187" s="98" t="s">
        <v>154</v>
      </c>
      <c r="F187" s="98" t="s">
        <v>257</v>
      </c>
      <c r="G187" s="98" t="s">
        <v>1484</v>
      </c>
      <c r="H187" s="98">
        <v>50</v>
      </c>
      <c r="I187" s="98">
        <v>2500</v>
      </c>
      <c r="J187" s="98">
        <v>5000</v>
      </c>
      <c r="K187" s="98" t="s">
        <v>156</v>
      </c>
      <c r="L187" s="98"/>
      <c r="M187" s="98">
        <v>1</v>
      </c>
      <c r="N187" s="98">
        <v>4906.25</v>
      </c>
      <c r="O187" s="98" t="s">
        <v>180</v>
      </c>
      <c r="P187" s="98">
        <v>2482.15</v>
      </c>
      <c r="Q187" s="98">
        <f t="shared" ref="Q187" si="4">IF(O187="NEWPLATE", N187, "")</f>
        <v>4906.25</v>
      </c>
      <c r="R187" s="98" t="str">
        <f t="shared" ref="R187" si="5">IF(O187&lt;&gt;"NEWPLATE", N187, "")</f>
        <v/>
      </c>
      <c r="S187" s="98">
        <v>1843</v>
      </c>
      <c r="T187" s="98">
        <f t="shared" ref="T187" si="6">MAX(ROUND(N187-P187-IF(S187="",0,S187)-U187, 2), 0)</f>
        <v>563.72</v>
      </c>
      <c r="U187" s="98">
        <f t="shared" ref="U187" si="7">ROUND(P187*0.7/100, 2)</f>
        <v>17.38</v>
      </c>
      <c r="V187" s="98">
        <v>17</v>
      </c>
      <c r="W187" s="98" t="s">
        <v>1477</v>
      </c>
      <c r="X187" s="98" t="str">
        <f>IF(LEN('[2]List chi tiet'!$B$2)=0,"",'[2]List chi tiet'!$B$2)</f>
        <v xml:space="preserve"> 10726-141 DG XK SHIPLIFT ÚC</v>
      </c>
      <c r="Y187" s="98" t="s">
        <v>434</v>
      </c>
      <c r="Z187" s="98" t="s">
        <v>541</v>
      </c>
    </row>
    <row r="188" spans="1:26" hidden="1" x14ac:dyDescent="0.25">
      <c r="A188" s="2">
        <v>1</v>
      </c>
      <c r="B188" t="s">
        <v>178</v>
      </c>
      <c r="C188" t="s">
        <v>1488</v>
      </c>
      <c r="D188" t="s">
        <v>1490</v>
      </c>
      <c r="E188" s="2" t="s">
        <v>154</v>
      </c>
      <c r="F188" s="7" t="s">
        <v>273</v>
      </c>
      <c r="G188" s="7" t="s">
        <v>621</v>
      </c>
      <c r="H188">
        <v>40</v>
      </c>
      <c r="I188">
        <v>898</v>
      </c>
      <c r="J188">
        <v>8050</v>
      </c>
      <c r="K188" s="2" t="s">
        <v>156</v>
      </c>
      <c r="M188" s="70">
        <v>1</v>
      </c>
      <c r="N188" s="70">
        <v>740.92</v>
      </c>
      <c r="O188" s="75" t="s">
        <v>655</v>
      </c>
      <c r="P188" s="70">
        <v>87.92</v>
      </c>
      <c r="Q188" s="73" t="s">
        <v>157</v>
      </c>
      <c r="R188" s="73">
        <v>740.92</v>
      </c>
      <c r="S188" s="73">
        <v>632.4</v>
      </c>
      <c r="T188" s="73">
        <v>19.98</v>
      </c>
      <c r="U188" s="70">
        <v>0.62</v>
      </c>
      <c r="V188" s="42">
        <v>18</v>
      </c>
      <c r="W188" t="s">
        <v>1491</v>
      </c>
      <c r="X188" t="s">
        <v>113</v>
      </c>
      <c r="Y188" t="s">
        <v>307</v>
      </c>
      <c r="Z188" t="s">
        <v>430</v>
      </c>
    </row>
    <row r="189" spans="1:26" hidden="1" x14ac:dyDescent="0.25">
      <c r="A189" s="2">
        <v>1</v>
      </c>
      <c r="B189" t="s">
        <v>178</v>
      </c>
      <c r="C189" t="s">
        <v>1494</v>
      </c>
      <c r="D189" t="s">
        <v>1496</v>
      </c>
      <c r="E189" s="2" t="s">
        <v>154</v>
      </c>
      <c r="F189" s="7" t="s">
        <v>273</v>
      </c>
      <c r="G189" s="7" t="s">
        <v>283</v>
      </c>
      <c r="H189">
        <v>12</v>
      </c>
      <c r="I189">
        <v>2438</v>
      </c>
      <c r="J189">
        <v>10000</v>
      </c>
      <c r="K189" s="2" t="s">
        <v>156</v>
      </c>
      <c r="M189" s="70">
        <v>1</v>
      </c>
      <c r="N189" s="70">
        <v>2296.6</v>
      </c>
      <c r="O189" s="75" t="s">
        <v>180</v>
      </c>
      <c r="P189" s="70">
        <v>918.4</v>
      </c>
      <c r="Q189" s="73">
        <v>2296.6</v>
      </c>
      <c r="R189" s="73" t="s">
        <v>157</v>
      </c>
      <c r="S189" s="73">
        <v>1352.99</v>
      </c>
      <c r="T189" s="73">
        <v>18.78</v>
      </c>
      <c r="U189" s="70">
        <v>6.43</v>
      </c>
      <c r="V189" s="42">
        <v>20</v>
      </c>
      <c r="W189" t="s">
        <v>1529</v>
      </c>
      <c r="X189" t="s">
        <v>113</v>
      </c>
      <c r="Y189" t="s">
        <v>307</v>
      </c>
      <c r="Z189" t="s">
        <v>430</v>
      </c>
    </row>
    <row r="190" spans="1:26" hidden="1" x14ac:dyDescent="0.25">
      <c r="A190" s="2">
        <v>1</v>
      </c>
      <c r="B190" t="s">
        <v>178</v>
      </c>
      <c r="C190" t="s">
        <v>1532</v>
      </c>
      <c r="D190" t="s">
        <v>1142</v>
      </c>
      <c r="E190" s="2" t="s">
        <v>154</v>
      </c>
      <c r="F190" s="7" t="s">
        <v>273</v>
      </c>
      <c r="G190" s="7" t="s">
        <v>1566</v>
      </c>
      <c r="H190">
        <v>12</v>
      </c>
      <c r="I190">
        <v>2438</v>
      </c>
      <c r="J190">
        <v>6148</v>
      </c>
      <c r="K190" s="2" t="s">
        <v>156</v>
      </c>
      <c r="M190" s="70">
        <v>1</v>
      </c>
      <c r="N190" s="70">
        <v>1352.99</v>
      </c>
      <c r="O190" s="75" t="s">
        <v>1533</v>
      </c>
      <c r="P190" s="70">
        <v>918.4</v>
      </c>
      <c r="Q190" s="73" t="s">
        <v>157</v>
      </c>
      <c r="R190" s="73">
        <v>1352.99</v>
      </c>
      <c r="S190" s="73">
        <v>410.17</v>
      </c>
      <c r="T190" s="73">
        <v>17.989999999999998</v>
      </c>
      <c r="U190" s="70">
        <v>6.43</v>
      </c>
      <c r="V190" s="42">
        <v>21</v>
      </c>
      <c r="W190" t="s">
        <v>1567</v>
      </c>
      <c r="X190" t="s">
        <v>113</v>
      </c>
      <c r="Y190" t="s">
        <v>307</v>
      </c>
      <c r="Z190" t="s">
        <v>430</v>
      </c>
    </row>
    <row r="191" spans="1:26" hidden="1" x14ac:dyDescent="0.25">
      <c r="A191" s="2">
        <v>1</v>
      </c>
      <c r="B191" t="s">
        <v>178</v>
      </c>
      <c r="C191" t="s">
        <v>1571</v>
      </c>
      <c r="D191" t="s">
        <v>1573</v>
      </c>
      <c r="E191" s="2" t="s">
        <v>154</v>
      </c>
      <c r="F191" s="7" t="s">
        <v>273</v>
      </c>
      <c r="G191" s="7" t="s">
        <v>1998</v>
      </c>
      <c r="H191">
        <v>12</v>
      </c>
      <c r="I191">
        <v>1965</v>
      </c>
      <c r="J191">
        <v>6772</v>
      </c>
      <c r="K191" s="2" t="s">
        <v>156</v>
      </c>
      <c r="M191" s="70">
        <v>1</v>
      </c>
      <c r="N191" s="70">
        <v>1245.44</v>
      </c>
      <c r="O191" s="75" t="s">
        <v>1574</v>
      </c>
      <c r="P191" s="70">
        <v>1207.5</v>
      </c>
      <c r="Q191" s="73" t="s">
        <v>157</v>
      </c>
      <c r="R191" s="73">
        <v>1245.44</v>
      </c>
      <c r="T191" s="73">
        <v>29.49</v>
      </c>
      <c r="U191" s="70">
        <v>8.4499999999999993</v>
      </c>
      <c r="V191" s="42">
        <v>22</v>
      </c>
      <c r="W191" t="s">
        <v>1999</v>
      </c>
      <c r="X191" t="s">
        <v>113</v>
      </c>
      <c r="Y191" t="s">
        <v>307</v>
      </c>
      <c r="Z191" t="s">
        <v>430</v>
      </c>
    </row>
    <row r="192" spans="1:26" hidden="1" x14ac:dyDescent="0.25">
      <c r="A192" s="2">
        <v>2</v>
      </c>
      <c r="B192" t="s">
        <v>178</v>
      </c>
      <c r="C192" t="s">
        <v>1589</v>
      </c>
      <c r="D192" t="s">
        <v>1573</v>
      </c>
      <c r="E192" s="2" t="s">
        <v>154</v>
      </c>
      <c r="F192" s="7" t="s">
        <v>273</v>
      </c>
      <c r="G192" s="7" t="s">
        <v>2000</v>
      </c>
      <c r="H192">
        <v>12</v>
      </c>
      <c r="I192">
        <v>1961</v>
      </c>
      <c r="J192">
        <v>6714</v>
      </c>
      <c r="K192" s="2" t="s">
        <v>156</v>
      </c>
      <c r="M192" s="70">
        <v>1</v>
      </c>
      <c r="N192" s="70">
        <v>1229.94</v>
      </c>
      <c r="O192" s="75" t="s">
        <v>1590</v>
      </c>
      <c r="P192" s="70">
        <v>1204.29</v>
      </c>
      <c r="Q192" s="73" t="s">
        <v>157</v>
      </c>
      <c r="R192" s="73">
        <v>1229.94</v>
      </c>
      <c r="T192" s="73">
        <v>17.22</v>
      </c>
      <c r="U192" s="70">
        <v>8.43</v>
      </c>
      <c r="V192" s="42">
        <v>22</v>
      </c>
      <c r="W192" t="s">
        <v>1999</v>
      </c>
      <c r="X192" t="s">
        <v>113</v>
      </c>
      <c r="Y192" t="s">
        <v>307</v>
      </c>
      <c r="Z192" t="s">
        <v>430</v>
      </c>
    </row>
    <row r="193" spans="1:26" hidden="1" x14ac:dyDescent="0.25">
      <c r="A193" s="2">
        <v>3</v>
      </c>
      <c r="B193" t="s">
        <v>178</v>
      </c>
      <c r="C193" t="s">
        <v>1604</v>
      </c>
      <c r="D193" t="s">
        <v>1573</v>
      </c>
      <c r="E193" s="2" t="s">
        <v>154</v>
      </c>
      <c r="F193" s="7" t="s">
        <v>273</v>
      </c>
      <c r="G193" s="7" t="s">
        <v>2001</v>
      </c>
      <c r="H193">
        <v>12</v>
      </c>
      <c r="I193">
        <v>2438</v>
      </c>
      <c r="J193">
        <v>6714</v>
      </c>
      <c r="K193" s="2" t="s">
        <v>156</v>
      </c>
      <c r="M193" s="70">
        <v>1</v>
      </c>
      <c r="N193" s="70">
        <v>1326.06</v>
      </c>
      <c r="O193" s="75" t="s">
        <v>1605</v>
      </c>
      <c r="P193" s="70">
        <v>1234.98</v>
      </c>
      <c r="Q193" s="73" t="s">
        <v>157</v>
      </c>
      <c r="R193" s="73">
        <v>1326.06</v>
      </c>
      <c r="T193" s="73">
        <v>82.44</v>
      </c>
      <c r="U193" s="70">
        <v>8.64</v>
      </c>
      <c r="V193" s="42">
        <v>22</v>
      </c>
      <c r="W193" t="s">
        <v>1999</v>
      </c>
      <c r="X193" t="s">
        <v>113</v>
      </c>
      <c r="Y193" t="s">
        <v>307</v>
      </c>
      <c r="Z193" t="s">
        <v>430</v>
      </c>
    </row>
    <row r="194" spans="1:26" hidden="1" x14ac:dyDescent="0.25">
      <c r="A194" s="2">
        <v>4</v>
      </c>
      <c r="B194" t="s">
        <v>178</v>
      </c>
      <c r="C194" t="s">
        <v>1629</v>
      </c>
      <c r="D194" t="s">
        <v>1573</v>
      </c>
      <c r="E194" s="2" t="s">
        <v>154</v>
      </c>
      <c r="F194" s="7" t="s">
        <v>273</v>
      </c>
      <c r="G194" s="7" t="s">
        <v>2002</v>
      </c>
      <c r="H194">
        <v>12</v>
      </c>
      <c r="I194">
        <v>2295</v>
      </c>
      <c r="J194">
        <v>2438</v>
      </c>
      <c r="K194" s="2" t="s">
        <v>156</v>
      </c>
      <c r="M194" s="70">
        <v>1</v>
      </c>
      <c r="N194" s="70">
        <v>410.17</v>
      </c>
      <c r="O194" s="75" t="s">
        <v>1630</v>
      </c>
      <c r="P194" s="70">
        <v>379.55</v>
      </c>
      <c r="Q194" s="73" t="s">
        <v>157</v>
      </c>
      <c r="R194" s="73">
        <v>410.17</v>
      </c>
      <c r="T194" s="73">
        <v>27.96</v>
      </c>
      <c r="U194" s="70">
        <v>2.66</v>
      </c>
      <c r="V194" s="42">
        <v>22</v>
      </c>
      <c r="W194" t="s">
        <v>1999</v>
      </c>
      <c r="X194" t="s">
        <v>113</v>
      </c>
      <c r="Y194" t="s">
        <v>307</v>
      </c>
      <c r="Z194" t="s">
        <v>430</v>
      </c>
    </row>
    <row r="195" spans="1:26" hidden="1" x14ac:dyDescent="0.25">
      <c r="A195" s="2">
        <v>5</v>
      </c>
      <c r="B195" t="s">
        <v>178</v>
      </c>
      <c r="C195" t="s">
        <v>1641</v>
      </c>
      <c r="D195" t="s">
        <v>1573</v>
      </c>
      <c r="E195" s="2" t="s">
        <v>154</v>
      </c>
      <c r="F195" s="7" t="s">
        <v>273</v>
      </c>
      <c r="G195" s="7" t="s">
        <v>283</v>
      </c>
      <c r="H195">
        <v>12</v>
      </c>
      <c r="I195">
        <v>2438</v>
      </c>
      <c r="J195">
        <v>10000</v>
      </c>
      <c r="K195" s="2" t="s">
        <v>156</v>
      </c>
      <c r="M195" s="70">
        <v>1</v>
      </c>
      <c r="N195" s="70">
        <v>1087.4000000000001</v>
      </c>
      <c r="O195" s="75" t="s">
        <v>1642</v>
      </c>
      <c r="P195" s="70">
        <v>1007.36</v>
      </c>
      <c r="Q195" s="73" t="s">
        <v>157</v>
      </c>
      <c r="R195" s="73">
        <v>1087.4000000000001</v>
      </c>
      <c r="T195" s="73">
        <v>72.989999999999995</v>
      </c>
      <c r="U195" s="70">
        <v>7.05</v>
      </c>
      <c r="V195" s="42">
        <v>22</v>
      </c>
      <c r="W195" t="s">
        <v>1999</v>
      </c>
      <c r="X195" t="s">
        <v>113</v>
      </c>
      <c r="Y195" t="s">
        <v>307</v>
      </c>
      <c r="Z195" t="s">
        <v>430</v>
      </c>
    </row>
    <row r="196" spans="1:26" hidden="1" x14ac:dyDescent="0.25">
      <c r="A196" s="2">
        <v>6</v>
      </c>
      <c r="B196" t="s">
        <v>178</v>
      </c>
      <c r="C196" t="s">
        <v>1661</v>
      </c>
      <c r="D196" t="s">
        <v>1573</v>
      </c>
      <c r="E196" s="2" t="s">
        <v>154</v>
      </c>
      <c r="F196" s="7" t="s">
        <v>273</v>
      </c>
      <c r="G196" s="7" t="s">
        <v>283</v>
      </c>
      <c r="H196">
        <v>12</v>
      </c>
      <c r="I196">
        <v>2438</v>
      </c>
      <c r="J196">
        <v>10000</v>
      </c>
      <c r="K196" s="2" t="s">
        <v>156</v>
      </c>
      <c r="M196" s="70">
        <v>1</v>
      </c>
      <c r="N196" s="70">
        <v>1692</v>
      </c>
      <c r="O196" s="75" t="s">
        <v>1662</v>
      </c>
      <c r="P196" s="70">
        <v>1606.23</v>
      </c>
      <c r="Q196" s="73" t="s">
        <v>157</v>
      </c>
      <c r="R196" s="73">
        <v>1692</v>
      </c>
      <c r="T196" s="73">
        <v>74.53</v>
      </c>
      <c r="U196" s="70">
        <v>11.24</v>
      </c>
      <c r="V196" s="42">
        <v>22</v>
      </c>
      <c r="W196" t="s">
        <v>1999</v>
      </c>
      <c r="X196" t="s">
        <v>113</v>
      </c>
      <c r="Y196" t="s">
        <v>307</v>
      </c>
      <c r="Z196" t="s">
        <v>430</v>
      </c>
    </row>
    <row r="197" spans="1:26" hidden="1" x14ac:dyDescent="0.25">
      <c r="A197" s="2">
        <v>7</v>
      </c>
      <c r="B197" t="s">
        <v>178</v>
      </c>
      <c r="C197" t="s">
        <v>1677</v>
      </c>
      <c r="D197" t="s">
        <v>1573</v>
      </c>
      <c r="E197" s="2" t="s">
        <v>154</v>
      </c>
      <c r="F197" s="7" t="s">
        <v>273</v>
      </c>
      <c r="G197" s="7" t="s">
        <v>2003</v>
      </c>
      <c r="H197">
        <v>12</v>
      </c>
      <c r="I197">
        <v>1971</v>
      </c>
      <c r="J197">
        <v>7837</v>
      </c>
      <c r="K197" s="2" t="s">
        <v>156</v>
      </c>
      <c r="M197" s="70">
        <v>1</v>
      </c>
      <c r="N197" s="70">
        <v>972.87</v>
      </c>
      <c r="O197" s="75" t="s">
        <v>1678</v>
      </c>
      <c r="P197" s="70">
        <v>896.47</v>
      </c>
      <c r="Q197" s="73" t="s">
        <v>157</v>
      </c>
      <c r="R197" s="73">
        <v>972.87</v>
      </c>
      <c r="T197" s="73">
        <v>70.12</v>
      </c>
      <c r="U197" s="70">
        <v>6.28</v>
      </c>
      <c r="V197" s="42">
        <v>22</v>
      </c>
      <c r="W197" t="s">
        <v>1999</v>
      </c>
      <c r="X197" t="s">
        <v>113</v>
      </c>
      <c r="Y197" t="s">
        <v>307</v>
      </c>
      <c r="Z197" t="s">
        <v>430</v>
      </c>
    </row>
    <row r="198" spans="1:26" hidden="1" x14ac:dyDescent="0.25">
      <c r="A198" s="2">
        <v>8</v>
      </c>
      <c r="B198" t="s">
        <v>178</v>
      </c>
      <c r="C198" t="s">
        <v>1688</v>
      </c>
      <c r="D198" t="s">
        <v>1573</v>
      </c>
      <c r="E198" s="2" t="s">
        <v>154</v>
      </c>
      <c r="F198" s="7" t="s">
        <v>273</v>
      </c>
      <c r="G198" s="7" t="s">
        <v>283</v>
      </c>
      <c r="H198">
        <v>12</v>
      </c>
      <c r="I198">
        <v>2438</v>
      </c>
      <c r="J198">
        <v>10000</v>
      </c>
      <c r="K198" s="2" t="s">
        <v>156</v>
      </c>
      <c r="M198" s="70">
        <v>1</v>
      </c>
      <c r="N198" s="70">
        <v>2020.73</v>
      </c>
      <c r="O198" s="75" t="s">
        <v>1689</v>
      </c>
      <c r="P198" s="70">
        <v>1940.95</v>
      </c>
      <c r="Q198" s="73" t="s">
        <v>157</v>
      </c>
      <c r="R198" s="73">
        <v>2020.73</v>
      </c>
      <c r="T198" s="73">
        <v>66.19</v>
      </c>
      <c r="U198" s="70">
        <v>13.59</v>
      </c>
      <c r="V198" s="42">
        <v>22</v>
      </c>
      <c r="W198" t="s">
        <v>1999</v>
      </c>
      <c r="X198" t="s">
        <v>113</v>
      </c>
      <c r="Y198" t="s">
        <v>307</v>
      </c>
      <c r="Z198" t="s">
        <v>430</v>
      </c>
    </row>
    <row r="199" spans="1:26" hidden="1" x14ac:dyDescent="0.25">
      <c r="A199" s="2">
        <v>9</v>
      </c>
      <c r="B199" t="s">
        <v>178</v>
      </c>
      <c r="C199" t="s">
        <v>1707</v>
      </c>
      <c r="D199" t="s">
        <v>1573</v>
      </c>
      <c r="E199" s="2" t="s">
        <v>154</v>
      </c>
      <c r="F199" s="7" t="s">
        <v>273</v>
      </c>
      <c r="G199" s="7" t="s">
        <v>2004</v>
      </c>
      <c r="H199">
        <v>12</v>
      </c>
      <c r="I199">
        <v>1961</v>
      </c>
      <c r="J199">
        <v>6713</v>
      </c>
      <c r="K199" s="2" t="s">
        <v>156</v>
      </c>
      <c r="M199" s="70">
        <v>1</v>
      </c>
      <c r="N199" s="70">
        <v>1239.8399999999999</v>
      </c>
      <c r="O199" s="75" t="s">
        <v>1708</v>
      </c>
      <c r="P199" s="70">
        <v>1172.96</v>
      </c>
      <c r="Q199" s="73" t="s">
        <v>157</v>
      </c>
      <c r="R199" s="73">
        <v>1239.8399999999999</v>
      </c>
      <c r="T199" s="73">
        <v>58.67</v>
      </c>
      <c r="U199" s="70">
        <v>8.2100000000000009</v>
      </c>
      <c r="V199" s="42">
        <v>22</v>
      </c>
      <c r="W199" t="s">
        <v>1999</v>
      </c>
      <c r="X199" t="s">
        <v>113</v>
      </c>
      <c r="Y199" t="s">
        <v>307</v>
      </c>
      <c r="Z199" t="s">
        <v>430</v>
      </c>
    </row>
    <row r="200" spans="1:26" hidden="1" x14ac:dyDescent="0.25">
      <c r="A200" s="2">
        <v>10</v>
      </c>
      <c r="B200" t="s">
        <v>178</v>
      </c>
      <c r="C200" t="s">
        <v>1723</v>
      </c>
      <c r="D200" t="s">
        <v>1573</v>
      </c>
      <c r="E200" s="2" t="s">
        <v>154</v>
      </c>
      <c r="F200" s="7" t="s">
        <v>273</v>
      </c>
      <c r="G200" s="7" t="s">
        <v>2005</v>
      </c>
      <c r="H200">
        <v>12</v>
      </c>
      <c r="I200">
        <v>1961</v>
      </c>
      <c r="J200">
        <v>6773</v>
      </c>
      <c r="K200" s="2" t="s">
        <v>156</v>
      </c>
      <c r="M200" s="70">
        <v>1</v>
      </c>
      <c r="N200" s="70">
        <v>1250.83</v>
      </c>
      <c r="O200" s="75" t="s">
        <v>1724</v>
      </c>
      <c r="P200" s="70">
        <v>1183.6199999999999</v>
      </c>
      <c r="Q200" s="73" t="s">
        <v>157</v>
      </c>
      <c r="R200" s="73">
        <v>1250.83</v>
      </c>
      <c r="T200" s="73">
        <v>58.92</v>
      </c>
      <c r="U200" s="70">
        <v>8.2899999999999991</v>
      </c>
      <c r="V200" s="42">
        <v>22</v>
      </c>
      <c r="W200" t="s">
        <v>1999</v>
      </c>
      <c r="X200" t="s">
        <v>113</v>
      </c>
      <c r="Y200" t="s">
        <v>307</v>
      </c>
      <c r="Z200" t="s">
        <v>430</v>
      </c>
    </row>
    <row r="201" spans="1:26" hidden="1" x14ac:dyDescent="0.25">
      <c r="A201" s="2">
        <v>11</v>
      </c>
      <c r="B201" t="s">
        <v>178</v>
      </c>
      <c r="C201" t="s">
        <v>1733</v>
      </c>
      <c r="D201" t="s">
        <v>1573</v>
      </c>
      <c r="E201" s="2" t="s">
        <v>154</v>
      </c>
      <c r="F201" s="7" t="s">
        <v>273</v>
      </c>
      <c r="G201" s="7" t="s">
        <v>2004</v>
      </c>
      <c r="H201">
        <v>12</v>
      </c>
      <c r="I201">
        <v>1961</v>
      </c>
      <c r="J201">
        <v>6713</v>
      </c>
      <c r="K201" s="2" t="s">
        <v>156</v>
      </c>
      <c r="M201" s="70">
        <v>1</v>
      </c>
      <c r="N201" s="70">
        <v>1239.8399999999999</v>
      </c>
      <c r="O201" s="75" t="s">
        <v>1734</v>
      </c>
      <c r="P201" s="70">
        <v>1175.26</v>
      </c>
      <c r="Q201" s="73" t="s">
        <v>157</v>
      </c>
      <c r="R201" s="73">
        <v>1239.8399999999999</v>
      </c>
      <c r="T201" s="73">
        <v>56.35</v>
      </c>
      <c r="U201" s="70">
        <v>8.23</v>
      </c>
      <c r="V201" s="42">
        <v>22</v>
      </c>
      <c r="W201" t="s">
        <v>1999</v>
      </c>
      <c r="X201" t="s">
        <v>113</v>
      </c>
      <c r="Y201" t="s">
        <v>307</v>
      </c>
      <c r="Z201" t="s">
        <v>430</v>
      </c>
    </row>
    <row r="202" spans="1:26" hidden="1" x14ac:dyDescent="0.25">
      <c r="A202" s="2">
        <v>12</v>
      </c>
      <c r="B202" t="s">
        <v>178</v>
      </c>
      <c r="C202" t="s">
        <v>1744</v>
      </c>
      <c r="D202" t="s">
        <v>1573</v>
      </c>
      <c r="E202" s="2" t="s">
        <v>154</v>
      </c>
      <c r="F202" s="7" t="s">
        <v>273</v>
      </c>
      <c r="G202" s="7" t="s">
        <v>283</v>
      </c>
      <c r="H202">
        <v>12</v>
      </c>
      <c r="I202">
        <v>2438</v>
      </c>
      <c r="J202">
        <v>10000</v>
      </c>
      <c r="K202" s="2" t="s">
        <v>156</v>
      </c>
      <c r="M202" s="70">
        <v>1</v>
      </c>
      <c r="N202" s="70">
        <v>2296.6</v>
      </c>
      <c r="O202" s="75" t="s">
        <v>180</v>
      </c>
      <c r="P202" s="70">
        <v>2217.38</v>
      </c>
      <c r="Q202" s="73">
        <v>2296.6</v>
      </c>
      <c r="R202" s="73" t="s">
        <v>157</v>
      </c>
      <c r="T202" s="73">
        <v>63.7</v>
      </c>
      <c r="U202" s="70">
        <v>15.52</v>
      </c>
      <c r="V202" s="42">
        <v>22</v>
      </c>
      <c r="W202" t="s">
        <v>1999</v>
      </c>
      <c r="X202" t="s">
        <v>113</v>
      </c>
      <c r="Y202" t="s">
        <v>307</v>
      </c>
      <c r="Z202" t="s">
        <v>430</v>
      </c>
    </row>
    <row r="203" spans="1:26" hidden="1" x14ac:dyDescent="0.25">
      <c r="A203" s="2">
        <v>13</v>
      </c>
      <c r="B203" t="s">
        <v>178</v>
      </c>
      <c r="C203" t="s">
        <v>1757</v>
      </c>
      <c r="D203" t="s">
        <v>1573</v>
      </c>
      <c r="E203" s="2" t="s">
        <v>154</v>
      </c>
      <c r="F203" s="7" t="s">
        <v>273</v>
      </c>
      <c r="G203" s="7" t="s">
        <v>283</v>
      </c>
      <c r="H203">
        <v>12</v>
      </c>
      <c r="I203">
        <v>2438</v>
      </c>
      <c r="J203">
        <v>10000</v>
      </c>
      <c r="K203" s="2" t="s">
        <v>156</v>
      </c>
      <c r="M203" s="70">
        <v>1</v>
      </c>
      <c r="N203" s="70">
        <v>2296.6</v>
      </c>
      <c r="O203" s="75" t="s">
        <v>180</v>
      </c>
      <c r="P203" s="70">
        <v>2217.38</v>
      </c>
      <c r="Q203" s="73">
        <v>2296.6</v>
      </c>
      <c r="R203" s="73" t="s">
        <v>157</v>
      </c>
      <c r="T203" s="73">
        <v>63.7</v>
      </c>
      <c r="U203" s="70">
        <v>15.52</v>
      </c>
      <c r="V203" s="42">
        <v>22</v>
      </c>
      <c r="W203" t="s">
        <v>1999</v>
      </c>
      <c r="X203" t="s">
        <v>113</v>
      </c>
      <c r="Y203" t="s">
        <v>307</v>
      </c>
      <c r="Z203" t="s">
        <v>430</v>
      </c>
    </row>
    <row r="204" spans="1:26" hidden="1" x14ac:dyDescent="0.25">
      <c r="A204" s="2">
        <v>14</v>
      </c>
      <c r="B204" t="s">
        <v>178</v>
      </c>
      <c r="C204" t="s">
        <v>1770</v>
      </c>
      <c r="D204" t="s">
        <v>1573</v>
      </c>
      <c r="E204" s="2" t="s">
        <v>154</v>
      </c>
      <c r="F204" s="7" t="s">
        <v>273</v>
      </c>
      <c r="G204" s="7" t="s">
        <v>283</v>
      </c>
      <c r="H204">
        <v>12</v>
      </c>
      <c r="I204">
        <v>2438</v>
      </c>
      <c r="J204">
        <v>10000</v>
      </c>
      <c r="K204" s="2" t="s">
        <v>156</v>
      </c>
      <c r="M204" s="70">
        <v>1</v>
      </c>
      <c r="N204" s="70">
        <v>2296.6</v>
      </c>
      <c r="O204" s="75" t="s">
        <v>180</v>
      </c>
      <c r="P204" s="70">
        <v>2170.13</v>
      </c>
      <c r="Q204" s="73">
        <v>2296.6</v>
      </c>
      <c r="R204" s="73" t="s">
        <v>157</v>
      </c>
      <c r="T204" s="73">
        <v>111.28</v>
      </c>
      <c r="U204" s="70">
        <v>15.19</v>
      </c>
      <c r="V204" s="42">
        <v>22</v>
      </c>
      <c r="W204" t="s">
        <v>1999</v>
      </c>
      <c r="X204" t="s">
        <v>113</v>
      </c>
      <c r="Y204" t="s">
        <v>307</v>
      </c>
      <c r="Z204" t="s">
        <v>430</v>
      </c>
    </row>
    <row r="205" spans="1:26" hidden="1" x14ac:dyDescent="0.25">
      <c r="A205" s="2">
        <v>15</v>
      </c>
      <c r="B205" t="s">
        <v>178</v>
      </c>
      <c r="C205" t="s">
        <v>1814</v>
      </c>
      <c r="D205" t="s">
        <v>1573</v>
      </c>
      <c r="E205" s="2" t="s">
        <v>154</v>
      </c>
      <c r="F205" s="7" t="s">
        <v>273</v>
      </c>
      <c r="G205" s="7" t="s">
        <v>283</v>
      </c>
      <c r="H205">
        <v>12</v>
      </c>
      <c r="I205">
        <v>2438</v>
      </c>
      <c r="J205">
        <v>10000</v>
      </c>
      <c r="K205" s="2" t="s">
        <v>156</v>
      </c>
      <c r="M205" s="70">
        <v>1</v>
      </c>
      <c r="N205" s="70">
        <v>2296.6</v>
      </c>
      <c r="O205" s="75" t="s">
        <v>180</v>
      </c>
      <c r="P205" s="70">
        <v>1546.49</v>
      </c>
      <c r="Q205" s="73">
        <v>2296.6</v>
      </c>
      <c r="R205" s="73" t="s">
        <v>157</v>
      </c>
      <c r="S205" s="73">
        <v>718.82</v>
      </c>
      <c r="T205" s="73">
        <v>20.46</v>
      </c>
      <c r="U205" s="70">
        <v>10.83</v>
      </c>
      <c r="V205" s="42">
        <v>22</v>
      </c>
      <c r="W205" t="s">
        <v>1999</v>
      </c>
      <c r="X205" t="s">
        <v>113</v>
      </c>
      <c r="Y205" t="s">
        <v>307</v>
      </c>
      <c r="Z205" t="s">
        <v>430</v>
      </c>
    </row>
    <row r="206" spans="1:26" hidden="1" x14ac:dyDescent="0.25">
      <c r="A206" s="2">
        <v>16</v>
      </c>
      <c r="B206" t="s">
        <v>178</v>
      </c>
      <c r="C206" t="s">
        <v>1833</v>
      </c>
      <c r="D206" t="s">
        <v>1573</v>
      </c>
      <c r="E206" s="2" t="s">
        <v>154</v>
      </c>
      <c r="F206" s="7" t="s">
        <v>273</v>
      </c>
      <c r="G206" s="7" t="s">
        <v>283</v>
      </c>
      <c r="H206">
        <v>12</v>
      </c>
      <c r="I206">
        <v>2438</v>
      </c>
      <c r="J206">
        <v>10000</v>
      </c>
      <c r="K206" s="2" t="s">
        <v>156</v>
      </c>
      <c r="M206" s="70">
        <v>1</v>
      </c>
      <c r="N206" s="70">
        <v>2296.6</v>
      </c>
      <c r="O206" s="75" t="s">
        <v>180</v>
      </c>
      <c r="P206" s="70">
        <v>596.32000000000005</v>
      </c>
      <c r="Q206" s="73">
        <v>2296.6</v>
      </c>
      <c r="R206" s="73" t="s">
        <v>157</v>
      </c>
      <c r="S206" s="73">
        <v>1692.01</v>
      </c>
      <c r="T206" s="73">
        <v>4.0999999999999996</v>
      </c>
      <c r="U206" s="70">
        <v>4.17</v>
      </c>
      <c r="V206" s="42">
        <v>22</v>
      </c>
      <c r="W206" t="s">
        <v>1999</v>
      </c>
      <c r="X206" t="s">
        <v>113</v>
      </c>
      <c r="Y206" t="s">
        <v>307</v>
      </c>
      <c r="Z206" t="s">
        <v>430</v>
      </c>
    </row>
    <row r="207" spans="1:26" hidden="1" x14ac:dyDescent="0.25">
      <c r="A207" s="2">
        <v>17</v>
      </c>
      <c r="B207" t="s">
        <v>178</v>
      </c>
      <c r="C207" t="s">
        <v>1838</v>
      </c>
      <c r="D207" t="s">
        <v>1573</v>
      </c>
      <c r="E207" s="2" t="s">
        <v>154</v>
      </c>
      <c r="F207" s="7" t="s">
        <v>172</v>
      </c>
      <c r="G207" s="7" t="s">
        <v>2006</v>
      </c>
      <c r="H207">
        <v>16</v>
      </c>
      <c r="I207">
        <v>2438</v>
      </c>
      <c r="J207">
        <v>9630</v>
      </c>
      <c r="K207" s="2" t="s">
        <v>156</v>
      </c>
      <c r="M207" s="70">
        <v>1</v>
      </c>
      <c r="N207" s="70">
        <v>2699.16</v>
      </c>
      <c r="O207" s="75" t="s">
        <v>1839</v>
      </c>
      <c r="P207" s="70">
        <v>1627.44</v>
      </c>
      <c r="Q207" s="73" t="s">
        <v>157</v>
      </c>
      <c r="R207" s="73">
        <v>2699.16</v>
      </c>
      <c r="S207" s="73">
        <v>962.9</v>
      </c>
      <c r="T207" s="73">
        <v>97.43</v>
      </c>
      <c r="U207" s="70">
        <v>11.39</v>
      </c>
      <c r="V207" s="42">
        <v>22</v>
      </c>
      <c r="W207" t="s">
        <v>1999</v>
      </c>
      <c r="X207" t="s">
        <v>113</v>
      </c>
      <c r="Y207" t="s">
        <v>307</v>
      </c>
      <c r="Z207" t="s">
        <v>430</v>
      </c>
    </row>
    <row r="208" spans="1:26" hidden="1" x14ac:dyDescent="0.25">
      <c r="A208" s="2">
        <v>18</v>
      </c>
      <c r="B208" t="s">
        <v>178</v>
      </c>
      <c r="C208" t="s">
        <v>1849</v>
      </c>
      <c r="D208" t="s">
        <v>1573</v>
      </c>
      <c r="E208" s="2" t="s">
        <v>154</v>
      </c>
      <c r="F208" s="7" t="s">
        <v>273</v>
      </c>
      <c r="G208" s="7" t="s">
        <v>284</v>
      </c>
      <c r="H208">
        <v>20</v>
      </c>
      <c r="I208">
        <v>2550</v>
      </c>
      <c r="J208">
        <v>11050</v>
      </c>
      <c r="K208" s="2" t="s">
        <v>156</v>
      </c>
      <c r="M208" s="70">
        <v>1</v>
      </c>
      <c r="N208" s="70">
        <v>4130.4799999999996</v>
      </c>
      <c r="O208" s="75" t="s">
        <v>1850</v>
      </c>
      <c r="P208" s="70">
        <v>3829.63</v>
      </c>
      <c r="Q208" s="73" t="s">
        <v>157</v>
      </c>
      <c r="R208" s="73">
        <v>4130.4799999999996</v>
      </c>
      <c r="T208" s="73">
        <v>274.04000000000002</v>
      </c>
      <c r="U208" s="70">
        <v>26.81</v>
      </c>
      <c r="V208" s="42">
        <v>22</v>
      </c>
      <c r="W208" t="s">
        <v>1999</v>
      </c>
      <c r="X208" t="s">
        <v>113</v>
      </c>
      <c r="Y208" t="s">
        <v>307</v>
      </c>
      <c r="Z208" t="s">
        <v>430</v>
      </c>
    </row>
    <row r="209" spans="1:26" hidden="1" x14ac:dyDescent="0.25">
      <c r="A209" s="2">
        <v>19</v>
      </c>
      <c r="B209" t="s">
        <v>178</v>
      </c>
      <c r="C209" t="s">
        <v>1869</v>
      </c>
      <c r="D209" t="s">
        <v>1573</v>
      </c>
      <c r="E209" s="2" t="s">
        <v>154</v>
      </c>
      <c r="F209" s="7" t="s">
        <v>273</v>
      </c>
      <c r="G209" s="7" t="s">
        <v>2007</v>
      </c>
      <c r="H209">
        <v>20</v>
      </c>
      <c r="I209">
        <v>2550</v>
      </c>
      <c r="J209">
        <v>5959</v>
      </c>
      <c r="K209" s="2" t="s">
        <v>156</v>
      </c>
      <c r="M209" s="70">
        <v>1</v>
      </c>
      <c r="N209" s="70">
        <v>2316.15</v>
      </c>
      <c r="O209" s="75" t="s">
        <v>1870</v>
      </c>
      <c r="P209" s="70">
        <v>2147.7399999999998</v>
      </c>
      <c r="Q209" s="73" t="s">
        <v>157</v>
      </c>
      <c r="R209" s="73">
        <v>2316.15</v>
      </c>
      <c r="T209" s="73">
        <v>153.38</v>
      </c>
      <c r="U209" s="70">
        <v>15.03</v>
      </c>
      <c r="V209" s="42">
        <v>22</v>
      </c>
      <c r="W209" t="s">
        <v>1999</v>
      </c>
      <c r="X209" t="s">
        <v>113</v>
      </c>
      <c r="Y209" t="s">
        <v>307</v>
      </c>
      <c r="Z209" t="s">
        <v>430</v>
      </c>
    </row>
    <row r="210" spans="1:26" hidden="1" x14ac:dyDescent="0.25">
      <c r="A210" s="2">
        <v>20</v>
      </c>
      <c r="B210" t="s">
        <v>178</v>
      </c>
      <c r="C210" t="s">
        <v>1897</v>
      </c>
      <c r="D210" t="s">
        <v>1573</v>
      </c>
      <c r="E210" s="2" t="s">
        <v>154</v>
      </c>
      <c r="F210" s="7" t="s">
        <v>273</v>
      </c>
      <c r="G210" s="7" t="s">
        <v>1134</v>
      </c>
      <c r="H210">
        <v>20</v>
      </c>
      <c r="I210">
        <v>2550</v>
      </c>
      <c r="J210">
        <v>13000</v>
      </c>
      <c r="K210" s="2" t="s">
        <v>156</v>
      </c>
      <c r="M210" s="70">
        <v>1</v>
      </c>
      <c r="N210" s="70">
        <v>5204.55</v>
      </c>
      <c r="O210" s="75" t="s">
        <v>180</v>
      </c>
      <c r="P210" s="70">
        <v>4780.04</v>
      </c>
      <c r="Q210" s="73">
        <v>5204.55</v>
      </c>
      <c r="R210" s="73" t="s">
        <v>157</v>
      </c>
      <c r="T210" s="73">
        <v>391.05</v>
      </c>
      <c r="U210" s="70">
        <v>33.46</v>
      </c>
      <c r="V210" s="42">
        <v>22</v>
      </c>
      <c r="W210" t="s">
        <v>1999</v>
      </c>
      <c r="X210" t="s">
        <v>113</v>
      </c>
      <c r="Y210" t="s">
        <v>307</v>
      </c>
      <c r="Z210" t="s">
        <v>430</v>
      </c>
    </row>
    <row r="211" spans="1:26" hidden="1" x14ac:dyDescent="0.25">
      <c r="A211" s="2">
        <v>21</v>
      </c>
      <c r="B211" t="s">
        <v>178</v>
      </c>
      <c r="C211" t="s">
        <v>1919</v>
      </c>
      <c r="D211" t="s">
        <v>1573</v>
      </c>
      <c r="E211" s="2" t="s">
        <v>154</v>
      </c>
      <c r="F211" s="7" t="s">
        <v>273</v>
      </c>
      <c r="G211" s="7" t="s">
        <v>1134</v>
      </c>
      <c r="H211">
        <v>20</v>
      </c>
      <c r="I211">
        <v>2550</v>
      </c>
      <c r="J211">
        <v>13000</v>
      </c>
      <c r="K211" s="2" t="s">
        <v>156</v>
      </c>
      <c r="M211" s="70">
        <v>1</v>
      </c>
      <c r="N211" s="70">
        <v>5204.55</v>
      </c>
      <c r="O211" s="75" t="s">
        <v>180</v>
      </c>
      <c r="P211" s="70">
        <v>4634.1400000000003</v>
      </c>
      <c r="Q211" s="73">
        <v>5204.55</v>
      </c>
      <c r="R211" s="73" t="s">
        <v>157</v>
      </c>
      <c r="S211" s="73">
        <v>501.33</v>
      </c>
      <c r="T211" s="73">
        <v>36.64</v>
      </c>
      <c r="U211" s="70">
        <v>32.44</v>
      </c>
      <c r="V211" s="42">
        <v>22</v>
      </c>
      <c r="W211" t="s">
        <v>1999</v>
      </c>
      <c r="X211" t="s">
        <v>113</v>
      </c>
      <c r="Y211" t="s">
        <v>307</v>
      </c>
      <c r="Z211" t="s">
        <v>430</v>
      </c>
    </row>
    <row r="212" spans="1:26" hidden="1" x14ac:dyDescent="0.25">
      <c r="A212" s="2">
        <v>22</v>
      </c>
      <c r="B212" t="s">
        <v>178</v>
      </c>
      <c r="C212" t="s">
        <v>1929</v>
      </c>
      <c r="D212" t="s">
        <v>1573</v>
      </c>
      <c r="E212" s="2" t="s">
        <v>154</v>
      </c>
      <c r="F212" s="7" t="s">
        <v>273</v>
      </c>
      <c r="G212" s="7" t="s">
        <v>1134</v>
      </c>
      <c r="H212">
        <v>20</v>
      </c>
      <c r="I212">
        <v>2550</v>
      </c>
      <c r="J212">
        <v>13000</v>
      </c>
      <c r="K212" s="2" t="s">
        <v>156</v>
      </c>
      <c r="M212" s="70">
        <v>1</v>
      </c>
      <c r="N212" s="70">
        <v>5204.55</v>
      </c>
      <c r="O212" s="75" t="s">
        <v>180</v>
      </c>
      <c r="P212" s="70">
        <v>4871.2</v>
      </c>
      <c r="Q212" s="73">
        <v>5204.55</v>
      </c>
      <c r="R212" s="73" t="s">
        <v>157</v>
      </c>
      <c r="T212" s="73">
        <v>299.25</v>
      </c>
      <c r="U212" s="70">
        <v>34.1</v>
      </c>
      <c r="V212" s="42">
        <v>22</v>
      </c>
      <c r="W212" t="s">
        <v>1999</v>
      </c>
      <c r="X212" t="s">
        <v>113</v>
      </c>
      <c r="Y212" t="s">
        <v>307</v>
      </c>
      <c r="Z212" t="s">
        <v>430</v>
      </c>
    </row>
    <row r="213" spans="1:26" hidden="1" x14ac:dyDescent="0.25">
      <c r="A213" s="2">
        <v>23</v>
      </c>
      <c r="B213" t="s">
        <v>178</v>
      </c>
      <c r="C213" t="s">
        <v>1947</v>
      </c>
      <c r="D213" t="s">
        <v>1573</v>
      </c>
      <c r="E213" s="2" t="s">
        <v>154</v>
      </c>
      <c r="F213" s="7" t="s">
        <v>273</v>
      </c>
      <c r="G213" s="7" t="s">
        <v>284</v>
      </c>
      <c r="H213">
        <v>20</v>
      </c>
      <c r="I213">
        <v>2550</v>
      </c>
      <c r="J213">
        <v>11050</v>
      </c>
      <c r="K213" s="2" t="s">
        <v>156</v>
      </c>
      <c r="M213" s="70">
        <v>1</v>
      </c>
      <c r="N213" s="70">
        <v>4423.87</v>
      </c>
      <c r="O213" s="75" t="s">
        <v>180</v>
      </c>
      <c r="P213" s="70">
        <v>4121.01</v>
      </c>
      <c r="Q213" s="73">
        <v>4423.87</v>
      </c>
      <c r="R213" s="73" t="s">
        <v>157</v>
      </c>
      <c r="T213" s="73">
        <v>274.01</v>
      </c>
      <c r="U213" s="70">
        <v>28.85</v>
      </c>
      <c r="V213" s="42">
        <v>22</v>
      </c>
      <c r="W213" t="s">
        <v>1999</v>
      </c>
      <c r="X213" t="s">
        <v>113</v>
      </c>
      <c r="Y213" t="s">
        <v>307</v>
      </c>
      <c r="Z213" t="s">
        <v>430</v>
      </c>
    </row>
    <row r="214" spans="1:26" hidden="1" x14ac:dyDescent="0.25">
      <c r="A214" s="2">
        <v>24</v>
      </c>
      <c r="B214" t="s">
        <v>178</v>
      </c>
      <c r="C214" t="s">
        <v>1962</v>
      </c>
      <c r="D214" t="s">
        <v>1573</v>
      </c>
      <c r="E214" s="2" t="s">
        <v>154</v>
      </c>
      <c r="F214" s="7" t="s">
        <v>273</v>
      </c>
      <c r="G214" s="7" t="s">
        <v>284</v>
      </c>
      <c r="H214">
        <v>20</v>
      </c>
      <c r="I214">
        <v>2550</v>
      </c>
      <c r="J214">
        <v>11050</v>
      </c>
      <c r="K214" s="2" t="s">
        <v>156</v>
      </c>
      <c r="M214" s="70">
        <v>1</v>
      </c>
      <c r="N214" s="70">
        <v>4423.87</v>
      </c>
      <c r="O214" s="75" t="s">
        <v>180</v>
      </c>
      <c r="P214" s="70">
        <v>2566.6999999999998</v>
      </c>
      <c r="Q214" s="73">
        <v>4423.87</v>
      </c>
      <c r="R214" s="73" t="s">
        <v>157</v>
      </c>
      <c r="S214" s="73">
        <v>1769.55</v>
      </c>
      <c r="T214" s="73">
        <v>69.650000000000006</v>
      </c>
      <c r="U214" s="70">
        <v>17.97</v>
      </c>
      <c r="V214" s="42">
        <v>22</v>
      </c>
      <c r="W214" t="s">
        <v>1999</v>
      </c>
      <c r="X214" t="s">
        <v>113</v>
      </c>
      <c r="Y214" t="s">
        <v>307</v>
      </c>
      <c r="Z214" t="s">
        <v>430</v>
      </c>
    </row>
    <row r="215" spans="1:26" hidden="1" x14ac:dyDescent="0.25">
      <c r="A215" s="2">
        <v>25</v>
      </c>
      <c r="B215" t="s">
        <v>178</v>
      </c>
      <c r="C215" t="s">
        <v>1974</v>
      </c>
      <c r="D215" t="s">
        <v>1573</v>
      </c>
      <c r="E215" s="2" t="s">
        <v>154</v>
      </c>
      <c r="F215" s="7" t="s">
        <v>273</v>
      </c>
      <c r="G215" s="7" t="s">
        <v>284</v>
      </c>
      <c r="H215">
        <v>20</v>
      </c>
      <c r="I215">
        <v>2550</v>
      </c>
      <c r="J215">
        <v>11050</v>
      </c>
      <c r="K215" s="2" t="s">
        <v>156</v>
      </c>
      <c r="M215" s="70">
        <v>1</v>
      </c>
      <c r="N215" s="70">
        <v>4423.87</v>
      </c>
      <c r="O215" s="75" t="s">
        <v>180</v>
      </c>
      <c r="P215" s="70">
        <v>3177.67</v>
      </c>
      <c r="Q215" s="73">
        <v>4423.87</v>
      </c>
      <c r="R215" s="73" t="s">
        <v>157</v>
      </c>
      <c r="S215" s="73">
        <v>1197.99</v>
      </c>
      <c r="T215" s="73">
        <v>25.97</v>
      </c>
      <c r="U215" s="70">
        <v>22.24</v>
      </c>
      <c r="V215" s="42">
        <v>22</v>
      </c>
      <c r="W215" t="s">
        <v>1999</v>
      </c>
      <c r="X215" t="s">
        <v>113</v>
      </c>
      <c r="Y215" t="s">
        <v>307</v>
      </c>
      <c r="Z215" t="s">
        <v>430</v>
      </c>
    </row>
    <row r="216" spans="1:26" hidden="1" x14ac:dyDescent="0.25">
      <c r="A216" s="2">
        <v>26</v>
      </c>
      <c r="B216" t="s">
        <v>178</v>
      </c>
      <c r="C216" t="s">
        <v>1980</v>
      </c>
      <c r="D216" t="s">
        <v>1573</v>
      </c>
      <c r="E216" s="2" t="s">
        <v>154</v>
      </c>
      <c r="F216" s="7" t="s">
        <v>273</v>
      </c>
      <c r="G216" s="7" t="s">
        <v>284</v>
      </c>
      <c r="H216">
        <v>20</v>
      </c>
      <c r="I216">
        <v>2550</v>
      </c>
      <c r="J216">
        <v>11050</v>
      </c>
      <c r="K216" s="2" t="s">
        <v>156</v>
      </c>
      <c r="M216" s="70">
        <v>1</v>
      </c>
      <c r="N216" s="70">
        <v>4423.87</v>
      </c>
      <c r="O216" s="75" t="s">
        <v>180</v>
      </c>
      <c r="P216" s="70">
        <v>3078.57</v>
      </c>
      <c r="Q216" s="73">
        <v>4423.87</v>
      </c>
      <c r="R216" s="73" t="s">
        <v>157</v>
      </c>
      <c r="S216" s="73">
        <v>1303.6600000000001</v>
      </c>
      <c r="T216" s="73">
        <v>20.09</v>
      </c>
      <c r="U216" s="70">
        <v>21.55</v>
      </c>
      <c r="V216" s="42">
        <v>22</v>
      </c>
      <c r="W216" t="s">
        <v>1999</v>
      </c>
      <c r="X216" t="s">
        <v>113</v>
      </c>
      <c r="Y216" t="s">
        <v>307</v>
      </c>
      <c r="Z216" t="s">
        <v>430</v>
      </c>
    </row>
    <row r="217" spans="1:26" hidden="1" x14ac:dyDescent="0.25">
      <c r="A217" s="2">
        <v>27</v>
      </c>
      <c r="B217" t="s">
        <v>178</v>
      </c>
      <c r="C217" t="s">
        <v>1986</v>
      </c>
      <c r="D217" t="s">
        <v>1573</v>
      </c>
      <c r="E217" s="2" t="s">
        <v>154</v>
      </c>
      <c r="F217" s="7" t="s">
        <v>273</v>
      </c>
      <c r="G217" s="7" t="s">
        <v>284</v>
      </c>
      <c r="H217">
        <v>20</v>
      </c>
      <c r="I217">
        <v>2550</v>
      </c>
      <c r="J217">
        <v>11050</v>
      </c>
      <c r="K217" s="2" t="s">
        <v>156</v>
      </c>
      <c r="M217" s="70">
        <v>1</v>
      </c>
      <c r="N217" s="70">
        <v>4423.87</v>
      </c>
      <c r="O217" s="75" t="s">
        <v>180</v>
      </c>
      <c r="P217" s="70">
        <v>1469.52</v>
      </c>
      <c r="Q217" s="73">
        <v>4423.87</v>
      </c>
      <c r="R217" s="73" t="s">
        <v>157</v>
      </c>
      <c r="S217" s="73">
        <v>2923.8</v>
      </c>
      <c r="T217" s="73">
        <v>20.260000000000002</v>
      </c>
      <c r="U217" s="70">
        <v>10.29</v>
      </c>
      <c r="V217" s="42">
        <v>22</v>
      </c>
      <c r="W217" t="s">
        <v>1999</v>
      </c>
      <c r="X217" t="s">
        <v>113</v>
      </c>
      <c r="Y217" t="s">
        <v>307</v>
      </c>
      <c r="Z217" t="s">
        <v>430</v>
      </c>
    </row>
    <row r="218" spans="1:26" hidden="1" x14ac:dyDescent="0.25">
      <c r="A218" s="2">
        <v>28</v>
      </c>
      <c r="B218" t="s">
        <v>178</v>
      </c>
      <c r="C218" t="s">
        <v>1990</v>
      </c>
      <c r="D218" t="s">
        <v>1573</v>
      </c>
      <c r="E218" s="2" t="s">
        <v>154</v>
      </c>
      <c r="F218" s="7" t="s">
        <v>273</v>
      </c>
      <c r="G218" s="7" t="s">
        <v>1135</v>
      </c>
      <c r="H218">
        <v>32</v>
      </c>
      <c r="I218">
        <v>2250</v>
      </c>
      <c r="J218">
        <v>9100</v>
      </c>
      <c r="K218" s="2" t="s">
        <v>156</v>
      </c>
      <c r="M218" s="70">
        <v>1</v>
      </c>
      <c r="N218" s="70">
        <v>5024.04</v>
      </c>
      <c r="O218" s="75" t="s">
        <v>1991</v>
      </c>
      <c r="P218" s="70">
        <v>2181.8200000000002</v>
      </c>
      <c r="Q218" s="73" t="s">
        <v>157</v>
      </c>
      <c r="R218" s="73">
        <v>5024.04</v>
      </c>
      <c r="S218" s="73">
        <v>2816.61</v>
      </c>
      <c r="T218" s="73">
        <v>10.34</v>
      </c>
      <c r="U218" s="70">
        <v>15.27</v>
      </c>
      <c r="V218" s="42">
        <v>22</v>
      </c>
      <c r="W218" t="s">
        <v>1999</v>
      </c>
      <c r="X218" t="s">
        <v>113</v>
      </c>
      <c r="Y218" t="s">
        <v>307</v>
      </c>
      <c r="Z218" t="s">
        <v>430</v>
      </c>
    </row>
    <row r="219" spans="1:26" hidden="1" x14ac:dyDescent="0.25">
      <c r="A219" s="2">
        <v>29</v>
      </c>
      <c r="B219" t="s">
        <v>178</v>
      </c>
      <c r="C219" t="s">
        <v>1995</v>
      </c>
      <c r="D219" t="s">
        <v>1573</v>
      </c>
      <c r="E219" s="2" t="s">
        <v>154</v>
      </c>
      <c r="F219" s="7" t="s">
        <v>273</v>
      </c>
      <c r="G219" s="7" t="s">
        <v>1136</v>
      </c>
      <c r="H219">
        <v>32</v>
      </c>
      <c r="I219">
        <v>2250</v>
      </c>
      <c r="J219">
        <v>7800</v>
      </c>
      <c r="K219" s="2" t="s">
        <v>156</v>
      </c>
      <c r="M219" s="70">
        <v>1</v>
      </c>
      <c r="N219" s="70">
        <v>4408.5600000000004</v>
      </c>
      <c r="O219" s="75" t="s">
        <v>180</v>
      </c>
      <c r="P219" s="70">
        <v>4233.22</v>
      </c>
      <c r="Q219" s="73">
        <v>4408.5600000000004</v>
      </c>
      <c r="R219" s="73" t="s">
        <v>157</v>
      </c>
      <c r="T219" s="73">
        <v>145.71</v>
      </c>
      <c r="U219" s="70">
        <v>29.63</v>
      </c>
      <c r="V219" s="42">
        <v>22</v>
      </c>
      <c r="W219" t="s">
        <v>1999</v>
      </c>
      <c r="X219" t="s">
        <v>113</v>
      </c>
      <c r="Y219" t="s">
        <v>307</v>
      </c>
      <c r="Z219" t="s">
        <v>430</v>
      </c>
    </row>
    <row r="220" spans="1:26" hidden="1" x14ac:dyDescent="0.25">
      <c r="A220" s="2">
        <v>1</v>
      </c>
      <c r="B220" t="s">
        <v>178</v>
      </c>
      <c r="C220" t="s">
        <v>2009</v>
      </c>
      <c r="D220" t="s">
        <v>2011</v>
      </c>
      <c r="E220" s="2" t="s">
        <v>154</v>
      </c>
      <c r="F220" s="7" t="s">
        <v>273</v>
      </c>
      <c r="G220" s="7" t="s">
        <v>283</v>
      </c>
      <c r="H220">
        <v>12</v>
      </c>
      <c r="I220">
        <v>2438</v>
      </c>
      <c r="J220">
        <v>10000</v>
      </c>
      <c r="K220" s="2" t="s">
        <v>156</v>
      </c>
      <c r="M220" s="70">
        <v>1</v>
      </c>
      <c r="N220" s="70">
        <v>1692.01</v>
      </c>
      <c r="O220" s="75" t="s">
        <v>2012</v>
      </c>
      <c r="P220" s="70">
        <v>1589.2</v>
      </c>
      <c r="R220" s="73">
        <v>1692.01</v>
      </c>
      <c r="T220" s="73">
        <v>91.69</v>
      </c>
      <c r="U220" s="70">
        <v>11.12</v>
      </c>
      <c r="V220" s="42">
        <v>23</v>
      </c>
      <c r="W220" t="s">
        <v>2440</v>
      </c>
      <c r="X220" t="s">
        <v>113</v>
      </c>
      <c r="Y220" t="s">
        <v>307</v>
      </c>
      <c r="Z220" t="s">
        <v>430</v>
      </c>
    </row>
    <row r="221" spans="1:26" hidden="1" x14ac:dyDescent="0.25">
      <c r="A221" s="2">
        <v>2</v>
      </c>
      <c r="B221" t="s">
        <v>178</v>
      </c>
      <c r="C221" t="s">
        <v>2038</v>
      </c>
      <c r="D221" t="s">
        <v>2011</v>
      </c>
      <c r="E221" s="2" t="s">
        <v>154</v>
      </c>
      <c r="F221" s="7" t="s">
        <v>273</v>
      </c>
      <c r="G221" s="7" t="s">
        <v>2441</v>
      </c>
      <c r="H221">
        <v>12</v>
      </c>
      <c r="I221">
        <v>2438</v>
      </c>
      <c r="J221">
        <v>7578</v>
      </c>
      <c r="K221" s="2" t="s">
        <v>156</v>
      </c>
      <c r="M221" s="70">
        <v>1</v>
      </c>
      <c r="N221" s="70">
        <v>718.82</v>
      </c>
      <c r="O221" s="75" t="s">
        <v>2039</v>
      </c>
      <c r="P221" s="70">
        <v>662.39</v>
      </c>
      <c r="R221" s="73">
        <v>718.82</v>
      </c>
      <c r="T221" s="73">
        <v>51.79</v>
      </c>
      <c r="U221" s="70">
        <v>4.6399999999999997</v>
      </c>
      <c r="V221" s="42">
        <v>23</v>
      </c>
      <c r="W221" t="s">
        <v>2440</v>
      </c>
      <c r="X221" t="s">
        <v>113</v>
      </c>
      <c r="Y221" t="s">
        <v>307</v>
      </c>
      <c r="Z221" t="s">
        <v>430</v>
      </c>
    </row>
    <row r="222" spans="1:26" hidden="1" x14ac:dyDescent="0.25">
      <c r="A222" s="2">
        <v>3</v>
      </c>
      <c r="B222" t="s">
        <v>178</v>
      </c>
      <c r="C222" t="s">
        <v>2057</v>
      </c>
      <c r="D222" t="s">
        <v>2011</v>
      </c>
      <c r="E222" s="2" t="s">
        <v>154</v>
      </c>
      <c r="F222" s="7" t="s">
        <v>273</v>
      </c>
      <c r="G222" s="7" t="s">
        <v>283</v>
      </c>
      <c r="H222">
        <v>12</v>
      </c>
      <c r="I222">
        <v>2438</v>
      </c>
      <c r="J222">
        <v>10000</v>
      </c>
      <c r="K222" s="2" t="s">
        <v>156</v>
      </c>
      <c r="M222" s="70">
        <v>1</v>
      </c>
      <c r="N222" s="70">
        <v>2296.6</v>
      </c>
      <c r="O222" s="75" t="s">
        <v>180</v>
      </c>
      <c r="P222" s="70">
        <v>2190.0100000000002</v>
      </c>
      <c r="Q222" s="73">
        <v>2296.6</v>
      </c>
      <c r="T222" s="73">
        <v>91.26</v>
      </c>
      <c r="U222" s="70">
        <v>15.33</v>
      </c>
      <c r="V222" s="42">
        <v>23</v>
      </c>
      <c r="W222" t="s">
        <v>2440</v>
      </c>
      <c r="X222" t="s">
        <v>113</v>
      </c>
      <c r="Y222" t="s">
        <v>307</v>
      </c>
      <c r="Z222" t="s">
        <v>430</v>
      </c>
    </row>
    <row r="223" spans="1:26" hidden="1" x14ac:dyDescent="0.25">
      <c r="A223" s="2">
        <v>4</v>
      </c>
      <c r="B223" t="s">
        <v>178</v>
      </c>
      <c r="C223" t="s">
        <v>2072</v>
      </c>
      <c r="D223" t="s">
        <v>2011</v>
      </c>
      <c r="E223" s="2" t="s">
        <v>154</v>
      </c>
      <c r="F223" s="7" t="s">
        <v>273</v>
      </c>
      <c r="G223" s="7" t="s">
        <v>283</v>
      </c>
      <c r="H223">
        <v>12</v>
      </c>
      <c r="I223">
        <v>2438</v>
      </c>
      <c r="J223">
        <v>10000</v>
      </c>
      <c r="K223" s="2" t="s">
        <v>156</v>
      </c>
      <c r="M223" s="70">
        <v>1</v>
      </c>
      <c r="N223" s="70">
        <v>2296.6</v>
      </c>
      <c r="O223" s="75" t="s">
        <v>180</v>
      </c>
      <c r="P223" s="70">
        <v>2190.0100000000002</v>
      </c>
      <c r="Q223" s="73">
        <v>2296.6</v>
      </c>
      <c r="T223" s="73">
        <v>91.26</v>
      </c>
      <c r="U223" s="70">
        <v>15.33</v>
      </c>
      <c r="V223" s="42">
        <v>23</v>
      </c>
      <c r="W223" t="s">
        <v>2440</v>
      </c>
      <c r="X223" t="s">
        <v>113</v>
      </c>
      <c r="Y223" t="s">
        <v>307</v>
      </c>
      <c r="Z223" t="s">
        <v>430</v>
      </c>
    </row>
    <row r="224" spans="1:26" hidden="1" x14ac:dyDescent="0.25">
      <c r="A224" s="2">
        <v>5</v>
      </c>
      <c r="B224" t="s">
        <v>178</v>
      </c>
      <c r="C224" t="s">
        <v>2087</v>
      </c>
      <c r="D224" t="s">
        <v>2011</v>
      </c>
      <c r="E224" s="2" t="s">
        <v>154</v>
      </c>
      <c r="F224" s="7" t="s">
        <v>273</v>
      </c>
      <c r="G224" s="7" t="s">
        <v>283</v>
      </c>
      <c r="H224">
        <v>12</v>
      </c>
      <c r="I224">
        <v>2438</v>
      </c>
      <c r="J224">
        <v>10000</v>
      </c>
      <c r="K224" s="2" t="s">
        <v>156</v>
      </c>
      <c r="M224" s="70">
        <v>1</v>
      </c>
      <c r="N224" s="70">
        <v>2296.6</v>
      </c>
      <c r="O224" s="75" t="s">
        <v>180</v>
      </c>
      <c r="P224" s="70">
        <v>2226.8000000000002</v>
      </c>
      <c r="Q224" s="73">
        <v>2296.6</v>
      </c>
      <c r="T224" s="73">
        <v>54.21</v>
      </c>
      <c r="U224" s="70">
        <v>15.59</v>
      </c>
      <c r="V224" s="42">
        <v>23</v>
      </c>
      <c r="W224" t="s">
        <v>2440</v>
      </c>
      <c r="X224" t="s">
        <v>113</v>
      </c>
      <c r="Y224" t="s">
        <v>307</v>
      </c>
      <c r="Z224" t="s">
        <v>430</v>
      </c>
    </row>
    <row r="225" spans="1:26" hidden="1" x14ac:dyDescent="0.25">
      <c r="A225" s="2">
        <v>6</v>
      </c>
      <c r="B225" t="s">
        <v>178</v>
      </c>
      <c r="C225" t="s">
        <v>2111</v>
      </c>
      <c r="D225" t="s">
        <v>2011</v>
      </c>
      <c r="E225" s="2" t="s">
        <v>154</v>
      </c>
      <c r="F225" s="7" t="s">
        <v>273</v>
      </c>
      <c r="G225" s="7" t="s">
        <v>283</v>
      </c>
      <c r="H225">
        <v>12</v>
      </c>
      <c r="I225">
        <v>2438</v>
      </c>
      <c r="J225">
        <v>10000</v>
      </c>
      <c r="K225" s="2" t="s">
        <v>156</v>
      </c>
      <c r="M225" s="70">
        <v>1</v>
      </c>
      <c r="N225" s="70">
        <v>2296.6</v>
      </c>
      <c r="O225" s="75" t="s">
        <v>180</v>
      </c>
      <c r="P225" s="70">
        <v>2194.5</v>
      </c>
      <c r="Q225" s="73">
        <v>2296.6</v>
      </c>
      <c r="T225" s="73">
        <v>86.74</v>
      </c>
      <c r="U225" s="70">
        <v>15.36</v>
      </c>
      <c r="V225" s="42">
        <v>23</v>
      </c>
      <c r="W225" t="s">
        <v>2440</v>
      </c>
      <c r="X225" t="s">
        <v>113</v>
      </c>
      <c r="Y225" t="s">
        <v>307</v>
      </c>
      <c r="Z225" t="s">
        <v>430</v>
      </c>
    </row>
    <row r="226" spans="1:26" hidden="1" x14ac:dyDescent="0.25">
      <c r="A226" s="2">
        <v>7</v>
      </c>
      <c r="B226" t="s">
        <v>178</v>
      </c>
      <c r="C226" t="s">
        <v>2128</v>
      </c>
      <c r="D226" t="s">
        <v>2011</v>
      </c>
      <c r="E226" s="2" t="s">
        <v>154</v>
      </c>
      <c r="F226" s="7" t="s">
        <v>273</v>
      </c>
      <c r="G226" s="7" t="s">
        <v>283</v>
      </c>
      <c r="H226">
        <v>12</v>
      </c>
      <c r="I226">
        <v>2438</v>
      </c>
      <c r="J226">
        <v>10000</v>
      </c>
      <c r="K226" s="2" t="s">
        <v>156</v>
      </c>
      <c r="M226" s="70">
        <v>1</v>
      </c>
      <c r="N226" s="70">
        <v>2296.6</v>
      </c>
      <c r="O226" s="75" t="s">
        <v>180</v>
      </c>
      <c r="P226" s="70">
        <v>2196.4</v>
      </c>
      <c r="Q226" s="73">
        <v>2296.6</v>
      </c>
      <c r="T226" s="73">
        <v>84.83</v>
      </c>
      <c r="U226" s="70">
        <v>15.37</v>
      </c>
      <c r="V226" s="42">
        <v>23</v>
      </c>
      <c r="W226" t="s">
        <v>2440</v>
      </c>
      <c r="X226" t="s">
        <v>113</v>
      </c>
      <c r="Y226" t="s">
        <v>307</v>
      </c>
      <c r="Z226" t="s">
        <v>430</v>
      </c>
    </row>
    <row r="227" spans="1:26" hidden="1" x14ac:dyDescent="0.25">
      <c r="A227" s="2">
        <v>8</v>
      </c>
      <c r="B227" t="s">
        <v>178</v>
      </c>
      <c r="C227" t="s">
        <v>2153</v>
      </c>
      <c r="D227" t="s">
        <v>2011</v>
      </c>
      <c r="E227" s="2" t="s">
        <v>154</v>
      </c>
      <c r="F227" s="7" t="s">
        <v>273</v>
      </c>
      <c r="G227" s="7" t="s">
        <v>283</v>
      </c>
      <c r="H227">
        <v>12</v>
      </c>
      <c r="I227">
        <v>2438</v>
      </c>
      <c r="J227">
        <v>10000</v>
      </c>
      <c r="K227" s="2" t="s">
        <v>156</v>
      </c>
      <c r="M227" s="70">
        <v>1</v>
      </c>
      <c r="N227" s="70">
        <v>2296.6</v>
      </c>
      <c r="O227" s="75" t="s">
        <v>180</v>
      </c>
      <c r="P227" s="70">
        <v>2185.86</v>
      </c>
      <c r="Q227" s="73">
        <v>2296.6</v>
      </c>
      <c r="T227" s="73">
        <v>95.44</v>
      </c>
      <c r="U227" s="70">
        <v>15.3</v>
      </c>
      <c r="V227" s="42">
        <v>23</v>
      </c>
      <c r="W227" t="s">
        <v>2440</v>
      </c>
      <c r="X227" t="s">
        <v>113</v>
      </c>
      <c r="Y227" t="s">
        <v>307</v>
      </c>
      <c r="Z227" t="s">
        <v>430</v>
      </c>
    </row>
    <row r="228" spans="1:26" hidden="1" x14ac:dyDescent="0.25">
      <c r="A228" s="2">
        <v>9</v>
      </c>
      <c r="B228" t="s">
        <v>178</v>
      </c>
      <c r="C228" t="s">
        <v>2172</v>
      </c>
      <c r="D228" t="s">
        <v>2011</v>
      </c>
      <c r="E228" s="2" t="s">
        <v>154</v>
      </c>
      <c r="F228" s="7" t="s">
        <v>273</v>
      </c>
      <c r="G228" s="7" t="s">
        <v>283</v>
      </c>
      <c r="H228">
        <v>12</v>
      </c>
      <c r="I228">
        <v>2438</v>
      </c>
      <c r="J228">
        <v>10000</v>
      </c>
      <c r="K228" s="2" t="s">
        <v>156</v>
      </c>
      <c r="M228" s="70">
        <v>1</v>
      </c>
      <c r="N228" s="70">
        <v>2296.6</v>
      </c>
      <c r="O228" s="75" t="s">
        <v>180</v>
      </c>
      <c r="P228" s="70">
        <v>2173.85</v>
      </c>
      <c r="Q228" s="73">
        <v>2296.6</v>
      </c>
      <c r="T228" s="73">
        <v>107.53</v>
      </c>
      <c r="U228" s="70">
        <v>15.22</v>
      </c>
      <c r="V228" s="42">
        <v>23</v>
      </c>
      <c r="W228" t="s">
        <v>2440</v>
      </c>
      <c r="X228" t="s">
        <v>113</v>
      </c>
      <c r="Y228" t="s">
        <v>307</v>
      </c>
      <c r="Z228" t="s">
        <v>430</v>
      </c>
    </row>
    <row r="229" spans="1:26" hidden="1" x14ac:dyDescent="0.25">
      <c r="A229" s="2">
        <v>10</v>
      </c>
      <c r="B229" t="s">
        <v>178</v>
      </c>
      <c r="C229" t="s">
        <v>2207</v>
      </c>
      <c r="D229" t="s">
        <v>2011</v>
      </c>
      <c r="E229" s="2" t="s">
        <v>154</v>
      </c>
      <c r="F229" s="7" t="s">
        <v>273</v>
      </c>
      <c r="G229" s="7" t="s">
        <v>283</v>
      </c>
      <c r="H229">
        <v>12</v>
      </c>
      <c r="I229">
        <v>2438</v>
      </c>
      <c r="J229">
        <v>10000</v>
      </c>
      <c r="K229" s="2" t="s">
        <v>156</v>
      </c>
      <c r="M229" s="70">
        <v>1</v>
      </c>
      <c r="N229" s="70">
        <v>2296.6</v>
      </c>
      <c r="O229" s="75" t="s">
        <v>180</v>
      </c>
      <c r="P229" s="70">
        <v>1469.8</v>
      </c>
      <c r="Q229" s="73">
        <v>2296.6</v>
      </c>
      <c r="S229" s="73">
        <v>779.33</v>
      </c>
      <c r="T229" s="73">
        <v>37.18</v>
      </c>
      <c r="U229" s="70">
        <v>10.29</v>
      </c>
      <c r="V229" s="42">
        <v>23</v>
      </c>
      <c r="W229" t="s">
        <v>2440</v>
      </c>
      <c r="X229" t="s">
        <v>113</v>
      </c>
      <c r="Y229" t="s">
        <v>307</v>
      </c>
      <c r="Z229" t="s">
        <v>430</v>
      </c>
    </row>
    <row r="230" spans="1:26" hidden="1" x14ac:dyDescent="0.25">
      <c r="A230" s="2">
        <v>11</v>
      </c>
      <c r="B230" t="s">
        <v>178</v>
      </c>
      <c r="C230" t="s">
        <v>2226</v>
      </c>
      <c r="D230" t="s">
        <v>2011</v>
      </c>
      <c r="E230" s="2" t="s">
        <v>154</v>
      </c>
      <c r="F230" s="7" t="s">
        <v>273</v>
      </c>
      <c r="G230" s="7" t="s">
        <v>283</v>
      </c>
      <c r="H230">
        <v>12</v>
      </c>
      <c r="I230">
        <v>2438</v>
      </c>
      <c r="J230">
        <v>10000</v>
      </c>
      <c r="K230" s="2" t="s">
        <v>156</v>
      </c>
      <c r="M230" s="70">
        <v>1</v>
      </c>
      <c r="N230" s="70">
        <v>2296.6</v>
      </c>
      <c r="O230" s="75" t="s">
        <v>180</v>
      </c>
      <c r="P230" s="70">
        <v>1383.51</v>
      </c>
      <c r="Q230" s="73">
        <v>2296.6</v>
      </c>
      <c r="S230" s="73">
        <v>810.01</v>
      </c>
      <c r="T230" s="73">
        <v>93.4</v>
      </c>
      <c r="U230" s="70">
        <v>9.68</v>
      </c>
      <c r="V230" s="42">
        <v>23</v>
      </c>
      <c r="W230" t="s">
        <v>2440</v>
      </c>
      <c r="X230" t="s">
        <v>113</v>
      </c>
      <c r="Y230" t="s">
        <v>307</v>
      </c>
      <c r="Z230" t="s">
        <v>430</v>
      </c>
    </row>
    <row r="231" spans="1:26" hidden="1" x14ac:dyDescent="0.25">
      <c r="A231" s="2">
        <v>12</v>
      </c>
      <c r="B231" t="s">
        <v>178</v>
      </c>
      <c r="C231" t="s">
        <v>2238</v>
      </c>
      <c r="D231" t="s">
        <v>2011</v>
      </c>
      <c r="E231" s="2" t="s">
        <v>154</v>
      </c>
      <c r="F231" s="7" t="s">
        <v>273</v>
      </c>
      <c r="G231" s="7" t="s">
        <v>283</v>
      </c>
      <c r="H231">
        <v>12</v>
      </c>
      <c r="I231">
        <v>2438</v>
      </c>
      <c r="J231">
        <v>10000</v>
      </c>
      <c r="K231" s="2" t="s">
        <v>156</v>
      </c>
      <c r="M231" s="70">
        <v>1</v>
      </c>
      <c r="N231" s="70">
        <v>2296.6</v>
      </c>
      <c r="O231" s="75" t="s">
        <v>180</v>
      </c>
      <c r="P231" s="70">
        <v>1294.5999999999999</v>
      </c>
      <c r="Q231" s="73">
        <v>2296.6</v>
      </c>
      <c r="S231" s="73">
        <v>960.44</v>
      </c>
      <c r="T231" s="73">
        <v>32.5</v>
      </c>
      <c r="U231" s="70">
        <v>9.06</v>
      </c>
      <c r="V231" s="42">
        <v>23</v>
      </c>
      <c r="W231" t="s">
        <v>2440</v>
      </c>
      <c r="X231" t="s">
        <v>113</v>
      </c>
      <c r="Y231" t="s">
        <v>307</v>
      </c>
      <c r="Z231" t="s">
        <v>430</v>
      </c>
    </row>
    <row r="232" spans="1:26" hidden="1" x14ac:dyDescent="0.25">
      <c r="A232" s="2">
        <v>13</v>
      </c>
      <c r="B232" t="s">
        <v>178</v>
      </c>
      <c r="C232" t="s">
        <v>2253</v>
      </c>
      <c r="D232" t="s">
        <v>2011</v>
      </c>
      <c r="E232" s="2" t="s">
        <v>154</v>
      </c>
      <c r="F232" s="7" t="s">
        <v>273</v>
      </c>
      <c r="G232" s="7" t="s">
        <v>2442</v>
      </c>
      <c r="H232">
        <v>16</v>
      </c>
      <c r="I232">
        <v>2235</v>
      </c>
      <c r="J232">
        <v>3592</v>
      </c>
      <c r="K232" s="2" t="s">
        <v>156</v>
      </c>
      <c r="M232" s="70">
        <v>1</v>
      </c>
      <c r="N232" s="70">
        <v>962.9</v>
      </c>
      <c r="O232" s="75" t="s">
        <v>2254</v>
      </c>
      <c r="P232" s="70">
        <v>904.29</v>
      </c>
      <c r="R232" s="73">
        <v>962.9</v>
      </c>
      <c r="T232" s="73">
        <v>52.28</v>
      </c>
      <c r="U232" s="70">
        <v>6.33</v>
      </c>
      <c r="V232" s="42">
        <v>23</v>
      </c>
      <c r="W232" t="s">
        <v>2440</v>
      </c>
      <c r="X232" t="s">
        <v>113</v>
      </c>
      <c r="Y232" t="s">
        <v>307</v>
      </c>
      <c r="Z232" t="s">
        <v>430</v>
      </c>
    </row>
    <row r="233" spans="1:26" hidden="1" x14ac:dyDescent="0.25">
      <c r="A233" s="2">
        <v>14</v>
      </c>
      <c r="B233" t="s">
        <v>178</v>
      </c>
      <c r="C233" t="s">
        <v>2261</v>
      </c>
      <c r="D233" t="s">
        <v>2011</v>
      </c>
      <c r="E233" s="2" t="s">
        <v>154</v>
      </c>
      <c r="F233" s="7" t="s">
        <v>273</v>
      </c>
      <c r="G233" s="7" t="s">
        <v>1133</v>
      </c>
      <c r="H233">
        <v>16</v>
      </c>
      <c r="I233">
        <v>2438</v>
      </c>
      <c r="J233">
        <v>12000</v>
      </c>
      <c r="K233" s="2" t="s">
        <v>156</v>
      </c>
      <c r="M233" s="70">
        <v>1</v>
      </c>
      <c r="N233" s="70">
        <v>3674.55</v>
      </c>
      <c r="O233" s="75" t="s">
        <v>180</v>
      </c>
      <c r="P233" s="70">
        <v>937.88</v>
      </c>
      <c r="Q233" s="73">
        <v>3674.55</v>
      </c>
      <c r="S233" s="73">
        <v>2682.42</v>
      </c>
      <c r="T233" s="73">
        <v>47.68</v>
      </c>
      <c r="U233" s="70">
        <v>6.57</v>
      </c>
      <c r="V233" s="42">
        <v>23</v>
      </c>
      <c r="W233" t="s">
        <v>2440</v>
      </c>
      <c r="X233" t="s">
        <v>113</v>
      </c>
      <c r="Y233" t="s">
        <v>307</v>
      </c>
      <c r="Z233" t="s">
        <v>430</v>
      </c>
    </row>
    <row r="234" spans="1:26" hidden="1" x14ac:dyDescent="0.25">
      <c r="A234" s="2">
        <v>15</v>
      </c>
      <c r="B234" t="s">
        <v>178</v>
      </c>
      <c r="C234" t="s">
        <v>2272</v>
      </c>
      <c r="D234" t="s">
        <v>2011</v>
      </c>
      <c r="E234" s="2" t="s">
        <v>154</v>
      </c>
      <c r="F234" s="7" t="s">
        <v>273</v>
      </c>
      <c r="G234" s="7" t="s">
        <v>2443</v>
      </c>
      <c r="H234">
        <v>20</v>
      </c>
      <c r="I234">
        <v>1938</v>
      </c>
      <c r="J234">
        <v>13000</v>
      </c>
      <c r="K234" s="2" t="s">
        <v>156</v>
      </c>
      <c r="M234" s="70">
        <v>1</v>
      </c>
      <c r="N234" s="70">
        <v>501.33</v>
      </c>
      <c r="O234" s="75" t="s">
        <v>2273</v>
      </c>
      <c r="P234" s="70">
        <v>86.2</v>
      </c>
      <c r="R234" s="73">
        <v>501.33</v>
      </c>
      <c r="S234" s="73">
        <v>387.43</v>
      </c>
      <c r="T234" s="73">
        <v>27.1</v>
      </c>
      <c r="U234" s="70">
        <v>0.6</v>
      </c>
      <c r="V234" s="42">
        <v>23</v>
      </c>
      <c r="W234" t="s">
        <v>2440</v>
      </c>
      <c r="X234" t="s">
        <v>113</v>
      </c>
      <c r="Y234" t="s">
        <v>307</v>
      </c>
      <c r="Z234" t="s">
        <v>430</v>
      </c>
    </row>
    <row r="235" spans="1:26" hidden="1" x14ac:dyDescent="0.25">
      <c r="A235" s="2">
        <v>16</v>
      </c>
      <c r="B235" t="s">
        <v>178</v>
      </c>
      <c r="C235" t="s">
        <v>2280</v>
      </c>
      <c r="D235" t="s">
        <v>2011</v>
      </c>
      <c r="E235" s="2" t="s">
        <v>154</v>
      </c>
      <c r="F235" s="7" t="s">
        <v>273</v>
      </c>
      <c r="G235" s="7" t="s">
        <v>2444</v>
      </c>
      <c r="H235">
        <v>20</v>
      </c>
      <c r="I235">
        <v>481</v>
      </c>
      <c r="J235">
        <v>1632</v>
      </c>
      <c r="K235" s="2" t="s">
        <v>156</v>
      </c>
      <c r="M235" s="70">
        <v>1</v>
      </c>
      <c r="N235" s="70">
        <v>123.18</v>
      </c>
      <c r="O235" s="75" t="s">
        <v>2281</v>
      </c>
      <c r="P235" s="70">
        <v>113.04</v>
      </c>
      <c r="R235" s="73">
        <v>123.18</v>
      </c>
      <c r="T235" s="73">
        <v>9.35</v>
      </c>
      <c r="U235" s="70">
        <v>0.79</v>
      </c>
      <c r="V235" s="42">
        <v>23</v>
      </c>
      <c r="W235" t="s">
        <v>2440</v>
      </c>
      <c r="X235" t="s">
        <v>113</v>
      </c>
      <c r="Y235" t="s">
        <v>307</v>
      </c>
      <c r="Z235" t="s">
        <v>430</v>
      </c>
    </row>
    <row r="236" spans="1:26" hidden="1" x14ac:dyDescent="0.25">
      <c r="A236" s="2">
        <v>17</v>
      </c>
      <c r="B236" t="s">
        <v>178</v>
      </c>
      <c r="C236" t="s">
        <v>2287</v>
      </c>
      <c r="D236" t="s">
        <v>2011</v>
      </c>
      <c r="E236" s="2" t="s">
        <v>154</v>
      </c>
      <c r="F236" s="7" t="s">
        <v>273</v>
      </c>
      <c r="G236" s="7" t="s">
        <v>2445</v>
      </c>
      <c r="H236">
        <v>20</v>
      </c>
      <c r="I236">
        <v>1020</v>
      </c>
      <c r="J236">
        <v>11050</v>
      </c>
      <c r="K236" s="2" t="s">
        <v>156</v>
      </c>
      <c r="M236" s="70">
        <v>1</v>
      </c>
      <c r="N236" s="70">
        <v>1769.55</v>
      </c>
      <c r="O236" s="75" t="s">
        <v>2288</v>
      </c>
      <c r="P236" s="70">
        <v>1558.53</v>
      </c>
      <c r="R236" s="73">
        <v>1769.55</v>
      </c>
      <c r="T236" s="73">
        <v>200.11</v>
      </c>
      <c r="U236" s="70">
        <v>10.91</v>
      </c>
      <c r="V236" s="42">
        <v>23</v>
      </c>
      <c r="W236" t="s">
        <v>2440</v>
      </c>
      <c r="X236" t="s">
        <v>113</v>
      </c>
      <c r="Y236" t="s">
        <v>307</v>
      </c>
      <c r="Z236" t="s">
        <v>430</v>
      </c>
    </row>
    <row r="237" spans="1:26" hidden="1" x14ac:dyDescent="0.25">
      <c r="A237" s="2">
        <v>18</v>
      </c>
      <c r="B237" t="s">
        <v>178</v>
      </c>
      <c r="C237" t="s">
        <v>2296</v>
      </c>
      <c r="D237" t="s">
        <v>2011</v>
      </c>
      <c r="E237" s="2" t="s">
        <v>154</v>
      </c>
      <c r="F237" s="7" t="s">
        <v>273</v>
      </c>
      <c r="G237" s="7" t="s">
        <v>284</v>
      </c>
      <c r="H237">
        <v>20</v>
      </c>
      <c r="I237">
        <v>2550</v>
      </c>
      <c r="J237">
        <v>11050</v>
      </c>
      <c r="K237" s="2" t="s">
        <v>156</v>
      </c>
      <c r="M237" s="70">
        <v>1</v>
      </c>
      <c r="N237" s="70">
        <v>2923.8</v>
      </c>
      <c r="O237" s="75" t="s">
        <v>2297</v>
      </c>
      <c r="P237" s="70">
        <v>1469.52</v>
      </c>
      <c r="R237" s="73">
        <v>2923.8</v>
      </c>
      <c r="S237" s="73">
        <v>1298.74</v>
      </c>
      <c r="T237" s="73">
        <v>145.25</v>
      </c>
      <c r="U237" s="70">
        <v>10.29</v>
      </c>
      <c r="V237" s="42">
        <v>23</v>
      </c>
      <c r="W237" t="s">
        <v>2440</v>
      </c>
      <c r="X237" t="s">
        <v>113</v>
      </c>
      <c r="Y237" t="s">
        <v>307</v>
      </c>
      <c r="Z237" t="s">
        <v>430</v>
      </c>
    </row>
    <row r="238" spans="1:26" hidden="1" x14ac:dyDescent="0.25">
      <c r="A238" s="2">
        <v>19</v>
      </c>
      <c r="B238" t="s">
        <v>178</v>
      </c>
      <c r="C238" t="s">
        <v>2301</v>
      </c>
      <c r="D238" t="s">
        <v>2011</v>
      </c>
      <c r="E238" s="2" t="s">
        <v>154</v>
      </c>
      <c r="F238" s="7" t="s">
        <v>273</v>
      </c>
      <c r="G238" s="7" t="s">
        <v>284</v>
      </c>
      <c r="H238">
        <v>20</v>
      </c>
      <c r="I238">
        <v>2550</v>
      </c>
      <c r="J238">
        <v>11050</v>
      </c>
      <c r="K238" s="2" t="s">
        <v>156</v>
      </c>
      <c r="M238" s="70">
        <v>1</v>
      </c>
      <c r="N238" s="70">
        <v>1197.99</v>
      </c>
      <c r="O238" s="75" t="s">
        <v>2302</v>
      </c>
      <c r="P238" s="70">
        <v>860.08</v>
      </c>
      <c r="R238" s="73">
        <v>1197.99</v>
      </c>
      <c r="S238" s="73">
        <v>186</v>
      </c>
      <c r="T238" s="73">
        <v>145.88999999999999</v>
      </c>
      <c r="U238" s="70">
        <v>6.02</v>
      </c>
      <c r="V238" s="42">
        <v>23</v>
      </c>
      <c r="W238" t="s">
        <v>2440</v>
      </c>
      <c r="X238" t="s">
        <v>113</v>
      </c>
      <c r="Y238" t="s">
        <v>307</v>
      </c>
      <c r="Z238" t="s">
        <v>430</v>
      </c>
    </row>
    <row r="239" spans="1:26" hidden="1" x14ac:dyDescent="0.25">
      <c r="A239" s="2">
        <v>20</v>
      </c>
      <c r="B239" t="s">
        <v>178</v>
      </c>
      <c r="C239" t="s">
        <v>2314</v>
      </c>
      <c r="D239" t="s">
        <v>2011</v>
      </c>
      <c r="E239" s="2" t="s">
        <v>154</v>
      </c>
      <c r="F239" s="7" t="s">
        <v>273</v>
      </c>
      <c r="G239" s="7" t="s">
        <v>284</v>
      </c>
      <c r="H239">
        <v>20</v>
      </c>
      <c r="I239">
        <v>2550</v>
      </c>
      <c r="J239">
        <v>11050</v>
      </c>
      <c r="K239" s="2" t="s">
        <v>156</v>
      </c>
      <c r="M239" s="70">
        <v>1</v>
      </c>
      <c r="N239" s="70">
        <v>1197.99</v>
      </c>
      <c r="O239" s="75" t="s">
        <v>2315</v>
      </c>
      <c r="P239" s="70">
        <v>401.9</v>
      </c>
      <c r="R239" s="73">
        <v>1197.99</v>
      </c>
      <c r="S239" s="73">
        <v>776.57</v>
      </c>
      <c r="T239" s="73">
        <v>16.71</v>
      </c>
      <c r="U239" s="70">
        <v>2.81</v>
      </c>
      <c r="V239" s="42">
        <v>23</v>
      </c>
      <c r="W239" t="s">
        <v>2440</v>
      </c>
      <c r="X239" t="s">
        <v>113</v>
      </c>
      <c r="Y239" t="s">
        <v>307</v>
      </c>
      <c r="Z239" t="s">
        <v>430</v>
      </c>
    </row>
    <row r="240" spans="1:26" hidden="1" x14ac:dyDescent="0.25">
      <c r="A240" s="2">
        <v>21</v>
      </c>
      <c r="B240" t="s">
        <v>178</v>
      </c>
      <c r="C240" t="s">
        <v>2322</v>
      </c>
      <c r="D240" t="s">
        <v>2011</v>
      </c>
      <c r="E240" s="2" t="s">
        <v>154</v>
      </c>
      <c r="F240" s="7" t="s">
        <v>273</v>
      </c>
      <c r="G240" s="7" t="s">
        <v>1134</v>
      </c>
      <c r="H240">
        <v>20</v>
      </c>
      <c r="I240">
        <v>2550</v>
      </c>
      <c r="J240">
        <v>13000</v>
      </c>
      <c r="K240" s="2" t="s">
        <v>156</v>
      </c>
      <c r="M240" s="70">
        <v>1</v>
      </c>
      <c r="N240" s="70">
        <v>5204.55</v>
      </c>
      <c r="O240" s="75" t="s">
        <v>180</v>
      </c>
      <c r="P240" s="70">
        <v>1217.8</v>
      </c>
      <c r="Q240" s="73">
        <v>5204.55</v>
      </c>
      <c r="S240" s="73">
        <v>3955.39</v>
      </c>
      <c r="T240" s="73">
        <v>22.84</v>
      </c>
      <c r="U240" s="70">
        <v>8.52</v>
      </c>
      <c r="V240" s="42">
        <v>23</v>
      </c>
      <c r="W240" t="s">
        <v>2440</v>
      </c>
      <c r="X240" t="s">
        <v>113</v>
      </c>
      <c r="Y240" t="s">
        <v>307</v>
      </c>
      <c r="Z240" t="s">
        <v>430</v>
      </c>
    </row>
    <row r="241" spans="1:26" hidden="1" x14ac:dyDescent="0.25">
      <c r="A241" s="2">
        <v>22</v>
      </c>
      <c r="B241" t="s">
        <v>178</v>
      </c>
      <c r="C241" t="s">
        <v>2328</v>
      </c>
      <c r="D241" t="s">
        <v>2011</v>
      </c>
      <c r="E241" s="2" t="s">
        <v>154</v>
      </c>
      <c r="F241" s="7" t="s">
        <v>273</v>
      </c>
      <c r="G241" s="7" t="s">
        <v>1134</v>
      </c>
      <c r="H241">
        <v>20</v>
      </c>
      <c r="I241">
        <v>2550</v>
      </c>
      <c r="J241">
        <v>13000</v>
      </c>
      <c r="K241" s="2" t="s">
        <v>156</v>
      </c>
      <c r="M241" s="70">
        <v>1</v>
      </c>
      <c r="N241" s="70">
        <v>5204.55</v>
      </c>
      <c r="O241" s="75" t="s">
        <v>180</v>
      </c>
      <c r="P241" s="70">
        <v>4871.2</v>
      </c>
      <c r="Q241" s="73">
        <v>5204.55</v>
      </c>
      <c r="T241" s="73">
        <v>299.25</v>
      </c>
      <c r="U241" s="70">
        <v>34.1</v>
      </c>
      <c r="V241" s="42">
        <v>23</v>
      </c>
      <c r="W241" t="s">
        <v>2440</v>
      </c>
      <c r="X241" t="s">
        <v>113</v>
      </c>
      <c r="Y241" t="s">
        <v>307</v>
      </c>
      <c r="Z241" t="s">
        <v>430</v>
      </c>
    </row>
    <row r="242" spans="1:26" hidden="1" x14ac:dyDescent="0.25">
      <c r="A242" s="2">
        <v>23</v>
      </c>
      <c r="B242" t="s">
        <v>178</v>
      </c>
      <c r="C242" t="s">
        <v>2346</v>
      </c>
      <c r="D242" t="s">
        <v>2011</v>
      </c>
      <c r="E242" s="2" t="s">
        <v>154</v>
      </c>
      <c r="F242" s="7" t="s">
        <v>273</v>
      </c>
      <c r="G242" s="7" t="s">
        <v>284</v>
      </c>
      <c r="H242">
        <v>20</v>
      </c>
      <c r="I242">
        <v>2550</v>
      </c>
      <c r="J242">
        <v>11050</v>
      </c>
      <c r="K242" s="2" t="s">
        <v>156</v>
      </c>
      <c r="M242" s="70">
        <v>1</v>
      </c>
      <c r="N242" s="70">
        <v>4423.87</v>
      </c>
      <c r="O242" s="75" t="s">
        <v>180</v>
      </c>
      <c r="P242" s="70">
        <v>4003.64</v>
      </c>
      <c r="Q242" s="73">
        <v>4423.87</v>
      </c>
      <c r="T242" s="73">
        <v>392.2</v>
      </c>
      <c r="U242" s="70">
        <v>28.03</v>
      </c>
      <c r="V242" s="42">
        <v>23</v>
      </c>
      <c r="W242" t="s">
        <v>2440</v>
      </c>
      <c r="X242" t="s">
        <v>113</v>
      </c>
      <c r="Y242" t="s">
        <v>307</v>
      </c>
      <c r="Z242" t="s">
        <v>430</v>
      </c>
    </row>
    <row r="243" spans="1:26" hidden="1" x14ac:dyDescent="0.25">
      <c r="A243" s="2">
        <v>24</v>
      </c>
      <c r="B243" t="s">
        <v>178</v>
      </c>
      <c r="C243" t="s">
        <v>2358</v>
      </c>
      <c r="D243" t="s">
        <v>2011</v>
      </c>
      <c r="E243" s="2" t="s">
        <v>154</v>
      </c>
      <c r="F243" s="7" t="s">
        <v>273</v>
      </c>
      <c r="G243" s="7" t="s">
        <v>284</v>
      </c>
      <c r="H243">
        <v>20</v>
      </c>
      <c r="I243">
        <v>2550</v>
      </c>
      <c r="J243">
        <v>11050</v>
      </c>
      <c r="K243" s="2" t="s">
        <v>156</v>
      </c>
      <c r="M243" s="70">
        <v>1</v>
      </c>
      <c r="N243" s="70">
        <v>4423.87</v>
      </c>
      <c r="O243" s="75" t="s">
        <v>180</v>
      </c>
      <c r="P243" s="70">
        <v>4003.64</v>
      </c>
      <c r="Q243" s="73">
        <v>4423.87</v>
      </c>
      <c r="T243" s="73">
        <v>392.2</v>
      </c>
      <c r="U243" s="70">
        <v>28.03</v>
      </c>
      <c r="V243" s="42">
        <v>23</v>
      </c>
      <c r="W243" t="s">
        <v>2440</v>
      </c>
      <c r="X243" t="s">
        <v>113</v>
      </c>
      <c r="Y243" t="s">
        <v>307</v>
      </c>
      <c r="Z243" t="s">
        <v>430</v>
      </c>
    </row>
    <row r="244" spans="1:26" hidden="1" x14ac:dyDescent="0.25">
      <c r="A244" s="2">
        <v>25</v>
      </c>
      <c r="B244" t="s">
        <v>178</v>
      </c>
      <c r="C244" t="s">
        <v>2370</v>
      </c>
      <c r="D244" t="s">
        <v>2011</v>
      </c>
      <c r="E244" s="2" t="s">
        <v>154</v>
      </c>
      <c r="F244" s="7" t="s">
        <v>273</v>
      </c>
      <c r="G244" s="7" t="s">
        <v>284</v>
      </c>
      <c r="H244">
        <v>20</v>
      </c>
      <c r="I244">
        <v>2550</v>
      </c>
      <c r="J244">
        <v>11050</v>
      </c>
      <c r="K244" s="2" t="s">
        <v>156</v>
      </c>
      <c r="M244" s="70">
        <v>1</v>
      </c>
      <c r="N244" s="70">
        <v>4423.87</v>
      </c>
      <c r="O244" s="75" t="s">
        <v>180</v>
      </c>
      <c r="P244" s="70">
        <v>1880.24</v>
      </c>
      <c r="Q244" s="73">
        <v>4423.87</v>
      </c>
      <c r="S244" s="73">
        <v>2504.75</v>
      </c>
      <c r="T244" s="73">
        <v>25.72</v>
      </c>
      <c r="U244" s="70">
        <v>13.16</v>
      </c>
      <c r="V244" s="42">
        <v>23</v>
      </c>
      <c r="W244" t="s">
        <v>2440</v>
      </c>
      <c r="X244" t="s">
        <v>113</v>
      </c>
      <c r="Y244" t="s">
        <v>307</v>
      </c>
      <c r="Z244" t="s">
        <v>430</v>
      </c>
    </row>
    <row r="245" spans="1:26" hidden="1" x14ac:dyDescent="0.25">
      <c r="A245" s="2">
        <v>26</v>
      </c>
      <c r="B245" t="s">
        <v>178</v>
      </c>
      <c r="C245" t="s">
        <v>2376</v>
      </c>
      <c r="D245" t="s">
        <v>2011</v>
      </c>
      <c r="E245" s="2" t="s">
        <v>154</v>
      </c>
      <c r="F245" s="7" t="s">
        <v>273</v>
      </c>
      <c r="G245" s="7" t="s">
        <v>284</v>
      </c>
      <c r="H245">
        <v>20</v>
      </c>
      <c r="I245">
        <v>2550</v>
      </c>
      <c r="J245">
        <v>11050</v>
      </c>
      <c r="K245" s="2" t="s">
        <v>156</v>
      </c>
      <c r="M245" s="70">
        <v>1</v>
      </c>
      <c r="N245" s="70">
        <v>4423.87</v>
      </c>
      <c r="O245" s="75" t="s">
        <v>180</v>
      </c>
      <c r="P245" s="70">
        <v>3084.94</v>
      </c>
      <c r="Q245" s="73">
        <v>4423.87</v>
      </c>
      <c r="S245" s="73">
        <v>1270.18</v>
      </c>
      <c r="T245" s="73">
        <v>47.16</v>
      </c>
      <c r="U245" s="70">
        <v>21.59</v>
      </c>
      <c r="V245" s="42">
        <v>23</v>
      </c>
      <c r="W245" t="s">
        <v>2440</v>
      </c>
      <c r="X245" t="s">
        <v>113</v>
      </c>
      <c r="Y245" t="s">
        <v>307</v>
      </c>
      <c r="Z245" t="s">
        <v>430</v>
      </c>
    </row>
    <row r="246" spans="1:26" hidden="1" x14ac:dyDescent="0.25">
      <c r="A246" s="2">
        <v>27</v>
      </c>
      <c r="B246" t="s">
        <v>178</v>
      </c>
      <c r="C246" t="s">
        <v>2387</v>
      </c>
      <c r="D246" t="s">
        <v>2011</v>
      </c>
      <c r="E246" s="2" t="s">
        <v>154</v>
      </c>
      <c r="F246" s="7" t="s">
        <v>273</v>
      </c>
      <c r="G246" s="7" t="s">
        <v>284</v>
      </c>
      <c r="H246">
        <v>20</v>
      </c>
      <c r="I246">
        <v>2550</v>
      </c>
      <c r="J246">
        <v>11050</v>
      </c>
      <c r="K246" s="2" t="s">
        <v>156</v>
      </c>
      <c r="M246" s="70">
        <v>1</v>
      </c>
      <c r="N246" s="70">
        <v>4423.87</v>
      </c>
      <c r="O246" s="75" t="s">
        <v>180</v>
      </c>
      <c r="P246" s="70">
        <v>3219.83</v>
      </c>
      <c r="Q246" s="73">
        <v>4423.87</v>
      </c>
      <c r="S246" s="73">
        <v>928.05</v>
      </c>
      <c r="T246" s="73">
        <v>253.45</v>
      </c>
      <c r="U246" s="70">
        <v>22.54</v>
      </c>
      <c r="V246" s="42">
        <v>23</v>
      </c>
      <c r="W246" t="s">
        <v>2440</v>
      </c>
      <c r="X246" t="s">
        <v>113</v>
      </c>
      <c r="Y246" t="s">
        <v>307</v>
      </c>
      <c r="Z246" t="s">
        <v>430</v>
      </c>
    </row>
    <row r="247" spans="1:26" hidden="1" x14ac:dyDescent="0.25">
      <c r="A247" s="2">
        <v>28</v>
      </c>
      <c r="B247" t="s">
        <v>178</v>
      </c>
      <c r="C247" t="s">
        <v>2399</v>
      </c>
      <c r="D247" t="s">
        <v>2011</v>
      </c>
      <c r="E247" s="2" t="s">
        <v>154</v>
      </c>
      <c r="F247" s="7" t="s">
        <v>273</v>
      </c>
      <c r="G247" s="7" t="s">
        <v>284</v>
      </c>
      <c r="H247">
        <v>20</v>
      </c>
      <c r="I247">
        <v>2550</v>
      </c>
      <c r="J247">
        <v>11050</v>
      </c>
      <c r="K247" s="2" t="s">
        <v>156</v>
      </c>
      <c r="M247" s="70">
        <v>1</v>
      </c>
      <c r="N247" s="70">
        <v>4423.87</v>
      </c>
      <c r="O247" s="75" t="s">
        <v>180</v>
      </c>
      <c r="P247" s="70">
        <v>3014.39</v>
      </c>
      <c r="Q247" s="73">
        <v>4423.87</v>
      </c>
      <c r="S247" s="73">
        <v>1233.22</v>
      </c>
      <c r="T247" s="73">
        <v>155.16</v>
      </c>
      <c r="U247" s="70">
        <v>21.1</v>
      </c>
      <c r="V247" s="42">
        <v>23</v>
      </c>
      <c r="W247" t="s">
        <v>2440</v>
      </c>
      <c r="X247" t="s">
        <v>113</v>
      </c>
      <c r="Y247" t="s">
        <v>307</v>
      </c>
      <c r="Z247" t="s">
        <v>430</v>
      </c>
    </row>
    <row r="248" spans="1:26" hidden="1" x14ac:dyDescent="0.25">
      <c r="A248" s="2">
        <v>29</v>
      </c>
      <c r="B248" t="s">
        <v>178</v>
      </c>
      <c r="C248" t="s">
        <v>2409</v>
      </c>
      <c r="D248" t="s">
        <v>2011</v>
      </c>
      <c r="E248" s="2" t="s">
        <v>154</v>
      </c>
      <c r="F248" s="7" t="s">
        <v>273</v>
      </c>
      <c r="G248" s="7" t="s">
        <v>284</v>
      </c>
      <c r="H248">
        <v>20</v>
      </c>
      <c r="I248">
        <v>2550</v>
      </c>
      <c r="J248">
        <v>11050</v>
      </c>
      <c r="K248" s="2" t="s">
        <v>156</v>
      </c>
      <c r="M248" s="70">
        <v>1</v>
      </c>
      <c r="N248" s="70">
        <v>4423.87</v>
      </c>
      <c r="O248" s="75" t="s">
        <v>180</v>
      </c>
      <c r="P248" s="70">
        <v>2305.0500000000002</v>
      </c>
      <c r="Q248" s="73">
        <v>4423.87</v>
      </c>
      <c r="S248" s="73">
        <v>1972.64</v>
      </c>
      <c r="T248" s="73">
        <v>130.04</v>
      </c>
      <c r="U248" s="70">
        <v>16.14</v>
      </c>
      <c r="V248" s="42">
        <v>23</v>
      </c>
      <c r="W248" t="s">
        <v>2440</v>
      </c>
      <c r="X248" t="s">
        <v>113</v>
      </c>
      <c r="Y248" t="s">
        <v>307</v>
      </c>
      <c r="Z248" t="s">
        <v>430</v>
      </c>
    </row>
    <row r="249" spans="1:26" hidden="1" x14ac:dyDescent="0.25">
      <c r="A249" s="2">
        <v>30</v>
      </c>
      <c r="B249" t="s">
        <v>178</v>
      </c>
      <c r="C249" t="s">
        <v>2419</v>
      </c>
      <c r="D249" t="s">
        <v>2011</v>
      </c>
      <c r="E249" s="2" t="s">
        <v>154</v>
      </c>
      <c r="F249" s="7" t="s">
        <v>273</v>
      </c>
      <c r="G249" s="7" t="s">
        <v>284</v>
      </c>
      <c r="H249">
        <v>20</v>
      </c>
      <c r="I249">
        <v>2550</v>
      </c>
      <c r="J249">
        <v>11050</v>
      </c>
      <c r="K249" s="2" t="s">
        <v>156</v>
      </c>
      <c r="M249" s="70">
        <v>1</v>
      </c>
      <c r="N249" s="70">
        <v>4423.87</v>
      </c>
      <c r="O249" s="75" t="s">
        <v>180</v>
      </c>
      <c r="P249" s="70">
        <v>2298.88</v>
      </c>
      <c r="Q249" s="73">
        <v>4423.87</v>
      </c>
      <c r="S249" s="73">
        <v>1978.93</v>
      </c>
      <c r="T249" s="73">
        <v>129.97</v>
      </c>
      <c r="U249" s="70">
        <v>16.09</v>
      </c>
      <c r="V249" s="42">
        <v>23</v>
      </c>
      <c r="W249" t="s">
        <v>2440</v>
      </c>
      <c r="X249" t="s">
        <v>113</v>
      </c>
      <c r="Y249" t="s">
        <v>307</v>
      </c>
      <c r="Z249" t="s">
        <v>430</v>
      </c>
    </row>
    <row r="250" spans="1:26" hidden="1" x14ac:dyDescent="0.25">
      <c r="A250" s="2">
        <v>31</v>
      </c>
      <c r="B250" t="s">
        <v>178</v>
      </c>
      <c r="C250" t="s">
        <v>2429</v>
      </c>
      <c r="D250" t="s">
        <v>2011</v>
      </c>
      <c r="E250" s="2" t="s">
        <v>154</v>
      </c>
      <c r="F250" s="7" t="s">
        <v>273</v>
      </c>
      <c r="G250" s="7" t="s">
        <v>284</v>
      </c>
      <c r="H250">
        <v>20</v>
      </c>
      <c r="I250">
        <v>2550</v>
      </c>
      <c r="J250">
        <v>11050</v>
      </c>
      <c r="K250" s="2" t="s">
        <v>156</v>
      </c>
      <c r="M250" s="70">
        <v>1</v>
      </c>
      <c r="N250" s="70">
        <v>4423.87</v>
      </c>
      <c r="O250" s="75" t="s">
        <v>180</v>
      </c>
      <c r="P250" s="70">
        <v>287.36</v>
      </c>
      <c r="Q250" s="73">
        <v>4423.87</v>
      </c>
      <c r="S250" s="73">
        <v>4130.47</v>
      </c>
      <c r="T250" s="73">
        <v>4.03</v>
      </c>
      <c r="U250" s="70">
        <v>2.0099999999999998</v>
      </c>
      <c r="V250" s="42">
        <v>23</v>
      </c>
      <c r="W250" t="s">
        <v>2440</v>
      </c>
      <c r="X250" t="s">
        <v>113</v>
      </c>
      <c r="Y250" t="s">
        <v>307</v>
      </c>
      <c r="Z250" t="s">
        <v>430</v>
      </c>
    </row>
    <row r="251" spans="1:26" hidden="1" x14ac:dyDescent="0.25">
      <c r="A251" s="2">
        <v>32</v>
      </c>
      <c r="B251" t="s">
        <v>178</v>
      </c>
      <c r="C251" t="s">
        <v>2432</v>
      </c>
      <c r="D251" t="s">
        <v>2011</v>
      </c>
      <c r="E251" s="2" t="s">
        <v>154</v>
      </c>
      <c r="F251" s="7" t="s">
        <v>273</v>
      </c>
      <c r="G251" s="7" t="s">
        <v>1135</v>
      </c>
      <c r="H251">
        <v>32</v>
      </c>
      <c r="I251">
        <v>2250</v>
      </c>
      <c r="J251">
        <v>9100</v>
      </c>
      <c r="K251" s="2" t="s">
        <v>156</v>
      </c>
      <c r="M251" s="70">
        <v>1</v>
      </c>
      <c r="N251" s="70">
        <v>2816.61</v>
      </c>
      <c r="O251" s="75" t="s">
        <v>2433</v>
      </c>
      <c r="P251" s="70">
        <v>2181.8200000000002</v>
      </c>
      <c r="R251" s="73">
        <v>2816.61</v>
      </c>
      <c r="S251" s="73">
        <v>557.76</v>
      </c>
      <c r="T251" s="73">
        <v>61.76</v>
      </c>
      <c r="U251" s="70">
        <v>15.27</v>
      </c>
      <c r="V251" s="42">
        <v>23</v>
      </c>
      <c r="W251" t="s">
        <v>2440</v>
      </c>
      <c r="X251" t="s">
        <v>113</v>
      </c>
      <c r="Y251" t="s">
        <v>307</v>
      </c>
      <c r="Z251" t="s">
        <v>430</v>
      </c>
    </row>
    <row r="252" spans="1:26" hidden="1" x14ac:dyDescent="0.25">
      <c r="A252" s="2">
        <v>33</v>
      </c>
      <c r="B252" t="s">
        <v>178</v>
      </c>
      <c r="C252" t="s">
        <v>2437</v>
      </c>
      <c r="D252" t="s">
        <v>2011</v>
      </c>
      <c r="E252" s="2" t="s">
        <v>154</v>
      </c>
      <c r="F252" s="7" t="s">
        <v>273</v>
      </c>
      <c r="G252" s="7" t="s">
        <v>1136</v>
      </c>
      <c r="H252">
        <v>32</v>
      </c>
      <c r="I252">
        <v>2250</v>
      </c>
      <c r="J252">
        <v>7800</v>
      </c>
      <c r="K252" s="2" t="s">
        <v>156</v>
      </c>
      <c r="M252" s="70">
        <v>1</v>
      </c>
      <c r="N252" s="70">
        <v>4408.5600000000004</v>
      </c>
      <c r="O252" s="75" t="s">
        <v>180</v>
      </c>
      <c r="P252" s="70">
        <v>4233.22</v>
      </c>
      <c r="Q252" s="73">
        <v>4408.5600000000004</v>
      </c>
      <c r="T252" s="73">
        <v>145.71</v>
      </c>
      <c r="U252" s="70">
        <v>29.63</v>
      </c>
      <c r="V252" s="42">
        <v>23</v>
      </c>
      <c r="W252" t="s">
        <v>2440</v>
      </c>
      <c r="X252" t="s">
        <v>113</v>
      </c>
      <c r="Y252" t="s">
        <v>307</v>
      </c>
      <c r="Z252" t="s">
        <v>430</v>
      </c>
    </row>
    <row r="253" spans="1:26" x14ac:dyDescent="0.25">
      <c r="A253" s="2">
        <v>1</v>
      </c>
      <c r="B253" t="s">
        <v>178</v>
      </c>
      <c r="C253" t="s">
        <v>2448</v>
      </c>
      <c r="D253" t="s">
        <v>2449</v>
      </c>
      <c r="E253" s="2" t="s">
        <v>154</v>
      </c>
      <c r="F253" s="7" t="s">
        <v>273</v>
      </c>
      <c r="G253" s="7" t="s">
        <v>3149</v>
      </c>
      <c r="H253">
        <v>12</v>
      </c>
      <c r="I253">
        <v>2438</v>
      </c>
      <c r="J253">
        <v>3541</v>
      </c>
      <c r="K253" s="2" t="s">
        <v>156</v>
      </c>
      <c r="M253" s="70">
        <v>1</v>
      </c>
      <c r="N253" s="70">
        <v>810.01</v>
      </c>
      <c r="O253" s="75" t="s">
        <v>2450</v>
      </c>
      <c r="P253" s="70">
        <v>767.63</v>
      </c>
      <c r="R253" s="73">
        <v>810.01</v>
      </c>
      <c r="T253" s="73">
        <v>37.01</v>
      </c>
      <c r="U253" s="70">
        <v>5.37</v>
      </c>
      <c r="V253" s="42">
        <v>24</v>
      </c>
      <c r="W253" t="s">
        <v>3150</v>
      </c>
      <c r="X253" t="s">
        <v>113</v>
      </c>
      <c r="Y253" t="s">
        <v>307</v>
      </c>
      <c r="Z253" t="s">
        <v>430</v>
      </c>
    </row>
    <row r="254" spans="1:26" x14ac:dyDescent="0.25">
      <c r="A254" s="2">
        <v>2</v>
      </c>
      <c r="B254" t="s">
        <v>178</v>
      </c>
      <c r="C254" t="s">
        <v>2468</v>
      </c>
      <c r="D254" t="s">
        <v>2449</v>
      </c>
      <c r="E254" s="2" t="s">
        <v>154</v>
      </c>
      <c r="F254" s="7" t="s">
        <v>273</v>
      </c>
      <c r="G254" s="7" t="s">
        <v>3151</v>
      </c>
      <c r="H254">
        <v>12</v>
      </c>
      <c r="I254">
        <v>2438</v>
      </c>
      <c r="J254">
        <v>3532</v>
      </c>
      <c r="K254" s="2" t="s">
        <v>156</v>
      </c>
      <c r="M254" s="70">
        <v>1</v>
      </c>
      <c r="N254" s="70">
        <v>779.33</v>
      </c>
      <c r="O254" s="75" t="s">
        <v>2469</v>
      </c>
      <c r="P254" s="70">
        <v>732.33</v>
      </c>
      <c r="R254" s="73">
        <v>779.33</v>
      </c>
      <c r="T254" s="73">
        <v>41.87</v>
      </c>
      <c r="U254" s="70">
        <v>5.13</v>
      </c>
      <c r="V254" s="42">
        <v>24</v>
      </c>
      <c r="W254" t="s">
        <v>3150</v>
      </c>
      <c r="X254" t="s">
        <v>113</v>
      </c>
      <c r="Y254" t="s">
        <v>307</v>
      </c>
      <c r="Z254" t="s">
        <v>430</v>
      </c>
    </row>
    <row r="255" spans="1:26" x14ac:dyDescent="0.25">
      <c r="A255" s="2">
        <v>3</v>
      </c>
      <c r="B255" t="s">
        <v>178</v>
      </c>
      <c r="C255" t="s">
        <v>2489</v>
      </c>
      <c r="D255" t="s">
        <v>2449</v>
      </c>
      <c r="E255" s="2" t="s">
        <v>154</v>
      </c>
      <c r="F255" s="7" t="s">
        <v>273</v>
      </c>
      <c r="G255" s="7" t="s">
        <v>3152</v>
      </c>
      <c r="H255">
        <v>12</v>
      </c>
      <c r="I255">
        <v>2438</v>
      </c>
      <c r="J255">
        <v>7110</v>
      </c>
      <c r="K255" s="2" t="s">
        <v>156</v>
      </c>
      <c r="M255" s="70">
        <v>1</v>
      </c>
      <c r="N255" s="70">
        <v>960.44</v>
      </c>
      <c r="O255" s="75" t="s">
        <v>2490</v>
      </c>
      <c r="P255" s="70">
        <v>892.83</v>
      </c>
      <c r="R255" s="73">
        <v>960.44</v>
      </c>
      <c r="T255" s="73">
        <v>61.36</v>
      </c>
      <c r="U255" s="70">
        <v>6.25</v>
      </c>
      <c r="V255" s="42">
        <v>24</v>
      </c>
      <c r="W255" t="s">
        <v>3150</v>
      </c>
      <c r="X255" t="s">
        <v>113</v>
      </c>
      <c r="Y255" t="s">
        <v>307</v>
      </c>
      <c r="Z255" t="s">
        <v>430</v>
      </c>
    </row>
    <row r="256" spans="1:26" x14ac:dyDescent="0.25">
      <c r="A256" s="2">
        <v>4</v>
      </c>
      <c r="B256" t="s">
        <v>178</v>
      </c>
      <c r="C256" t="s">
        <v>2512</v>
      </c>
      <c r="D256" t="s">
        <v>2449</v>
      </c>
      <c r="E256" s="2" t="s">
        <v>154</v>
      </c>
      <c r="F256" s="7" t="s">
        <v>273</v>
      </c>
      <c r="G256" s="7" t="s">
        <v>283</v>
      </c>
      <c r="H256">
        <v>12</v>
      </c>
      <c r="I256">
        <v>2438</v>
      </c>
      <c r="J256">
        <v>10000</v>
      </c>
      <c r="K256" s="2" t="s">
        <v>156</v>
      </c>
      <c r="M256" s="70">
        <v>1</v>
      </c>
      <c r="N256" s="70">
        <v>2296.6</v>
      </c>
      <c r="O256" s="75" t="s">
        <v>180</v>
      </c>
      <c r="P256" s="70">
        <v>2188.0500000000002</v>
      </c>
      <c r="Q256" s="73">
        <v>2296.6</v>
      </c>
      <c r="T256" s="73">
        <v>93.23</v>
      </c>
      <c r="U256" s="70">
        <v>15.32</v>
      </c>
      <c r="V256" s="42">
        <v>24</v>
      </c>
      <c r="W256" t="s">
        <v>3150</v>
      </c>
      <c r="X256" t="s">
        <v>113</v>
      </c>
      <c r="Y256" t="s">
        <v>307</v>
      </c>
      <c r="Z256" t="s">
        <v>430</v>
      </c>
    </row>
    <row r="257" spans="1:26" x14ac:dyDescent="0.25">
      <c r="A257" s="2">
        <v>5</v>
      </c>
      <c r="B257" t="s">
        <v>178</v>
      </c>
      <c r="C257" t="s">
        <v>2528</v>
      </c>
      <c r="D257" t="s">
        <v>2449</v>
      </c>
      <c r="E257" s="2" t="s">
        <v>154</v>
      </c>
      <c r="F257" s="7" t="s">
        <v>273</v>
      </c>
      <c r="G257" s="7" t="s">
        <v>283</v>
      </c>
      <c r="H257">
        <v>12</v>
      </c>
      <c r="I257">
        <v>2438</v>
      </c>
      <c r="J257">
        <v>10000</v>
      </c>
      <c r="K257" s="2" t="s">
        <v>156</v>
      </c>
      <c r="M257" s="70">
        <v>1</v>
      </c>
      <c r="N257" s="70">
        <v>2296.6</v>
      </c>
      <c r="O257" s="75" t="s">
        <v>180</v>
      </c>
      <c r="P257" s="70">
        <v>2187.61</v>
      </c>
      <c r="Q257" s="73">
        <v>2296.6</v>
      </c>
      <c r="T257" s="73">
        <v>93.68</v>
      </c>
      <c r="U257" s="70">
        <v>15.31</v>
      </c>
      <c r="V257" s="42">
        <v>24</v>
      </c>
      <c r="W257" t="s">
        <v>3150</v>
      </c>
      <c r="X257" t="s">
        <v>113</v>
      </c>
      <c r="Y257" t="s">
        <v>307</v>
      </c>
      <c r="Z257" t="s">
        <v>430</v>
      </c>
    </row>
    <row r="258" spans="1:26" x14ac:dyDescent="0.25">
      <c r="A258" s="2">
        <v>6</v>
      </c>
      <c r="B258" t="s">
        <v>178</v>
      </c>
      <c r="C258" t="s">
        <v>2542</v>
      </c>
      <c r="D258" t="s">
        <v>2449</v>
      </c>
      <c r="E258" s="2" t="s">
        <v>154</v>
      </c>
      <c r="F258" s="7" t="s">
        <v>273</v>
      </c>
      <c r="G258" s="7" t="s">
        <v>283</v>
      </c>
      <c r="H258">
        <v>12</v>
      </c>
      <c r="I258">
        <v>2438</v>
      </c>
      <c r="J258">
        <v>10000</v>
      </c>
      <c r="K258" s="2" t="s">
        <v>156</v>
      </c>
      <c r="M258" s="70">
        <v>1</v>
      </c>
      <c r="N258" s="70">
        <v>2296.6</v>
      </c>
      <c r="O258" s="75" t="s">
        <v>180</v>
      </c>
      <c r="P258" s="70">
        <v>2192.67</v>
      </c>
      <c r="Q258" s="73">
        <v>2296.6</v>
      </c>
      <c r="T258" s="73">
        <v>88.58</v>
      </c>
      <c r="U258" s="70">
        <v>15.35</v>
      </c>
      <c r="V258" s="42">
        <v>24</v>
      </c>
      <c r="W258" t="s">
        <v>3150</v>
      </c>
      <c r="X258" t="s">
        <v>113</v>
      </c>
      <c r="Y258" t="s">
        <v>307</v>
      </c>
      <c r="Z258" t="s">
        <v>430</v>
      </c>
    </row>
    <row r="259" spans="1:26" x14ac:dyDescent="0.25">
      <c r="A259" s="2">
        <v>7</v>
      </c>
      <c r="B259" t="s">
        <v>178</v>
      </c>
      <c r="C259" t="s">
        <v>2558</v>
      </c>
      <c r="D259" t="s">
        <v>2449</v>
      </c>
      <c r="E259" s="2" t="s">
        <v>154</v>
      </c>
      <c r="F259" s="7" t="s">
        <v>273</v>
      </c>
      <c r="G259" s="7" t="s">
        <v>283</v>
      </c>
      <c r="H259">
        <v>12</v>
      </c>
      <c r="I259">
        <v>2438</v>
      </c>
      <c r="J259">
        <v>10000</v>
      </c>
      <c r="K259" s="2" t="s">
        <v>156</v>
      </c>
      <c r="M259" s="70">
        <v>1</v>
      </c>
      <c r="N259" s="70">
        <v>2296.6</v>
      </c>
      <c r="O259" s="75" t="s">
        <v>180</v>
      </c>
      <c r="P259" s="70">
        <v>2192.71</v>
      </c>
      <c r="Q259" s="73">
        <v>2296.6</v>
      </c>
      <c r="T259" s="73">
        <v>88.54</v>
      </c>
      <c r="U259" s="70">
        <v>15.35</v>
      </c>
      <c r="V259" s="42">
        <v>24</v>
      </c>
      <c r="W259" t="s">
        <v>3150</v>
      </c>
      <c r="X259" t="s">
        <v>113</v>
      </c>
      <c r="Y259" t="s">
        <v>307</v>
      </c>
      <c r="Z259" t="s">
        <v>430</v>
      </c>
    </row>
    <row r="260" spans="1:26" x14ac:dyDescent="0.25">
      <c r="A260" s="2">
        <v>8</v>
      </c>
      <c r="B260" t="s">
        <v>178</v>
      </c>
      <c r="C260" t="s">
        <v>2574</v>
      </c>
      <c r="D260" t="s">
        <v>2449</v>
      </c>
      <c r="E260" s="2" t="s">
        <v>154</v>
      </c>
      <c r="F260" s="7" t="s">
        <v>273</v>
      </c>
      <c r="G260" s="7" t="s">
        <v>283</v>
      </c>
      <c r="H260">
        <v>12</v>
      </c>
      <c r="I260">
        <v>2438</v>
      </c>
      <c r="J260">
        <v>10000</v>
      </c>
      <c r="K260" s="2" t="s">
        <v>156</v>
      </c>
      <c r="M260" s="70">
        <v>1</v>
      </c>
      <c r="N260" s="70">
        <v>2296.6</v>
      </c>
      <c r="O260" s="75" t="s">
        <v>180</v>
      </c>
      <c r="P260" s="70">
        <v>2176.27</v>
      </c>
      <c r="Q260" s="73">
        <v>2296.6</v>
      </c>
      <c r="T260" s="73">
        <v>105.1</v>
      </c>
      <c r="U260" s="70">
        <v>15.23</v>
      </c>
      <c r="V260" s="42">
        <v>24</v>
      </c>
      <c r="W260" t="s">
        <v>3150</v>
      </c>
      <c r="X260" t="s">
        <v>113</v>
      </c>
      <c r="Y260" t="s">
        <v>307</v>
      </c>
      <c r="Z260" t="s">
        <v>430</v>
      </c>
    </row>
    <row r="261" spans="1:26" x14ac:dyDescent="0.25">
      <c r="A261" s="2">
        <v>9</v>
      </c>
      <c r="B261" t="s">
        <v>178</v>
      </c>
      <c r="C261" t="s">
        <v>2596</v>
      </c>
      <c r="D261" t="s">
        <v>2449</v>
      </c>
      <c r="E261" s="2" t="s">
        <v>154</v>
      </c>
      <c r="F261" s="7" t="s">
        <v>273</v>
      </c>
      <c r="G261" s="7" t="s">
        <v>283</v>
      </c>
      <c r="H261">
        <v>12</v>
      </c>
      <c r="I261">
        <v>2438</v>
      </c>
      <c r="J261">
        <v>10000</v>
      </c>
      <c r="K261" s="2" t="s">
        <v>156</v>
      </c>
      <c r="M261" s="70">
        <v>1</v>
      </c>
      <c r="N261" s="70">
        <v>2296.6</v>
      </c>
      <c r="O261" s="75" t="s">
        <v>180</v>
      </c>
      <c r="P261" s="70">
        <v>2217.59</v>
      </c>
      <c r="Q261" s="73">
        <v>2296.6</v>
      </c>
      <c r="T261" s="73">
        <v>63.49</v>
      </c>
      <c r="U261" s="70">
        <v>15.52</v>
      </c>
      <c r="V261" s="42">
        <v>24</v>
      </c>
      <c r="W261" t="s">
        <v>3150</v>
      </c>
      <c r="X261" t="s">
        <v>113</v>
      </c>
      <c r="Y261" t="s">
        <v>307</v>
      </c>
      <c r="Z261" t="s">
        <v>430</v>
      </c>
    </row>
    <row r="262" spans="1:26" x14ac:dyDescent="0.25">
      <c r="A262" s="2">
        <v>10</v>
      </c>
      <c r="B262" t="s">
        <v>178</v>
      </c>
      <c r="C262" t="s">
        <v>2624</v>
      </c>
      <c r="D262" t="s">
        <v>2449</v>
      </c>
      <c r="E262" s="2" t="s">
        <v>154</v>
      </c>
      <c r="F262" s="7" t="s">
        <v>273</v>
      </c>
      <c r="G262" s="7" t="s">
        <v>283</v>
      </c>
      <c r="H262">
        <v>12</v>
      </c>
      <c r="I262">
        <v>2438</v>
      </c>
      <c r="J262">
        <v>10000</v>
      </c>
      <c r="K262" s="2" t="s">
        <v>156</v>
      </c>
      <c r="M262" s="70">
        <v>1</v>
      </c>
      <c r="N262" s="70">
        <v>2296.6</v>
      </c>
      <c r="O262" s="75" t="s">
        <v>180</v>
      </c>
      <c r="P262" s="70">
        <v>2192.66</v>
      </c>
      <c r="Q262" s="73">
        <v>2296.6</v>
      </c>
      <c r="T262" s="73">
        <v>88.59</v>
      </c>
      <c r="U262" s="70">
        <v>15.35</v>
      </c>
      <c r="V262" s="42">
        <v>24</v>
      </c>
      <c r="W262" t="s">
        <v>3150</v>
      </c>
      <c r="X262" t="s">
        <v>113</v>
      </c>
      <c r="Y262" t="s">
        <v>307</v>
      </c>
      <c r="Z262" t="s">
        <v>430</v>
      </c>
    </row>
    <row r="263" spans="1:26" x14ac:dyDescent="0.25">
      <c r="A263" s="2">
        <v>11</v>
      </c>
      <c r="B263" t="s">
        <v>178</v>
      </c>
      <c r="C263" t="s">
        <v>2639</v>
      </c>
      <c r="D263" t="s">
        <v>2449</v>
      </c>
      <c r="E263" s="2" t="s">
        <v>154</v>
      </c>
      <c r="F263" s="7" t="s">
        <v>273</v>
      </c>
      <c r="G263" s="7" t="s">
        <v>283</v>
      </c>
      <c r="H263">
        <v>12</v>
      </c>
      <c r="I263">
        <v>2438</v>
      </c>
      <c r="J263">
        <v>10000</v>
      </c>
      <c r="K263" s="2" t="s">
        <v>156</v>
      </c>
      <c r="M263" s="70">
        <v>1</v>
      </c>
      <c r="N263" s="70">
        <v>2296.6</v>
      </c>
      <c r="O263" s="75" t="s">
        <v>180</v>
      </c>
      <c r="P263" s="70">
        <v>2194.66</v>
      </c>
      <c r="Q263" s="73">
        <v>2296.6</v>
      </c>
      <c r="T263" s="73">
        <v>86.58</v>
      </c>
      <c r="U263" s="70">
        <v>15.36</v>
      </c>
      <c r="V263" s="42">
        <v>24</v>
      </c>
      <c r="W263" t="s">
        <v>3150</v>
      </c>
      <c r="X263" t="s">
        <v>113</v>
      </c>
      <c r="Y263" t="s">
        <v>307</v>
      </c>
      <c r="Z263" t="s">
        <v>430</v>
      </c>
    </row>
    <row r="264" spans="1:26" x14ac:dyDescent="0.25">
      <c r="A264" s="2">
        <v>12</v>
      </c>
      <c r="B264" t="s">
        <v>178</v>
      </c>
      <c r="C264" t="s">
        <v>2659</v>
      </c>
      <c r="D264" t="s">
        <v>2449</v>
      </c>
      <c r="E264" s="2" t="s">
        <v>154</v>
      </c>
      <c r="F264" s="7" t="s">
        <v>273</v>
      </c>
      <c r="G264" s="7" t="s">
        <v>283</v>
      </c>
      <c r="H264">
        <v>12</v>
      </c>
      <c r="I264">
        <v>2438</v>
      </c>
      <c r="J264">
        <v>10000</v>
      </c>
      <c r="K264" s="2" t="s">
        <v>156</v>
      </c>
      <c r="M264" s="70">
        <v>1</v>
      </c>
      <c r="N264" s="70">
        <v>2296.6</v>
      </c>
      <c r="O264" s="75" t="s">
        <v>180</v>
      </c>
      <c r="P264" s="70">
        <v>2187.59</v>
      </c>
      <c r="Q264" s="73">
        <v>2296.6</v>
      </c>
      <c r="T264" s="73">
        <v>93.7</v>
      </c>
      <c r="U264" s="70">
        <v>15.31</v>
      </c>
      <c r="V264" s="42">
        <v>24</v>
      </c>
      <c r="W264" t="s">
        <v>3150</v>
      </c>
      <c r="X264" t="s">
        <v>113</v>
      </c>
      <c r="Y264" t="s">
        <v>307</v>
      </c>
      <c r="Z264" t="s">
        <v>430</v>
      </c>
    </row>
    <row r="265" spans="1:26" x14ac:dyDescent="0.25">
      <c r="A265" s="2">
        <v>13</v>
      </c>
      <c r="B265" t="s">
        <v>178</v>
      </c>
      <c r="C265" t="s">
        <v>2679</v>
      </c>
      <c r="D265" t="s">
        <v>2449</v>
      </c>
      <c r="E265" s="2" t="s">
        <v>154</v>
      </c>
      <c r="F265" s="7" t="s">
        <v>273</v>
      </c>
      <c r="G265" s="7" t="s">
        <v>283</v>
      </c>
      <c r="H265">
        <v>12</v>
      </c>
      <c r="I265">
        <v>2438</v>
      </c>
      <c r="J265">
        <v>10000</v>
      </c>
      <c r="K265" s="2" t="s">
        <v>156</v>
      </c>
      <c r="M265" s="70">
        <v>1</v>
      </c>
      <c r="N265" s="70">
        <v>2296.6</v>
      </c>
      <c r="O265" s="75" t="s">
        <v>180</v>
      </c>
      <c r="P265" s="70">
        <v>2185.86</v>
      </c>
      <c r="Q265" s="73">
        <v>2296.6</v>
      </c>
      <c r="T265" s="73">
        <v>95.44</v>
      </c>
      <c r="U265" s="70">
        <v>15.3</v>
      </c>
      <c r="V265" s="42">
        <v>24</v>
      </c>
      <c r="W265" t="s">
        <v>3150</v>
      </c>
      <c r="X265" t="s">
        <v>113</v>
      </c>
      <c r="Y265" t="s">
        <v>307</v>
      </c>
      <c r="Z265" t="s">
        <v>430</v>
      </c>
    </row>
    <row r="266" spans="1:26" x14ac:dyDescent="0.25">
      <c r="A266" s="2">
        <v>14</v>
      </c>
      <c r="B266" t="s">
        <v>178</v>
      </c>
      <c r="C266" t="s">
        <v>2704</v>
      </c>
      <c r="D266" t="s">
        <v>2449</v>
      </c>
      <c r="E266" s="2" t="s">
        <v>154</v>
      </c>
      <c r="F266" s="7" t="s">
        <v>273</v>
      </c>
      <c r="G266" s="7" t="s">
        <v>283</v>
      </c>
      <c r="H266">
        <v>12</v>
      </c>
      <c r="I266">
        <v>2438</v>
      </c>
      <c r="J266">
        <v>10000</v>
      </c>
      <c r="K266" s="2" t="s">
        <v>156</v>
      </c>
      <c r="M266" s="70">
        <v>1</v>
      </c>
      <c r="N266" s="70">
        <v>2296.6</v>
      </c>
      <c r="O266" s="75" t="s">
        <v>180</v>
      </c>
      <c r="P266" s="70">
        <v>2185.86</v>
      </c>
      <c r="Q266" s="73">
        <v>2296.6</v>
      </c>
      <c r="T266" s="73">
        <v>95.44</v>
      </c>
      <c r="U266" s="70">
        <v>15.3</v>
      </c>
      <c r="V266" s="42">
        <v>24</v>
      </c>
      <c r="W266" t="s">
        <v>3150</v>
      </c>
      <c r="X266" t="s">
        <v>113</v>
      </c>
      <c r="Y266" t="s">
        <v>307</v>
      </c>
      <c r="Z266" t="s">
        <v>430</v>
      </c>
    </row>
    <row r="267" spans="1:26" x14ac:dyDescent="0.25">
      <c r="A267" s="2">
        <v>15</v>
      </c>
      <c r="B267" t="s">
        <v>178</v>
      </c>
      <c r="C267" t="s">
        <v>2724</v>
      </c>
      <c r="D267" t="s">
        <v>2449</v>
      </c>
      <c r="E267" s="2" t="s">
        <v>154</v>
      </c>
      <c r="F267" s="7" t="s">
        <v>273</v>
      </c>
      <c r="G267" s="7" t="s">
        <v>283</v>
      </c>
      <c r="H267">
        <v>12</v>
      </c>
      <c r="I267">
        <v>2438</v>
      </c>
      <c r="J267">
        <v>10000</v>
      </c>
      <c r="K267" s="2" t="s">
        <v>156</v>
      </c>
      <c r="M267" s="70">
        <v>1</v>
      </c>
      <c r="N267" s="70">
        <v>2296.6</v>
      </c>
      <c r="O267" s="75" t="s">
        <v>180</v>
      </c>
      <c r="P267" s="70">
        <v>2180.59</v>
      </c>
      <c r="Q267" s="73">
        <v>2296.6</v>
      </c>
      <c r="T267" s="73">
        <v>100.75</v>
      </c>
      <c r="U267" s="70">
        <v>15.26</v>
      </c>
      <c r="V267" s="42">
        <v>24</v>
      </c>
      <c r="W267" t="s">
        <v>3150</v>
      </c>
      <c r="X267" t="s">
        <v>113</v>
      </c>
      <c r="Y267" t="s">
        <v>307</v>
      </c>
      <c r="Z267" t="s">
        <v>430</v>
      </c>
    </row>
    <row r="268" spans="1:26" x14ac:dyDescent="0.25">
      <c r="A268" s="2">
        <v>16</v>
      </c>
      <c r="B268" t="s">
        <v>178</v>
      </c>
      <c r="C268" t="s">
        <v>2769</v>
      </c>
      <c r="D268" t="s">
        <v>2449</v>
      </c>
      <c r="E268" s="2" t="s">
        <v>154</v>
      </c>
      <c r="F268" s="7" t="s">
        <v>273</v>
      </c>
      <c r="G268" s="7" t="s">
        <v>283</v>
      </c>
      <c r="H268">
        <v>12</v>
      </c>
      <c r="I268">
        <v>2438</v>
      </c>
      <c r="J268">
        <v>10000</v>
      </c>
      <c r="K268" s="2" t="s">
        <v>156</v>
      </c>
      <c r="M268" s="70">
        <v>1</v>
      </c>
      <c r="N268" s="70">
        <v>2296.6</v>
      </c>
      <c r="O268" s="75" t="s">
        <v>180</v>
      </c>
      <c r="P268" s="70">
        <v>2139.5500000000002</v>
      </c>
      <c r="Q268" s="73">
        <v>2296.6</v>
      </c>
      <c r="T268" s="73">
        <v>142.07</v>
      </c>
      <c r="U268" s="70">
        <v>14.98</v>
      </c>
      <c r="V268" s="42">
        <v>24</v>
      </c>
      <c r="W268" t="s">
        <v>3150</v>
      </c>
      <c r="X268" t="s">
        <v>113</v>
      </c>
      <c r="Y268" t="s">
        <v>307</v>
      </c>
      <c r="Z268" t="s">
        <v>430</v>
      </c>
    </row>
    <row r="269" spans="1:26" x14ac:dyDescent="0.25">
      <c r="A269" s="2">
        <v>17</v>
      </c>
      <c r="B269" t="s">
        <v>178</v>
      </c>
      <c r="C269" t="s">
        <v>2814</v>
      </c>
      <c r="D269" t="s">
        <v>2449</v>
      </c>
      <c r="E269" s="2" t="s">
        <v>154</v>
      </c>
      <c r="F269" s="7" t="s">
        <v>273</v>
      </c>
      <c r="G269" s="7" t="s">
        <v>283</v>
      </c>
      <c r="H269">
        <v>12</v>
      </c>
      <c r="I269">
        <v>2438</v>
      </c>
      <c r="J269">
        <v>10000</v>
      </c>
      <c r="K269" s="2" t="s">
        <v>156</v>
      </c>
      <c r="M269" s="70">
        <v>1</v>
      </c>
      <c r="N269" s="70">
        <v>2296.6</v>
      </c>
      <c r="O269" s="75" t="s">
        <v>180</v>
      </c>
      <c r="P269" s="70">
        <v>1240.33</v>
      </c>
      <c r="Q269" s="73">
        <v>2296.6</v>
      </c>
      <c r="S269" s="73">
        <v>1027.73</v>
      </c>
      <c r="T269" s="73">
        <v>19.86</v>
      </c>
      <c r="U269" s="70">
        <v>8.68</v>
      </c>
      <c r="V269" s="42">
        <v>24</v>
      </c>
      <c r="W269" t="s">
        <v>3150</v>
      </c>
      <c r="X269" t="s">
        <v>113</v>
      </c>
      <c r="Y269" t="s">
        <v>307</v>
      </c>
      <c r="Z269" t="s">
        <v>430</v>
      </c>
    </row>
    <row r="270" spans="1:26" x14ac:dyDescent="0.25">
      <c r="A270" s="2">
        <v>18</v>
      </c>
      <c r="B270" t="s">
        <v>178</v>
      </c>
      <c r="C270" t="s">
        <v>2827</v>
      </c>
      <c r="D270" t="s">
        <v>2449</v>
      </c>
      <c r="E270" s="2" t="s">
        <v>154</v>
      </c>
      <c r="F270" s="7" t="s">
        <v>273</v>
      </c>
      <c r="G270" s="7" t="s">
        <v>283</v>
      </c>
      <c r="H270">
        <v>12</v>
      </c>
      <c r="I270">
        <v>2438</v>
      </c>
      <c r="J270">
        <v>10000</v>
      </c>
      <c r="K270" s="2" t="s">
        <v>156</v>
      </c>
      <c r="M270" s="70">
        <v>1</v>
      </c>
      <c r="N270" s="70">
        <v>2296.6</v>
      </c>
      <c r="O270" s="75" t="s">
        <v>180</v>
      </c>
      <c r="P270" s="70">
        <v>1192.6400000000001</v>
      </c>
      <c r="Q270" s="73">
        <v>2296.6</v>
      </c>
      <c r="S270" s="73">
        <v>1087.42</v>
      </c>
      <c r="T270" s="73">
        <v>8.19</v>
      </c>
      <c r="U270" s="70">
        <v>8.35</v>
      </c>
      <c r="V270" s="42">
        <v>24</v>
      </c>
      <c r="W270" t="s">
        <v>3150</v>
      </c>
      <c r="X270" t="s">
        <v>113</v>
      </c>
      <c r="Y270" t="s">
        <v>307</v>
      </c>
      <c r="Z270" t="s">
        <v>430</v>
      </c>
    </row>
    <row r="271" spans="1:26" x14ac:dyDescent="0.25">
      <c r="A271" s="2">
        <v>19</v>
      </c>
      <c r="B271" t="s">
        <v>178</v>
      </c>
      <c r="C271" t="s">
        <v>2833</v>
      </c>
      <c r="D271" t="s">
        <v>2449</v>
      </c>
      <c r="E271" s="2" t="s">
        <v>154</v>
      </c>
      <c r="F271" s="7" t="s">
        <v>273</v>
      </c>
      <c r="G271" s="7" t="s">
        <v>283</v>
      </c>
      <c r="H271">
        <v>12</v>
      </c>
      <c r="I271">
        <v>2438</v>
      </c>
      <c r="J271">
        <v>10000</v>
      </c>
      <c r="K271" s="2" t="s">
        <v>156</v>
      </c>
      <c r="M271" s="70">
        <v>1</v>
      </c>
      <c r="N271" s="70">
        <v>2296.6</v>
      </c>
      <c r="O271" s="75" t="s">
        <v>180</v>
      </c>
      <c r="P271" s="70">
        <v>1192.6400000000001</v>
      </c>
      <c r="Q271" s="73">
        <v>2296.6</v>
      </c>
      <c r="S271" s="73">
        <v>1087.42</v>
      </c>
      <c r="T271" s="73">
        <v>8.19</v>
      </c>
      <c r="U271" s="70">
        <v>8.35</v>
      </c>
      <c r="V271" s="42">
        <v>24</v>
      </c>
      <c r="W271" t="s">
        <v>3150</v>
      </c>
      <c r="X271" t="s">
        <v>113</v>
      </c>
      <c r="Y271" t="s">
        <v>307</v>
      </c>
      <c r="Z271" t="s">
        <v>430</v>
      </c>
    </row>
    <row r="272" spans="1:26" x14ac:dyDescent="0.25">
      <c r="A272" s="2">
        <v>20</v>
      </c>
      <c r="B272" t="s">
        <v>178</v>
      </c>
      <c r="C272" t="s">
        <v>2839</v>
      </c>
      <c r="D272" t="s">
        <v>2449</v>
      </c>
      <c r="E272" s="2" t="s">
        <v>154</v>
      </c>
      <c r="F272" s="7" t="s">
        <v>273</v>
      </c>
      <c r="G272" s="7" t="s">
        <v>283</v>
      </c>
      <c r="H272">
        <v>12</v>
      </c>
      <c r="I272">
        <v>2438</v>
      </c>
      <c r="J272">
        <v>10000</v>
      </c>
      <c r="K272" s="2" t="s">
        <v>156</v>
      </c>
      <c r="M272" s="70">
        <v>1</v>
      </c>
      <c r="N272" s="70">
        <v>2296.6</v>
      </c>
      <c r="O272" s="75" t="s">
        <v>180</v>
      </c>
      <c r="P272" s="70">
        <v>596.52</v>
      </c>
      <c r="Q272" s="73">
        <v>2296.6</v>
      </c>
      <c r="S272" s="73">
        <v>1692</v>
      </c>
      <c r="T272" s="73">
        <v>3.9</v>
      </c>
      <c r="U272" s="70">
        <v>4.18</v>
      </c>
      <c r="V272" s="42">
        <v>24</v>
      </c>
      <c r="W272" t="s">
        <v>3150</v>
      </c>
      <c r="X272" t="s">
        <v>113</v>
      </c>
      <c r="Y272" t="s">
        <v>307</v>
      </c>
      <c r="Z272" t="s">
        <v>430</v>
      </c>
    </row>
    <row r="273" spans="1:26" x14ac:dyDescent="0.25">
      <c r="A273" s="2">
        <v>21</v>
      </c>
      <c r="B273" t="s">
        <v>178</v>
      </c>
      <c r="C273" t="s">
        <v>2844</v>
      </c>
      <c r="D273" t="s">
        <v>2449</v>
      </c>
      <c r="E273" s="2" t="s">
        <v>154</v>
      </c>
      <c r="F273" s="7" t="s">
        <v>273</v>
      </c>
      <c r="G273" s="7" t="s">
        <v>3153</v>
      </c>
      <c r="H273">
        <v>16</v>
      </c>
      <c r="I273">
        <v>2438</v>
      </c>
      <c r="J273">
        <v>8760</v>
      </c>
      <c r="K273" s="2" t="s">
        <v>156</v>
      </c>
      <c r="M273" s="70">
        <v>1</v>
      </c>
      <c r="N273" s="70">
        <v>2682.42</v>
      </c>
      <c r="O273" s="75" t="s">
        <v>2845</v>
      </c>
      <c r="P273" s="70">
        <v>2547.7600000000002</v>
      </c>
      <c r="R273" s="73">
        <v>2682.42</v>
      </c>
      <c r="T273" s="73">
        <v>116.83</v>
      </c>
      <c r="U273" s="70">
        <v>17.829999999999998</v>
      </c>
      <c r="V273" s="42">
        <v>24</v>
      </c>
      <c r="W273" t="s">
        <v>3150</v>
      </c>
      <c r="X273" t="s">
        <v>113</v>
      </c>
      <c r="Y273" t="s">
        <v>307</v>
      </c>
      <c r="Z273" t="s">
        <v>430</v>
      </c>
    </row>
    <row r="274" spans="1:26" x14ac:dyDescent="0.25">
      <c r="A274" s="2">
        <v>22</v>
      </c>
      <c r="B274" t="s">
        <v>178</v>
      </c>
      <c r="C274" t="s">
        <v>2864</v>
      </c>
      <c r="D274" t="s">
        <v>2449</v>
      </c>
      <c r="E274" s="2" t="s">
        <v>154</v>
      </c>
      <c r="F274" s="7" t="s">
        <v>273</v>
      </c>
      <c r="G274" s="7" t="s">
        <v>1133</v>
      </c>
      <c r="H274">
        <v>16</v>
      </c>
      <c r="I274">
        <v>2438</v>
      </c>
      <c r="J274">
        <v>12000</v>
      </c>
      <c r="K274" s="2" t="s">
        <v>156</v>
      </c>
      <c r="M274" s="70">
        <v>1</v>
      </c>
      <c r="N274" s="70">
        <v>3674.55</v>
      </c>
      <c r="O274" s="75" t="s">
        <v>180</v>
      </c>
      <c r="P274" s="70">
        <v>343.77</v>
      </c>
      <c r="Q274" s="73">
        <v>3674.55</v>
      </c>
      <c r="S274" s="73">
        <v>3306.21</v>
      </c>
      <c r="T274" s="73">
        <v>22.16</v>
      </c>
      <c r="U274" s="70">
        <v>2.41</v>
      </c>
      <c r="V274" s="42">
        <v>24</v>
      </c>
      <c r="W274" t="s">
        <v>3150</v>
      </c>
      <c r="X274" t="s">
        <v>113</v>
      </c>
      <c r="Y274" t="s">
        <v>307</v>
      </c>
      <c r="Z274" t="s">
        <v>430</v>
      </c>
    </row>
    <row r="275" spans="1:26" x14ac:dyDescent="0.25">
      <c r="A275" s="2">
        <v>23</v>
      </c>
      <c r="B275" t="s">
        <v>178</v>
      </c>
      <c r="C275" t="s">
        <v>2872</v>
      </c>
      <c r="D275" t="s">
        <v>2449</v>
      </c>
      <c r="E275" s="2" t="s">
        <v>154</v>
      </c>
      <c r="F275" s="7" t="s">
        <v>273</v>
      </c>
      <c r="G275" s="7" t="s">
        <v>3154</v>
      </c>
      <c r="H275">
        <v>20</v>
      </c>
      <c r="I275">
        <v>2550</v>
      </c>
      <c r="J275">
        <v>3244</v>
      </c>
      <c r="K275" s="2" t="s">
        <v>156</v>
      </c>
      <c r="M275" s="70">
        <v>1</v>
      </c>
      <c r="N275" s="70">
        <v>1298.74</v>
      </c>
      <c r="O275" s="75" t="s">
        <v>2873</v>
      </c>
      <c r="P275" s="70">
        <v>1221.68</v>
      </c>
      <c r="R275" s="73">
        <v>1298.74</v>
      </c>
      <c r="T275" s="73">
        <v>68.510000000000005</v>
      </c>
      <c r="U275" s="70">
        <v>8.5500000000000007</v>
      </c>
      <c r="V275" s="42">
        <v>24</v>
      </c>
      <c r="W275" t="s">
        <v>3150</v>
      </c>
      <c r="X275" t="s">
        <v>113</v>
      </c>
      <c r="Y275" t="s">
        <v>307</v>
      </c>
      <c r="Z275" t="s">
        <v>430</v>
      </c>
    </row>
    <row r="276" spans="1:26" x14ac:dyDescent="0.25">
      <c r="A276" s="2">
        <v>24</v>
      </c>
      <c r="B276" t="s">
        <v>178</v>
      </c>
      <c r="C276" t="s">
        <v>2893</v>
      </c>
      <c r="D276" t="s">
        <v>2449</v>
      </c>
      <c r="E276" s="2" t="s">
        <v>154</v>
      </c>
      <c r="F276" s="7" t="s">
        <v>273</v>
      </c>
      <c r="G276" s="7" t="s">
        <v>3155</v>
      </c>
      <c r="H276">
        <v>20</v>
      </c>
      <c r="I276">
        <v>2550</v>
      </c>
      <c r="J276">
        <v>10130</v>
      </c>
      <c r="K276" s="2" t="s">
        <v>156</v>
      </c>
      <c r="M276" s="70">
        <v>1</v>
      </c>
      <c r="N276" s="70">
        <v>776.57</v>
      </c>
      <c r="O276" s="75" t="s">
        <v>2894</v>
      </c>
      <c r="P276" s="70">
        <v>463.74</v>
      </c>
      <c r="R276" s="73">
        <v>776.57</v>
      </c>
      <c r="S276" s="73">
        <v>238.17</v>
      </c>
      <c r="T276" s="73">
        <v>71.41</v>
      </c>
      <c r="U276" s="70">
        <v>3.25</v>
      </c>
      <c r="V276" s="42">
        <v>24</v>
      </c>
      <c r="W276" t="s">
        <v>3150</v>
      </c>
      <c r="X276" t="s">
        <v>113</v>
      </c>
      <c r="Y276" t="s">
        <v>307</v>
      </c>
      <c r="Z276" t="s">
        <v>430</v>
      </c>
    </row>
    <row r="277" spans="1:26" x14ac:dyDescent="0.25">
      <c r="A277" s="2">
        <v>25</v>
      </c>
      <c r="B277" t="s">
        <v>178</v>
      </c>
      <c r="C277" t="s">
        <v>2902</v>
      </c>
      <c r="D277" t="s">
        <v>2449</v>
      </c>
      <c r="E277" s="2" t="s">
        <v>154</v>
      </c>
      <c r="F277" s="7" t="s">
        <v>273</v>
      </c>
      <c r="G277" s="7" t="s">
        <v>1479</v>
      </c>
      <c r="H277">
        <v>20</v>
      </c>
      <c r="I277">
        <v>1632</v>
      </c>
      <c r="J277">
        <v>11050</v>
      </c>
      <c r="K277" s="2" t="s">
        <v>156</v>
      </c>
      <c r="M277" s="70">
        <v>1</v>
      </c>
      <c r="N277" s="70">
        <v>1270.18</v>
      </c>
      <c r="O277" s="75" t="s">
        <v>2903</v>
      </c>
      <c r="P277" s="70">
        <v>635.48</v>
      </c>
      <c r="R277" s="73">
        <v>1270.18</v>
      </c>
      <c r="S277" s="73">
        <v>618.04999999999995</v>
      </c>
      <c r="T277" s="73">
        <v>12.2</v>
      </c>
      <c r="U277" s="70">
        <v>4.45</v>
      </c>
      <c r="V277" s="42">
        <v>24</v>
      </c>
      <c r="W277" t="s">
        <v>3150</v>
      </c>
      <c r="X277" t="s">
        <v>113</v>
      </c>
      <c r="Y277" t="s">
        <v>307</v>
      </c>
      <c r="Z277" t="s">
        <v>430</v>
      </c>
    </row>
    <row r="278" spans="1:26" x14ac:dyDescent="0.25">
      <c r="A278" s="2">
        <v>26</v>
      </c>
      <c r="B278" t="s">
        <v>178</v>
      </c>
      <c r="C278" t="s">
        <v>2908</v>
      </c>
      <c r="D278" t="s">
        <v>2449</v>
      </c>
      <c r="E278" s="2" t="s">
        <v>154</v>
      </c>
      <c r="F278" s="7" t="s">
        <v>273</v>
      </c>
      <c r="G278" s="7" t="s">
        <v>3156</v>
      </c>
      <c r="H278">
        <v>20</v>
      </c>
      <c r="I278">
        <v>1632</v>
      </c>
      <c r="J278">
        <v>4143</v>
      </c>
      <c r="K278" s="2" t="s">
        <v>156</v>
      </c>
      <c r="M278" s="70">
        <v>1</v>
      </c>
      <c r="N278" s="70">
        <v>928.05</v>
      </c>
      <c r="O278" s="75" t="s">
        <v>2909</v>
      </c>
      <c r="P278" s="70">
        <v>872.55</v>
      </c>
      <c r="R278" s="73">
        <v>928.05</v>
      </c>
      <c r="T278" s="73">
        <v>49.39</v>
      </c>
      <c r="U278" s="70">
        <v>6.11</v>
      </c>
      <c r="V278" s="42">
        <v>24</v>
      </c>
      <c r="W278" t="s">
        <v>3150</v>
      </c>
      <c r="X278" t="s">
        <v>113</v>
      </c>
      <c r="Y278" t="s">
        <v>307</v>
      </c>
      <c r="Z278" t="s">
        <v>430</v>
      </c>
    </row>
    <row r="279" spans="1:26" x14ac:dyDescent="0.25">
      <c r="A279" s="2">
        <v>27</v>
      </c>
      <c r="B279" t="s">
        <v>178</v>
      </c>
      <c r="C279" t="s">
        <v>2923</v>
      </c>
      <c r="D279" t="s">
        <v>2449</v>
      </c>
      <c r="E279" s="2" t="s">
        <v>154</v>
      </c>
      <c r="F279" s="7" t="s">
        <v>273</v>
      </c>
      <c r="G279" s="7" t="s">
        <v>3157</v>
      </c>
      <c r="H279">
        <v>20</v>
      </c>
      <c r="I279">
        <v>2550</v>
      </c>
      <c r="J279">
        <v>4810</v>
      </c>
      <c r="K279" s="2" t="s">
        <v>156</v>
      </c>
      <c r="M279" s="70">
        <v>1</v>
      </c>
      <c r="N279" s="70">
        <v>1243.29</v>
      </c>
      <c r="O279" s="75" t="s">
        <v>2924</v>
      </c>
      <c r="P279" s="70">
        <v>1117.6500000000001</v>
      </c>
      <c r="R279" s="73">
        <v>1243.29</v>
      </c>
      <c r="T279" s="73">
        <v>117.82</v>
      </c>
      <c r="U279" s="70">
        <v>7.82</v>
      </c>
      <c r="V279" s="42">
        <v>24</v>
      </c>
      <c r="W279" t="s">
        <v>3150</v>
      </c>
      <c r="X279" t="s">
        <v>113</v>
      </c>
      <c r="Y279" t="s">
        <v>307</v>
      </c>
      <c r="Z279" t="s">
        <v>430</v>
      </c>
    </row>
    <row r="280" spans="1:26" x14ac:dyDescent="0.25">
      <c r="A280" s="2">
        <v>28</v>
      </c>
      <c r="B280" t="s">
        <v>178</v>
      </c>
      <c r="C280" t="s">
        <v>2943</v>
      </c>
      <c r="D280" t="s">
        <v>2449</v>
      </c>
      <c r="E280" s="2" t="s">
        <v>154</v>
      </c>
      <c r="F280" s="7" t="s">
        <v>273</v>
      </c>
      <c r="G280" s="7" t="s">
        <v>3158</v>
      </c>
      <c r="H280">
        <v>20</v>
      </c>
      <c r="I280">
        <v>2550</v>
      </c>
      <c r="J280">
        <v>4943</v>
      </c>
      <c r="K280" s="2" t="s">
        <v>156</v>
      </c>
      <c r="M280" s="70">
        <v>1</v>
      </c>
      <c r="N280" s="70">
        <v>1972.64</v>
      </c>
      <c r="O280" s="75" t="s">
        <v>2944</v>
      </c>
      <c r="P280" s="70">
        <v>1808.56</v>
      </c>
      <c r="R280" s="73">
        <v>1972.64</v>
      </c>
      <c r="T280" s="73">
        <v>151.41999999999999</v>
      </c>
      <c r="U280" s="70">
        <v>12.66</v>
      </c>
      <c r="V280" s="42">
        <v>24</v>
      </c>
      <c r="W280" t="s">
        <v>3150</v>
      </c>
      <c r="X280" t="s">
        <v>113</v>
      </c>
      <c r="Y280" t="s">
        <v>307</v>
      </c>
      <c r="Z280" t="s">
        <v>430</v>
      </c>
    </row>
    <row r="281" spans="1:26" x14ac:dyDescent="0.25">
      <c r="A281" s="2">
        <v>29</v>
      </c>
      <c r="B281" t="s">
        <v>178</v>
      </c>
      <c r="C281" t="s">
        <v>2972</v>
      </c>
      <c r="D281" t="s">
        <v>2449</v>
      </c>
      <c r="E281" s="2" t="s">
        <v>154</v>
      </c>
      <c r="F281" s="7" t="s">
        <v>273</v>
      </c>
      <c r="G281" s="7" t="s">
        <v>284</v>
      </c>
      <c r="H281">
        <v>20</v>
      </c>
      <c r="I281">
        <v>2550</v>
      </c>
      <c r="J281">
        <v>11050</v>
      </c>
      <c r="K281" s="2" t="s">
        <v>156</v>
      </c>
      <c r="M281" s="70">
        <v>1</v>
      </c>
      <c r="N281" s="70">
        <v>2504.75</v>
      </c>
      <c r="O281" s="75" t="s">
        <v>2973</v>
      </c>
      <c r="P281" s="70">
        <v>2241.9699999999998</v>
      </c>
      <c r="R281" s="73">
        <v>2504.75</v>
      </c>
      <c r="T281" s="73">
        <v>247.09</v>
      </c>
      <c r="U281" s="70">
        <v>15.69</v>
      </c>
      <c r="V281" s="42">
        <v>24</v>
      </c>
      <c r="W281" t="s">
        <v>3150</v>
      </c>
      <c r="X281" t="s">
        <v>113</v>
      </c>
      <c r="Y281" t="s">
        <v>307</v>
      </c>
      <c r="Z281" t="s">
        <v>430</v>
      </c>
    </row>
    <row r="282" spans="1:26" x14ac:dyDescent="0.25">
      <c r="A282" s="2">
        <v>30</v>
      </c>
      <c r="B282" t="s">
        <v>178</v>
      </c>
      <c r="C282" t="s">
        <v>2983</v>
      </c>
      <c r="D282" t="s">
        <v>2449</v>
      </c>
      <c r="E282" s="2" t="s">
        <v>154</v>
      </c>
      <c r="F282" s="7" t="s">
        <v>273</v>
      </c>
      <c r="G282" s="7" t="s">
        <v>284</v>
      </c>
      <c r="H282">
        <v>20</v>
      </c>
      <c r="I282">
        <v>2550</v>
      </c>
      <c r="J282">
        <v>11050</v>
      </c>
      <c r="K282" s="2" t="s">
        <v>156</v>
      </c>
      <c r="M282" s="70">
        <v>1</v>
      </c>
      <c r="N282" s="70">
        <v>4130.47</v>
      </c>
      <c r="O282" s="75" t="s">
        <v>2984</v>
      </c>
      <c r="P282" s="70">
        <v>3532.22</v>
      </c>
      <c r="R282" s="73">
        <v>4130.47</v>
      </c>
      <c r="S282" s="73">
        <v>376.35</v>
      </c>
      <c r="T282" s="73">
        <v>197.17</v>
      </c>
      <c r="U282" s="70">
        <v>24.73</v>
      </c>
      <c r="V282" s="42">
        <v>24</v>
      </c>
      <c r="W282" t="s">
        <v>3150</v>
      </c>
      <c r="X282" t="s">
        <v>113</v>
      </c>
      <c r="Y282" t="s">
        <v>307</v>
      </c>
      <c r="Z282" t="s">
        <v>430</v>
      </c>
    </row>
    <row r="283" spans="1:26" x14ac:dyDescent="0.25">
      <c r="A283" s="2">
        <v>31</v>
      </c>
      <c r="B283" t="s">
        <v>178</v>
      </c>
      <c r="C283" t="s">
        <v>2997</v>
      </c>
      <c r="D283" t="s">
        <v>2449</v>
      </c>
      <c r="E283" s="2" t="s">
        <v>154</v>
      </c>
      <c r="F283" s="7" t="s">
        <v>273</v>
      </c>
      <c r="G283" s="7" t="s">
        <v>1134</v>
      </c>
      <c r="H283">
        <v>20</v>
      </c>
      <c r="I283">
        <v>2550</v>
      </c>
      <c r="J283">
        <v>13000</v>
      </c>
      <c r="K283" s="2" t="s">
        <v>156</v>
      </c>
      <c r="M283" s="70">
        <v>1</v>
      </c>
      <c r="N283" s="70">
        <v>5204.55</v>
      </c>
      <c r="O283" s="75" t="s">
        <v>180</v>
      </c>
      <c r="P283" s="70">
        <v>4720.34</v>
      </c>
      <c r="Q283" s="73">
        <v>5204.55</v>
      </c>
      <c r="S283" s="73">
        <v>387.56</v>
      </c>
      <c r="T283" s="73">
        <v>63.61</v>
      </c>
      <c r="U283" s="70">
        <v>33.04</v>
      </c>
      <c r="V283" s="42">
        <v>24</v>
      </c>
      <c r="W283" t="s">
        <v>3150</v>
      </c>
      <c r="X283" t="s">
        <v>113</v>
      </c>
      <c r="Y283" t="s">
        <v>307</v>
      </c>
      <c r="Z283" t="s">
        <v>430</v>
      </c>
    </row>
    <row r="284" spans="1:26" x14ac:dyDescent="0.25">
      <c r="A284" s="2">
        <v>32</v>
      </c>
      <c r="B284" t="s">
        <v>178</v>
      </c>
      <c r="C284" t="s">
        <v>3009</v>
      </c>
      <c r="D284" t="s">
        <v>2449</v>
      </c>
      <c r="E284" s="2" t="s">
        <v>154</v>
      </c>
      <c r="F284" s="7" t="s">
        <v>273</v>
      </c>
      <c r="G284" s="7" t="s">
        <v>1134</v>
      </c>
      <c r="H284">
        <v>20</v>
      </c>
      <c r="I284">
        <v>2550</v>
      </c>
      <c r="J284">
        <v>13000</v>
      </c>
      <c r="K284" s="2" t="s">
        <v>156</v>
      </c>
      <c r="M284" s="70">
        <v>1</v>
      </c>
      <c r="N284" s="70">
        <v>5204.55</v>
      </c>
      <c r="O284" s="75" t="s">
        <v>180</v>
      </c>
      <c r="P284" s="70">
        <v>4871.2</v>
      </c>
      <c r="Q284" s="73">
        <v>5204.55</v>
      </c>
      <c r="T284" s="73">
        <v>299.25</v>
      </c>
      <c r="U284" s="70">
        <v>34.1</v>
      </c>
      <c r="V284" s="42">
        <v>24</v>
      </c>
      <c r="W284" t="s">
        <v>3150</v>
      </c>
      <c r="X284" t="s">
        <v>113</v>
      </c>
      <c r="Y284" t="s">
        <v>307</v>
      </c>
      <c r="Z284" t="s">
        <v>430</v>
      </c>
    </row>
    <row r="285" spans="1:26" x14ac:dyDescent="0.25">
      <c r="A285" s="2">
        <v>33</v>
      </c>
      <c r="B285" t="s">
        <v>178</v>
      </c>
      <c r="C285" t="s">
        <v>3027</v>
      </c>
      <c r="D285" t="s">
        <v>2449</v>
      </c>
      <c r="E285" s="2" t="s">
        <v>154</v>
      </c>
      <c r="F285" s="7" t="s">
        <v>273</v>
      </c>
      <c r="G285" s="7" t="s">
        <v>2443</v>
      </c>
      <c r="H285">
        <v>20</v>
      </c>
      <c r="I285">
        <v>1938</v>
      </c>
      <c r="J285">
        <v>13000</v>
      </c>
      <c r="K285" s="2" t="s">
        <v>156</v>
      </c>
      <c r="M285" s="70">
        <v>1</v>
      </c>
      <c r="N285" s="70">
        <v>3955.39</v>
      </c>
      <c r="O285" s="75" t="s">
        <v>3028</v>
      </c>
      <c r="P285" s="70">
        <v>3653.4</v>
      </c>
      <c r="R285" s="73">
        <v>3955.39</v>
      </c>
      <c r="T285" s="73">
        <v>276.42</v>
      </c>
      <c r="U285" s="70">
        <v>25.57</v>
      </c>
      <c r="V285" s="42">
        <v>24</v>
      </c>
      <c r="W285" t="s">
        <v>3150</v>
      </c>
      <c r="X285" t="s">
        <v>113</v>
      </c>
      <c r="Y285" t="s">
        <v>307</v>
      </c>
      <c r="Z285" t="s">
        <v>430</v>
      </c>
    </row>
    <row r="286" spans="1:26" x14ac:dyDescent="0.25">
      <c r="A286" s="2">
        <v>34</v>
      </c>
      <c r="B286" t="s">
        <v>178</v>
      </c>
      <c r="C286" t="s">
        <v>3042</v>
      </c>
      <c r="D286" t="s">
        <v>2449</v>
      </c>
      <c r="E286" s="2" t="s">
        <v>154</v>
      </c>
      <c r="F286" s="7" t="s">
        <v>273</v>
      </c>
      <c r="G286" s="7" t="s">
        <v>284</v>
      </c>
      <c r="H286">
        <v>20</v>
      </c>
      <c r="I286">
        <v>2550</v>
      </c>
      <c r="J286">
        <v>11050</v>
      </c>
      <c r="K286" s="2" t="s">
        <v>156</v>
      </c>
      <c r="M286" s="70">
        <v>1</v>
      </c>
      <c r="N286" s="70">
        <v>4423.87</v>
      </c>
      <c r="O286" s="75" t="s">
        <v>180</v>
      </c>
      <c r="P286" s="70">
        <v>3760.48</v>
      </c>
      <c r="Q286" s="73">
        <v>4423.87</v>
      </c>
      <c r="S286" s="73">
        <v>425.97</v>
      </c>
      <c r="T286" s="73">
        <v>211.1</v>
      </c>
      <c r="U286" s="70">
        <v>26.32</v>
      </c>
      <c r="V286" s="42">
        <v>24</v>
      </c>
      <c r="W286" t="s">
        <v>3150</v>
      </c>
      <c r="X286" t="s">
        <v>113</v>
      </c>
      <c r="Y286" t="s">
        <v>307</v>
      </c>
      <c r="Z286" t="s">
        <v>430</v>
      </c>
    </row>
    <row r="287" spans="1:26" x14ac:dyDescent="0.25">
      <c r="A287" s="2">
        <v>35</v>
      </c>
      <c r="B287" t="s">
        <v>178</v>
      </c>
      <c r="C287" t="s">
        <v>3052</v>
      </c>
      <c r="D287" t="s">
        <v>2449</v>
      </c>
      <c r="E287" s="2" t="s">
        <v>154</v>
      </c>
      <c r="F287" s="7" t="s">
        <v>273</v>
      </c>
      <c r="G287" s="7" t="s">
        <v>284</v>
      </c>
      <c r="H287">
        <v>20</v>
      </c>
      <c r="I287">
        <v>2550</v>
      </c>
      <c r="J287">
        <v>11050</v>
      </c>
      <c r="K287" s="2" t="s">
        <v>156</v>
      </c>
      <c r="M287" s="70">
        <v>1</v>
      </c>
      <c r="N287" s="70">
        <v>4423.87</v>
      </c>
      <c r="O287" s="75" t="s">
        <v>180</v>
      </c>
      <c r="P287" s="70">
        <v>3585.6</v>
      </c>
      <c r="Q287" s="73">
        <v>4423.87</v>
      </c>
      <c r="S287" s="73">
        <v>611.73</v>
      </c>
      <c r="T287" s="73">
        <v>201.44</v>
      </c>
      <c r="U287" s="70">
        <v>25.1</v>
      </c>
      <c r="V287" s="42">
        <v>24</v>
      </c>
      <c r="W287" t="s">
        <v>3150</v>
      </c>
      <c r="X287" t="s">
        <v>113</v>
      </c>
      <c r="Y287" t="s">
        <v>307</v>
      </c>
      <c r="Z287" t="s">
        <v>430</v>
      </c>
    </row>
    <row r="288" spans="1:26" x14ac:dyDescent="0.25">
      <c r="A288" s="2">
        <v>36</v>
      </c>
      <c r="B288" t="s">
        <v>178</v>
      </c>
      <c r="C288" t="s">
        <v>3062</v>
      </c>
      <c r="D288" t="s">
        <v>2449</v>
      </c>
      <c r="E288" s="2" t="s">
        <v>154</v>
      </c>
      <c r="F288" s="7" t="s">
        <v>273</v>
      </c>
      <c r="G288" s="7" t="s">
        <v>284</v>
      </c>
      <c r="H288">
        <v>20</v>
      </c>
      <c r="I288">
        <v>2550</v>
      </c>
      <c r="J288">
        <v>11050</v>
      </c>
      <c r="K288" s="2" t="s">
        <v>156</v>
      </c>
      <c r="M288" s="70">
        <v>1</v>
      </c>
      <c r="N288" s="70">
        <v>4423.87</v>
      </c>
      <c r="O288" s="75" t="s">
        <v>180</v>
      </c>
      <c r="P288" s="70">
        <v>3543.4</v>
      </c>
      <c r="Q288" s="73">
        <v>4423.87</v>
      </c>
      <c r="S288" s="73">
        <v>661.96</v>
      </c>
      <c r="T288" s="73">
        <v>193.71</v>
      </c>
      <c r="U288" s="70">
        <v>24.8</v>
      </c>
      <c r="V288" s="42">
        <v>24</v>
      </c>
      <c r="W288" t="s">
        <v>3150</v>
      </c>
      <c r="X288" t="s">
        <v>113</v>
      </c>
      <c r="Y288" t="s">
        <v>307</v>
      </c>
      <c r="Z288" t="s">
        <v>430</v>
      </c>
    </row>
    <row r="289" spans="1:26" x14ac:dyDescent="0.25">
      <c r="A289" s="2">
        <v>37</v>
      </c>
      <c r="B289" t="s">
        <v>178</v>
      </c>
      <c r="C289" t="s">
        <v>3072</v>
      </c>
      <c r="D289" t="s">
        <v>2449</v>
      </c>
      <c r="E289" s="2" t="s">
        <v>154</v>
      </c>
      <c r="F289" s="7" t="s">
        <v>273</v>
      </c>
      <c r="G289" s="7" t="s">
        <v>284</v>
      </c>
      <c r="H289">
        <v>20</v>
      </c>
      <c r="I289">
        <v>2550</v>
      </c>
      <c r="J289">
        <v>11050</v>
      </c>
      <c r="K289" s="2" t="s">
        <v>156</v>
      </c>
      <c r="M289" s="70">
        <v>1</v>
      </c>
      <c r="N289" s="70">
        <v>4423.87</v>
      </c>
      <c r="O289" s="75" t="s">
        <v>180</v>
      </c>
      <c r="P289" s="70">
        <v>3099.16</v>
      </c>
      <c r="Q289" s="73">
        <v>4423.87</v>
      </c>
      <c r="S289" s="73">
        <v>1135.4100000000001</v>
      </c>
      <c r="T289" s="73">
        <v>167.61</v>
      </c>
      <c r="U289" s="70">
        <v>21.69</v>
      </c>
      <c r="V289" s="42">
        <v>24</v>
      </c>
      <c r="W289" t="s">
        <v>3150</v>
      </c>
      <c r="X289" t="s">
        <v>113</v>
      </c>
      <c r="Y289" t="s">
        <v>307</v>
      </c>
      <c r="Z289" t="s">
        <v>430</v>
      </c>
    </row>
    <row r="290" spans="1:26" x14ac:dyDescent="0.25">
      <c r="A290" s="2">
        <v>38</v>
      </c>
      <c r="B290" t="s">
        <v>178</v>
      </c>
      <c r="C290" t="s">
        <v>3081</v>
      </c>
      <c r="D290" t="s">
        <v>2449</v>
      </c>
      <c r="E290" s="2" t="s">
        <v>154</v>
      </c>
      <c r="F290" s="7" t="s">
        <v>273</v>
      </c>
      <c r="G290" s="7" t="s">
        <v>284</v>
      </c>
      <c r="H290">
        <v>20</v>
      </c>
      <c r="I290">
        <v>2550</v>
      </c>
      <c r="J290">
        <v>11050</v>
      </c>
      <c r="K290" s="2" t="s">
        <v>156</v>
      </c>
      <c r="M290" s="70">
        <v>1</v>
      </c>
      <c r="N290" s="70">
        <v>4423.87</v>
      </c>
      <c r="O290" s="75" t="s">
        <v>180</v>
      </c>
      <c r="P290" s="70">
        <v>3058.23</v>
      </c>
      <c r="Q290" s="73">
        <v>4423.87</v>
      </c>
      <c r="S290" s="73">
        <v>1324.74</v>
      </c>
      <c r="T290" s="73">
        <v>19.489999999999998</v>
      </c>
      <c r="U290" s="70">
        <v>21.41</v>
      </c>
      <c r="V290" s="42">
        <v>24</v>
      </c>
      <c r="W290" t="s">
        <v>3150</v>
      </c>
      <c r="X290" t="s">
        <v>113</v>
      </c>
      <c r="Y290" t="s">
        <v>307</v>
      </c>
      <c r="Z290" t="s">
        <v>430</v>
      </c>
    </row>
    <row r="291" spans="1:26" x14ac:dyDescent="0.25">
      <c r="A291" s="2">
        <v>39</v>
      </c>
      <c r="B291" t="s">
        <v>178</v>
      </c>
      <c r="C291" t="s">
        <v>3086</v>
      </c>
      <c r="D291" t="s">
        <v>2449</v>
      </c>
      <c r="E291" s="2" t="s">
        <v>154</v>
      </c>
      <c r="F291" s="7" t="s">
        <v>273</v>
      </c>
      <c r="G291" s="7" t="s">
        <v>284</v>
      </c>
      <c r="H291">
        <v>20</v>
      </c>
      <c r="I291">
        <v>2550</v>
      </c>
      <c r="J291">
        <v>11050</v>
      </c>
      <c r="K291" s="2" t="s">
        <v>156</v>
      </c>
      <c r="M291" s="70">
        <v>1</v>
      </c>
      <c r="N291" s="70">
        <v>4423.87</v>
      </c>
      <c r="O291" s="75" t="s">
        <v>180</v>
      </c>
      <c r="P291" s="70">
        <v>2910.53</v>
      </c>
      <c r="Q291" s="73">
        <v>4423.87</v>
      </c>
      <c r="S291" s="73">
        <v>1475.4</v>
      </c>
      <c r="T291" s="73">
        <v>17.57</v>
      </c>
      <c r="U291" s="70">
        <v>20.37</v>
      </c>
      <c r="V291" s="42">
        <v>24</v>
      </c>
      <c r="W291" t="s">
        <v>3150</v>
      </c>
      <c r="X291" t="s">
        <v>113</v>
      </c>
      <c r="Y291" t="s">
        <v>307</v>
      </c>
      <c r="Z291" t="s">
        <v>430</v>
      </c>
    </row>
    <row r="292" spans="1:26" x14ac:dyDescent="0.25">
      <c r="A292" s="2">
        <v>40</v>
      </c>
      <c r="B292" t="s">
        <v>178</v>
      </c>
      <c r="C292" t="s">
        <v>3092</v>
      </c>
      <c r="D292" t="s">
        <v>2449</v>
      </c>
      <c r="E292" s="2" t="s">
        <v>154</v>
      </c>
      <c r="F292" s="7" t="s">
        <v>273</v>
      </c>
      <c r="G292" s="7" t="s">
        <v>284</v>
      </c>
      <c r="H292">
        <v>20</v>
      </c>
      <c r="I292">
        <v>2550</v>
      </c>
      <c r="J292">
        <v>11050</v>
      </c>
      <c r="K292" s="2" t="s">
        <v>156</v>
      </c>
      <c r="M292" s="70">
        <v>1</v>
      </c>
      <c r="N292" s="70">
        <v>4423.87</v>
      </c>
      <c r="O292" s="75" t="s">
        <v>180</v>
      </c>
      <c r="P292" s="70">
        <v>2939.54</v>
      </c>
      <c r="Q292" s="73">
        <v>4423.87</v>
      </c>
      <c r="S292" s="73">
        <v>1324.02</v>
      </c>
      <c r="T292" s="73">
        <v>139.72999999999999</v>
      </c>
      <c r="U292" s="70">
        <v>20.58</v>
      </c>
      <c r="V292" s="42">
        <v>24</v>
      </c>
      <c r="W292" t="s">
        <v>3150</v>
      </c>
      <c r="X292" t="s">
        <v>113</v>
      </c>
      <c r="Y292" t="s">
        <v>307</v>
      </c>
      <c r="Z292" t="s">
        <v>430</v>
      </c>
    </row>
    <row r="293" spans="1:26" x14ac:dyDescent="0.25">
      <c r="A293" s="2">
        <v>41</v>
      </c>
      <c r="B293" t="s">
        <v>178</v>
      </c>
      <c r="C293" t="s">
        <v>3098</v>
      </c>
      <c r="D293" t="s">
        <v>2449</v>
      </c>
      <c r="E293" s="2" t="s">
        <v>154</v>
      </c>
      <c r="F293" s="7" t="s">
        <v>273</v>
      </c>
      <c r="G293" s="7" t="s">
        <v>284</v>
      </c>
      <c r="H293">
        <v>20</v>
      </c>
      <c r="I293">
        <v>2550</v>
      </c>
      <c r="J293">
        <v>11050</v>
      </c>
      <c r="K293" s="2" t="s">
        <v>156</v>
      </c>
      <c r="M293" s="70">
        <v>1</v>
      </c>
      <c r="N293" s="70">
        <v>4423.87</v>
      </c>
      <c r="O293" s="75" t="s">
        <v>180</v>
      </c>
      <c r="P293" s="70">
        <v>2892.02</v>
      </c>
      <c r="Q293" s="73">
        <v>4423.87</v>
      </c>
      <c r="S293" s="73">
        <v>1494.28</v>
      </c>
      <c r="T293" s="73">
        <v>17.329999999999998</v>
      </c>
      <c r="U293" s="70">
        <v>20.239999999999998</v>
      </c>
      <c r="V293" s="42">
        <v>24</v>
      </c>
      <c r="W293" t="s">
        <v>3150</v>
      </c>
      <c r="X293" t="s">
        <v>113</v>
      </c>
      <c r="Y293" t="s">
        <v>307</v>
      </c>
      <c r="Z293" t="s">
        <v>430</v>
      </c>
    </row>
    <row r="294" spans="1:26" x14ac:dyDescent="0.25">
      <c r="A294" s="2">
        <v>42</v>
      </c>
      <c r="B294" t="s">
        <v>178</v>
      </c>
      <c r="C294" t="s">
        <v>3104</v>
      </c>
      <c r="D294" t="s">
        <v>2449</v>
      </c>
      <c r="E294" s="2" t="s">
        <v>154</v>
      </c>
      <c r="F294" s="7" t="s">
        <v>273</v>
      </c>
      <c r="G294" s="7" t="s">
        <v>284</v>
      </c>
      <c r="H294">
        <v>20</v>
      </c>
      <c r="I294">
        <v>2550</v>
      </c>
      <c r="J294">
        <v>11050</v>
      </c>
      <c r="K294" s="2" t="s">
        <v>156</v>
      </c>
      <c r="M294" s="70">
        <v>1</v>
      </c>
      <c r="N294" s="70">
        <v>4423.87</v>
      </c>
      <c r="O294" s="75" t="s">
        <v>180</v>
      </c>
      <c r="P294" s="70">
        <v>2298.88</v>
      </c>
      <c r="Q294" s="73">
        <v>4423.87</v>
      </c>
      <c r="S294" s="73">
        <v>1978.93</v>
      </c>
      <c r="T294" s="73">
        <v>129.97</v>
      </c>
      <c r="U294" s="70">
        <v>16.09</v>
      </c>
      <c r="V294" s="42">
        <v>24</v>
      </c>
      <c r="W294" t="s">
        <v>3150</v>
      </c>
      <c r="X294" t="s">
        <v>113</v>
      </c>
      <c r="Y294" t="s">
        <v>307</v>
      </c>
      <c r="Z294" t="s">
        <v>430</v>
      </c>
    </row>
    <row r="295" spans="1:26" x14ac:dyDescent="0.25">
      <c r="A295" s="2">
        <v>43</v>
      </c>
      <c r="B295" t="s">
        <v>178</v>
      </c>
      <c r="C295" t="s">
        <v>3114</v>
      </c>
      <c r="D295" t="s">
        <v>2449</v>
      </c>
      <c r="E295" s="2" t="s">
        <v>154</v>
      </c>
      <c r="F295" s="7" t="s">
        <v>273</v>
      </c>
      <c r="G295" s="7" t="s">
        <v>284</v>
      </c>
      <c r="H295">
        <v>20</v>
      </c>
      <c r="I295">
        <v>2550</v>
      </c>
      <c r="J295">
        <v>11050</v>
      </c>
      <c r="K295" s="2" t="s">
        <v>156</v>
      </c>
      <c r="M295" s="70">
        <v>1</v>
      </c>
      <c r="N295" s="70">
        <v>4423.87</v>
      </c>
      <c r="O295" s="75" t="s">
        <v>180</v>
      </c>
      <c r="P295" s="70">
        <v>2298.88</v>
      </c>
      <c r="Q295" s="73">
        <v>4423.87</v>
      </c>
      <c r="S295" s="73">
        <v>1978.93</v>
      </c>
      <c r="T295" s="73">
        <v>129.97</v>
      </c>
      <c r="U295" s="70">
        <v>16.09</v>
      </c>
      <c r="V295" s="42">
        <v>24</v>
      </c>
      <c r="W295" t="s">
        <v>3150</v>
      </c>
      <c r="X295" t="s">
        <v>113</v>
      </c>
      <c r="Y295" t="s">
        <v>307</v>
      </c>
      <c r="Z295" t="s">
        <v>430</v>
      </c>
    </row>
    <row r="296" spans="1:26" x14ac:dyDescent="0.25">
      <c r="A296" s="2">
        <v>44</v>
      </c>
      <c r="B296" t="s">
        <v>178</v>
      </c>
      <c r="C296" t="s">
        <v>3124</v>
      </c>
      <c r="D296" t="s">
        <v>2449</v>
      </c>
      <c r="E296" s="2" t="s">
        <v>154</v>
      </c>
      <c r="F296" s="7" t="s">
        <v>273</v>
      </c>
      <c r="G296" s="7" t="s">
        <v>284</v>
      </c>
      <c r="H296">
        <v>20</v>
      </c>
      <c r="I296">
        <v>2550</v>
      </c>
      <c r="J296">
        <v>11050</v>
      </c>
      <c r="K296" s="2" t="s">
        <v>156</v>
      </c>
      <c r="M296" s="70">
        <v>1</v>
      </c>
      <c r="N296" s="70">
        <v>4423.87</v>
      </c>
      <c r="O296" s="75" t="s">
        <v>180</v>
      </c>
      <c r="P296" s="70">
        <v>1724.16</v>
      </c>
      <c r="Q296" s="73">
        <v>4423.87</v>
      </c>
      <c r="S296" s="73">
        <v>2663.62</v>
      </c>
      <c r="T296" s="73">
        <v>24.02</v>
      </c>
      <c r="U296" s="70">
        <v>12.07</v>
      </c>
      <c r="V296" s="42">
        <v>24</v>
      </c>
      <c r="W296" t="s">
        <v>3150</v>
      </c>
      <c r="X296" t="s">
        <v>113</v>
      </c>
      <c r="Y296" t="s">
        <v>307</v>
      </c>
      <c r="Z296" t="s">
        <v>430</v>
      </c>
    </row>
    <row r="297" spans="1:26" x14ac:dyDescent="0.25">
      <c r="A297" s="2">
        <v>45</v>
      </c>
      <c r="B297" t="s">
        <v>178</v>
      </c>
      <c r="C297" t="s">
        <v>3133</v>
      </c>
      <c r="D297" t="s">
        <v>2449</v>
      </c>
      <c r="E297" s="2" t="s">
        <v>154</v>
      </c>
      <c r="F297" s="7" t="s">
        <v>273</v>
      </c>
      <c r="G297" s="7" t="s">
        <v>3159</v>
      </c>
      <c r="H297">
        <v>32</v>
      </c>
      <c r="I297">
        <v>1198</v>
      </c>
      <c r="J297">
        <v>2250</v>
      </c>
      <c r="K297" s="2" t="s">
        <v>156</v>
      </c>
      <c r="M297" s="70">
        <v>1</v>
      </c>
      <c r="N297" s="70">
        <v>557.76</v>
      </c>
      <c r="O297" s="75" t="s">
        <v>3134</v>
      </c>
      <c r="P297" s="70">
        <v>396.24</v>
      </c>
      <c r="R297" s="73">
        <v>557.76</v>
      </c>
      <c r="S297" s="73">
        <v>123.82</v>
      </c>
      <c r="T297" s="73">
        <v>34.93</v>
      </c>
      <c r="U297" s="70">
        <v>2.77</v>
      </c>
      <c r="V297" s="42">
        <v>24</v>
      </c>
      <c r="W297" t="s">
        <v>3150</v>
      </c>
      <c r="X297" t="s">
        <v>113</v>
      </c>
      <c r="Y297" t="s">
        <v>307</v>
      </c>
      <c r="Z297" t="s">
        <v>430</v>
      </c>
    </row>
    <row r="298" spans="1:26" x14ac:dyDescent="0.25">
      <c r="A298" s="2">
        <v>46</v>
      </c>
      <c r="B298" t="s">
        <v>178</v>
      </c>
      <c r="C298" t="s">
        <v>3138</v>
      </c>
      <c r="D298" t="s">
        <v>2449</v>
      </c>
      <c r="E298" s="2" t="s">
        <v>154</v>
      </c>
      <c r="F298" s="7" t="s">
        <v>273</v>
      </c>
      <c r="G298" s="7" t="s">
        <v>1136</v>
      </c>
      <c r="H298">
        <v>32</v>
      </c>
      <c r="I298">
        <v>2250</v>
      </c>
      <c r="J298">
        <v>7800</v>
      </c>
      <c r="K298" s="2" t="s">
        <v>156</v>
      </c>
      <c r="M298" s="70">
        <v>1</v>
      </c>
      <c r="N298" s="70">
        <v>4408.5600000000004</v>
      </c>
      <c r="O298" s="75" t="s">
        <v>180</v>
      </c>
      <c r="P298" s="70">
        <v>4233.22</v>
      </c>
      <c r="Q298" s="73">
        <v>4408.5600000000004</v>
      </c>
      <c r="S298" s="73">
        <v>123.82</v>
      </c>
      <c r="T298" s="73">
        <v>21.89</v>
      </c>
      <c r="U298" s="70">
        <v>29.63</v>
      </c>
      <c r="V298" s="42">
        <v>24</v>
      </c>
      <c r="W298" t="s">
        <v>3150</v>
      </c>
      <c r="X298" t="s">
        <v>113</v>
      </c>
      <c r="Y298" t="s">
        <v>307</v>
      </c>
      <c r="Z298" t="s">
        <v>430</v>
      </c>
    </row>
    <row r="299" spans="1:26" x14ac:dyDescent="0.25">
      <c r="A299" s="2">
        <v>47</v>
      </c>
      <c r="B299" t="s">
        <v>178</v>
      </c>
      <c r="C299" t="s">
        <v>3142</v>
      </c>
      <c r="D299" t="s">
        <v>2449</v>
      </c>
      <c r="E299" s="2" t="s">
        <v>154</v>
      </c>
      <c r="F299" s="7" t="s">
        <v>273</v>
      </c>
      <c r="G299" s="7" t="s">
        <v>1135</v>
      </c>
      <c r="H299">
        <v>32</v>
      </c>
      <c r="I299">
        <v>2250</v>
      </c>
      <c r="J299">
        <v>9100</v>
      </c>
      <c r="K299" s="2" t="s">
        <v>156</v>
      </c>
      <c r="M299" s="70">
        <v>1</v>
      </c>
      <c r="N299" s="70">
        <v>5143.32</v>
      </c>
      <c r="O299" s="75" t="s">
        <v>180</v>
      </c>
      <c r="P299" s="70">
        <v>4597.96</v>
      </c>
      <c r="Q299" s="73">
        <v>5143.32</v>
      </c>
      <c r="S299" s="73">
        <v>420.11</v>
      </c>
      <c r="T299" s="73">
        <v>93.06</v>
      </c>
      <c r="U299" s="70">
        <v>32.19</v>
      </c>
      <c r="V299" s="42">
        <v>24</v>
      </c>
      <c r="W299" t="s">
        <v>3150</v>
      </c>
      <c r="X299" t="s">
        <v>113</v>
      </c>
      <c r="Y299" t="s">
        <v>307</v>
      </c>
      <c r="Z299" t="s">
        <v>430</v>
      </c>
    </row>
  </sheetData>
  <autoFilter ref="A4:X299" xr:uid="{D2A6A5F0-356C-44D7-9599-9289458D208E}">
    <filterColumn colId="21">
      <filters>
        <filter val="24"/>
      </filters>
    </filterColumn>
  </autoFilter>
  <pageMargins left="0.7" right="0.7" top="0.75" bottom="0.75" header="0.3" footer="0.3"/>
  <pageSetup paperSize="8" scale="39" orientation="portrait" r:id="rId1"/>
  <drawing r:id="rId2"/>
  <legacyDrawing r:id="rId3"/>
  <controls>
    <mc:AlternateContent xmlns:mc="http://schemas.openxmlformats.org/markup-compatibility/2006">
      <mc:Choice Requires="x14">
        <control shapeId="3077" r:id="rId4" name="CommandButton4">
          <controlPr defaultSize="0" autoFill="0" autoLine="0" autoPict="0" r:id="rId5">
            <anchor moveWithCells="1">
              <from>
                <xdr:col>14</xdr:col>
                <xdr:colOff>19050</xdr:colOff>
                <xdr:row>1</xdr:row>
                <xdr:rowOff>295275</xdr:rowOff>
              </from>
              <to>
                <xdr:col>14</xdr:col>
                <xdr:colOff>1143000</xdr:colOff>
                <xdr:row>3</xdr:row>
                <xdr:rowOff>0</xdr:rowOff>
              </to>
            </anchor>
          </controlPr>
        </control>
      </mc:Choice>
      <mc:Fallback>
        <control shapeId="3077" r:id="rId4" name="CommandButton4"/>
      </mc:Fallback>
    </mc:AlternateContent>
    <mc:AlternateContent xmlns:mc="http://schemas.openxmlformats.org/markup-compatibility/2006">
      <mc:Choice Requires="x14">
        <control shapeId="3075" r:id="rId6" name="CommandButton3">
          <controlPr defaultSize="0" autoFill="0" autoLine="0" r:id="rId7">
            <anchor moveWithCells="1">
              <from>
                <xdr:col>23</xdr:col>
                <xdr:colOff>933450</xdr:colOff>
                <xdr:row>0</xdr:row>
                <xdr:rowOff>123825</xdr:rowOff>
              </from>
              <to>
                <xdr:col>23</xdr:col>
                <xdr:colOff>1381125</xdr:colOff>
                <xdr:row>1</xdr:row>
                <xdr:rowOff>219075</xdr:rowOff>
              </to>
            </anchor>
          </controlPr>
        </control>
      </mc:Choice>
      <mc:Fallback>
        <control shapeId="3075" r:id="rId6" name="CommandButton3"/>
      </mc:Fallback>
    </mc:AlternateContent>
    <mc:AlternateContent xmlns:mc="http://schemas.openxmlformats.org/markup-compatibility/2006">
      <mc:Choice Requires="x14">
        <control shapeId="3074" r:id="rId8" name="CommandButton2">
          <controlPr defaultSize="0" autoFill="0" autoLine="0" r:id="rId9">
            <anchor moveWithCells="1">
              <from>
                <xdr:col>23</xdr:col>
                <xdr:colOff>304800</xdr:colOff>
                <xdr:row>0</xdr:row>
                <xdr:rowOff>123825</xdr:rowOff>
              </from>
              <to>
                <xdr:col>23</xdr:col>
                <xdr:colOff>762000</xdr:colOff>
                <xdr:row>1</xdr:row>
                <xdr:rowOff>219075</xdr:rowOff>
              </to>
            </anchor>
          </controlPr>
        </control>
      </mc:Choice>
      <mc:Fallback>
        <control shapeId="3074" r:id="rId8" name="CommandButton2"/>
      </mc:Fallback>
    </mc:AlternateContent>
    <mc:AlternateContent xmlns:mc="http://schemas.openxmlformats.org/markup-compatibility/2006">
      <mc:Choice Requires="x14">
        <control shapeId="3073" r:id="rId10" name="CommandButton1">
          <controlPr defaultSize="0" autoFill="0" autoLine="0" r:id="rId11">
            <anchor moveWithCells="1">
              <from>
                <xdr:col>22</xdr:col>
                <xdr:colOff>657225</xdr:colOff>
                <xdr:row>0</xdr:row>
                <xdr:rowOff>123825</xdr:rowOff>
              </from>
              <to>
                <xdr:col>22</xdr:col>
                <xdr:colOff>1114425</xdr:colOff>
                <xdr:row>1</xdr:row>
                <xdr:rowOff>219075</xdr:rowOff>
              </to>
            </anchor>
          </controlPr>
        </control>
      </mc:Choice>
      <mc:Fallback>
        <control shapeId="3073" r:id="rId10" name="Command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7D2B5-D991-4248-8D2A-54A6FD3CADAA}">
  <sheetPr codeName="Sheet3" filterMode="1"/>
  <dimension ref="A1:Q330"/>
  <sheetViews>
    <sheetView view="pageBreakPreview" zoomScale="70" zoomScaleNormal="100" zoomScaleSheetLayoutView="70" workbookViewId="0">
      <pane ySplit="12" topLeftCell="A194" activePane="bottomLeft" state="frozenSplit"/>
      <selection pane="bottomLeft" activeCell="A219" sqref="A219:O248"/>
    </sheetView>
  </sheetViews>
  <sheetFormatPr defaultRowHeight="15" x14ac:dyDescent="0.25"/>
  <cols>
    <col min="1" max="1" width="8.7109375" style="26" customWidth="1"/>
    <col min="2" max="2" width="10.7109375" style="19" customWidth="1"/>
    <col min="3" max="3" width="82.140625" style="19" customWidth="1"/>
    <col min="4" max="4" width="9.5703125" style="19" customWidth="1"/>
    <col min="5" max="5" width="11.140625" style="19" customWidth="1"/>
    <col min="6" max="6" width="10.140625" style="19" customWidth="1"/>
    <col min="7" max="7" width="12.85546875" style="19" customWidth="1"/>
    <col min="8" max="8" width="12" style="19" bestFit="1" customWidth="1"/>
    <col min="9" max="9" width="32.5703125" style="19" customWidth="1"/>
    <col min="10" max="10" width="22.7109375" style="19" customWidth="1"/>
    <col min="11" max="11" width="14.42578125" style="19" customWidth="1"/>
    <col min="12" max="12" width="13.7109375" style="19" customWidth="1"/>
    <col min="13" max="13" width="14.7109375" style="26" customWidth="1"/>
    <col min="14" max="14" width="12.7109375" style="26" customWidth="1"/>
    <col min="15" max="15" width="78.5703125" style="26" bestFit="1" customWidth="1"/>
    <col min="16" max="16384" width="9.140625" style="19"/>
  </cols>
  <sheetData>
    <row r="1" spans="1:15" customFormat="1" x14ac:dyDescent="0.25">
      <c r="A1" s="6" t="s">
        <v>44</v>
      </c>
      <c r="C1" t="str">
        <f ca="1">IF(LEN('List chi tiet'!$B$3)=0,"",'List chi tiet'!$B$3)</f>
        <v>10726-141</v>
      </c>
      <c r="I1" s="5" t="s">
        <v>45</v>
      </c>
      <c r="K1" s="7" t="str">
        <f ca="1">IF(LEN('List chi tiet'!$B$3)=0,"",'List chi tiet'!$B$3)</f>
        <v>10726-141</v>
      </c>
      <c r="L1" s="2" t="s">
        <v>108</v>
      </c>
      <c r="M1" s="2"/>
      <c r="N1" s="2"/>
      <c r="O1" s="2" t="str">
        <f ca="1">IFERROR(IF(C1="Total",#REF!,IF(C1&lt;&gt;"Total",MID(C1, FIND("@", SUBSTITUTE(C1, "-", "@", 4)) + 1, FIND("@", SUBSTITUTE(C1, "-", "@", LEN(C1) - LEN(SUBSTITUTE(C1, "-", "")))) - FIND("@", SUBSTITUTE(C1, "-", "@", 4)) - 1))),"")</f>
        <v/>
      </c>
    </row>
    <row r="2" spans="1:15" customFormat="1" x14ac:dyDescent="0.25">
      <c r="A2" s="7" t="s">
        <v>46</v>
      </c>
      <c r="I2" t="s">
        <v>60</v>
      </c>
      <c r="K2" s="8">
        <f ca="1">IFERROR(LOOKUP(2, 1/((C$13:C$976="Total")*(SUBTOTAL(103, OFFSET(C$13, ROW(C$13:C$976)-MIN(ROW(C$13:C$976)), 0)))), F$13:F$976),"")</f>
        <v>104405.21000000002</v>
      </c>
      <c r="L2" s="2" t="s">
        <v>109</v>
      </c>
      <c r="M2" s="2"/>
      <c r="N2" s="2"/>
      <c r="O2" s="2"/>
    </row>
    <row r="3" spans="1:15" customFormat="1" x14ac:dyDescent="0.25">
      <c r="A3" s="7" t="s">
        <v>47</v>
      </c>
      <c r="C3" t="str">
        <f ca="1">IFERROR(INDEX(O13:O99977, MATCH(1, INDEX(SUBTOTAL(3, OFFSET(O13, ROW(O13:O99977)-ROW(O13), 0)), 0), 0)),"")</f>
        <v>PLATFORM-MAIN STRUCTURE-BEAM(3.KC5-2.KME-1.KC6)</v>
      </c>
      <c r="I3" t="s">
        <v>61</v>
      </c>
      <c r="K3" s="8">
        <f ca="1">IFERROR(LOOKUP(2, 1/((C$13:C$976="Total")*(SUBTOTAL(103, OFFSET(C$13, ROW(C$13:C$976)-MIN(ROW(C$13:C$976)), 0)))), D$13:D$976),"")</f>
        <v>111340.29999999996</v>
      </c>
      <c r="L3" s="2" t="s">
        <v>109</v>
      </c>
      <c r="M3" s="2"/>
      <c r="N3" s="2"/>
      <c r="O3" s="2"/>
    </row>
    <row r="4" spans="1:15" customFormat="1" x14ac:dyDescent="0.25">
      <c r="A4" s="7" t="s">
        <v>48</v>
      </c>
      <c r="I4" t="s">
        <v>62</v>
      </c>
      <c r="K4" s="8">
        <f ca="1">IFERROR(LOOKUP(2, 1/((C$13:C$976="Total")*(SUBTOTAL(103, OFFSET(C$13, ROW(C$13:C$976)-MIN(ROW(C$13:C$976)), 0)))), E$13:E$976),"")</f>
        <v>23870.039999999997</v>
      </c>
      <c r="L4" s="2" t="s">
        <v>109</v>
      </c>
      <c r="M4" s="2"/>
      <c r="N4" s="2"/>
      <c r="O4" s="2"/>
    </row>
    <row r="5" spans="1:15" customFormat="1" x14ac:dyDescent="0.25">
      <c r="A5" s="7" t="s">
        <v>49</v>
      </c>
      <c r="I5" t="s">
        <v>63</v>
      </c>
      <c r="K5" s="8">
        <f ca="1">IFERROR(LOOKUP(2, 1/((C$13:C$976="Total")*(SUBTOTAL(103, OFFSET(C$13, ROW(C$13:C$976)-MIN(ROW(C$13:C$976)), 0)))), G$13:G$976),"")</f>
        <v>25563.649999999994</v>
      </c>
      <c r="L5" s="2" t="s">
        <v>109</v>
      </c>
      <c r="M5" s="2"/>
      <c r="N5" s="2"/>
      <c r="O5" s="2"/>
    </row>
    <row r="6" spans="1:15" customFormat="1" x14ac:dyDescent="0.25">
      <c r="A6" s="7" t="s">
        <v>59</v>
      </c>
      <c r="C6" t="str">
        <f ca="1">IFERROR(INDEX(M13:M99977, MATCH(1, INDEX(SUBTOTAL(3, OFFSET(M13, ROW(M13:M99977)-ROW(M13), 0)), 0), 0)),"")</f>
        <v>VT-SL-TT-024</v>
      </c>
      <c r="I6" t="s">
        <v>64</v>
      </c>
      <c r="K6" s="3">
        <f ca="1">IFERROR(LOOKUP(2, 1/((C$13:C$976="Total")*(SUBTOTAL(103, OFFSET(C$13, ROW(C$13:C$976)-MIN(ROW(C$13:C$976)), 0)))), H$13:H$976),"")</f>
        <v>0.18906579186177624</v>
      </c>
      <c r="L6" s="2" t="s">
        <v>110</v>
      </c>
      <c r="M6" s="2"/>
      <c r="N6" s="2"/>
      <c r="O6" s="2"/>
    </row>
    <row r="7" spans="1:15" customFormat="1" x14ac:dyDescent="0.25">
      <c r="A7" s="7" t="s">
        <v>50</v>
      </c>
      <c r="B7" s="7">
        <v>0</v>
      </c>
      <c r="I7" t="s">
        <v>65</v>
      </c>
      <c r="K7" s="8">
        <f ca="1">IFERROR(LOOKUP(2, 1/((C$13:C$976="Total")*(SUBTOTAL(103, OFFSET(C$13, ROW(C$13:C$976)-MIN(ROW(C$13:C$976)), 0)))), I$13:I$976),"")</f>
        <v>730.81000000000017</v>
      </c>
      <c r="L7" s="2" t="s">
        <v>109</v>
      </c>
      <c r="M7" s="2"/>
      <c r="N7" s="2"/>
      <c r="O7" s="2"/>
    </row>
    <row r="8" spans="1:15" customFormat="1" x14ac:dyDescent="0.25">
      <c r="A8" s="7" t="s">
        <v>51</v>
      </c>
      <c r="I8" t="s">
        <v>66</v>
      </c>
      <c r="K8" s="8">
        <f ca="1">IFERROR(LOOKUP(2, 1/((C$13:C$976="Total")*(SUBTOTAL(103, OFFSET(C$13, ROW(C$13:C$976)-MIN(ROW(C$13:C$976)), 0)))), J$13:J$976),"")</f>
        <v>4510.6700000000028</v>
      </c>
      <c r="L8" s="2" t="s">
        <v>109</v>
      </c>
      <c r="M8" s="2"/>
      <c r="N8" s="2"/>
      <c r="O8" s="2"/>
    </row>
    <row r="9" spans="1:15" customFormat="1" x14ac:dyDescent="0.25">
      <c r="A9" s="7"/>
      <c r="I9" t="s">
        <v>67</v>
      </c>
      <c r="K9" s="3">
        <f ca="1">IFERROR(LOOKUP(2, 1/((C$13:C$976="Total")*(SUBTOTAL(103, OFFSET(C$13, ROW(C$13:C$976)-MIN(ROW(C$13:C$976)), 0)))), K$13:K$976),"")</f>
        <v>3.3360392407858777E-2</v>
      </c>
      <c r="L9" s="2" t="s">
        <v>110</v>
      </c>
      <c r="M9" s="2"/>
      <c r="N9" s="2"/>
      <c r="O9" s="2"/>
    </row>
    <row r="10" spans="1:15" customFormat="1" x14ac:dyDescent="0.25">
      <c r="A10" s="7"/>
      <c r="I10" s="9" t="s">
        <v>68</v>
      </c>
      <c r="K10" s="10">
        <f ca="1">IFERROR(LOOKUP(2, 1/((C$13:C$976="Total")*(SUBTOTAL(103, OFFSET(C$13, ROW(C$13:C$976)-MIN(ROW(C$13:C$976)), 0)))), L$13:L$976),"")</f>
        <v>4.3203495304496797E-2</v>
      </c>
      <c r="L10" s="2" t="s">
        <v>110</v>
      </c>
      <c r="M10" s="2"/>
      <c r="N10" s="2"/>
      <c r="O10" s="2" t="str">
        <f>IFERROR(IF(C10="Total",O9,IF(C10&lt;&gt;"Total",MID(C10, FIND("@", SUBSTITUTE(C10, "-", "@", 4)) + 1, FIND("@", SUBSTITUTE(C10, "-", "@", LEN(C10) - LEN(SUBSTITUTE(C10, "-", "")))) - FIND("@", SUBSTITUTE(C10, "-", "@", 4)) - 1))),"")</f>
        <v/>
      </c>
    </row>
    <row r="11" spans="1:15" customFormat="1" x14ac:dyDescent="0.25">
      <c r="A11" s="6" t="s">
        <v>52</v>
      </c>
      <c r="C11" s="5"/>
      <c r="D11" s="5" t="str">
        <f>IF(C11&lt;&gt;"",SUBTOTAL(9,D10:D10),"")</f>
        <v/>
      </c>
      <c r="E11" s="5" t="str">
        <f>IF(C11&lt;&gt;"",SUBTOTAL(9,E10:E10),"")</f>
        <v/>
      </c>
      <c r="F11" s="5" t="str">
        <f>IF(C11&lt;&gt;"",SUBTOTAL(9,F10:F10),"")</f>
        <v/>
      </c>
      <c r="G11" s="5" t="str">
        <f>IF(C11&lt;&gt;"",SUBTOTAL(9,G10:G10),"")</f>
        <v/>
      </c>
      <c r="H11" s="58" t="str">
        <f>IF(C11&lt;&gt;"",IF(D11+E11&gt;0, G11/(D11+E11), 0),"")</f>
        <v/>
      </c>
      <c r="I11" s="5" t="str">
        <f>IF(C11&lt;&gt;"",SUBTOTAL(9,I10:I10),"")</f>
        <v/>
      </c>
      <c r="J11" s="5" t="str">
        <f>IF(C11&lt;&gt;"",SUBTOTAL(9,J10:J10),"")</f>
        <v/>
      </c>
      <c r="K11" s="58" t="str">
        <f>IF(C11&lt;&gt;"",IF(D11+E11&gt;0, J11/(D11+E11), 0),"")</f>
        <v/>
      </c>
      <c r="L11" s="58" t="str">
        <f>IF(C11&lt;&gt;"",IF(F11&gt;0, J11/F11, 0),"")</f>
        <v/>
      </c>
      <c r="M11" s="2" t="str">
        <f>IFERROR(IF(C11="Nesting No","LSX",IF(C11="Total",M10,TRIM(LEFT(C11,FIND("#",SUBSTITUTE(C11,"-","#",4))-1)))),"")</f>
        <v/>
      </c>
      <c r="N11" s="2" t="str">
        <f>IFERROR(IF(C11="Nesting No","Lần B.Hành",VALUE(IF(C11="Total",N10,TRIM(RIGHT(SUBSTITUTE(M11,"-",REPT(" ",99)),99))))),"")</f>
        <v/>
      </c>
      <c r="O11" s="55" t="str">
        <f>IFERROR(IF(C11="Nesting No","Hạng Mục",IF(C11="Total",O10,TRIM(MID(SUBSTITUTE(C11,"-",REPT(" ",LEN(C11))),4*LEN(C11)+1,LEN(C11))))),"")</f>
        <v/>
      </c>
    </row>
    <row r="12" spans="1:15" s="54" customFormat="1" ht="21.75" customHeight="1" x14ac:dyDescent="0.25">
      <c r="A12" s="51" t="s">
        <v>3</v>
      </c>
      <c r="B12" s="52" t="s">
        <v>53</v>
      </c>
      <c r="C12" s="52" t="s">
        <v>54</v>
      </c>
      <c r="D12" s="52" t="s">
        <v>55</v>
      </c>
      <c r="E12" s="52" t="s">
        <v>56</v>
      </c>
      <c r="F12" s="52" t="s">
        <v>57</v>
      </c>
      <c r="G12" s="52" t="s">
        <v>58</v>
      </c>
      <c r="H12" s="53" t="str">
        <f>IFERROR(IF(C12="Nesting No","%Remain",IF(D12+E12&gt;0, G12/(D12+E12),"")),"")</f>
        <v>%Remain</v>
      </c>
      <c r="I12" s="54" t="str">
        <f>IFERROR(IF(C12&lt;&gt;"",IF(C12="Nesting No","Tiêu Hao (kg)",ROUND(F12*0.1/100, 2)),""),"")</f>
        <v>Tiêu Hao (kg)</v>
      </c>
      <c r="J12" s="54" t="str">
        <f>IFERROR(IF(C12&lt;&gt;"",IF(C12="Nesting No","Phế Liệu(Waste)",MAX(ROUND(D12+E12-F12-G12-I12, 2), 0)),""),"")</f>
        <v>Phế Liệu(Waste)</v>
      </c>
      <c r="K12" s="53" t="str">
        <f>IFERROR(IF(C12="Nesting No","%Phế Liệu",IF(D12+E12&gt;0, J12/(D12+E12),"")),"")</f>
        <v>%Phế Liệu</v>
      </c>
      <c r="L12" s="53" t="str">
        <f>IFERROR(IF(C12="Nesting No","%Hao Hụt",IF(F12&gt;0, J12/F12,"")),"")</f>
        <v>%Hao Hụt</v>
      </c>
      <c r="M12" s="55" t="str">
        <f>IFERROR(IF(C12="Nesting No","LSX",IF(C12="Total",M11,TRIM(LEFT(C12,FIND("#",SUBSTITUTE(C12,"-","#",4))-1)))),"")</f>
        <v>LSX</v>
      </c>
      <c r="N12" s="55" t="str">
        <f>IFERROR(IF(C12="Nesting No","Lần B.Hành",VALUE(IF(C12="Total",N11,TRIM(RIGHT(SUBSTITUTE(M12,"-",REPT(" ",99)),99))))),"")</f>
        <v>Lần B.Hành</v>
      </c>
      <c r="O12" s="55" t="str">
        <f>IFERROR(IF(C12="Nesting No","Hạng Mục",IF(C12="Total",O11,TRIM(MID(SUBSTITUTE(C12,"-",REPT(" ",LEN(C12))),4*LEN(C12)+1,LEN(C12))))),"")</f>
        <v>Hạng Mục</v>
      </c>
    </row>
    <row r="13" spans="1:15" hidden="1" x14ac:dyDescent="0.25">
      <c r="A13" s="26">
        <v>1</v>
      </c>
      <c r="B13" s="19" t="s">
        <v>165</v>
      </c>
      <c r="C13" s="19" t="s">
        <v>118</v>
      </c>
      <c r="D13" s="56">
        <v>0</v>
      </c>
      <c r="E13" s="56">
        <v>65.02</v>
      </c>
      <c r="F13" s="19">
        <v>55.93</v>
      </c>
      <c r="G13" s="56">
        <v>0</v>
      </c>
      <c r="H13" s="53">
        <v>0</v>
      </c>
      <c r="I13" s="54">
        <v>0.39</v>
      </c>
      <c r="J13" s="54">
        <v>8.6999999999999993</v>
      </c>
      <c r="K13" s="53">
        <v>0.13380498308212857</v>
      </c>
      <c r="L13" s="53">
        <v>0.15555158233506167</v>
      </c>
      <c r="M13" s="55" t="s">
        <v>158</v>
      </c>
      <c r="N13" s="55">
        <v>1</v>
      </c>
      <c r="O13" s="55" t="s">
        <v>121</v>
      </c>
    </row>
    <row r="14" spans="1:15" hidden="1" x14ac:dyDescent="0.25">
      <c r="A14" s="26">
        <v>2</v>
      </c>
      <c r="B14" s="19" t="s">
        <v>166</v>
      </c>
      <c r="C14" s="19" t="s">
        <v>129</v>
      </c>
      <c r="D14" s="56">
        <v>0</v>
      </c>
      <c r="E14" s="56">
        <v>352.54</v>
      </c>
      <c r="F14" s="19">
        <v>105.87</v>
      </c>
      <c r="G14" s="56">
        <v>220.66</v>
      </c>
      <c r="H14" s="57">
        <v>0.62591478981108517</v>
      </c>
      <c r="I14" s="19">
        <v>0.74</v>
      </c>
      <c r="J14" s="19">
        <v>25.27</v>
      </c>
      <c r="K14" s="57">
        <v>7.1679809383332377E-2</v>
      </c>
      <c r="L14" s="57">
        <v>0.23868895815622931</v>
      </c>
      <c r="M14" s="26" t="s">
        <v>158</v>
      </c>
      <c r="N14" s="26">
        <v>1</v>
      </c>
      <c r="O14" s="26" t="s">
        <v>121</v>
      </c>
    </row>
    <row r="15" spans="1:15" hidden="1" x14ac:dyDescent="0.25">
      <c r="A15" s="26">
        <v>3</v>
      </c>
      <c r="B15" s="19" t="s">
        <v>167</v>
      </c>
      <c r="C15" s="19" t="s">
        <v>137</v>
      </c>
      <c r="D15" s="56">
        <v>0</v>
      </c>
      <c r="E15" s="56">
        <v>476.56</v>
      </c>
      <c r="F15" s="19">
        <v>247.28</v>
      </c>
      <c r="G15" s="56">
        <v>167.9</v>
      </c>
      <c r="H15" s="57">
        <v>0.35231660231660233</v>
      </c>
      <c r="I15" s="19">
        <v>1.73</v>
      </c>
      <c r="J15" s="19">
        <v>59.65</v>
      </c>
      <c r="K15" s="57">
        <v>0.12516786973308713</v>
      </c>
      <c r="L15" s="57">
        <v>0.24122452280815271</v>
      </c>
      <c r="M15" s="26" t="s">
        <v>158</v>
      </c>
      <c r="N15" s="26">
        <v>1</v>
      </c>
      <c r="O15" s="26" t="s">
        <v>121</v>
      </c>
    </row>
    <row r="16" spans="1:15" hidden="1" x14ac:dyDescent="0.25">
      <c r="A16" s="26">
        <v>4</v>
      </c>
      <c r="B16" s="19" t="s">
        <v>168</v>
      </c>
      <c r="C16" s="19" t="s">
        <v>144</v>
      </c>
      <c r="D16" s="56">
        <v>0</v>
      </c>
      <c r="E16" s="56">
        <v>232.55</v>
      </c>
      <c r="F16" s="19">
        <v>219.8</v>
      </c>
      <c r="G16" s="56">
        <v>0</v>
      </c>
      <c r="H16" s="57">
        <v>0</v>
      </c>
      <c r="I16" s="19">
        <v>1.54</v>
      </c>
      <c r="J16" s="19">
        <v>11.21</v>
      </c>
      <c r="K16" s="57">
        <v>4.8204687164050741E-2</v>
      </c>
      <c r="L16" s="57">
        <v>5.1000909918107372E-2</v>
      </c>
      <c r="M16" s="26" t="s">
        <v>158</v>
      </c>
      <c r="N16" s="26">
        <v>1</v>
      </c>
      <c r="O16" s="26" t="s">
        <v>121</v>
      </c>
    </row>
    <row r="17" spans="1:15" hidden="1" x14ac:dyDescent="0.25">
      <c r="A17" s="26">
        <v>5</v>
      </c>
      <c r="B17" s="19" t="s">
        <v>168</v>
      </c>
      <c r="C17" s="19" t="s">
        <v>149</v>
      </c>
      <c r="D17" s="56">
        <v>0</v>
      </c>
      <c r="E17" s="56">
        <v>97.2</v>
      </c>
      <c r="F17" s="19">
        <v>89.8</v>
      </c>
      <c r="G17" s="56">
        <v>0</v>
      </c>
      <c r="H17" s="57">
        <v>0</v>
      </c>
      <c r="I17" s="19">
        <v>0.63</v>
      </c>
      <c r="J17" s="19">
        <v>6.77</v>
      </c>
      <c r="K17" s="57">
        <v>6.9650205761316863E-2</v>
      </c>
      <c r="L17" s="57">
        <v>7.5389755011135859E-2</v>
      </c>
      <c r="M17" s="26" t="s">
        <v>158</v>
      </c>
      <c r="N17" s="26">
        <v>1</v>
      </c>
      <c r="O17" s="26" t="s">
        <v>121</v>
      </c>
    </row>
    <row r="18" spans="1:15" hidden="1" x14ac:dyDescent="0.25">
      <c r="A18" s="26">
        <v>6</v>
      </c>
      <c r="B18" s="19" t="s">
        <v>168</v>
      </c>
      <c r="C18" s="19" t="s">
        <v>152</v>
      </c>
      <c r="D18" s="56">
        <v>0</v>
      </c>
      <c r="E18" s="56">
        <v>66.25</v>
      </c>
      <c r="F18" s="19">
        <v>16.95</v>
      </c>
      <c r="G18" s="56">
        <v>47.96</v>
      </c>
      <c r="H18" s="57">
        <v>0.7239245283018868</v>
      </c>
      <c r="I18" s="19">
        <v>0.12</v>
      </c>
      <c r="J18" s="19">
        <v>1.22</v>
      </c>
      <c r="K18" s="57">
        <v>1.8415094339622642E-2</v>
      </c>
      <c r="L18" s="57">
        <v>7.1976401179941002E-2</v>
      </c>
      <c r="M18" s="26" t="s">
        <v>158</v>
      </c>
      <c r="N18" s="26">
        <v>1</v>
      </c>
      <c r="O18" s="26" t="s">
        <v>121</v>
      </c>
    </row>
    <row r="19" spans="1:15" hidden="1" x14ac:dyDescent="0.25">
      <c r="C19" s="19" t="s">
        <v>169</v>
      </c>
      <c r="D19" s="19">
        <v>0</v>
      </c>
      <c r="E19" s="19">
        <v>1290.1200000000001</v>
      </c>
      <c r="F19" s="19">
        <v>735.63000000000011</v>
      </c>
      <c r="G19" s="19">
        <v>436.52</v>
      </c>
      <c r="H19" s="57">
        <v>0.33835612191114001</v>
      </c>
      <c r="I19" s="19">
        <v>5.15</v>
      </c>
      <c r="J19" s="19">
        <v>112.82000000000001</v>
      </c>
      <c r="K19" s="57">
        <v>8.7449229529036054E-2</v>
      </c>
      <c r="L19" s="57">
        <v>0.1533651428027677</v>
      </c>
      <c r="M19" s="26" t="s">
        <v>158</v>
      </c>
      <c r="N19" s="26">
        <v>1</v>
      </c>
      <c r="O19" s="26" t="s">
        <v>121</v>
      </c>
    </row>
    <row r="20" spans="1:15" hidden="1" x14ac:dyDescent="0.25">
      <c r="A20" s="26">
        <v>1</v>
      </c>
      <c r="B20" s="19" t="s">
        <v>166</v>
      </c>
      <c r="C20" s="19" t="s">
        <v>175</v>
      </c>
      <c r="D20" s="56">
        <v>942</v>
      </c>
      <c r="E20" s="56">
        <v>0</v>
      </c>
      <c r="F20" s="19">
        <v>9.82</v>
      </c>
      <c r="G20" s="56">
        <v>927.56</v>
      </c>
      <c r="H20" s="57">
        <v>0.98467091295116771</v>
      </c>
      <c r="I20" s="19">
        <v>7.0000000000000007E-2</v>
      </c>
      <c r="J20" s="19">
        <v>4.55</v>
      </c>
      <c r="K20" s="57">
        <v>4.8301486199575369E-3</v>
      </c>
      <c r="L20" s="57">
        <v>0.46334012219959264</v>
      </c>
      <c r="M20" s="26" t="s">
        <v>282</v>
      </c>
      <c r="N20" s="26">
        <v>2</v>
      </c>
      <c r="O20" s="26" t="s">
        <v>179</v>
      </c>
    </row>
    <row r="21" spans="1:15" hidden="1" x14ac:dyDescent="0.25">
      <c r="A21" s="26">
        <v>2</v>
      </c>
      <c r="B21" s="19" t="s">
        <v>167</v>
      </c>
      <c r="C21" s="19" t="s">
        <v>185</v>
      </c>
      <c r="D21" s="56">
        <v>2296.6</v>
      </c>
      <c r="E21" s="56">
        <v>0</v>
      </c>
      <c r="F21" s="19">
        <v>1470.96</v>
      </c>
      <c r="G21" s="56">
        <v>529.64</v>
      </c>
      <c r="H21" s="57">
        <v>0.23061917617347383</v>
      </c>
      <c r="I21" s="19">
        <v>10.3</v>
      </c>
      <c r="J21" s="19">
        <v>285.7</v>
      </c>
      <c r="K21" s="57">
        <v>0.1244012888617957</v>
      </c>
      <c r="L21" s="57">
        <v>0.1942268994398216</v>
      </c>
      <c r="M21" s="26" t="s">
        <v>282</v>
      </c>
      <c r="N21" s="26">
        <v>2</v>
      </c>
      <c r="O21" s="26" t="s">
        <v>179</v>
      </c>
    </row>
    <row r="22" spans="1:15" hidden="1" x14ac:dyDescent="0.25">
      <c r="A22" s="26">
        <v>3</v>
      </c>
      <c r="B22" s="19" t="s">
        <v>295</v>
      </c>
      <c r="C22" s="19" t="s">
        <v>196</v>
      </c>
      <c r="D22" s="56">
        <v>4423.87</v>
      </c>
      <c r="E22" s="56">
        <v>0</v>
      </c>
      <c r="F22" s="19">
        <v>3194.98</v>
      </c>
      <c r="G22" s="56">
        <v>3195</v>
      </c>
      <c r="H22" s="57">
        <v>0.72221832920045126</v>
      </c>
      <c r="I22" s="19">
        <v>22.36</v>
      </c>
      <c r="J22" s="19">
        <v>0</v>
      </c>
      <c r="K22" s="57">
        <v>0</v>
      </c>
      <c r="L22" s="57">
        <v>0</v>
      </c>
      <c r="M22" s="26" t="s">
        <v>282</v>
      </c>
      <c r="N22" s="26">
        <v>2</v>
      </c>
      <c r="O22" s="26" t="s">
        <v>179</v>
      </c>
    </row>
    <row r="23" spans="1:15" hidden="1" x14ac:dyDescent="0.25">
      <c r="A23" s="26">
        <v>4</v>
      </c>
      <c r="B23" s="19" t="s">
        <v>296</v>
      </c>
      <c r="C23" s="19" t="s">
        <v>212</v>
      </c>
      <c r="D23" s="56">
        <v>7065</v>
      </c>
      <c r="E23" s="56">
        <v>0</v>
      </c>
      <c r="F23" s="19">
        <v>832.71</v>
      </c>
      <c r="G23" s="56">
        <v>6157.74</v>
      </c>
      <c r="H23" s="57">
        <v>0.87158386411889599</v>
      </c>
      <c r="I23" s="19">
        <v>5.83</v>
      </c>
      <c r="J23" s="19">
        <v>68.72</v>
      </c>
      <c r="K23" s="57">
        <v>9.7268223637650385E-3</v>
      </c>
      <c r="L23" s="57">
        <v>8.2525729245475604E-2</v>
      </c>
      <c r="M23" s="26" t="s">
        <v>282</v>
      </c>
      <c r="N23" s="26">
        <v>2</v>
      </c>
      <c r="O23" s="26" t="s">
        <v>179</v>
      </c>
    </row>
    <row r="24" spans="1:15" hidden="1" x14ac:dyDescent="0.25">
      <c r="A24" s="26">
        <v>5</v>
      </c>
      <c r="B24" s="19" t="s">
        <v>297</v>
      </c>
      <c r="C24" s="19" t="s">
        <v>228</v>
      </c>
      <c r="D24" s="56">
        <v>9597.1</v>
      </c>
      <c r="E24" s="56">
        <v>0</v>
      </c>
      <c r="F24" s="19">
        <v>9173.91</v>
      </c>
      <c r="G24" s="56">
        <v>218.34</v>
      </c>
      <c r="H24" s="57">
        <v>2.2750622583905554E-2</v>
      </c>
      <c r="I24" s="19">
        <v>64.22</v>
      </c>
      <c r="J24" s="19">
        <v>140.63</v>
      </c>
      <c r="K24" s="57">
        <v>1.4653384876681497E-2</v>
      </c>
      <c r="L24" s="57">
        <v>1.5329341578454551E-2</v>
      </c>
      <c r="M24" s="26" t="s">
        <v>282</v>
      </c>
      <c r="N24" s="26">
        <v>2</v>
      </c>
      <c r="O24" s="26" t="s">
        <v>179</v>
      </c>
    </row>
    <row r="25" spans="1:15" hidden="1" x14ac:dyDescent="0.25">
      <c r="A25" s="26">
        <v>6</v>
      </c>
      <c r="B25" s="19" t="s">
        <v>297</v>
      </c>
      <c r="C25" s="19" t="s">
        <v>230</v>
      </c>
      <c r="D25" s="56">
        <v>9597.1</v>
      </c>
      <c r="E25" s="56">
        <v>0</v>
      </c>
      <c r="F25" s="19">
        <v>9173.91</v>
      </c>
      <c r="G25" s="56">
        <v>218.34</v>
      </c>
      <c r="H25" s="57">
        <v>2.2750622583905554E-2</v>
      </c>
      <c r="I25" s="19">
        <v>64.22</v>
      </c>
      <c r="J25" s="19">
        <v>140.63</v>
      </c>
      <c r="K25" s="57">
        <v>1.4653384876681497E-2</v>
      </c>
      <c r="L25" s="57">
        <v>1.5329341578454551E-2</v>
      </c>
      <c r="M25" s="26" t="s">
        <v>282</v>
      </c>
      <c r="N25" s="26">
        <v>2</v>
      </c>
      <c r="O25" s="26" t="s">
        <v>179</v>
      </c>
    </row>
    <row r="26" spans="1:15" hidden="1" x14ac:dyDescent="0.25">
      <c r="A26" s="26">
        <v>7</v>
      </c>
      <c r="B26" s="19" t="s">
        <v>297</v>
      </c>
      <c r="C26" s="19" t="s">
        <v>234</v>
      </c>
      <c r="D26" s="56">
        <v>9291.89</v>
      </c>
      <c r="E26" s="56">
        <v>0</v>
      </c>
      <c r="F26" s="19">
        <v>8875.48</v>
      </c>
      <c r="G26" s="56">
        <v>221.68</v>
      </c>
      <c r="H26" s="57">
        <v>2.3857363787130499E-2</v>
      </c>
      <c r="I26" s="19">
        <v>62.13</v>
      </c>
      <c r="J26" s="19">
        <v>132.6</v>
      </c>
      <c r="K26" s="57">
        <v>1.4270509013774378E-2</v>
      </c>
      <c r="L26" s="57">
        <v>1.4940037045883715E-2</v>
      </c>
      <c r="M26" s="26" t="s">
        <v>282</v>
      </c>
      <c r="N26" s="26">
        <v>2</v>
      </c>
      <c r="O26" s="26" t="s">
        <v>179</v>
      </c>
    </row>
    <row r="27" spans="1:15" hidden="1" x14ac:dyDescent="0.25">
      <c r="A27" s="26">
        <v>8</v>
      </c>
      <c r="B27" s="19" t="s">
        <v>297</v>
      </c>
      <c r="C27" s="19" t="s">
        <v>237</v>
      </c>
      <c r="D27" s="56">
        <v>9291.89</v>
      </c>
      <c r="E27" s="56">
        <v>0</v>
      </c>
      <c r="F27" s="19">
        <v>8875.48</v>
      </c>
      <c r="G27" s="56">
        <v>221.68</v>
      </c>
      <c r="H27" s="57">
        <v>2.3857363787130499E-2</v>
      </c>
      <c r="I27" s="19">
        <v>62.13</v>
      </c>
      <c r="J27" s="19">
        <v>132.6</v>
      </c>
      <c r="K27" s="57">
        <v>1.4270509013774378E-2</v>
      </c>
      <c r="L27" s="57">
        <v>1.4940037045883715E-2</v>
      </c>
      <c r="M27" s="26" t="s">
        <v>282</v>
      </c>
      <c r="N27" s="26">
        <v>2</v>
      </c>
      <c r="O27" s="26" t="s">
        <v>179</v>
      </c>
    </row>
    <row r="28" spans="1:15" hidden="1" x14ac:dyDescent="0.25">
      <c r="A28" s="26">
        <v>9</v>
      </c>
      <c r="B28" s="19" t="s">
        <v>298</v>
      </c>
      <c r="C28" s="19" t="s">
        <v>241</v>
      </c>
      <c r="D28" s="56">
        <v>5687.32</v>
      </c>
      <c r="E28" s="56">
        <v>0</v>
      </c>
      <c r="F28" s="19">
        <v>1990.79</v>
      </c>
      <c r="G28" s="56">
        <v>3634.23</v>
      </c>
      <c r="H28" s="57">
        <v>0.63900571798316252</v>
      </c>
      <c r="I28" s="19">
        <v>13.94</v>
      </c>
      <c r="J28" s="19">
        <v>48.36</v>
      </c>
      <c r="K28" s="57">
        <v>8.5031262527869023E-3</v>
      </c>
      <c r="L28" s="57">
        <v>2.4291864033875999E-2</v>
      </c>
      <c r="M28" s="26" t="s">
        <v>282</v>
      </c>
      <c r="N28" s="26">
        <v>2</v>
      </c>
      <c r="O28" s="26" t="s">
        <v>179</v>
      </c>
    </row>
    <row r="29" spans="1:15" hidden="1" x14ac:dyDescent="0.25">
      <c r="A29" s="26">
        <v>10</v>
      </c>
      <c r="B29" s="19" t="s">
        <v>299</v>
      </c>
      <c r="C29" s="19" t="s">
        <v>245</v>
      </c>
      <c r="D29" s="56">
        <v>11303.22</v>
      </c>
      <c r="E29" s="56">
        <v>0</v>
      </c>
      <c r="F29" s="19">
        <v>3530.46</v>
      </c>
      <c r="G29" s="56">
        <v>7566.62</v>
      </c>
      <c r="H29" s="57">
        <v>0.66942163383531417</v>
      </c>
      <c r="I29" s="19">
        <v>24.71</v>
      </c>
      <c r="J29" s="19">
        <v>181.43</v>
      </c>
      <c r="K29" s="57">
        <v>1.6051178336792527E-2</v>
      </c>
      <c r="L29" s="57">
        <v>5.1389903865218696E-2</v>
      </c>
      <c r="M29" s="26" t="s">
        <v>282</v>
      </c>
      <c r="N29" s="26">
        <v>2</v>
      </c>
      <c r="O29" s="26" t="s">
        <v>179</v>
      </c>
    </row>
    <row r="30" spans="1:15" hidden="1" x14ac:dyDescent="0.25">
      <c r="A30" s="26">
        <v>11</v>
      </c>
      <c r="B30" s="19" t="s">
        <v>299</v>
      </c>
      <c r="C30" s="19" t="s">
        <v>250</v>
      </c>
      <c r="D30" s="56">
        <v>10555.89</v>
      </c>
      <c r="E30" s="56">
        <v>0</v>
      </c>
      <c r="F30" s="19">
        <v>3359.28</v>
      </c>
      <c r="G30" s="56">
        <v>6389.59</v>
      </c>
      <c r="H30" s="57">
        <v>0.60531040016521587</v>
      </c>
      <c r="I30" s="19">
        <v>23.51</v>
      </c>
      <c r="J30" s="19">
        <v>783.51</v>
      </c>
      <c r="K30" s="57">
        <v>7.4224911400175633E-2</v>
      </c>
      <c r="L30" s="57">
        <v>0.23323747945988424</v>
      </c>
      <c r="M30" s="26" t="s">
        <v>282</v>
      </c>
      <c r="N30" s="26">
        <v>2</v>
      </c>
      <c r="O30" s="26" t="s">
        <v>179</v>
      </c>
    </row>
    <row r="31" spans="1:15" hidden="1" x14ac:dyDescent="0.25">
      <c r="A31" s="26">
        <v>12</v>
      </c>
      <c r="B31" s="19" t="s">
        <v>299</v>
      </c>
      <c r="C31" s="19" t="s">
        <v>255</v>
      </c>
      <c r="D31" s="56">
        <v>10709.36</v>
      </c>
      <c r="E31" s="56">
        <v>0</v>
      </c>
      <c r="F31" s="19">
        <v>2851.27</v>
      </c>
      <c r="G31" s="56">
        <v>7755.31</v>
      </c>
      <c r="H31" s="57">
        <v>0.72416185467665672</v>
      </c>
      <c r="I31" s="19">
        <v>19.96</v>
      </c>
      <c r="J31" s="19">
        <v>82.82</v>
      </c>
      <c r="K31" s="57">
        <v>7.7334219785309289E-3</v>
      </c>
      <c r="L31" s="57">
        <v>2.9046705503161747E-2</v>
      </c>
      <c r="M31" s="26" t="s">
        <v>282</v>
      </c>
      <c r="N31" s="26">
        <v>2</v>
      </c>
      <c r="O31" s="26" t="s">
        <v>179</v>
      </c>
    </row>
    <row r="32" spans="1:15" hidden="1" x14ac:dyDescent="0.25">
      <c r="A32" s="26">
        <v>13</v>
      </c>
      <c r="B32" s="19" t="s">
        <v>299</v>
      </c>
      <c r="C32" s="19" t="s">
        <v>260</v>
      </c>
      <c r="D32" s="56">
        <v>4710</v>
      </c>
      <c r="E32" s="56">
        <v>0</v>
      </c>
      <c r="F32" s="19">
        <v>3549.84</v>
      </c>
      <c r="G32" s="56">
        <v>3549.84</v>
      </c>
      <c r="H32" s="57">
        <v>0.75368152866242044</v>
      </c>
      <c r="I32" s="19">
        <v>24.85</v>
      </c>
      <c r="J32" s="19">
        <v>0</v>
      </c>
      <c r="K32" s="57">
        <v>0</v>
      </c>
      <c r="L32" s="57">
        <v>0</v>
      </c>
      <c r="M32" s="26" t="s">
        <v>282</v>
      </c>
      <c r="N32" s="26">
        <v>2</v>
      </c>
      <c r="O32" s="26" t="s">
        <v>179</v>
      </c>
    </row>
    <row r="33" spans="1:17" hidden="1" x14ac:dyDescent="0.25">
      <c r="A33" s="26">
        <v>14</v>
      </c>
      <c r="B33" s="19" t="s">
        <v>299</v>
      </c>
      <c r="C33" s="19" t="s">
        <v>262</v>
      </c>
      <c r="D33" s="56">
        <v>4710</v>
      </c>
      <c r="E33" s="56">
        <v>0</v>
      </c>
      <c r="F33" s="19">
        <v>2129.91</v>
      </c>
      <c r="G33" s="56">
        <v>2476.9499999999998</v>
      </c>
      <c r="H33" s="57">
        <v>0.52589171974522286</v>
      </c>
      <c r="I33" s="19">
        <v>14.91</v>
      </c>
      <c r="J33" s="19">
        <v>88.23</v>
      </c>
      <c r="K33" s="57">
        <v>1.8732484076433121E-2</v>
      </c>
      <c r="L33" s="57">
        <v>4.1424285533191545E-2</v>
      </c>
      <c r="M33" s="26" t="s">
        <v>282</v>
      </c>
      <c r="N33" s="26">
        <v>2</v>
      </c>
      <c r="O33" s="26" t="s">
        <v>179</v>
      </c>
    </row>
    <row r="34" spans="1:17" hidden="1" x14ac:dyDescent="0.25">
      <c r="A34" s="26">
        <v>15</v>
      </c>
      <c r="B34" s="19" t="s">
        <v>300</v>
      </c>
      <c r="C34" s="19" t="s">
        <v>266</v>
      </c>
      <c r="D34" s="56">
        <v>10465.620000000001</v>
      </c>
      <c r="E34" s="56">
        <v>0</v>
      </c>
      <c r="F34" s="19">
        <v>7854.02</v>
      </c>
      <c r="G34" s="56">
        <v>2445.4299999999998</v>
      </c>
      <c r="H34" s="57">
        <v>0.23366317523472088</v>
      </c>
      <c r="I34" s="19">
        <v>54.98</v>
      </c>
      <c r="J34" s="19">
        <v>111.19</v>
      </c>
      <c r="K34" s="57">
        <v>1.0624310838727185E-2</v>
      </c>
      <c r="L34" s="57">
        <v>1.4157081341784207E-2</v>
      </c>
      <c r="M34" s="26" t="s">
        <v>282</v>
      </c>
      <c r="N34" s="26">
        <v>2</v>
      </c>
      <c r="O34" s="26" t="s">
        <v>179</v>
      </c>
    </row>
    <row r="35" spans="1:17" hidden="1" x14ac:dyDescent="0.25">
      <c r="A35" s="26">
        <v>16</v>
      </c>
      <c r="B35" s="19" t="s">
        <v>300</v>
      </c>
      <c r="C35" s="19" t="s">
        <v>270</v>
      </c>
      <c r="D35" s="56">
        <v>10465.620000000001</v>
      </c>
      <c r="E35" s="56">
        <v>0</v>
      </c>
      <c r="F35" s="19">
        <v>7854.02</v>
      </c>
      <c r="G35" s="56">
        <v>2445.4299999999998</v>
      </c>
      <c r="H35" s="57">
        <v>0.23366317523472088</v>
      </c>
      <c r="I35" s="19">
        <v>54.98</v>
      </c>
      <c r="J35" s="19">
        <v>111.19</v>
      </c>
      <c r="K35" s="57">
        <v>1.0624310838727185E-2</v>
      </c>
      <c r="L35" s="57">
        <v>1.4157081341784207E-2</v>
      </c>
      <c r="M35" s="26" t="s">
        <v>282</v>
      </c>
      <c r="N35" s="26">
        <v>2</v>
      </c>
      <c r="O35" s="26" t="s">
        <v>179</v>
      </c>
    </row>
    <row r="36" spans="1:17" hidden="1" x14ac:dyDescent="0.25">
      <c r="A36" s="26">
        <v>17</v>
      </c>
      <c r="B36" s="19" t="s">
        <v>301</v>
      </c>
      <c r="C36" s="19" t="s">
        <v>276</v>
      </c>
      <c r="D36" s="56">
        <v>16436.330000000002</v>
      </c>
      <c r="E36" s="56">
        <v>0</v>
      </c>
      <c r="F36" s="19">
        <v>13504.51</v>
      </c>
      <c r="G36" s="56">
        <v>2752.41</v>
      </c>
      <c r="H36" s="57">
        <v>0.16745891570685181</v>
      </c>
      <c r="I36" s="19">
        <v>94.53</v>
      </c>
      <c r="J36" s="19">
        <v>84.88</v>
      </c>
      <c r="K36" s="57">
        <v>5.1641698603033638E-3</v>
      </c>
      <c r="L36" s="57">
        <v>6.2853076490742722E-3</v>
      </c>
      <c r="M36" s="26" t="s">
        <v>282</v>
      </c>
      <c r="N36" s="26">
        <v>2</v>
      </c>
      <c r="O36" s="26" t="s">
        <v>179</v>
      </c>
    </row>
    <row r="37" spans="1:17" hidden="1" x14ac:dyDescent="0.25">
      <c r="A37" s="26">
        <v>18</v>
      </c>
      <c r="B37" s="19" t="s">
        <v>301</v>
      </c>
      <c r="C37" s="19" t="s">
        <v>277</v>
      </c>
      <c r="D37" s="56">
        <v>16436.330000000002</v>
      </c>
      <c r="E37" s="56">
        <v>0</v>
      </c>
      <c r="F37" s="19">
        <v>13504.51</v>
      </c>
      <c r="G37" s="56">
        <v>2752.41</v>
      </c>
      <c r="H37" s="57">
        <v>0.16745891570685181</v>
      </c>
      <c r="I37" s="19">
        <v>94.53</v>
      </c>
      <c r="J37" s="19">
        <v>84.88</v>
      </c>
      <c r="K37" s="57">
        <v>5.1641698603033638E-3</v>
      </c>
      <c r="L37" s="57">
        <v>6.2853076490742722E-3</v>
      </c>
      <c r="M37" s="26" t="s">
        <v>282</v>
      </c>
      <c r="N37" s="26">
        <v>2</v>
      </c>
      <c r="O37" s="26" t="s">
        <v>179</v>
      </c>
    </row>
    <row r="38" spans="1:17" hidden="1" x14ac:dyDescent="0.25">
      <c r="A38" s="26">
        <v>19</v>
      </c>
      <c r="B38" s="19" t="s">
        <v>301</v>
      </c>
      <c r="C38" s="19" t="s">
        <v>279</v>
      </c>
      <c r="D38" s="56">
        <v>16436.330000000002</v>
      </c>
      <c r="E38" s="56">
        <v>0</v>
      </c>
      <c r="F38" s="19">
        <v>13504.51</v>
      </c>
      <c r="G38" s="56">
        <v>2752.41</v>
      </c>
      <c r="H38" s="57">
        <v>0.16745891570685181</v>
      </c>
      <c r="I38" s="19">
        <v>94.53</v>
      </c>
      <c r="J38" s="19">
        <v>84.88</v>
      </c>
      <c r="K38" s="57">
        <v>5.1641698603033638E-3</v>
      </c>
      <c r="L38" s="57">
        <v>6.2853076490742722E-3</v>
      </c>
      <c r="M38" s="26" t="s">
        <v>282</v>
      </c>
      <c r="N38" s="26">
        <v>2</v>
      </c>
      <c r="O38" s="26" t="s">
        <v>179</v>
      </c>
    </row>
    <row r="39" spans="1:17" hidden="1" x14ac:dyDescent="0.25">
      <c r="A39" s="26">
        <v>20</v>
      </c>
      <c r="B39" s="19" t="s">
        <v>301</v>
      </c>
      <c r="C39" s="19" t="s">
        <v>280</v>
      </c>
      <c r="D39" s="56">
        <v>16436.330000000002</v>
      </c>
      <c r="E39" s="56">
        <v>0</v>
      </c>
      <c r="F39" s="19">
        <v>13504.51</v>
      </c>
      <c r="G39" s="56">
        <v>2752.41</v>
      </c>
      <c r="H39" s="57">
        <v>0.16745891570685181</v>
      </c>
      <c r="I39" s="19">
        <v>94.53</v>
      </c>
      <c r="J39" s="19">
        <v>84.88</v>
      </c>
      <c r="K39" s="57">
        <v>5.1641698603033638E-3</v>
      </c>
      <c r="L39" s="57">
        <v>6.2853076490742722E-3</v>
      </c>
      <c r="M39" s="26" t="s">
        <v>282</v>
      </c>
      <c r="N39" s="26">
        <v>2</v>
      </c>
      <c r="O39" s="26" t="s">
        <v>179</v>
      </c>
    </row>
    <row r="40" spans="1:17" hidden="1" x14ac:dyDescent="0.25">
      <c r="C40" s="19" t="s">
        <v>169</v>
      </c>
      <c r="D40" s="19">
        <v>186857.80000000005</v>
      </c>
      <c r="E40" s="19">
        <v>0</v>
      </c>
      <c r="F40" s="19">
        <v>128744.87999999999</v>
      </c>
      <c r="G40" s="19">
        <v>58963.020000000004</v>
      </c>
      <c r="H40" s="57">
        <v>0.3155502205420378</v>
      </c>
      <c r="I40" s="19">
        <v>901.21999999999991</v>
      </c>
      <c r="J40" s="19">
        <v>2651.6800000000003</v>
      </c>
      <c r="K40" s="57">
        <v>1.4190898105404215E-2</v>
      </c>
      <c r="L40" s="57">
        <v>2.0596391872049594E-2</v>
      </c>
      <c r="M40" s="26" t="s">
        <v>282</v>
      </c>
      <c r="N40" s="26">
        <v>2</v>
      </c>
      <c r="O40" s="26" t="s">
        <v>179</v>
      </c>
    </row>
    <row r="41" spans="1:17" hidden="1" x14ac:dyDescent="0.25">
      <c r="A41" s="26">
        <v>1</v>
      </c>
      <c r="B41" s="19" t="s">
        <v>325</v>
      </c>
      <c r="C41" s="19" t="s">
        <v>305</v>
      </c>
      <c r="D41" s="56">
        <v>0</v>
      </c>
      <c r="E41" s="56">
        <v>1307.02</v>
      </c>
      <c r="F41" s="19">
        <v>639.58000000000004</v>
      </c>
      <c r="G41" s="56">
        <v>346.34</v>
      </c>
      <c r="H41" s="57">
        <v>0.26498446848556256</v>
      </c>
      <c r="I41" s="19">
        <v>4.4800000000000004</v>
      </c>
      <c r="J41" s="19">
        <v>316.62</v>
      </c>
      <c r="K41" s="57">
        <v>0.2422457192697893</v>
      </c>
      <c r="L41" s="57">
        <v>0.49504362237718502</v>
      </c>
      <c r="M41" s="26" t="s">
        <v>322</v>
      </c>
      <c r="N41" s="26">
        <v>3</v>
      </c>
      <c r="O41" s="26" t="s">
        <v>308</v>
      </c>
    </row>
    <row r="42" spans="1:17" hidden="1" x14ac:dyDescent="0.25">
      <c r="A42" s="26">
        <v>2</v>
      </c>
      <c r="B42" s="19" t="s">
        <v>326</v>
      </c>
      <c r="C42" s="19" t="s">
        <v>315</v>
      </c>
      <c r="D42" s="56">
        <v>0</v>
      </c>
      <c r="E42" s="56">
        <v>2485.91</v>
      </c>
      <c r="F42" s="19">
        <v>2061.88</v>
      </c>
      <c r="G42" s="56">
        <v>338.56</v>
      </c>
      <c r="H42" s="57">
        <v>0.13619157572076224</v>
      </c>
      <c r="I42" s="19">
        <v>14.43</v>
      </c>
      <c r="J42" s="19">
        <v>71.040000000000006</v>
      </c>
      <c r="K42" s="57">
        <v>2.8577060311917975E-2</v>
      </c>
      <c r="L42" s="57">
        <v>3.4453993442877376E-2</v>
      </c>
      <c r="M42" s="26" t="s">
        <v>322</v>
      </c>
      <c r="N42" s="26">
        <v>3</v>
      </c>
      <c r="O42" s="26" t="s">
        <v>308</v>
      </c>
    </row>
    <row r="43" spans="1:17" hidden="1" x14ac:dyDescent="0.25">
      <c r="C43" s="19" t="s">
        <v>169</v>
      </c>
      <c r="D43" s="19">
        <v>0</v>
      </c>
      <c r="E43" s="19">
        <v>3792.93</v>
      </c>
      <c r="F43" s="19">
        <v>2701.46</v>
      </c>
      <c r="G43" s="19">
        <v>684.9</v>
      </c>
      <c r="H43" s="57">
        <v>0.18057280255633507</v>
      </c>
      <c r="I43" s="19">
        <v>18.91</v>
      </c>
      <c r="J43" s="19">
        <v>387.66</v>
      </c>
      <c r="K43" s="57">
        <v>0.10220594632645476</v>
      </c>
      <c r="L43" s="57">
        <v>0.14350018138340009</v>
      </c>
      <c r="M43" s="26" t="s">
        <v>322</v>
      </c>
      <c r="N43" s="26">
        <v>3</v>
      </c>
      <c r="O43" s="26" t="s">
        <v>308</v>
      </c>
    </row>
    <row r="44" spans="1:17" hidden="1" x14ac:dyDescent="0.25">
      <c r="A44" s="26">
        <v>1</v>
      </c>
      <c r="B44" s="19" t="s">
        <v>167</v>
      </c>
      <c r="C44" s="19" t="s">
        <v>329</v>
      </c>
      <c r="D44" s="56">
        <v>2296.6</v>
      </c>
      <c r="E44" s="56">
        <v>0</v>
      </c>
      <c r="F44" s="19">
        <v>882.76</v>
      </c>
      <c r="G44" s="56">
        <v>1269.27</v>
      </c>
      <c r="H44" s="57">
        <v>0.55267351737350867</v>
      </c>
      <c r="I44" s="19">
        <v>6.18</v>
      </c>
      <c r="J44" s="19">
        <v>138.38999999999999</v>
      </c>
      <c r="K44" s="57">
        <v>6.0258643211704252E-2</v>
      </c>
      <c r="L44" s="57">
        <v>0.15676967692237981</v>
      </c>
      <c r="M44" s="26" t="s">
        <v>376</v>
      </c>
      <c r="N44" s="26">
        <v>4</v>
      </c>
      <c r="O44" s="26" t="s">
        <v>330</v>
      </c>
      <c r="P44" s="19">
        <v>146.58000000000001</v>
      </c>
      <c r="Q44" s="19" t="s">
        <v>307</v>
      </c>
    </row>
    <row r="45" spans="1:17" hidden="1" x14ac:dyDescent="0.25">
      <c r="A45" s="26">
        <v>2</v>
      </c>
      <c r="B45" s="19" t="s">
        <v>167</v>
      </c>
      <c r="C45" s="19" t="s">
        <v>335</v>
      </c>
      <c r="D45" s="56">
        <v>2296.6</v>
      </c>
      <c r="E45" s="56">
        <v>0</v>
      </c>
      <c r="F45" s="19">
        <v>884.88</v>
      </c>
      <c r="G45" s="56">
        <v>1269.27</v>
      </c>
      <c r="H45" s="57">
        <v>0.55267351737350867</v>
      </c>
      <c r="I45" s="19">
        <v>6.19</v>
      </c>
      <c r="J45" s="19">
        <v>136.26</v>
      </c>
      <c r="K45" s="57">
        <v>5.9331185230340505E-2</v>
      </c>
      <c r="L45" s="57">
        <v>0.15398698128559804</v>
      </c>
      <c r="M45" s="26" t="s">
        <v>376</v>
      </c>
      <c r="N45" s="26">
        <v>4</v>
      </c>
      <c r="O45" s="26" t="s">
        <v>330</v>
      </c>
      <c r="P45" s="19">
        <v>147.78</v>
      </c>
      <c r="Q45" s="19" t="s">
        <v>307</v>
      </c>
    </row>
    <row r="46" spans="1:17" hidden="1" x14ac:dyDescent="0.25">
      <c r="A46" s="26">
        <v>3</v>
      </c>
      <c r="B46" s="19" t="s">
        <v>167</v>
      </c>
      <c r="C46" s="19" t="s">
        <v>340</v>
      </c>
      <c r="D46" s="56">
        <v>2296.6</v>
      </c>
      <c r="E46" s="56">
        <v>0</v>
      </c>
      <c r="F46" s="19">
        <v>583.97</v>
      </c>
      <c r="G46" s="56">
        <v>1651.22</v>
      </c>
      <c r="H46" s="57">
        <v>0.71898458590960557</v>
      </c>
      <c r="I46" s="19">
        <v>4.09</v>
      </c>
      <c r="J46" s="19">
        <v>57.32</v>
      </c>
      <c r="K46" s="57">
        <v>2.4958634503178614E-2</v>
      </c>
      <c r="L46" s="57">
        <v>9.8155727177765981E-2</v>
      </c>
      <c r="M46" s="26" t="s">
        <v>376</v>
      </c>
      <c r="N46" s="26">
        <v>4</v>
      </c>
      <c r="O46" s="26" t="s">
        <v>330</v>
      </c>
      <c r="P46" s="19">
        <v>97.35</v>
      </c>
      <c r="Q46" s="19" t="s">
        <v>307</v>
      </c>
    </row>
    <row r="47" spans="1:17" hidden="1" x14ac:dyDescent="0.25">
      <c r="A47" s="26">
        <v>4</v>
      </c>
      <c r="B47" s="19" t="s">
        <v>295</v>
      </c>
      <c r="C47" s="19" t="s">
        <v>342</v>
      </c>
      <c r="D47" s="56">
        <v>4423.87</v>
      </c>
      <c r="E47" s="56">
        <v>0</v>
      </c>
      <c r="F47" s="19">
        <v>1341.45</v>
      </c>
      <c r="G47" s="56">
        <v>3045.78</v>
      </c>
      <c r="H47" s="57">
        <v>0.68848768160004703</v>
      </c>
      <c r="I47" s="19">
        <v>9.39</v>
      </c>
      <c r="J47" s="19">
        <v>27.25</v>
      </c>
      <c r="K47" s="57">
        <v>6.1597650925547089E-3</v>
      </c>
      <c r="L47" s="57">
        <v>2.0313839502031382E-2</v>
      </c>
      <c r="M47" s="26" t="s">
        <v>376</v>
      </c>
      <c r="N47" s="26">
        <v>4</v>
      </c>
      <c r="O47" s="26" t="s">
        <v>330</v>
      </c>
      <c r="P47" s="19">
        <v>78.489999999999995</v>
      </c>
      <c r="Q47" s="19" t="s">
        <v>307</v>
      </c>
    </row>
    <row r="48" spans="1:17" hidden="1" x14ac:dyDescent="0.25">
      <c r="A48" s="26">
        <v>5</v>
      </c>
      <c r="B48" s="19" t="s">
        <v>296</v>
      </c>
      <c r="C48" s="19" t="s">
        <v>350</v>
      </c>
      <c r="D48" s="56">
        <v>9449.44</v>
      </c>
      <c r="E48" s="56">
        <v>0</v>
      </c>
      <c r="F48" s="19">
        <v>371.44</v>
      </c>
      <c r="G48" s="56">
        <v>8799.93</v>
      </c>
      <c r="H48" s="57">
        <v>0.93126470986640475</v>
      </c>
      <c r="I48" s="19">
        <v>2.6</v>
      </c>
      <c r="J48" s="19">
        <v>275.47000000000003</v>
      </c>
      <c r="K48" s="57">
        <v>2.9151992075720889E-2</v>
      </c>
      <c r="L48" s="57">
        <v>0.74162718070213229</v>
      </c>
      <c r="M48" s="26" t="s">
        <v>376</v>
      </c>
      <c r="N48" s="26">
        <v>4</v>
      </c>
      <c r="O48" s="26" t="s">
        <v>330</v>
      </c>
      <c r="P48" s="19">
        <v>30.96</v>
      </c>
      <c r="Q48" s="19" t="s">
        <v>434</v>
      </c>
    </row>
    <row r="49" spans="1:17" hidden="1" x14ac:dyDescent="0.25">
      <c r="A49" s="26">
        <v>6</v>
      </c>
      <c r="B49" s="19" t="s">
        <v>299</v>
      </c>
      <c r="C49" s="19" t="s">
        <v>361</v>
      </c>
      <c r="D49" s="56">
        <v>11303.22</v>
      </c>
      <c r="E49" s="56">
        <v>0</v>
      </c>
      <c r="F49" s="19">
        <v>3530.46</v>
      </c>
      <c r="G49" s="56">
        <v>7566.62</v>
      </c>
      <c r="H49" s="57">
        <v>0.66942163383531417</v>
      </c>
      <c r="I49" s="19">
        <v>24.71</v>
      </c>
      <c r="J49" s="19">
        <v>181.43</v>
      </c>
      <c r="K49" s="57">
        <v>1.6051178336792527E-2</v>
      </c>
      <c r="L49" s="57">
        <v>5.1389903865218696E-2</v>
      </c>
      <c r="M49" s="26" t="s">
        <v>376</v>
      </c>
      <c r="N49" s="26">
        <v>4</v>
      </c>
      <c r="O49" s="26" t="s">
        <v>330</v>
      </c>
      <c r="P49" s="19">
        <v>24.96</v>
      </c>
      <c r="Q49" s="19" t="s">
        <v>307</v>
      </c>
    </row>
    <row r="50" spans="1:17" hidden="1" x14ac:dyDescent="0.25">
      <c r="A50" s="26">
        <v>7</v>
      </c>
      <c r="B50" s="19" t="s">
        <v>299</v>
      </c>
      <c r="C50" s="19" t="s">
        <v>366</v>
      </c>
      <c r="D50" s="56">
        <v>5887.5</v>
      </c>
      <c r="E50" s="56">
        <v>0</v>
      </c>
      <c r="F50" s="19">
        <v>3673.72</v>
      </c>
      <c r="G50" s="56">
        <v>1747.07</v>
      </c>
      <c r="H50" s="57">
        <v>0.29674225053078557</v>
      </c>
      <c r="I50" s="19">
        <v>25.72</v>
      </c>
      <c r="J50" s="19">
        <v>440.99</v>
      </c>
      <c r="K50" s="57">
        <v>7.490276008492569E-2</v>
      </c>
      <c r="L50" s="57">
        <v>0.12003908844441058</v>
      </c>
      <c r="M50" s="26" t="s">
        <v>376</v>
      </c>
      <c r="N50" s="26">
        <v>4</v>
      </c>
      <c r="O50" s="26" t="s">
        <v>330</v>
      </c>
      <c r="P50" s="19">
        <v>42.67</v>
      </c>
      <c r="Q50" s="19" t="s">
        <v>434</v>
      </c>
    </row>
    <row r="51" spans="1:17" hidden="1" x14ac:dyDescent="0.25">
      <c r="A51" s="26">
        <v>8</v>
      </c>
      <c r="B51" s="19" t="s">
        <v>299</v>
      </c>
      <c r="C51" s="19" t="s">
        <v>371</v>
      </c>
      <c r="D51" s="56">
        <v>10555.89</v>
      </c>
      <c r="E51" s="56">
        <v>0</v>
      </c>
      <c r="F51" s="19">
        <v>3591.76</v>
      </c>
      <c r="G51" s="56">
        <v>6389.59</v>
      </c>
      <c r="H51" s="57">
        <v>0.60531040016521587</v>
      </c>
      <c r="I51" s="19">
        <v>25.14</v>
      </c>
      <c r="J51" s="19">
        <v>549.4</v>
      </c>
      <c r="K51" s="57">
        <v>5.2046771991750576E-2</v>
      </c>
      <c r="L51" s="57">
        <v>0.15296122235338663</v>
      </c>
      <c r="M51" s="26" t="s">
        <v>376</v>
      </c>
      <c r="N51" s="26">
        <v>4</v>
      </c>
      <c r="O51" s="26" t="s">
        <v>330</v>
      </c>
      <c r="P51" s="19">
        <v>54.71</v>
      </c>
      <c r="Q51" s="19" t="s">
        <v>307</v>
      </c>
    </row>
    <row r="52" spans="1:17" hidden="1" x14ac:dyDescent="0.25">
      <c r="A52" s="26">
        <v>9</v>
      </c>
      <c r="B52" s="19" t="s">
        <v>299</v>
      </c>
      <c r="C52" s="19" t="s">
        <v>374</v>
      </c>
      <c r="D52" s="56">
        <v>10709.36</v>
      </c>
      <c r="E52" s="56">
        <v>0</v>
      </c>
      <c r="F52" s="19">
        <v>4989.72</v>
      </c>
      <c r="G52" s="56">
        <v>5163.5600000000004</v>
      </c>
      <c r="H52" s="57">
        <v>0.48215392889957942</v>
      </c>
      <c r="I52" s="19">
        <v>34.93</v>
      </c>
      <c r="J52" s="19">
        <v>521.15</v>
      </c>
      <c r="K52" s="57">
        <v>4.8663038687652663E-2</v>
      </c>
      <c r="L52" s="57">
        <v>0.10444473838211361</v>
      </c>
      <c r="M52" s="26" t="s">
        <v>376</v>
      </c>
      <c r="N52" s="26">
        <v>4</v>
      </c>
      <c r="O52" s="26" t="s">
        <v>330</v>
      </c>
      <c r="P52" s="19">
        <v>50.63</v>
      </c>
      <c r="Q52" s="19" t="s">
        <v>307</v>
      </c>
    </row>
    <row r="53" spans="1:17" hidden="1" x14ac:dyDescent="0.25">
      <c r="C53" s="19" t="s">
        <v>169</v>
      </c>
      <c r="D53" s="19">
        <v>59219.08</v>
      </c>
      <c r="E53" s="19">
        <v>0</v>
      </c>
      <c r="F53" s="19">
        <v>19850.16</v>
      </c>
      <c r="G53" s="19">
        <v>36902.31</v>
      </c>
      <c r="H53" s="57">
        <v>0.62314899184519579</v>
      </c>
      <c r="I53" s="19">
        <v>138.94999999999999</v>
      </c>
      <c r="J53" s="19">
        <v>2327.6600000000003</v>
      </c>
      <c r="K53" s="57">
        <v>3.9305912891588322E-2</v>
      </c>
      <c r="L53" s="57">
        <v>0.11726152333280943</v>
      </c>
      <c r="M53" s="26" t="s">
        <v>376</v>
      </c>
      <c r="N53" s="26">
        <v>4</v>
      </c>
      <c r="O53" s="26" t="s">
        <v>330</v>
      </c>
      <c r="P53" s="19">
        <v>674.13</v>
      </c>
    </row>
    <row r="54" spans="1:17" hidden="1" x14ac:dyDescent="0.25">
      <c r="A54" s="26">
        <v>1</v>
      </c>
      <c r="B54" s="19" t="s">
        <v>166</v>
      </c>
      <c r="C54" s="19" t="s">
        <v>381</v>
      </c>
      <c r="D54" s="56">
        <v>0</v>
      </c>
      <c r="E54" s="56">
        <v>64.61</v>
      </c>
      <c r="F54" s="19">
        <v>28.17</v>
      </c>
      <c r="G54" s="56">
        <v>34.880000000000003</v>
      </c>
      <c r="H54" s="57">
        <v>0.5398545116854977</v>
      </c>
      <c r="I54" s="19">
        <v>0.2</v>
      </c>
      <c r="J54" s="19">
        <v>1.36</v>
      </c>
      <c r="K54" s="57">
        <v>2.1049373162049221E-2</v>
      </c>
      <c r="L54" s="57">
        <v>4.8278310259140929E-2</v>
      </c>
      <c r="M54" s="26" t="s">
        <v>403</v>
      </c>
      <c r="N54" s="26">
        <v>5</v>
      </c>
      <c r="O54" s="26" t="s">
        <v>383</v>
      </c>
    </row>
    <row r="55" spans="1:17" hidden="1" x14ac:dyDescent="0.25">
      <c r="A55" s="26">
        <v>2</v>
      </c>
      <c r="B55" s="19" t="s">
        <v>295</v>
      </c>
      <c r="C55" s="19" t="s">
        <v>388</v>
      </c>
      <c r="D55" s="56">
        <v>0</v>
      </c>
      <c r="E55" s="56">
        <v>191.35</v>
      </c>
      <c r="F55" s="19">
        <v>142.13</v>
      </c>
      <c r="G55" s="56">
        <v>0</v>
      </c>
      <c r="H55" s="57">
        <v>0</v>
      </c>
      <c r="I55" s="19">
        <v>0.99</v>
      </c>
      <c r="J55" s="19">
        <v>48.23</v>
      </c>
      <c r="K55" s="57">
        <v>0.25205121505095374</v>
      </c>
      <c r="L55" s="57">
        <v>0.3393372264827974</v>
      </c>
      <c r="M55" s="26" t="s">
        <v>403</v>
      </c>
      <c r="N55" s="26">
        <v>5</v>
      </c>
      <c r="O55" s="26" t="s">
        <v>383</v>
      </c>
    </row>
    <row r="56" spans="1:17" hidden="1" x14ac:dyDescent="0.25">
      <c r="A56" s="26">
        <v>3</v>
      </c>
      <c r="B56" s="86" t="s">
        <v>296</v>
      </c>
      <c r="C56" s="86" t="s">
        <v>395</v>
      </c>
      <c r="D56" s="87">
        <v>0</v>
      </c>
      <c r="E56" s="87">
        <v>9053.02</v>
      </c>
      <c r="F56" s="86">
        <v>141.30000000000001</v>
      </c>
      <c r="G56" s="87">
        <v>8908.18</v>
      </c>
      <c r="H56" s="88">
        <f>IF(D56+E56&gt;0, G56/(D56+E56), 0)</f>
        <v>0.9840009190303346</v>
      </c>
      <c r="I56" s="86">
        <f>ROUND(F56*0.7/100, 2)</f>
        <v>0.99</v>
      </c>
      <c r="J56" s="86">
        <f>MAX(ROUND(D56+E56-F56-G56-I56, 2), 0)</f>
        <v>2.5499999999999998</v>
      </c>
      <c r="K56" s="88">
        <f>IF(D56+E56&gt;0, J56/(D56+E56), 0)</f>
        <v>2.8167396073354526E-4</v>
      </c>
      <c r="L56" s="88">
        <f>IF(F56&gt;0, J56/F56, 0)</f>
        <v>1.8046709129511673E-2</v>
      </c>
      <c r="M56" s="86" t="s">
        <v>403</v>
      </c>
      <c r="N56" s="86">
        <v>5</v>
      </c>
      <c r="O56" s="86" t="s">
        <v>383</v>
      </c>
      <c r="P56" s="86">
        <v>6</v>
      </c>
      <c r="Q56" s="86" t="s">
        <v>434</v>
      </c>
    </row>
    <row r="57" spans="1:17" hidden="1" x14ac:dyDescent="0.25">
      <c r="A57" s="26">
        <v>4</v>
      </c>
      <c r="B57" s="19" t="s">
        <v>297</v>
      </c>
      <c r="C57" s="19" t="s">
        <v>399</v>
      </c>
      <c r="D57" s="56">
        <v>4804.2</v>
      </c>
      <c r="E57" s="56">
        <v>0</v>
      </c>
      <c r="F57" s="19">
        <v>331.59</v>
      </c>
      <c r="G57" s="56">
        <v>4455.8500000000004</v>
      </c>
      <c r="H57" s="57">
        <v>0.92749052912035312</v>
      </c>
      <c r="I57" s="19">
        <v>2.3199999999999998</v>
      </c>
      <c r="J57" s="19">
        <v>14.44</v>
      </c>
      <c r="K57" s="57">
        <v>3.0057033429082888E-3</v>
      </c>
      <c r="L57" s="57">
        <v>4.3547754757381103E-2</v>
      </c>
      <c r="M57" s="26" t="s">
        <v>403</v>
      </c>
      <c r="N57" s="26">
        <v>5</v>
      </c>
      <c r="O57" s="26" t="s">
        <v>383</v>
      </c>
    </row>
    <row r="58" spans="1:17" hidden="1" x14ac:dyDescent="0.25">
      <c r="C58" s="19" t="s">
        <v>169</v>
      </c>
      <c r="D58" s="19">
        <v>4804.2</v>
      </c>
      <c r="E58" s="19">
        <v>6413.7</v>
      </c>
      <c r="F58" s="19">
        <v>643.19000000000005</v>
      </c>
      <c r="G58" s="19">
        <v>10503.62</v>
      </c>
      <c r="H58" s="57">
        <v>0.93632676347623001</v>
      </c>
      <c r="I58" s="19">
        <v>4.5</v>
      </c>
      <c r="J58" s="19">
        <v>66.59</v>
      </c>
      <c r="K58" s="57">
        <v>5.9360486365540796E-3</v>
      </c>
      <c r="L58" s="57">
        <v>0.10353083847696637</v>
      </c>
      <c r="M58" s="26" t="s">
        <v>403</v>
      </c>
      <c r="N58" s="26">
        <v>5</v>
      </c>
      <c r="O58" s="26" t="s">
        <v>383</v>
      </c>
    </row>
    <row r="59" spans="1:17" hidden="1" x14ac:dyDescent="0.25">
      <c r="A59" s="26">
        <v>1</v>
      </c>
      <c r="B59" s="19" t="s">
        <v>167</v>
      </c>
      <c r="C59" s="19" t="s">
        <v>408</v>
      </c>
      <c r="D59" s="56">
        <v>2296.6</v>
      </c>
      <c r="E59" s="56">
        <v>0</v>
      </c>
      <c r="F59" s="19">
        <v>884.87</v>
      </c>
      <c r="G59" s="56">
        <v>1269.27</v>
      </c>
      <c r="H59" s="57">
        <v>0.55267351737350867</v>
      </c>
      <c r="I59" s="19">
        <v>6.19</v>
      </c>
      <c r="J59" s="19">
        <v>136.27000000000001</v>
      </c>
      <c r="K59" s="57">
        <v>5.9335539493163815E-2</v>
      </c>
      <c r="L59" s="57">
        <v>0.15400002260219017</v>
      </c>
      <c r="M59" s="26" t="s">
        <v>429</v>
      </c>
      <c r="N59" s="26">
        <v>6</v>
      </c>
      <c r="O59" s="26" t="s">
        <v>409</v>
      </c>
    </row>
    <row r="60" spans="1:17" hidden="1" x14ac:dyDescent="0.25">
      <c r="A60" s="26">
        <v>2</v>
      </c>
      <c r="B60" s="19" t="s">
        <v>167</v>
      </c>
      <c r="C60" s="19" t="s">
        <v>414</v>
      </c>
      <c r="D60" s="56">
        <v>2296.6</v>
      </c>
      <c r="E60" s="56">
        <v>0</v>
      </c>
      <c r="F60" s="19">
        <v>583.97</v>
      </c>
      <c r="G60" s="56">
        <v>1603.35</v>
      </c>
      <c r="H60" s="57">
        <v>0.69814072977444919</v>
      </c>
      <c r="I60" s="19">
        <v>4.09</v>
      </c>
      <c r="J60" s="19">
        <v>105.19</v>
      </c>
      <c r="K60" s="57">
        <v>4.5802490638334928E-2</v>
      </c>
      <c r="L60" s="57">
        <v>0.1801291162217237</v>
      </c>
      <c r="M60" s="26" t="s">
        <v>429</v>
      </c>
      <c r="N60" s="26">
        <v>6</v>
      </c>
      <c r="O60" s="26" t="s">
        <v>409</v>
      </c>
    </row>
    <row r="61" spans="1:17" hidden="1" x14ac:dyDescent="0.25">
      <c r="A61" s="26">
        <v>3</v>
      </c>
      <c r="B61" s="86" t="s">
        <v>296</v>
      </c>
      <c r="C61" s="86" t="s">
        <v>416</v>
      </c>
      <c r="D61" s="87">
        <v>0</v>
      </c>
      <c r="E61" s="87">
        <v>8908.18</v>
      </c>
      <c r="F61" s="86">
        <v>178.36</v>
      </c>
      <c r="G61" s="87">
        <v>8722.19</v>
      </c>
      <c r="H61" s="88">
        <v>0.97912143670199747</v>
      </c>
      <c r="I61" s="86">
        <v>1.25</v>
      </c>
      <c r="J61" s="86">
        <v>6.38</v>
      </c>
      <c r="K61" s="88">
        <v>7.1619567633343737E-4</v>
      </c>
      <c r="L61" s="88">
        <v>3.5770352096882709E-2</v>
      </c>
      <c r="M61" s="86" t="s">
        <v>429</v>
      </c>
      <c r="N61" s="86">
        <v>6</v>
      </c>
      <c r="O61" s="86" t="s">
        <v>409</v>
      </c>
      <c r="P61" s="86">
        <v>11.47</v>
      </c>
      <c r="Q61" s="86" t="s">
        <v>434</v>
      </c>
    </row>
    <row r="62" spans="1:17" hidden="1" x14ac:dyDescent="0.25">
      <c r="A62" s="26">
        <v>4</v>
      </c>
      <c r="B62" s="19" t="s">
        <v>298</v>
      </c>
      <c r="C62" s="19" t="s">
        <v>421</v>
      </c>
      <c r="D62" s="56">
        <v>5687.33</v>
      </c>
      <c r="E62" s="56">
        <v>0</v>
      </c>
      <c r="F62" s="19">
        <v>994.79</v>
      </c>
      <c r="G62" s="56">
        <v>4668.6899999999996</v>
      </c>
      <c r="H62" s="57">
        <v>0.82089310801377791</v>
      </c>
      <c r="I62" s="19">
        <v>6.96</v>
      </c>
      <c r="J62" s="19">
        <v>16.89</v>
      </c>
      <c r="K62" s="57">
        <v>2.9697590960960593E-3</v>
      </c>
      <c r="L62" s="57">
        <v>1.6978457764955417E-2</v>
      </c>
      <c r="M62" s="26" t="s">
        <v>429</v>
      </c>
      <c r="N62" s="26">
        <v>6</v>
      </c>
      <c r="O62" s="26" t="s">
        <v>409</v>
      </c>
    </row>
    <row r="63" spans="1:17" hidden="1" x14ac:dyDescent="0.25">
      <c r="A63" s="26">
        <v>5</v>
      </c>
      <c r="B63" s="19" t="s">
        <v>299</v>
      </c>
      <c r="C63" s="19" t="s">
        <v>424</v>
      </c>
      <c r="D63" s="56">
        <v>0</v>
      </c>
      <c r="E63" s="56">
        <v>5163.5600000000004</v>
      </c>
      <c r="F63" s="19">
        <v>2851.27</v>
      </c>
      <c r="G63" s="56">
        <v>2059.5100000000002</v>
      </c>
      <c r="H63" s="57">
        <v>0.39885466616055593</v>
      </c>
      <c r="I63" s="19">
        <v>19.96</v>
      </c>
      <c r="J63" s="19">
        <v>232.82</v>
      </c>
      <c r="K63" s="57">
        <v>4.508904709154149E-2</v>
      </c>
      <c r="L63" s="57">
        <v>8.1654841526758254E-2</v>
      </c>
      <c r="M63" s="26" t="s">
        <v>429</v>
      </c>
      <c r="N63" s="26">
        <v>6</v>
      </c>
      <c r="O63" s="26" t="s">
        <v>409</v>
      </c>
    </row>
    <row r="64" spans="1:17" hidden="1" x14ac:dyDescent="0.25">
      <c r="A64" s="26">
        <v>6</v>
      </c>
      <c r="B64" s="19" t="s">
        <v>300</v>
      </c>
      <c r="C64" s="19" t="s">
        <v>428</v>
      </c>
      <c r="D64" s="56">
        <v>10465.620000000001</v>
      </c>
      <c r="E64" s="56">
        <v>0</v>
      </c>
      <c r="F64" s="19">
        <v>2298.83</v>
      </c>
      <c r="G64" s="56">
        <v>8117.59</v>
      </c>
      <c r="H64" s="57">
        <v>0.7756434879156705</v>
      </c>
      <c r="I64" s="19">
        <v>16.09</v>
      </c>
      <c r="J64" s="19">
        <v>33.11</v>
      </c>
      <c r="K64" s="57">
        <v>3.1636921653948832E-3</v>
      </c>
      <c r="L64" s="57">
        <v>1.4402978906661215E-2</v>
      </c>
      <c r="M64" s="26" t="s">
        <v>429</v>
      </c>
      <c r="N64" s="26">
        <v>6</v>
      </c>
      <c r="O64" s="26" t="s">
        <v>409</v>
      </c>
    </row>
    <row r="65" spans="1:15" hidden="1" x14ac:dyDescent="0.25">
      <c r="C65" s="19" t="s">
        <v>169</v>
      </c>
      <c r="D65" s="19">
        <v>20746.150000000001</v>
      </c>
      <c r="E65" s="19">
        <v>11688.57</v>
      </c>
      <c r="F65" s="19">
        <v>7792.09</v>
      </c>
      <c r="G65" s="19">
        <v>24057.629999999997</v>
      </c>
      <c r="H65" s="57">
        <v>0.7417246086909336</v>
      </c>
      <c r="I65" s="19">
        <v>54.540000000000006</v>
      </c>
      <c r="J65" s="19">
        <v>530.46</v>
      </c>
      <c r="K65" s="57">
        <v>1.6354696448743815E-2</v>
      </c>
      <c r="L65" s="57">
        <v>6.8076729093221461E-2</v>
      </c>
      <c r="M65" s="26" t="s">
        <v>429</v>
      </c>
      <c r="N65" s="26">
        <v>6</v>
      </c>
      <c r="O65" s="26" t="s">
        <v>409</v>
      </c>
    </row>
    <row r="66" spans="1:15" hidden="1" x14ac:dyDescent="0.25">
      <c r="A66" s="26">
        <v>1</v>
      </c>
      <c r="B66" s="19" t="s">
        <v>296</v>
      </c>
      <c r="C66" s="19" t="s">
        <v>439</v>
      </c>
      <c r="D66" s="56">
        <v>0</v>
      </c>
      <c r="E66" s="56">
        <v>8722.19</v>
      </c>
      <c r="F66" s="19">
        <v>515.14</v>
      </c>
      <c r="G66" s="56">
        <v>8158.18</v>
      </c>
      <c r="H66" s="57">
        <v>0.93533619423562198</v>
      </c>
      <c r="I66" s="19">
        <v>3.61</v>
      </c>
      <c r="J66" s="19">
        <v>45.26</v>
      </c>
      <c r="K66" s="57">
        <v>5.1890637557769313E-3</v>
      </c>
      <c r="L66" s="57">
        <v>8.7859610979539537E-2</v>
      </c>
      <c r="M66" s="26" t="s">
        <v>478</v>
      </c>
      <c r="N66" s="26">
        <v>7</v>
      </c>
      <c r="O66" s="26" t="s">
        <v>440</v>
      </c>
    </row>
    <row r="67" spans="1:15" hidden="1" x14ac:dyDescent="0.25">
      <c r="A67" s="26">
        <v>2</v>
      </c>
      <c r="B67" s="19" t="s">
        <v>299</v>
      </c>
      <c r="C67" s="19" t="s">
        <v>453</v>
      </c>
      <c r="D67" s="56">
        <v>4710</v>
      </c>
      <c r="E67" s="56">
        <v>0</v>
      </c>
      <c r="F67" s="19">
        <v>3873.9</v>
      </c>
      <c r="G67" s="56">
        <v>355.59</v>
      </c>
      <c r="H67" s="57">
        <v>7.5496815286624205E-2</v>
      </c>
      <c r="I67" s="19">
        <v>27.12</v>
      </c>
      <c r="J67" s="19">
        <v>453.39</v>
      </c>
      <c r="K67" s="57">
        <v>9.6261146496815289E-2</v>
      </c>
      <c r="L67" s="57">
        <v>0.11703709440099125</v>
      </c>
      <c r="M67" s="26" t="s">
        <v>478</v>
      </c>
      <c r="N67" s="26">
        <v>7</v>
      </c>
      <c r="O67" s="26" t="s">
        <v>440</v>
      </c>
    </row>
    <row r="68" spans="1:15" hidden="1" x14ac:dyDescent="0.25">
      <c r="A68" s="26">
        <v>3</v>
      </c>
      <c r="B68" s="19" t="s">
        <v>299</v>
      </c>
      <c r="C68" s="19" t="s">
        <v>460</v>
      </c>
      <c r="D68" s="56">
        <v>4710</v>
      </c>
      <c r="E68" s="56">
        <v>0</v>
      </c>
      <c r="F68" s="19">
        <v>3555.97</v>
      </c>
      <c r="G68" s="56">
        <v>997.91</v>
      </c>
      <c r="H68" s="57">
        <v>0.21187048832271763</v>
      </c>
      <c r="I68" s="19">
        <v>24.89</v>
      </c>
      <c r="J68" s="19">
        <v>131.22999999999999</v>
      </c>
      <c r="K68" s="57">
        <v>2.7861995753715497E-2</v>
      </c>
      <c r="L68" s="57">
        <v>3.6904135861663627E-2</v>
      </c>
      <c r="M68" s="26" t="s">
        <v>478</v>
      </c>
      <c r="N68" s="26">
        <v>7</v>
      </c>
      <c r="O68" s="26" t="s">
        <v>440</v>
      </c>
    </row>
    <row r="69" spans="1:15" hidden="1" x14ac:dyDescent="0.25">
      <c r="A69" s="26">
        <v>4</v>
      </c>
      <c r="B69" s="19" t="s">
        <v>299</v>
      </c>
      <c r="C69" s="19" t="s">
        <v>462</v>
      </c>
      <c r="D69" s="56">
        <v>4710</v>
      </c>
      <c r="E69" s="56">
        <v>0</v>
      </c>
      <c r="F69" s="19">
        <v>1422.39</v>
      </c>
      <c r="G69" s="56">
        <v>3181.14</v>
      </c>
      <c r="H69" s="57">
        <v>0.67540127388535032</v>
      </c>
      <c r="I69" s="19">
        <v>9.9600000000000009</v>
      </c>
      <c r="J69" s="19">
        <v>96.51</v>
      </c>
      <c r="K69" s="57">
        <v>2.0490445859872614E-2</v>
      </c>
      <c r="L69" s="57">
        <v>6.7850589500769831E-2</v>
      </c>
      <c r="M69" s="26" t="s">
        <v>478</v>
      </c>
      <c r="N69" s="26">
        <v>7</v>
      </c>
      <c r="O69" s="26" t="s">
        <v>440</v>
      </c>
    </row>
    <row r="70" spans="1:15" hidden="1" x14ac:dyDescent="0.25">
      <c r="A70" s="26">
        <v>5</v>
      </c>
      <c r="B70" s="19" t="s">
        <v>299</v>
      </c>
      <c r="C70" s="19" t="s">
        <v>465</v>
      </c>
      <c r="D70" s="56">
        <v>0</v>
      </c>
      <c r="E70" s="56">
        <v>6389.59</v>
      </c>
      <c r="F70" s="19">
        <v>5034.3900000000003</v>
      </c>
      <c r="G70" s="56">
        <v>1142.76</v>
      </c>
      <c r="H70" s="57">
        <v>0.178847156077307</v>
      </c>
      <c r="I70" s="19">
        <v>35.24</v>
      </c>
      <c r="J70" s="19">
        <v>177.2</v>
      </c>
      <c r="K70" s="57">
        <v>2.7732608821536279E-2</v>
      </c>
      <c r="L70" s="57">
        <v>3.5197908783387855E-2</v>
      </c>
      <c r="M70" s="26" t="s">
        <v>478</v>
      </c>
      <c r="N70" s="26">
        <v>7</v>
      </c>
      <c r="O70" s="26" t="s">
        <v>440</v>
      </c>
    </row>
    <row r="71" spans="1:15" hidden="1" x14ac:dyDescent="0.25">
      <c r="A71" s="26">
        <v>6</v>
      </c>
      <c r="B71" s="19" t="s">
        <v>299</v>
      </c>
      <c r="C71" s="19" t="s">
        <v>470</v>
      </c>
      <c r="D71" s="56">
        <v>0</v>
      </c>
      <c r="E71" s="56">
        <v>7566.62</v>
      </c>
      <c r="F71" s="19">
        <v>5295.69</v>
      </c>
      <c r="G71" s="56">
        <v>1972.61</v>
      </c>
      <c r="H71" s="57">
        <v>0.26069896466321818</v>
      </c>
      <c r="I71" s="19">
        <v>37.07</v>
      </c>
      <c r="J71" s="19">
        <v>261.25</v>
      </c>
      <c r="K71" s="57">
        <v>3.452664465772036E-2</v>
      </c>
      <c r="L71" s="57">
        <v>4.9332570448798935E-2</v>
      </c>
      <c r="M71" s="26" t="s">
        <v>478</v>
      </c>
      <c r="N71" s="26">
        <v>7</v>
      </c>
      <c r="O71" s="26" t="s">
        <v>440</v>
      </c>
    </row>
    <row r="72" spans="1:15" hidden="1" x14ac:dyDescent="0.25">
      <c r="A72" s="26">
        <v>7</v>
      </c>
      <c r="B72" s="19" t="s">
        <v>299</v>
      </c>
      <c r="C72" s="19" t="s">
        <v>474</v>
      </c>
      <c r="D72" s="56">
        <v>0</v>
      </c>
      <c r="E72" s="56">
        <v>92.93</v>
      </c>
      <c r="F72" s="19">
        <v>41.21</v>
      </c>
      <c r="G72" s="56">
        <v>0</v>
      </c>
      <c r="H72" s="57">
        <v>0</v>
      </c>
      <c r="I72" s="19">
        <v>0.28999999999999998</v>
      </c>
      <c r="J72" s="19">
        <v>51.43</v>
      </c>
      <c r="K72" s="57">
        <v>0.55342731087915631</v>
      </c>
      <c r="L72" s="57">
        <v>1.2479980587236108</v>
      </c>
      <c r="M72" s="26" t="s">
        <v>478</v>
      </c>
      <c r="N72" s="26">
        <v>7</v>
      </c>
      <c r="O72" s="26" t="s">
        <v>440</v>
      </c>
    </row>
    <row r="73" spans="1:15" hidden="1" x14ac:dyDescent="0.25">
      <c r="A73" s="26">
        <v>8</v>
      </c>
      <c r="B73" s="19" t="s">
        <v>299</v>
      </c>
      <c r="C73" s="19" t="s">
        <v>476</v>
      </c>
      <c r="D73" s="56">
        <v>0</v>
      </c>
      <c r="E73" s="56">
        <v>92.93</v>
      </c>
      <c r="F73" s="19">
        <v>41.21</v>
      </c>
      <c r="G73" s="56">
        <v>0</v>
      </c>
      <c r="H73" s="57">
        <v>0</v>
      </c>
      <c r="I73" s="19">
        <v>0.28999999999999998</v>
      </c>
      <c r="J73" s="19">
        <v>51.43</v>
      </c>
      <c r="K73" s="57">
        <v>0.55342731087915631</v>
      </c>
      <c r="L73" s="57">
        <v>1.2479980587236108</v>
      </c>
      <c r="M73" s="26" t="s">
        <v>478</v>
      </c>
      <c r="N73" s="26">
        <v>7</v>
      </c>
      <c r="O73" s="26" t="s">
        <v>440</v>
      </c>
    </row>
    <row r="74" spans="1:15" hidden="1" x14ac:dyDescent="0.25">
      <c r="C74" s="19" t="s">
        <v>169</v>
      </c>
      <c r="D74" s="19">
        <v>14130</v>
      </c>
      <c r="E74" s="19">
        <v>22864.260000000002</v>
      </c>
      <c r="F74" s="19">
        <v>19779.899999999998</v>
      </c>
      <c r="G74" s="19">
        <v>15808.19</v>
      </c>
      <c r="H74" s="57">
        <v>0.42731466989743816</v>
      </c>
      <c r="I74" s="19">
        <v>138.47</v>
      </c>
      <c r="J74" s="19">
        <v>1267.7</v>
      </c>
      <c r="K74" s="57">
        <v>3.4267478252031532E-2</v>
      </c>
      <c r="L74" s="57">
        <v>6.4090313904519247E-2</v>
      </c>
      <c r="M74" s="26" t="s">
        <v>478</v>
      </c>
      <c r="N74" s="26">
        <v>7</v>
      </c>
      <c r="O74" s="26" t="s">
        <v>440</v>
      </c>
    </row>
    <row r="75" spans="1:15" hidden="1" x14ac:dyDescent="0.25">
      <c r="A75" s="26">
        <v>1</v>
      </c>
      <c r="B75" s="19" t="s">
        <v>296</v>
      </c>
      <c r="C75" s="19" t="s">
        <v>483</v>
      </c>
      <c r="D75" s="56">
        <v>0</v>
      </c>
      <c r="E75" s="56">
        <v>8158.18</v>
      </c>
      <c r="F75" s="19">
        <v>313.26</v>
      </c>
      <c r="G75" s="56">
        <v>7833.37</v>
      </c>
      <c r="H75" s="57">
        <v>0.96018597285178797</v>
      </c>
      <c r="I75" s="19">
        <v>2.19</v>
      </c>
      <c r="J75" s="19">
        <v>9.36</v>
      </c>
      <c r="K75" s="57">
        <v>1.1473147197046398E-3</v>
      </c>
      <c r="L75" s="57">
        <v>2.987933346102279E-2</v>
      </c>
      <c r="M75" s="26" t="s">
        <v>503</v>
      </c>
      <c r="N75" s="26">
        <v>8</v>
      </c>
      <c r="O75" s="26" t="s">
        <v>485</v>
      </c>
    </row>
    <row r="76" spans="1:15" hidden="1" x14ac:dyDescent="0.25">
      <c r="A76" s="26">
        <v>2</v>
      </c>
      <c r="B76" s="19" t="s">
        <v>299</v>
      </c>
      <c r="C76" s="19" t="s">
        <v>492</v>
      </c>
      <c r="D76" s="56">
        <v>0</v>
      </c>
      <c r="E76" s="56">
        <v>1972.61</v>
      </c>
      <c r="F76" s="19">
        <v>1765.23</v>
      </c>
      <c r="G76" s="56">
        <v>0</v>
      </c>
      <c r="H76" s="57">
        <v>0</v>
      </c>
      <c r="I76" s="19">
        <v>12.36</v>
      </c>
      <c r="J76" s="19">
        <v>195.02</v>
      </c>
      <c r="K76" s="57">
        <v>9.886394168132577E-2</v>
      </c>
      <c r="L76" s="57">
        <v>0.11047852121253321</v>
      </c>
      <c r="M76" s="26" t="s">
        <v>503</v>
      </c>
      <c r="N76" s="26">
        <v>8</v>
      </c>
      <c r="O76" s="26" t="s">
        <v>485</v>
      </c>
    </row>
    <row r="77" spans="1:15" hidden="1" x14ac:dyDescent="0.25">
      <c r="A77" s="26">
        <v>3</v>
      </c>
      <c r="B77" s="19" t="s">
        <v>299</v>
      </c>
      <c r="C77" s="19" t="s">
        <v>494</v>
      </c>
      <c r="D77" s="56">
        <v>0</v>
      </c>
      <c r="E77" s="56">
        <v>3181.14</v>
      </c>
      <c r="F77" s="19">
        <v>2133.58</v>
      </c>
      <c r="G77" s="56">
        <v>957.26</v>
      </c>
      <c r="H77" s="57">
        <v>0.30091728122622707</v>
      </c>
      <c r="I77" s="19">
        <v>14.94</v>
      </c>
      <c r="J77" s="19">
        <v>75.36</v>
      </c>
      <c r="K77" s="57">
        <v>2.3689620702012488E-2</v>
      </c>
      <c r="L77" s="57">
        <v>3.5320916019085297E-2</v>
      </c>
      <c r="M77" s="26" t="s">
        <v>503</v>
      </c>
      <c r="N77" s="26">
        <v>8</v>
      </c>
      <c r="O77" s="26" t="s">
        <v>485</v>
      </c>
    </row>
    <row r="78" spans="1:15" hidden="1" x14ac:dyDescent="0.25">
      <c r="A78" s="26">
        <v>4</v>
      </c>
      <c r="B78" s="19" t="s">
        <v>299</v>
      </c>
      <c r="C78" s="19" t="s">
        <v>496</v>
      </c>
      <c r="D78" s="56">
        <v>4710</v>
      </c>
      <c r="E78" s="56">
        <v>0</v>
      </c>
      <c r="F78" s="19">
        <v>711.19</v>
      </c>
      <c r="G78" s="56">
        <v>3961.75</v>
      </c>
      <c r="H78" s="57">
        <v>0.84113588110403392</v>
      </c>
      <c r="I78" s="19">
        <v>4.9800000000000004</v>
      </c>
      <c r="J78" s="19">
        <v>32.08</v>
      </c>
      <c r="K78" s="57">
        <v>6.8110403397027598E-3</v>
      </c>
      <c r="L78" s="57">
        <v>4.5107495887175011E-2</v>
      </c>
      <c r="M78" s="26" t="s">
        <v>503</v>
      </c>
      <c r="N78" s="26">
        <v>8</v>
      </c>
      <c r="O78" s="26" t="s">
        <v>485</v>
      </c>
    </row>
    <row r="79" spans="1:15" hidden="1" x14ac:dyDescent="0.25">
      <c r="A79" s="26">
        <v>5</v>
      </c>
      <c r="B79" s="19" t="s">
        <v>299</v>
      </c>
      <c r="C79" s="19" t="s">
        <v>498</v>
      </c>
      <c r="D79" s="56">
        <v>5887.5</v>
      </c>
      <c r="E79" s="56">
        <v>0</v>
      </c>
      <c r="F79" s="19">
        <v>4267.17</v>
      </c>
      <c r="G79" s="56">
        <v>1347.04</v>
      </c>
      <c r="H79" s="57">
        <v>0.22879660297239915</v>
      </c>
      <c r="I79" s="19">
        <v>29.87</v>
      </c>
      <c r="J79" s="19">
        <v>243.42</v>
      </c>
      <c r="K79" s="57">
        <v>4.1345222929936302E-2</v>
      </c>
      <c r="L79" s="57">
        <v>5.7044832992357929E-2</v>
      </c>
      <c r="M79" s="26" t="s">
        <v>503</v>
      </c>
      <c r="N79" s="26">
        <v>8</v>
      </c>
      <c r="O79" s="26" t="s">
        <v>485</v>
      </c>
    </row>
    <row r="80" spans="1:15" hidden="1" x14ac:dyDescent="0.25">
      <c r="A80" s="26">
        <v>6</v>
      </c>
      <c r="B80" s="19" t="s">
        <v>299</v>
      </c>
      <c r="C80" s="19" t="s">
        <v>500</v>
      </c>
      <c r="D80" s="56">
        <v>5887.5</v>
      </c>
      <c r="E80" s="56">
        <v>0</v>
      </c>
      <c r="F80" s="19">
        <v>4267.16</v>
      </c>
      <c r="G80" s="56">
        <v>1251.52</v>
      </c>
      <c r="H80" s="57">
        <v>0.21257239915074311</v>
      </c>
      <c r="I80" s="19">
        <v>29.87</v>
      </c>
      <c r="J80" s="19">
        <v>338.95</v>
      </c>
      <c r="K80" s="57">
        <v>5.7571125265392778E-2</v>
      </c>
      <c r="L80" s="57">
        <v>7.9432221899342889E-2</v>
      </c>
      <c r="M80" s="26" t="s">
        <v>503</v>
      </c>
      <c r="N80" s="26">
        <v>8</v>
      </c>
      <c r="O80" s="26" t="s">
        <v>485</v>
      </c>
    </row>
    <row r="81" spans="1:15" hidden="1" x14ac:dyDescent="0.25">
      <c r="A81" s="26">
        <v>7</v>
      </c>
      <c r="B81" s="19" t="s">
        <v>299</v>
      </c>
      <c r="C81" s="19" t="s">
        <v>502</v>
      </c>
      <c r="D81" s="56">
        <v>10555.9</v>
      </c>
      <c r="E81" s="56">
        <v>0</v>
      </c>
      <c r="F81" s="19">
        <v>1678.13</v>
      </c>
      <c r="G81" s="56">
        <v>8748.39</v>
      </c>
      <c r="H81" s="57">
        <v>0.82876779810343026</v>
      </c>
      <c r="I81" s="19">
        <v>11.75</v>
      </c>
      <c r="J81" s="19">
        <v>117.63</v>
      </c>
      <c r="K81" s="57">
        <v>1.1143531105827073E-2</v>
      </c>
      <c r="L81" s="57">
        <v>7.0095880533689273E-2</v>
      </c>
      <c r="M81" s="26" t="s">
        <v>503</v>
      </c>
      <c r="N81" s="26">
        <v>8</v>
      </c>
      <c r="O81" s="26" t="s">
        <v>485</v>
      </c>
    </row>
    <row r="82" spans="1:15" hidden="1" x14ac:dyDescent="0.25">
      <c r="C82" s="19" t="s">
        <v>169</v>
      </c>
      <c r="D82" s="19">
        <v>27040.9</v>
      </c>
      <c r="E82" s="19">
        <v>13311.93</v>
      </c>
      <c r="F82" s="19">
        <v>15135.720000000001</v>
      </c>
      <c r="G82" s="19">
        <v>24099.329999999998</v>
      </c>
      <c r="H82" s="57">
        <v>0.5972153625904304</v>
      </c>
      <c r="I82" s="19">
        <v>105.96000000000001</v>
      </c>
      <c r="J82" s="19">
        <v>1011.82</v>
      </c>
      <c r="K82" s="57">
        <v>2.5074325642092513E-2</v>
      </c>
      <c r="L82" s="57">
        <v>6.6849809589500861E-2</v>
      </c>
      <c r="M82" s="26" t="s">
        <v>503</v>
      </c>
      <c r="N82" s="26">
        <v>8</v>
      </c>
      <c r="O82" s="26" t="s">
        <v>485</v>
      </c>
    </row>
    <row r="83" spans="1:15" hidden="1" x14ac:dyDescent="0.25">
      <c r="A83" s="26">
        <v>1</v>
      </c>
      <c r="B83" s="19" t="s">
        <v>167</v>
      </c>
      <c r="C83" s="19" t="s">
        <v>506</v>
      </c>
      <c r="D83" s="56">
        <v>2296.6</v>
      </c>
      <c r="E83" s="56">
        <v>0</v>
      </c>
      <c r="F83" s="19">
        <v>735.48</v>
      </c>
      <c r="G83" s="56">
        <v>1431.24</v>
      </c>
      <c r="H83" s="57">
        <v>0.62319951232256376</v>
      </c>
      <c r="I83" s="19">
        <v>5.15</v>
      </c>
      <c r="J83" s="19">
        <v>124.73</v>
      </c>
      <c r="K83" s="57">
        <v>5.431072019507098E-2</v>
      </c>
      <c r="L83" s="57">
        <v>0.16958992766628597</v>
      </c>
      <c r="M83" s="26" t="s">
        <v>540</v>
      </c>
      <c r="N83" s="26">
        <v>9</v>
      </c>
      <c r="O83" s="26" t="s">
        <v>507</v>
      </c>
    </row>
    <row r="84" spans="1:15" hidden="1" x14ac:dyDescent="0.25">
      <c r="A84" s="26">
        <v>2</v>
      </c>
      <c r="B84" s="19" t="s">
        <v>295</v>
      </c>
      <c r="C84" s="19" t="s">
        <v>512</v>
      </c>
      <c r="D84" s="56">
        <v>0</v>
      </c>
      <c r="E84" s="56">
        <v>3048.72</v>
      </c>
      <c r="F84" s="19">
        <v>1453.14</v>
      </c>
      <c r="G84" s="56">
        <v>1557</v>
      </c>
      <c r="H84" s="57">
        <v>0.510706132409667</v>
      </c>
      <c r="I84" s="19">
        <v>10.17</v>
      </c>
      <c r="J84" s="19">
        <v>28.41</v>
      </c>
      <c r="K84" s="57">
        <v>9.3186648823112665E-3</v>
      </c>
      <c r="L84" s="57">
        <v>1.9550765927577519E-2</v>
      </c>
      <c r="M84" s="26" t="s">
        <v>540</v>
      </c>
      <c r="N84" s="26">
        <v>9</v>
      </c>
      <c r="O84" s="26" t="s">
        <v>507</v>
      </c>
    </row>
    <row r="85" spans="1:15" hidden="1" x14ac:dyDescent="0.25">
      <c r="A85" s="26">
        <v>3</v>
      </c>
      <c r="B85" s="19" t="s">
        <v>296</v>
      </c>
      <c r="C85" s="19" t="s">
        <v>516</v>
      </c>
      <c r="D85" s="56">
        <v>0</v>
      </c>
      <c r="E85" s="56">
        <v>7833.37</v>
      </c>
      <c r="F85" s="19">
        <v>176.35</v>
      </c>
      <c r="G85" s="56">
        <v>7638.9</v>
      </c>
      <c r="H85" s="57">
        <v>0.97517415875925684</v>
      </c>
      <c r="I85" s="19">
        <v>1.23</v>
      </c>
      <c r="J85" s="19">
        <v>16.89</v>
      </c>
      <c r="K85" s="57">
        <v>2.1561601201015657E-3</v>
      </c>
      <c r="L85" s="57">
        <v>9.5775446555146027E-2</v>
      </c>
      <c r="M85" s="26" t="s">
        <v>540</v>
      </c>
      <c r="N85" s="26">
        <v>9</v>
      </c>
      <c r="O85" s="26" t="s">
        <v>507</v>
      </c>
    </row>
    <row r="86" spans="1:15" hidden="1" x14ac:dyDescent="0.25">
      <c r="A86" s="26">
        <v>4</v>
      </c>
      <c r="B86" s="19" t="s">
        <v>297</v>
      </c>
      <c r="C86" s="19" t="s">
        <v>522</v>
      </c>
      <c r="D86" s="56">
        <v>9597.1</v>
      </c>
      <c r="E86" s="56">
        <v>0</v>
      </c>
      <c r="F86" s="19">
        <v>9173.23</v>
      </c>
      <c r="G86" s="56">
        <v>215.5</v>
      </c>
      <c r="H86" s="57">
        <v>2.2454699857248545E-2</v>
      </c>
      <c r="I86" s="19">
        <v>64.209999999999994</v>
      </c>
      <c r="J86" s="19">
        <v>144.16</v>
      </c>
      <c r="K86" s="57">
        <v>1.5021204322138978E-2</v>
      </c>
      <c r="L86" s="57">
        <v>1.5715293304539406E-2</v>
      </c>
      <c r="M86" s="26" t="s">
        <v>540</v>
      </c>
      <c r="N86" s="26">
        <v>9</v>
      </c>
      <c r="O86" s="26" t="s">
        <v>507</v>
      </c>
    </row>
    <row r="87" spans="1:15" hidden="1" x14ac:dyDescent="0.25">
      <c r="A87" s="26">
        <v>5</v>
      </c>
      <c r="B87" s="19" t="s">
        <v>297</v>
      </c>
      <c r="C87" s="19" t="s">
        <v>525</v>
      </c>
      <c r="D87" s="56">
        <v>9291.89</v>
      </c>
      <c r="E87" s="56">
        <v>0</v>
      </c>
      <c r="F87" s="19">
        <v>8877.4</v>
      </c>
      <c r="G87" s="56">
        <v>212.07</v>
      </c>
      <c r="H87" s="57">
        <v>2.2823128556192552E-2</v>
      </c>
      <c r="I87" s="19">
        <v>62.14</v>
      </c>
      <c r="J87" s="19">
        <v>140.28</v>
      </c>
      <c r="K87" s="57">
        <v>1.5097036232671718E-2</v>
      </c>
      <c r="L87" s="57">
        <v>1.580192398675288E-2</v>
      </c>
      <c r="M87" s="26" t="s">
        <v>540</v>
      </c>
      <c r="N87" s="26">
        <v>9</v>
      </c>
      <c r="O87" s="26" t="s">
        <v>507</v>
      </c>
    </row>
    <row r="88" spans="1:15" hidden="1" x14ac:dyDescent="0.25">
      <c r="A88" s="26">
        <v>6</v>
      </c>
      <c r="B88" s="19" t="s">
        <v>298</v>
      </c>
      <c r="C88" s="19" t="s">
        <v>527</v>
      </c>
      <c r="D88" s="56">
        <v>0</v>
      </c>
      <c r="E88" s="56">
        <v>4668.6899999999996</v>
      </c>
      <c r="F88" s="19">
        <v>1989.59</v>
      </c>
      <c r="G88" s="56">
        <v>2269.87</v>
      </c>
      <c r="H88" s="57">
        <v>0.48618991622917779</v>
      </c>
      <c r="I88" s="19">
        <v>13.93</v>
      </c>
      <c r="J88" s="19">
        <v>395.3</v>
      </c>
      <c r="K88" s="57">
        <v>8.467043217690616E-2</v>
      </c>
      <c r="L88" s="57">
        <v>0.19868415100598616</v>
      </c>
      <c r="M88" s="26" t="s">
        <v>540</v>
      </c>
      <c r="N88" s="26">
        <v>9</v>
      </c>
      <c r="O88" s="26" t="s">
        <v>507</v>
      </c>
    </row>
    <row r="89" spans="1:15" hidden="1" x14ac:dyDescent="0.25">
      <c r="A89" s="26">
        <v>7</v>
      </c>
      <c r="B89" s="19" t="s">
        <v>299</v>
      </c>
      <c r="C89" s="19" t="s">
        <v>530</v>
      </c>
      <c r="D89" s="56">
        <v>0</v>
      </c>
      <c r="E89" s="56">
        <v>2059.5100000000002</v>
      </c>
      <c r="F89" s="19">
        <v>712.82</v>
      </c>
      <c r="G89" s="56">
        <v>1325.8</v>
      </c>
      <c r="H89" s="57">
        <v>0.64374535690528323</v>
      </c>
      <c r="I89" s="19">
        <v>4.99</v>
      </c>
      <c r="J89" s="19">
        <v>15.9</v>
      </c>
      <c r="K89" s="57">
        <v>7.7202829799321191E-3</v>
      </c>
      <c r="L89" s="57">
        <v>2.2305771443001037E-2</v>
      </c>
      <c r="M89" s="26" t="s">
        <v>540</v>
      </c>
      <c r="N89" s="26">
        <v>9</v>
      </c>
      <c r="O89" s="26" t="s">
        <v>507</v>
      </c>
    </row>
    <row r="90" spans="1:15" hidden="1" x14ac:dyDescent="0.25">
      <c r="A90" s="26">
        <v>8</v>
      </c>
      <c r="B90" s="19" t="s">
        <v>299</v>
      </c>
      <c r="C90" s="19" t="s">
        <v>531</v>
      </c>
      <c r="D90" s="56">
        <v>10709.36</v>
      </c>
      <c r="E90" s="56">
        <v>0</v>
      </c>
      <c r="F90" s="19">
        <v>2138.4499999999998</v>
      </c>
      <c r="G90" s="56">
        <v>8509.4</v>
      </c>
      <c r="H90" s="57">
        <v>0.79457595972121575</v>
      </c>
      <c r="I90" s="19">
        <v>14.97</v>
      </c>
      <c r="J90" s="19">
        <v>46.54</v>
      </c>
      <c r="K90" s="57">
        <v>4.3457312108286577E-3</v>
      </c>
      <c r="L90" s="57">
        <v>2.1763426781079755E-2</v>
      </c>
      <c r="M90" s="26" t="s">
        <v>540</v>
      </c>
      <c r="N90" s="26">
        <v>9</v>
      </c>
      <c r="O90" s="26" t="s">
        <v>507</v>
      </c>
    </row>
    <row r="91" spans="1:15" hidden="1" x14ac:dyDescent="0.25">
      <c r="A91" s="26">
        <v>9</v>
      </c>
      <c r="B91" s="19" t="s">
        <v>300</v>
      </c>
      <c r="C91" s="19" t="s">
        <v>534</v>
      </c>
      <c r="D91" s="56">
        <v>0</v>
      </c>
      <c r="E91" s="56">
        <v>8117.59</v>
      </c>
      <c r="F91" s="19">
        <v>7854.02</v>
      </c>
      <c r="G91" s="56">
        <v>0</v>
      </c>
      <c r="H91" s="57">
        <v>0</v>
      </c>
      <c r="I91" s="19">
        <v>54.98</v>
      </c>
      <c r="J91" s="19">
        <v>208.59</v>
      </c>
      <c r="K91" s="57">
        <v>2.5696050182381715E-2</v>
      </c>
      <c r="L91" s="57">
        <v>2.6558373928255847E-2</v>
      </c>
      <c r="M91" s="26" t="s">
        <v>540</v>
      </c>
      <c r="N91" s="26">
        <v>9</v>
      </c>
      <c r="O91" s="26" t="s">
        <v>507</v>
      </c>
    </row>
    <row r="92" spans="1:15" hidden="1" x14ac:dyDescent="0.25">
      <c r="A92" s="26">
        <v>10</v>
      </c>
      <c r="B92" s="19" t="s">
        <v>301</v>
      </c>
      <c r="C92" s="19" t="s">
        <v>538</v>
      </c>
      <c r="D92" s="56">
        <v>16436.330000000002</v>
      </c>
      <c r="E92" s="56">
        <v>0</v>
      </c>
      <c r="F92" s="19">
        <v>13503.16</v>
      </c>
      <c r="G92" s="56">
        <v>2752.41</v>
      </c>
      <c r="H92" s="57">
        <v>0.16745891570685181</v>
      </c>
      <c r="I92" s="19">
        <v>94.52</v>
      </c>
      <c r="J92" s="19">
        <v>86.24</v>
      </c>
      <c r="K92" s="57">
        <v>5.2469133924665659E-3</v>
      </c>
      <c r="L92" s="57">
        <v>6.3866531982143433E-3</v>
      </c>
      <c r="M92" s="26" t="s">
        <v>540</v>
      </c>
      <c r="N92" s="26">
        <v>9</v>
      </c>
      <c r="O92" s="26" t="s">
        <v>507</v>
      </c>
    </row>
    <row r="93" spans="1:15" hidden="1" x14ac:dyDescent="0.25">
      <c r="A93" s="26">
        <v>11</v>
      </c>
      <c r="B93" s="19" t="s">
        <v>301</v>
      </c>
      <c r="C93" s="19" t="s">
        <v>539</v>
      </c>
      <c r="D93" s="56">
        <v>16436.330000000002</v>
      </c>
      <c r="E93" s="56">
        <v>0</v>
      </c>
      <c r="F93" s="19">
        <v>13503.16</v>
      </c>
      <c r="G93" s="56">
        <v>2752.41</v>
      </c>
      <c r="H93" s="57">
        <v>0.16745891570685181</v>
      </c>
      <c r="I93" s="19">
        <v>94.52</v>
      </c>
      <c r="J93" s="19">
        <v>86.24</v>
      </c>
      <c r="K93" s="57">
        <v>5.2469133924665659E-3</v>
      </c>
      <c r="L93" s="57">
        <v>6.3866531982143433E-3</v>
      </c>
      <c r="M93" s="26" t="s">
        <v>540</v>
      </c>
      <c r="N93" s="26">
        <v>9</v>
      </c>
      <c r="O93" s="26" t="s">
        <v>507</v>
      </c>
    </row>
    <row r="94" spans="1:15" hidden="1" x14ac:dyDescent="0.25">
      <c r="C94" s="19" t="s">
        <v>169</v>
      </c>
      <c r="D94" s="19">
        <v>64767.61</v>
      </c>
      <c r="E94" s="19">
        <v>25727.88</v>
      </c>
      <c r="F94" s="19">
        <v>60116.800000000003</v>
      </c>
      <c r="G94" s="19">
        <v>28664.6</v>
      </c>
      <c r="H94" s="57">
        <v>0.31675169668676301</v>
      </c>
      <c r="I94" s="19">
        <v>420.80999999999995</v>
      </c>
      <c r="J94" s="19">
        <v>1293.28</v>
      </c>
      <c r="K94" s="57">
        <v>1.429109892658739E-2</v>
      </c>
      <c r="L94" s="57">
        <v>2.1512788438506372E-2</v>
      </c>
      <c r="M94" s="26" t="s">
        <v>540</v>
      </c>
      <c r="N94" s="26">
        <v>9</v>
      </c>
      <c r="O94" s="26" t="s">
        <v>507</v>
      </c>
    </row>
    <row r="95" spans="1:15" hidden="1" x14ac:dyDescent="0.25">
      <c r="A95" s="26">
        <v>1</v>
      </c>
      <c r="B95" s="19" t="s">
        <v>295</v>
      </c>
      <c r="C95" s="19" t="s">
        <v>548</v>
      </c>
      <c r="D95" s="56">
        <v>0</v>
      </c>
      <c r="E95" s="56">
        <v>925.04</v>
      </c>
      <c r="F95" s="19">
        <v>309.06</v>
      </c>
      <c r="G95" s="56">
        <v>525.04999999999995</v>
      </c>
      <c r="H95" s="57">
        <v>0.56759707688316174</v>
      </c>
      <c r="I95" s="19">
        <v>2.16</v>
      </c>
      <c r="J95" s="19">
        <v>88.77</v>
      </c>
      <c r="K95" s="57">
        <v>9.5963417798149264E-2</v>
      </c>
      <c r="L95" s="57">
        <v>0.28722578140166954</v>
      </c>
      <c r="M95" s="26" t="s">
        <v>575</v>
      </c>
      <c r="N95" s="26">
        <v>10</v>
      </c>
      <c r="O95" s="26" t="s">
        <v>551</v>
      </c>
    </row>
    <row r="96" spans="1:15" hidden="1" x14ac:dyDescent="0.25">
      <c r="A96" s="26">
        <v>2</v>
      </c>
      <c r="B96" s="19" t="s">
        <v>325</v>
      </c>
      <c r="C96" s="19" t="s">
        <v>569</v>
      </c>
      <c r="D96" s="56">
        <v>5652</v>
      </c>
      <c r="E96" s="56">
        <v>0</v>
      </c>
      <c r="F96" s="19">
        <v>1102.81</v>
      </c>
      <c r="G96" s="56">
        <v>4228.6400000000003</v>
      </c>
      <c r="H96" s="57">
        <v>0.74816702052370843</v>
      </c>
      <c r="I96" s="19">
        <v>7.72</v>
      </c>
      <c r="J96" s="19">
        <v>312.83</v>
      </c>
      <c r="K96" s="57">
        <v>5.5348549186128804E-2</v>
      </c>
      <c r="L96" s="57">
        <v>0.28366627070846295</v>
      </c>
      <c r="M96" s="26" t="s">
        <v>575</v>
      </c>
      <c r="N96" s="26">
        <v>10</v>
      </c>
      <c r="O96" s="26" t="s">
        <v>551</v>
      </c>
    </row>
    <row r="97" spans="1:15" hidden="1" x14ac:dyDescent="0.25">
      <c r="C97" s="19" t="s">
        <v>169</v>
      </c>
      <c r="D97" s="19">
        <v>5652</v>
      </c>
      <c r="E97" s="19">
        <v>925.04</v>
      </c>
      <c r="F97" s="19">
        <v>1411.87</v>
      </c>
      <c r="G97" s="19">
        <v>4753.6900000000005</v>
      </c>
      <c r="H97" s="57">
        <v>0.7227704256017905</v>
      </c>
      <c r="I97" s="19">
        <v>9.879999999999999</v>
      </c>
      <c r="J97" s="19">
        <v>401.59999999999997</v>
      </c>
      <c r="K97" s="57">
        <v>6.1060902776933081E-2</v>
      </c>
      <c r="L97" s="57">
        <v>0.28444545177672165</v>
      </c>
      <c r="M97" s="26" t="s">
        <v>575</v>
      </c>
      <c r="N97" s="26">
        <v>10</v>
      </c>
      <c r="O97" s="26" t="s">
        <v>551</v>
      </c>
    </row>
    <row r="98" spans="1:15" hidden="1" x14ac:dyDescent="0.25">
      <c r="A98" s="26">
        <v>1</v>
      </c>
      <c r="B98" s="19" t="s">
        <v>167</v>
      </c>
      <c r="C98" s="19" t="s">
        <v>579</v>
      </c>
      <c r="D98" s="56">
        <v>0</v>
      </c>
      <c r="E98" s="56">
        <v>1431.24</v>
      </c>
      <c r="F98" s="19">
        <v>167.81</v>
      </c>
      <c r="G98" s="56">
        <v>1245.44</v>
      </c>
      <c r="H98" s="57">
        <v>0.87018249909169676</v>
      </c>
      <c r="I98" s="19">
        <v>1.17</v>
      </c>
      <c r="J98" s="19">
        <v>16.82</v>
      </c>
      <c r="K98" s="57">
        <v>1.1752047175875465E-2</v>
      </c>
      <c r="L98" s="57">
        <v>0.10023240569691913</v>
      </c>
      <c r="M98" s="26" t="s">
        <v>617</v>
      </c>
      <c r="N98" s="26">
        <v>11</v>
      </c>
      <c r="O98" s="26" t="s">
        <v>580</v>
      </c>
    </row>
    <row r="99" spans="1:15" hidden="1" x14ac:dyDescent="0.25">
      <c r="A99" s="26">
        <v>2</v>
      </c>
      <c r="B99" s="19" t="s">
        <v>167</v>
      </c>
      <c r="C99" s="19" t="s">
        <v>582</v>
      </c>
      <c r="D99" s="56">
        <v>0</v>
      </c>
      <c r="E99" s="56">
        <v>1603.35</v>
      </c>
      <c r="F99" s="19">
        <v>315.48</v>
      </c>
      <c r="G99" s="56">
        <v>1229.94</v>
      </c>
      <c r="H99" s="57">
        <v>0.76710637103564416</v>
      </c>
      <c r="I99" s="19">
        <v>2.21</v>
      </c>
      <c r="J99" s="19">
        <v>55.72</v>
      </c>
      <c r="K99" s="57">
        <v>3.4752237502728663E-2</v>
      </c>
      <c r="L99" s="57">
        <v>0.17661975402561175</v>
      </c>
      <c r="M99" s="26" t="s">
        <v>617</v>
      </c>
      <c r="N99" s="26">
        <v>11</v>
      </c>
      <c r="O99" s="26" t="s">
        <v>580</v>
      </c>
    </row>
    <row r="100" spans="1:15" hidden="1" x14ac:dyDescent="0.25">
      <c r="A100" s="26">
        <v>3</v>
      </c>
      <c r="B100" s="19" t="s">
        <v>167</v>
      </c>
      <c r="C100" s="19" t="s">
        <v>584</v>
      </c>
      <c r="D100" s="56">
        <v>0</v>
      </c>
      <c r="E100" s="56">
        <v>1651.22</v>
      </c>
      <c r="F100" s="19">
        <v>250.08</v>
      </c>
      <c r="G100" s="56">
        <v>1326.06</v>
      </c>
      <c r="H100" s="57">
        <v>0.80307893557490817</v>
      </c>
      <c r="I100" s="19">
        <v>1.75</v>
      </c>
      <c r="J100" s="19">
        <v>73.33</v>
      </c>
      <c r="K100" s="57">
        <v>4.4409588062160096E-2</v>
      </c>
      <c r="L100" s="57">
        <v>0.29322616762635956</v>
      </c>
      <c r="M100" s="26" t="s">
        <v>617</v>
      </c>
      <c r="N100" s="26">
        <v>11</v>
      </c>
      <c r="O100" s="26" t="s">
        <v>580</v>
      </c>
    </row>
    <row r="101" spans="1:15" hidden="1" x14ac:dyDescent="0.25">
      <c r="A101" s="26">
        <v>4</v>
      </c>
      <c r="B101" s="19" t="s">
        <v>295</v>
      </c>
      <c r="C101" s="19" t="s">
        <v>588</v>
      </c>
      <c r="D101" s="56">
        <v>0</v>
      </c>
      <c r="E101" s="56">
        <v>1557</v>
      </c>
      <c r="F101" s="19">
        <v>1446.16</v>
      </c>
      <c r="G101" s="56">
        <v>72.12</v>
      </c>
      <c r="H101" s="57">
        <v>4.6319845857418114E-2</v>
      </c>
      <c r="I101" s="19">
        <v>10.119999999999999</v>
      </c>
      <c r="J101" s="19">
        <v>28.6</v>
      </c>
      <c r="K101" s="57">
        <v>1.8368657675016057E-2</v>
      </c>
      <c r="L101" s="57">
        <v>1.9776511589312387E-2</v>
      </c>
      <c r="M101" s="26" t="s">
        <v>617</v>
      </c>
      <c r="N101" s="26">
        <v>11</v>
      </c>
      <c r="O101" s="26" t="s">
        <v>580</v>
      </c>
    </row>
    <row r="102" spans="1:15" hidden="1" x14ac:dyDescent="0.25">
      <c r="A102" s="26">
        <v>5</v>
      </c>
      <c r="B102" s="19" t="s">
        <v>295</v>
      </c>
      <c r="C102" s="19" t="s">
        <v>593</v>
      </c>
      <c r="D102" s="56">
        <v>4423.87</v>
      </c>
      <c r="E102" s="56">
        <v>0</v>
      </c>
      <c r="F102" s="19">
        <v>104.28</v>
      </c>
      <c r="G102" s="56">
        <v>4316.8100000000004</v>
      </c>
      <c r="H102" s="57">
        <v>0.97579946969508613</v>
      </c>
      <c r="I102" s="19">
        <v>0.73</v>
      </c>
      <c r="J102" s="19">
        <v>2.0499999999999998</v>
      </c>
      <c r="K102" s="57">
        <v>4.6339517210044595E-4</v>
      </c>
      <c r="L102" s="57">
        <v>1.9658611430763327E-2</v>
      </c>
      <c r="M102" s="26" t="s">
        <v>617</v>
      </c>
      <c r="N102" s="26">
        <v>11</v>
      </c>
      <c r="O102" s="26" t="s">
        <v>580</v>
      </c>
    </row>
    <row r="103" spans="1:15" hidden="1" x14ac:dyDescent="0.25">
      <c r="A103" s="26">
        <v>6</v>
      </c>
      <c r="B103" s="19" t="s">
        <v>296</v>
      </c>
      <c r="C103" s="19" t="s">
        <v>595</v>
      </c>
      <c r="D103" s="56">
        <v>0</v>
      </c>
      <c r="E103" s="56">
        <v>7638.9</v>
      </c>
      <c r="F103" s="19">
        <v>18.66</v>
      </c>
      <c r="G103" s="56">
        <v>7611.41</v>
      </c>
      <c r="H103" s="57">
        <v>0.99640131432536105</v>
      </c>
      <c r="I103" s="19">
        <v>0.13</v>
      </c>
      <c r="J103" s="19">
        <v>8.6999999999999993</v>
      </c>
      <c r="K103" s="57">
        <v>1.1389074343164591E-3</v>
      </c>
      <c r="L103" s="57">
        <v>0.46623794212218644</v>
      </c>
      <c r="M103" s="26" t="s">
        <v>617</v>
      </c>
      <c r="N103" s="26">
        <v>11</v>
      </c>
      <c r="O103" s="26" t="s">
        <v>580</v>
      </c>
    </row>
    <row r="104" spans="1:15" hidden="1" x14ac:dyDescent="0.25">
      <c r="A104" s="26">
        <v>7</v>
      </c>
      <c r="B104" s="19" t="s">
        <v>297</v>
      </c>
      <c r="C104" s="19" t="s">
        <v>599</v>
      </c>
      <c r="D104" s="56">
        <v>9597.1</v>
      </c>
      <c r="E104" s="56">
        <v>0</v>
      </c>
      <c r="F104" s="19">
        <v>9173.23</v>
      </c>
      <c r="G104" s="56">
        <v>215.5</v>
      </c>
      <c r="H104" s="57">
        <v>2.2454699857248545E-2</v>
      </c>
      <c r="I104" s="19">
        <v>64.209999999999994</v>
      </c>
      <c r="J104" s="19">
        <v>144.16</v>
      </c>
      <c r="K104" s="57">
        <v>1.5021204322138978E-2</v>
      </c>
      <c r="L104" s="57">
        <v>1.5715293304539406E-2</v>
      </c>
      <c r="M104" s="26" t="s">
        <v>617</v>
      </c>
      <c r="N104" s="26">
        <v>11</v>
      </c>
      <c r="O104" s="26" t="s">
        <v>580</v>
      </c>
    </row>
    <row r="105" spans="1:15" hidden="1" x14ac:dyDescent="0.25">
      <c r="A105" s="26">
        <v>8</v>
      </c>
      <c r="B105" s="19" t="s">
        <v>297</v>
      </c>
      <c r="C105" s="19" t="s">
        <v>601</v>
      </c>
      <c r="D105" s="56">
        <v>9291.89</v>
      </c>
      <c r="E105" s="56">
        <v>0</v>
      </c>
      <c r="F105" s="19">
        <v>8877.4</v>
      </c>
      <c r="G105" s="56">
        <v>212.07</v>
      </c>
      <c r="H105" s="57">
        <v>2.2823128556192552E-2</v>
      </c>
      <c r="I105" s="19">
        <v>62.14</v>
      </c>
      <c r="J105" s="19">
        <v>140.28</v>
      </c>
      <c r="K105" s="57">
        <v>1.5097036232671718E-2</v>
      </c>
      <c r="L105" s="57">
        <v>1.580192398675288E-2</v>
      </c>
      <c r="M105" s="26" t="s">
        <v>617</v>
      </c>
      <c r="N105" s="26">
        <v>11</v>
      </c>
      <c r="O105" s="26" t="s">
        <v>580</v>
      </c>
    </row>
    <row r="106" spans="1:15" hidden="1" x14ac:dyDescent="0.25">
      <c r="A106" s="26">
        <v>9</v>
      </c>
      <c r="B106" s="19" t="s">
        <v>298</v>
      </c>
      <c r="C106" s="19" t="s">
        <v>604</v>
      </c>
      <c r="D106" s="56">
        <v>0</v>
      </c>
      <c r="E106" s="56">
        <v>2269.87</v>
      </c>
      <c r="F106" s="19">
        <v>994.79</v>
      </c>
      <c r="G106" s="56">
        <v>1251.25</v>
      </c>
      <c r="H106" s="57">
        <v>0.55124302272817394</v>
      </c>
      <c r="I106" s="19">
        <v>6.96</v>
      </c>
      <c r="J106" s="19">
        <v>16.87</v>
      </c>
      <c r="K106" s="57">
        <v>7.4321436910483865E-3</v>
      </c>
      <c r="L106" s="57">
        <v>1.6958353019230189E-2</v>
      </c>
      <c r="M106" s="26" t="s">
        <v>617</v>
      </c>
      <c r="N106" s="26">
        <v>11</v>
      </c>
      <c r="O106" s="26" t="s">
        <v>580</v>
      </c>
    </row>
    <row r="107" spans="1:15" hidden="1" x14ac:dyDescent="0.25">
      <c r="A107" s="26">
        <v>10</v>
      </c>
      <c r="B107" s="19" t="s">
        <v>299</v>
      </c>
      <c r="C107" s="19" t="s">
        <v>606</v>
      </c>
      <c r="D107" s="56">
        <v>0</v>
      </c>
      <c r="E107" s="56">
        <v>8509.4</v>
      </c>
      <c r="F107" s="19">
        <v>2851.27</v>
      </c>
      <c r="G107" s="56">
        <v>5202.7299999999996</v>
      </c>
      <c r="H107" s="57">
        <v>0.61140973511645946</v>
      </c>
      <c r="I107" s="19">
        <v>19.96</v>
      </c>
      <c r="J107" s="19">
        <v>435.44</v>
      </c>
      <c r="K107" s="57">
        <v>5.1171645474416529E-2</v>
      </c>
      <c r="L107" s="57">
        <v>0.1527179116674324</v>
      </c>
      <c r="M107" s="26" t="s">
        <v>617</v>
      </c>
      <c r="N107" s="26">
        <v>11</v>
      </c>
      <c r="O107" s="26" t="s">
        <v>580</v>
      </c>
    </row>
    <row r="108" spans="1:15" hidden="1" x14ac:dyDescent="0.25">
      <c r="A108" s="26">
        <v>11</v>
      </c>
      <c r="B108" s="19" t="s">
        <v>300</v>
      </c>
      <c r="C108" s="19" t="s">
        <v>608</v>
      </c>
      <c r="D108" s="56">
        <v>10465.620000000001</v>
      </c>
      <c r="E108" s="56">
        <v>0</v>
      </c>
      <c r="F108" s="19">
        <v>10151.61</v>
      </c>
      <c r="G108" s="56">
        <v>0</v>
      </c>
      <c r="H108" s="57">
        <v>0</v>
      </c>
      <c r="I108" s="19">
        <v>71.06</v>
      </c>
      <c r="J108" s="19">
        <v>242.95</v>
      </c>
      <c r="K108" s="57">
        <v>2.321410484997544E-2</v>
      </c>
      <c r="L108" s="57">
        <v>2.3932164454702257E-2</v>
      </c>
      <c r="M108" s="26" t="s">
        <v>617</v>
      </c>
      <c r="N108" s="26">
        <v>11</v>
      </c>
      <c r="O108" s="26" t="s">
        <v>580</v>
      </c>
    </row>
    <row r="109" spans="1:15" hidden="1" x14ac:dyDescent="0.25">
      <c r="A109" s="26">
        <v>12</v>
      </c>
      <c r="B109" s="19" t="s">
        <v>301</v>
      </c>
      <c r="C109" s="19" t="s">
        <v>614</v>
      </c>
      <c r="D109" s="56">
        <v>16436.330000000002</v>
      </c>
      <c r="E109" s="56">
        <v>0</v>
      </c>
      <c r="F109" s="19">
        <v>13503.16</v>
      </c>
      <c r="G109" s="56">
        <v>2752.41</v>
      </c>
      <c r="H109" s="57">
        <v>0.16745891570685181</v>
      </c>
      <c r="I109" s="19">
        <v>94.52</v>
      </c>
      <c r="J109" s="19">
        <v>86.24</v>
      </c>
      <c r="K109" s="57">
        <v>5.2469133924665659E-3</v>
      </c>
      <c r="L109" s="57">
        <v>6.3866531982143433E-3</v>
      </c>
      <c r="M109" s="26" t="s">
        <v>617</v>
      </c>
      <c r="N109" s="26">
        <v>11</v>
      </c>
      <c r="O109" s="26" t="s">
        <v>580</v>
      </c>
    </row>
    <row r="110" spans="1:15" hidden="1" x14ac:dyDescent="0.25">
      <c r="A110" s="26">
        <v>13</v>
      </c>
      <c r="B110" s="19" t="s">
        <v>301</v>
      </c>
      <c r="C110" s="19" t="s">
        <v>615</v>
      </c>
      <c r="D110" s="56">
        <v>16436.330000000002</v>
      </c>
      <c r="E110" s="56">
        <v>0</v>
      </c>
      <c r="F110" s="19">
        <v>13503.16</v>
      </c>
      <c r="G110" s="56">
        <v>2752.41</v>
      </c>
      <c r="H110" s="57">
        <v>0.16745891570685181</v>
      </c>
      <c r="I110" s="19">
        <v>94.52</v>
      </c>
      <c r="J110" s="19">
        <v>86.24</v>
      </c>
      <c r="K110" s="57">
        <v>5.2469133924665659E-3</v>
      </c>
      <c r="L110" s="57">
        <v>6.3866531982143433E-3</v>
      </c>
      <c r="M110" s="26" t="s">
        <v>617</v>
      </c>
      <c r="N110" s="26">
        <v>11</v>
      </c>
      <c r="O110" s="26" t="s">
        <v>580</v>
      </c>
    </row>
    <row r="111" spans="1:15" hidden="1" x14ac:dyDescent="0.25">
      <c r="C111" s="19" t="s">
        <v>169</v>
      </c>
      <c r="D111" s="19">
        <v>66651.140000000014</v>
      </c>
      <c r="E111" s="19">
        <v>24660.979999999996</v>
      </c>
      <c r="F111" s="19">
        <v>61357.090000000011</v>
      </c>
      <c r="G111" s="19">
        <v>28188.149999999998</v>
      </c>
      <c r="H111" s="57">
        <v>0.30870107933098034</v>
      </c>
      <c r="I111" s="19">
        <v>429.47999999999996</v>
      </c>
      <c r="J111" s="19">
        <v>1337.4</v>
      </c>
      <c r="K111" s="57">
        <v>1.4646467522602694E-2</v>
      </c>
      <c r="L111" s="57">
        <v>2.1796992002065283E-2</v>
      </c>
      <c r="M111" s="26" t="s">
        <v>617</v>
      </c>
      <c r="N111" s="26">
        <v>11</v>
      </c>
      <c r="O111" s="26" t="s">
        <v>580</v>
      </c>
    </row>
    <row r="112" spans="1:15" hidden="1" x14ac:dyDescent="0.25">
      <c r="A112" s="26">
        <v>1</v>
      </c>
      <c r="B112" s="19" t="s">
        <v>167</v>
      </c>
      <c r="C112" s="19" t="s">
        <v>623</v>
      </c>
      <c r="D112" s="56">
        <v>2296.6</v>
      </c>
      <c r="E112" s="56">
        <v>0</v>
      </c>
      <c r="F112" s="19">
        <v>911.72</v>
      </c>
      <c r="G112" s="56">
        <v>1239.8399999999999</v>
      </c>
      <c r="H112" s="57">
        <v>0.53985892188452489</v>
      </c>
      <c r="I112" s="19">
        <v>6.38</v>
      </c>
      <c r="J112" s="19">
        <v>138.66</v>
      </c>
      <c r="K112" s="57">
        <v>6.0376208307933471E-2</v>
      </c>
      <c r="L112" s="57">
        <v>0.15208616680559819</v>
      </c>
      <c r="M112" s="26" t="s">
        <v>676</v>
      </c>
      <c r="N112" s="26">
        <v>12</v>
      </c>
      <c r="O112" s="26" t="s">
        <v>625</v>
      </c>
    </row>
    <row r="113" spans="1:17" hidden="1" x14ac:dyDescent="0.25">
      <c r="A113" s="26">
        <v>2</v>
      </c>
      <c r="B113" s="19" t="s">
        <v>167</v>
      </c>
      <c r="C113" s="19" t="s">
        <v>630</v>
      </c>
      <c r="D113" s="56">
        <v>2296.6</v>
      </c>
      <c r="E113" s="56">
        <v>0</v>
      </c>
      <c r="F113" s="19">
        <v>557.12</v>
      </c>
      <c r="G113" s="56">
        <v>1681.69</v>
      </c>
      <c r="H113" s="57">
        <v>0.73225202473221285</v>
      </c>
      <c r="I113" s="19">
        <v>3.9</v>
      </c>
      <c r="J113" s="19">
        <v>53.89</v>
      </c>
      <c r="K113" s="57">
        <v>2.3465122354785335E-2</v>
      </c>
      <c r="L113" s="57">
        <v>9.672960941987363E-2</v>
      </c>
      <c r="M113" s="26" t="s">
        <v>676</v>
      </c>
      <c r="N113" s="26">
        <v>12</v>
      </c>
      <c r="O113" s="26" t="s">
        <v>625</v>
      </c>
    </row>
    <row r="114" spans="1:17" hidden="1" x14ac:dyDescent="0.25">
      <c r="A114" s="26">
        <v>3</v>
      </c>
      <c r="B114" s="19" t="s">
        <v>295</v>
      </c>
      <c r="C114" s="19" t="s">
        <v>632</v>
      </c>
      <c r="D114" s="56">
        <v>0</v>
      </c>
      <c r="E114" s="56">
        <v>4316.8100000000004</v>
      </c>
      <c r="F114" s="19">
        <v>3000.82</v>
      </c>
      <c r="G114" s="56">
        <v>1247.52</v>
      </c>
      <c r="H114" s="57">
        <v>0.28899117635476196</v>
      </c>
      <c r="I114" s="19">
        <v>21.01</v>
      </c>
      <c r="J114" s="19">
        <v>47.46</v>
      </c>
      <c r="K114" s="57">
        <v>1.0994229535235508E-2</v>
      </c>
      <c r="L114" s="57">
        <v>1.5815677048273472E-2</v>
      </c>
      <c r="M114" s="26" t="s">
        <v>676</v>
      </c>
      <c r="N114" s="26">
        <v>12</v>
      </c>
      <c r="O114" s="26" t="s">
        <v>625</v>
      </c>
    </row>
    <row r="115" spans="1:17" hidden="1" x14ac:dyDescent="0.25">
      <c r="A115" s="26">
        <v>4</v>
      </c>
      <c r="B115" s="19" t="s">
        <v>296</v>
      </c>
      <c r="C115" s="19" t="s">
        <v>639</v>
      </c>
      <c r="D115" s="56">
        <v>0</v>
      </c>
      <c r="E115" s="56">
        <v>7611.41</v>
      </c>
      <c r="F115" s="19">
        <v>195.01</v>
      </c>
      <c r="G115" s="56">
        <v>7386.12</v>
      </c>
      <c r="H115" s="57">
        <v>0.97040101636884624</v>
      </c>
      <c r="I115" s="19">
        <v>1.37</v>
      </c>
      <c r="J115" s="19">
        <v>28.91</v>
      </c>
      <c r="K115" s="57">
        <v>3.7982450032254208E-3</v>
      </c>
      <c r="L115" s="57">
        <v>0.14824880775344854</v>
      </c>
      <c r="M115" s="26" t="s">
        <v>676</v>
      </c>
      <c r="N115" s="26">
        <v>12</v>
      </c>
      <c r="O115" s="26" t="s">
        <v>625</v>
      </c>
    </row>
    <row r="116" spans="1:17" hidden="1" x14ac:dyDescent="0.25">
      <c r="A116" s="26">
        <v>5</v>
      </c>
      <c r="B116" s="19" t="s">
        <v>297</v>
      </c>
      <c r="C116" s="19" t="s">
        <v>647</v>
      </c>
      <c r="D116" s="56">
        <v>9597.1</v>
      </c>
      <c r="E116" s="56">
        <v>0</v>
      </c>
      <c r="F116" s="19">
        <v>9173.23</v>
      </c>
      <c r="G116" s="56">
        <v>215.5</v>
      </c>
      <c r="H116" s="57">
        <v>2.2454699857248545E-2</v>
      </c>
      <c r="I116" s="19">
        <v>64.209999999999994</v>
      </c>
      <c r="J116" s="19">
        <v>144.16</v>
      </c>
      <c r="K116" s="57">
        <v>1.5021204322138978E-2</v>
      </c>
      <c r="L116" s="57">
        <v>1.5715293304539406E-2</v>
      </c>
      <c r="M116" s="26" t="s">
        <v>676</v>
      </c>
      <c r="N116" s="26">
        <v>12</v>
      </c>
      <c r="O116" s="26" t="s">
        <v>625</v>
      </c>
    </row>
    <row r="117" spans="1:17" hidden="1" x14ac:dyDescent="0.25">
      <c r="A117" s="26">
        <v>6</v>
      </c>
      <c r="B117" s="19" t="s">
        <v>297</v>
      </c>
      <c r="C117" s="19" t="s">
        <v>649</v>
      </c>
      <c r="D117" s="56">
        <v>9597.1</v>
      </c>
      <c r="E117" s="56">
        <v>0</v>
      </c>
      <c r="F117" s="19">
        <v>9173.23</v>
      </c>
      <c r="G117" s="56">
        <v>215.5</v>
      </c>
      <c r="H117" s="57">
        <v>2.2454699857248545E-2</v>
      </c>
      <c r="I117" s="19">
        <v>64.209999999999994</v>
      </c>
      <c r="J117" s="19">
        <v>144.16</v>
      </c>
      <c r="K117" s="57">
        <v>1.5021204322138978E-2</v>
      </c>
      <c r="L117" s="57">
        <v>1.5715293304539406E-2</v>
      </c>
      <c r="M117" s="26" t="s">
        <v>676</v>
      </c>
      <c r="N117" s="26">
        <v>12</v>
      </c>
      <c r="O117" s="26" t="s">
        <v>625</v>
      </c>
    </row>
    <row r="118" spans="1:17" hidden="1" x14ac:dyDescent="0.25">
      <c r="A118" s="26">
        <v>7</v>
      </c>
      <c r="B118" s="19" t="s">
        <v>297</v>
      </c>
      <c r="C118" s="19" t="s">
        <v>651</v>
      </c>
      <c r="D118" s="56">
        <v>9291.89</v>
      </c>
      <c r="E118" s="56">
        <v>0</v>
      </c>
      <c r="F118" s="19">
        <v>8877.4</v>
      </c>
      <c r="G118" s="56">
        <v>212.07</v>
      </c>
      <c r="H118" s="57">
        <v>2.2823128556192552E-2</v>
      </c>
      <c r="I118" s="19">
        <v>62.14</v>
      </c>
      <c r="J118" s="19">
        <v>140.28</v>
      </c>
      <c r="K118" s="57">
        <v>1.5097036232671718E-2</v>
      </c>
      <c r="L118" s="57">
        <v>1.580192398675288E-2</v>
      </c>
      <c r="M118" s="26" t="s">
        <v>676</v>
      </c>
      <c r="N118" s="26">
        <v>12</v>
      </c>
      <c r="O118" s="26" t="s">
        <v>625</v>
      </c>
    </row>
    <row r="119" spans="1:17" hidden="1" x14ac:dyDescent="0.25">
      <c r="A119" s="26">
        <v>8</v>
      </c>
      <c r="B119" s="19" t="s">
        <v>297</v>
      </c>
      <c r="C119" s="19" t="s">
        <v>653</v>
      </c>
      <c r="D119" s="56">
        <v>9291.89</v>
      </c>
      <c r="E119" s="56">
        <v>0</v>
      </c>
      <c r="F119" s="19">
        <v>8877.4</v>
      </c>
      <c r="G119" s="56">
        <v>212.07</v>
      </c>
      <c r="H119" s="57">
        <v>2.2823128556192552E-2</v>
      </c>
      <c r="I119" s="19">
        <v>62.14</v>
      </c>
      <c r="J119" s="19">
        <v>140.28</v>
      </c>
      <c r="K119" s="57">
        <v>1.5097036232671718E-2</v>
      </c>
      <c r="L119" s="57">
        <v>1.580192398675288E-2</v>
      </c>
      <c r="M119" s="26" t="s">
        <v>676</v>
      </c>
      <c r="N119" s="26">
        <v>12</v>
      </c>
      <c r="O119" s="26" t="s">
        <v>625</v>
      </c>
    </row>
    <row r="120" spans="1:17" hidden="1" x14ac:dyDescent="0.25">
      <c r="A120" s="26">
        <v>9</v>
      </c>
      <c r="B120" s="19" t="s">
        <v>298</v>
      </c>
      <c r="C120" s="19" t="s">
        <v>655</v>
      </c>
      <c r="D120" s="56">
        <v>0</v>
      </c>
      <c r="E120" s="56">
        <v>1251.25</v>
      </c>
      <c r="F120" s="19">
        <v>497.4</v>
      </c>
      <c r="G120" s="56">
        <v>740.92</v>
      </c>
      <c r="H120" s="57">
        <v>0.59214385614385612</v>
      </c>
      <c r="I120" s="19">
        <v>3.48</v>
      </c>
      <c r="J120" s="19">
        <v>9.4499999999999993</v>
      </c>
      <c r="K120" s="57">
        <v>7.5524475524475516E-3</v>
      </c>
      <c r="L120" s="57">
        <v>1.8998793727382387E-2</v>
      </c>
      <c r="M120" s="26" t="s">
        <v>676</v>
      </c>
      <c r="N120" s="26">
        <v>12</v>
      </c>
      <c r="O120" s="26" t="s">
        <v>625</v>
      </c>
    </row>
    <row r="121" spans="1:17" hidden="1" x14ac:dyDescent="0.25">
      <c r="A121" s="26">
        <v>10</v>
      </c>
      <c r="B121" s="19" t="s">
        <v>298</v>
      </c>
      <c r="C121" s="19" t="s">
        <v>656</v>
      </c>
      <c r="D121" s="56">
        <v>5687.33</v>
      </c>
      <c r="E121" s="56">
        <v>0</v>
      </c>
      <c r="F121" s="19">
        <v>3481.78</v>
      </c>
      <c r="G121" s="56">
        <v>1776.09</v>
      </c>
      <c r="H121" s="57">
        <v>0.31228889478894312</v>
      </c>
      <c r="I121" s="19">
        <v>24.37</v>
      </c>
      <c r="J121" s="19">
        <v>405.09</v>
      </c>
      <c r="K121" s="57">
        <v>7.1226744359831409E-2</v>
      </c>
      <c r="L121" s="57">
        <v>0.11634566227619204</v>
      </c>
      <c r="M121" s="26" t="s">
        <v>676</v>
      </c>
      <c r="N121" s="26">
        <v>12</v>
      </c>
      <c r="O121" s="26" t="s">
        <v>625</v>
      </c>
    </row>
    <row r="122" spans="1:17" hidden="1" x14ac:dyDescent="0.25">
      <c r="A122" s="26">
        <v>11</v>
      </c>
      <c r="B122" s="19" t="s">
        <v>299</v>
      </c>
      <c r="C122" s="19" t="s">
        <v>659</v>
      </c>
      <c r="D122" s="56">
        <v>0</v>
      </c>
      <c r="E122" s="56">
        <v>5202.7299999999996</v>
      </c>
      <c r="F122" s="19">
        <v>3564.09</v>
      </c>
      <c r="G122" s="56">
        <v>1296.26</v>
      </c>
      <c r="H122" s="57">
        <v>0.24914996549888233</v>
      </c>
      <c r="I122" s="19">
        <v>24.95</v>
      </c>
      <c r="J122" s="19">
        <v>317.43</v>
      </c>
      <c r="K122" s="57">
        <v>6.1012199364564382E-2</v>
      </c>
      <c r="L122" s="57">
        <v>8.9063407489709853E-2</v>
      </c>
      <c r="M122" s="26" t="s">
        <v>676</v>
      </c>
      <c r="N122" s="26">
        <v>12</v>
      </c>
      <c r="O122" s="26" t="s">
        <v>625</v>
      </c>
    </row>
    <row r="123" spans="1:17" hidden="1" x14ac:dyDescent="0.25">
      <c r="A123" s="26">
        <v>12</v>
      </c>
      <c r="B123" s="86" t="s">
        <v>299</v>
      </c>
      <c r="C123" s="86" t="s">
        <v>661</v>
      </c>
      <c r="D123" s="87">
        <v>0</v>
      </c>
      <c r="E123" s="87">
        <v>8534.4</v>
      </c>
      <c r="F123" s="86">
        <v>2138.4499999999998</v>
      </c>
      <c r="G123" s="87">
        <v>6334.31</v>
      </c>
      <c r="H123" s="88">
        <v>0.7422091769778778</v>
      </c>
      <c r="I123" s="86">
        <v>14.97</v>
      </c>
      <c r="J123" s="86">
        <v>46.67</v>
      </c>
      <c r="K123" s="88">
        <v>5.4684570678665174E-3</v>
      </c>
      <c r="L123" s="88">
        <v>2.1824218475998972E-2</v>
      </c>
      <c r="M123" s="86" t="s">
        <v>676</v>
      </c>
      <c r="N123" s="86">
        <v>12</v>
      </c>
      <c r="O123" s="86" t="s">
        <v>625</v>
      </c>
      <c r="P123" s="86">
        <v>21.7</v>
      </c>
      <c r="Q123" s="86" t="s">
        <v>434</v>
      </c>
    </row>
    <row r="124" spans="1:17" hidden="1" x14ac:dyDescent="0.25">
      <c r="A124" s="26">
        <v>13</v>
      </c>
      <c r="B124" s="19" t="s">
        <v>300</v>
      </c>
      <c r="C124" s="19" t="s">
        <v>663</v>
      </c>
      <c r="D124" s="56">
        <v>10465.620000000001</v>
      </c>
      <c r="E124" s="56">
        <v>0</v>
      </c>
      <c r="F124" s="19">
        <v>10151.61</v>
      </c>
      <c r="G124" s="56">
        <v>0</v>
      </c>
      <c r="H124" s="57">
        <v>0</v>
      </c>
      <c r="I124" s="19">
        <v>71.06</v>
      </c>
      <c r="J124" s="19">
        <v>242.95</v>
      </c>
      <c r="K124" s="57">
        <v>2.321410484997544E-2</v>
      </c>
      <c r="L124" s="57">
        <v>2.3932164454702257E-2</v>
      </c>
      <c r="M124" s="26" t="s">
        <v>676</v>
      </c>
      <c r="N124" s="26">
        <v>12</v>
      </c>
      <c r="O124" s="26" t="s">
        <v>625</v>
      </c>
    </row>
    <row r="125" spans="1:17" hidden="1" x14ac:dyDescent="0.25">
      <c r="A125" s="26">
        <v>14</v>
      </c>
      <c r="B125" s="19" t="s">
        <v>300</v>
      </c>
      <c r="C125" s="19" t="s">
        <v>667</v>
      </c>
      <c r="D125" s="56">
        <v>10465.620000000001</v>
      </c>
      <c r="E125" s="56">
        <v>0</v>
      </c>
      <c r="F125" s="19">
        <v>10151.61</v>
      </c>
      <c r="G125" s="56">
        <v>0</v>
      </c>
      <c r="H125" s="57">
        <v>0</v>
      </c>
      <c r="I125" s="19">
        <v>71.06</v>
      </c>
      <c r="J125" s="19">
        <v>242.95</v>
      </c>
      <c r="K125" s="57">
        <v>2.321410484997544E-2</v>
      </c>
      <c r="L125" s="57">
        <v>2.3932164454702257E-2</v>
      </c>
      <c r="M125" s="26" t="s">
        <v>676</v>
      </c>
      <c r="N125" s="26">
        <v>12</v>
      </c>
      <c r="O125" s="26" t="s">
        <v>625</v>
      </c>
    </row>
    <row r="126" spans="1:17" hidden="1" x14ac:dyDescent="0.25">
      <c r="A126" s="26">
        <v>15</v>
      </c>
      <c r="B126" s="19" t="s">
        <v>301</v>
      </c>
      <c r="C126" s="19" t="s">
        <v>671</v>
      </c>
      <c r="D126" s="56">
        <v>16436.330000000002</v>
      </c>
      <c r="E126" s="56">
        <v>0</v>
      </c>
      <c r="F126" s="19">
        <v>13503.16</v>
      </c>
      <c r="G126" s="56">
        <v>2752.41</v>
      </c>
      <c r="H126" s="57">
        <v>0.16745891570685181</v>
      </c>
      <c r="I126" s="19">
        <v>94.52</v>
      </c>
      <c r="J126" s="19">
        <v>86.24</v>
      </c>
      <c r="K126" s="57">
        <v>5.2469133924665659E-3</v>
      </c>
      <c r="L126" s="57">
        <v>6.3866531982143433E-3</v>
      </c>
      <c r="M126" s="26" t="s">
        <v>676</v>
      </c>
      <c r="N126" s="26">
        <v>12</v>
      </c>
      <c r="O126" s="26" t="s">
        <v>625</v>
      </c>
    </row>
    <row r="127" spans="1:17" hidden="1" x14ac:dyDescent="0.25">
      <c r="A127" s="26">
        <v>16</v>
      </c>
      <c r="B127" s="19" t="s">
        <v>301</v>
      </c>
      <c r="C127" s="19" t="s">
        <v>672</v>
      </c>
      <c r="D127" s="56">
        <v>16436.330000000002</v>
      </c>
      <c r="E127" s="56">
        <v>0</v>
      </c>
      <c r="F127" s="19">
        <v>13503.16</v>
      </c>
      <c r="G127" s="56">
        <v>2752.41</v>
      </c>
      <c r="H127" s="57">
        <v>0.16745891570685181</v>
      </c>
      <c r="I127" s="19">
        <v>94.52</v>
      </c>
      <c r="J127" s="19">
        <v>86.24</v>
      </c>
      <c r="K127" s="57">
        <v>5.2469133924665659E-3</v>
      </c>
      <c r="L127" s="57">
        <v>6.3866531982143433E-3</v>
      </c>
      <c r="M127" s="26" t="s">
        <v>676</v>
      </c>
      <c r="N127" s="26">
        <v>12</v>
      </c>
      <c r="O127" s="26" t="s">
        <v>625</v>
      </c>
    </row>
    <row r="128" spans="1:17" hidden="1" x14ac:dyDescent="0.25">
      <c r="A128" s="26">
        <v>17</v>
      </c>
      <c r="B128" s="19" t="s">
        <v>301</v>
      </c>
      <c r="C128" s="19" t="s">
        <v>674</v>
      </c>
      <c r="D128" s="56">
        <v>16436.330000000002</v>
      </c>
      <c r="E128" s="56">
        <v>0</v>
      </c>
      <c r="F128" s="19">
        <v>13503.16</v>
      </c>
      <c r="G128" s="56">
        <v>2752.41</v>
      </c>
      <c r="H128" s="57">
        <v>0.16745891570685181</v>
      </c>
      <c r="I128" s="19">
        <v>94.52</v>
      </c>
      <c r="J128" s="19">
        <v>86.24</v>
      </c>
      <c r="K128" s="57">
        <v>5.2469133924665659E-3</v>
      </c>
      <c r="L128" s="57">
        <v>6.3866531982143433E-3</v>
      </c>
      <c r="M128" s="26" t="s">
        <v>676</v>
      </c>
      <c r="N128" s="26">
        <v>12</v>
      </c>
      <c r="O128" s="26" t="s">
        <v>625</v>
      </c>
    </row>
    <row r="129" spans="1:15" hidden="1" x14ac:dyDescent="0.25">
      <c r="A129" s="26">
        <v>18</v>
      </c>
      <c r="B129" s="19" t="s">
        <v>301</v>
      </c>
      <c r="C129" s="19" t="s">
        <v>675</v>
      </c>
      <c r="D129" s="56">
        <v>16436.330000000002</v>
      </c>
      <c r="E129" s="56">
        <v>0</v>
      </c>
      <c r="F129" s="19">
        <v>13503.16</v>
      </c>
      <c r="G129" s="56">
        <v>2752.41</v>
      </c>
      <c r="H129" s="57">
        <v>0.16745891570685181</v>
      </c>
      <c r="I129" s="19">
        <v>94.52</v>
      </c>
      <c r="J129" s="19">
        <v>86.24</v>
      </c>
      <c r="K129" s="57">
        <v>5.2469133924665659E-3</v>
      </c>
      <c r="L129" s="57">
        <v>6.3866531982143433E-3</v>
      </c>
      <c r="M129" s="26" t="s">
        <v>676</v>
      </c>
      <c r="N129" s="26">
        <v>12</v>
      </c>
      <c r="O129" s="26" t="s">
        <v>625</v>
      </c>
    </row>
    <row r="130" spans="1:15" hidden="1" x14ac:dyDescent="0.25">
      <c r="C130" s="19" t="s">
        <v>169</v>
      </c>
      <c r="D130" s="19">
        <v>145444.43</v>
      </c>
      <c r="E130" s="19">
        <v>18382.2</v>
      </c>
      <c r="F130" s="19">
        <v>124763.51000000001</v>
      </c>
      <c r="G130" s="19">
        <v>35742.660000000003</v>
      </c>
      <c r="H130" s="57">
        <v>0.21817368763552056</v>
      </c>
      <c r="I130" s="19">
        <v>873.32999999999993</v>
      </c>
      <c r="J130" s="19">
        <v>2447.1299999999992</v>
      </c>
      <c r="K130" s="57">
        <v>1.4937315136128962E-2</v>
      </c>
      <c r="L130" s="57">
        <v>1.9614148399640239E-2</v>
      </c>
      <c r="M130" s="26" t="s">
        <v>676</v>
      </c>
      <c r="N130" s="26">
        <v>12</v>
      </c>
      <c r="O130" s="26" t="s">
        <v>625</v>
      </c>
    </row>
    <row r="131" spans="1:15" hidden="1" x14ac:dyDescent="0.25">
      <c r="A131" s="26">
        <v>1</v>
      </c>
      <c r="B131" s="19" t="s">
        <v>166</v>
      </c>
      <c r="C131" s="19" t="s">
        <v>678</v>
      </c>
      <c r="D131" s="56">
        <v>942</v>
      </c>
      <c r="E131" s="56">
        <v>0</v>
      </c>
      <c r="F131" s="19">
        <v>4.0199999999999996</v>
      </c>
      <c r="G131" s="56">
        <v>936.3</v>
      </c>
      <c r="H131" s="57">
        <v>0.99394904458598721</v>
      </c>
      <c r="I131" s="19">
        <v>0.03</v>
      </c>
      <c r="J131" s="19">
        <v>1.65</v>
      </c>
      <c r="K131" s="57">
        <v>1.7515923566878979E-3</v>
      </c>
      <c r="L131" s="57">
        <v>0.41044776119402987</v>
      </c>
      <c r="M131" s="26" t="s">
        <v>739</v>
      </c>
      <c r="N131" s="26">
        <v>13</v>
      </c>
      <c r="O131" s="26" t="s">
        <v>179</v>
      </c>
    </row>
    <row r="132" spans="1:15" hidden="1" x14ac:dyDescent="0.25">
      <c r="A132" s="26">
        <v>2</v>
      </c>
      <c r="B132" s="19" t="s">
        <v>167</v>
      </c>
      <c r="C132" s="19" t="s">
        <v>682</v>
      </c>
      <c r="D132" s="56">
        <v>0</v>
      </c>
      <c r="E132" s="56">
        <v>1681.69</v>
      </c>
      <c r="F132" s="19">
        <v>335.61</v>
      </c>
      <c r="G132" s="56">
        <v>1250.83</v>
      </c>
      <c r="H132" s="57">
        <v>0.74379344587884799</v>
      </c>
      <c r="I132" s="19">
        <v>2.35</v>
      </c>
      <c r="J132" s="19">
        <v>92.9</v>
      </c>
      <c r="K132" s="57">
        <v>5.5242048177725982E-2</v>
      </c>
      <c r="L132" s="57">
        <v>0.27680939185363962</v>
      </c>
      <c r="M132" s="26" t="s">
        <v>739</v>
      </c>
      <c r="N132" s="26">
        <v>13</v>
      </c>
      <c r="O132" s="26" t="s">
        <v>179</v>
      </c>
    </row>
    <row r="133" spans="1:15" hidden="1" x14ac:dyDescent="0.25">
      <c r="A133" s="26">
        <v>3</v>
      </c>
      <c r="B133" s="19" t="s">
        <v>167</v>
      </c>
      <c r="C133" s="19" t="s">
        <v>684</v>
      </c>
      <c r="D133" s="56">
        <v>2296.6</v>
      </c>
      <c r="E133" s="56">
        <v>0</v>
      </c>
      <c r="F133" s="19">
        <v>913.84</v>
      </c>
      <c r="G133" s="56">
        <v>1239.8399999999999</v>
      </c>
      <c r="H133" s="57">
        <v>0.53985892188452489</v>
      </c>
      <c r="I133" s="19">
        <v>6.4</v>
      </c>
      <c r="J133" s="19">
        <v>136.52000000000001</v>
      </c>
      <c r="K133" s="57">
        <v>5.9444396063746414E-2</v>
      </c>
      <c r="L133" s="57">
        <v>0.14939157839446732</v>
      </c>
      <c r="M133" s="26" t="s">
        <v>739</v>
      </c>
      <c r="N133" s="26">
        <v>13</v>
      </c>
      <c r="O133" s="26" t="s">
        <v>179</v>
      </c>
    </row>
    <row r="134" spans="1:15" hidden="1" x14ac:dyDescent="0.25">
      <c r="A134" s="26">
        <v>4</v>
      </c>
      <c r="B134" s="19" t="s">
        <v>167</v>
      </c>
      <c r="C134" s="19" t="s">
        <v>689</v>
      </c>
      <c r="D134" s="56">
        <v>2296.6</v>
      </c>
      <c r="E134" s="56">
        <v>0</v>
      </c>
      <c r="F134" s="19">
        <v>201.37</v>
      </c>
      <c r="G134" s="56">
        <v>2020.73</v>
      </c>
      <c r="H134" s="57">
        <v>0.87987895149351214</v>
      </c>
      <c r="I134" s="19">
        <v>1.41</v>
      </c>
      <c r="J134" s="19">
        <v>73.09</v>
      </c>
      <c r="K134" s="57">
        <v>3.1825306975529044E-2</v>
      </c>
      <c r="L134" s="57">
        <v>0.36296369866415057</v>
      </c>
      <c r="M134" s="26" t="s">
        <v>739</v>
      </c>
      <c r="N134" s="26">
        <v>13</v>
      </c>
      <c r="O134" s="26" t="s">
        <v>179</v>
      </c>
    </row>
    <row r="135" spans="1:15" hidden="1" x14ac:dyDescent="0.25">
      <c r="A135" s="26">
        <v>5</v>
      </c>
      <c r="B135" s="19" t="s">
        <v>295</v>
      </c>
      <c r="C135" s="19" t="s">
        <v>692</v>
      </c>
      <c r="D135" s="56">
        <v>0</v>
      </c>
      <c r="E135" s="56">
        <v>1247.52</v>
      </c>
      <c r="F135" s="19">
        <v>1133.32</v>
      </c>
      <c r="G135" s="56">
        <v>77.3</v>
      </c>
      <c r="H135" s="57">
        <v>6.1962934461972555E-2</v>
      </c>
      <c r="I135" s="19">
        <v>7.93</v>
      </c>
      <c r="J135" s="19">
        <v>28.97</v>
      </c>
      <c r="K135" s="57">
        <v>2.3222072592022573E-2</v>
      </c>
      <c r="L135" s="57">
        <v>2.5562065436063954E-2</v>
      </c>
      <c r="M135" s="26" t="s">
        <v>739</v>
      </c>
      <c r="N135" s="26">
        <v>13</v>
      </c>
      <c r="O135" s="26" t="s">
        <v>179</v>
      </c>
    </row>
    <row r="136" spans="1:15" hidden="1" x14ac:dyDescent="0.25">
      <c r="A136" s="26">
        <v>6</v>
      </c>
      <c r="B136" s="19" t="s">
        <v>295</v>
      </c>
      <c r="C136" s="19" t="s">
        <v>697</v>
      </c>
      <c r="D136" s="56">
        <v>4423.87</v>
      </c>
      <c r="E136" s="56">
        <v>0</v>
      </c>
      <c r="F136" s="19">
        <v>2060.27</v>
      </c>
      <c r="G136" s="56">
        <v>2316.15</v>
      </c>
      <c r="H136" s="57">
        <v>0.52355742822460882</v>
      </c>
      <c r="I136" s="19">
        <v>14.42</v>
      </c>
      <c r="J136" s="19">
        <v>33.03</v>
      </c>
      <c r="K136" s="57">
        <v>7.4663134314525521E-3</v>
      </c>
      <c r="L136" s="57">
        <v>1.6031879316788577E-2</v>
      </c>
      <c r="M136" s="26" t="s">
        <v>739</v>
      </c>
      <c r="N136" s="26">
        <v>13</v>
      </c>
      <c r="O136" s="26" t="s">
        <v>179</v>
      </c>
    </row>
    <row r="137" spans="1:15" hidden="1" x14ac:dyDescent="0.25">
      <c r="A137" s="26">
        <v>7</v>
      </c>
      <c r="B137" s="19" t="s">
        <v>296</v>
      </c>
      <c r="C137" s="19" t="s">
        <v>702</v>
      </c>
      <c r="D137" s="56">
        <v>0</v>
      </c>
      <c r="E137" s="56">
        <v>7386.12</v>
      </c>
      <c r="F137" s="19">
        <v>352.7</v>
      </c>
      <c r="G137" s="56">
        <v>6983.37</v>
      </c>
      <c r="H137" s="57">
        <v>0.94547204757030756</v>
      </c>
      <c r="I137" s="19">
        <v>2.4700000000000002</v>
      </c>
      <c r="J137" s="19">
        <v>47.58</v>
      </c>
      <c r="K137" s="57">
        <v>6.4418124807070556E-3</v>
      </c>
      <c r="L137" s="57">
        <v>0.13490218315849165</v>
      </c>
      <c r="M137" s="26" t="s">
        <v>739</v>
      </c>
      <c r="N137" s="26">
        <v>13</v>
      </c>
      <c r="O137" s="26" t="s">
        <v>179</v>
      </c>
    </row>
    <row r="138" spans="1:15" hidden="1" x14ac:dyDescent="0.25">
      <c r="A138" s="26">
        <v>8</v>
      </c>
      <c r="B138" s="19" t="s">
        <v>296</v>
      </c>
      <c r="C138" s="19" t="s">
        <v>710</v>
      </c>
      <c r="D138" s="56">
        <v>9449.44</v>
      </c>
      <c r="E138" s="56">
        <v>0</v>
      </c>
      <c r="F138" s="19">
        <v>157.69</v>
      </c>
      <c r="G138" s="56">
        <v>9285.2099999999991</v>
      </c>
      <c r="H138" s="57">
        <v>0.98262013410318483</v>
      </c>
      <c r="I138" s="19">
        <v>1.1000000000000001</v>
      </c>
      <c r="J138" s="19">
        <v>5.44</v>
      </c>
      <c r="K138" s="57">
        <v>5.7569549094972823E-4</v>
      </c>
      <c r="L138" s="57">
        <v>3.4498065825353544E-2</v>
      </c>
      <c r="M138" s="26" t="s">
        <v>739</v>
      </c>
      <c r="N138" s="26">
        <v>13</v>
      </c>
      <c r="O138" s="26" t="s">
        <v>179</v>
      </c>
    </row>
    <row r="139" spans="1:15" hidden="1" x14ac:dyDescent="0.25">
      <c r="A139" s="26">
        <v>9</v>
      </c>
      <c r="B139" s="19" t="s">
        <v>297</v>
      </c>
      <c r="C139" s="19" t="s">
        <v>712</v>
      </c>
      <c r="D139" s="56">
        <v>9597.1</v>
      </c>
      <c r="E139" s="56">
        <v>0</v>
      </c>
      <c r="F139" s="19">
        <v>9173.23</v>
      </c>
      <c r="G139" s="56">
        <v>215.5</v>
      </c>
      <c r="H139" s="57">
        <v>2.2454699857248545E-2</v>
      </c>
      <c r="I139" s="19">
        <v>64.209999999999994</v>
      </c>
      <c r="J139" s="19">
        <v>144.16</v>
      </c>
      <c r="K139" s="57">
        <v>1.5021204322138978E-2</v>
      </c>
      <c r="L139" s="57">
        <v>1.5715293304539406E-2</v>
      </c>
      <c r="M139" s="26" t="s">
        <v>739</v>
      </c>
      <c r="N139" s="26">
        <v>13</v>
      </c>
      <c r="O139" s="26" t="s">
        <v>179</v>
      </c>
    </row>
    <row r="140" spans="1:15" hidden="1" x14ac:dyDescent="0.25">
      <c r="A140" s="26">
        <v>10</v>
      </c>
      <c r="B140" s="19" t="s">
        <v>297</v>
      </c>
      <c r="C140" s="19" t="s">
        <v>714</v>
      </c>
      <c r="D140" s="56">
        <v>9597.1</v>
      </c>
      <c r="E140" s="56">
        <v>0</v>
      </c>
      <c r="F140" s="19">
        <v>9173.23</v>
      </c>
      <c r="G140" s="56">
        <v>215.5</v>
      </c>
      <c r="H140" s="57">
        <v>2.2454699857248545E-2</v>
      </c>
      <c r="I140" s="19">
        <v>64.209999999999994</v>
      </c>
      <c r="J140" s="19">
        <v>144.16</v>
      </c>
      <c r="K140" s="57">
        <v>1.5021204322138978E-2</v>
      </c>
      <c r="L140" s="57">
        <v>1.5715293304539406E-2</v>
      </c>
      <c r="M140" s="26" t="s">
        <v>739</v>
      </c>
      <c r="N140" s="26">
        <v>13</v>
      </c>
      <c r="O140" s="26" t="s">
        <v>179</v>
      </c>
    </row>
    <row r="141" spans="1:15" hidden="1" x14ac:dyDescent="0.25">
      <c r="A141" s="26">
        <v>11</v>
      </c>
      <c r="B141" s="19" t="s">
        <v>297</v>
      </c>
      <c r="C141" s="19" t="s">
        <v>716</v>
      </c>
      <c r="D141" s="56">
        <v>9291.89</v>
      </c>
      <c r="E141" s="56">
        <v>0</v>
      </c>
      <c r="F141" s="19">
        <v>8877.4</v>
      </c>
      <c r="G141" s="56">
        <v>212.07</v>
      </c>
      <c r="H141" s="57">
        <v>2.2823128556192552E-2</v>
      </c>
      <c r="I141" s="19">
        <v>62.14</v>
      </c>
      <c r="J141" s="19">
        <v>140.28</v>
      </c>
      <c r="K141" s="57">
        <v>1.5097036232671718E-2</v>
      </c>
      <c r="L141" s="57">
        <v>1.580192398675288E-2</v>
      </c>
      <c r="M141" s="26" t="s">
        <v>739</v>
      </c>
      <c r="N141" s="26">
        <v>13</v>
      </c>
      <c r="O141" s="26" t="s">
        <v>179</v>
      </c>
    </row>
    <row r="142" spans="1:15" hidden="1" x14ac:dyDescent="0.25">
      <c r="A142" s="26">
        <v>12</v>
      </c>
      <c r="B142" s="19" t="s">
        <v>297</v>
      </c>
      <c r="C142" s="19" t="s">
        <v>718</v>
      </c>
      <c r="D142" s="56">
        <v>9291.89</v>
      </c>
      <c r="E142" s="56">
        <v>0</v>
      </c>
      <c r="F142" s="19">
        <v>8877.4</v>
      </c>
      <c r="G142" s="56">
        <v>212.07</v>
      </c>
      <c r="H142" s="57">
        <v>2.2823128556192552E-2</v>
      </c>
      <c r="I142" s="19">
        <v>62.14</v>
      </c>
      <c r="J142" s="19">
        <v>140.28</v>
      </c>
      <c r="K142" s="57">
        <v>1.5097036232671718E-2</v>
      </c>
      <c r="L142" s="57">
        <v>1.580192398675288E-2</v>
      </c>
      <c r="M142" s="26" t="s">
        <v>739</v>
      </c>
      <c r="N142" s="26">
        <v>13</v>
      </c>
      <c r="O142" s="26" t="s">
        <v>179</v>
      </c>
    </row>
    <row r="143" spans="1:15" hidden="1" x14ac:dyDescent="0.25">
      <c r="A143" s="26">
        <v>13</v>
      </c>
      <c r="B143" s="19" t="s">
        <v>298</v>
      </c>
      <c r="C143" s="19" t="s">
        <v>721</v>
      </c>
      <c r="D143" s="56">
        <v>0</v>
      </c>
      <c r="E143" s="56">
        <v>1776.09</v>
      </c>
      <c r="F143" s="19">
        <v>994.79</v>
      </c>
      <c r="G143" s="56">
        <v>747.82</v>
      </c>
      <c r="H143" s="57">
        <v>0.42104848290345653</v>
      </c>
      <c r="I143" s="19">
        <v>6.96</v>
      </c>
      <c r="J143" s="19">
        <v>26.52</v>
      </c>
      <c r="K143" s="57">
        <v>1.4931675759674341E-2</v>
      </c>
      <c r="L143" s="57">
        <v>2.6658892831652913E-2</v>
      </c>
      <c r="M143" s="26" t="s">
        <v>739</v>
      </c>
      <c r="N143" s="26">
        <v>13</v>
      </c>
      <c r="O143" s="26" t="s">
        <v>179</v>
      </c>
    </row>
    <row r="144" spans="1:15" hidden="1" x14ac:dyDescent="0.25">
      <c r="A144" s="26">
        <v>14</v>
      </c>
      <c r="B144" s="19" t="s">
        <v>298</v>
      </c>
      <c r="C144" s="19" t="s">
        <v>722</v>
      </c>
      <c r="D144" s="56">
        <v>5687.33</v>
      </c>
      <c r="E144" s="56">
        <v>0</v>
      </c>
      <c r="F144" s="19">
        <v>994.79</v>
      </c>
      <c r="G144" s="56">
        <v>4668.7</v>
      </c>
      <c r="H144" s="57">
        <v>0.82089486630809183</v>
      </c>
      <c r="I144" s="19">
        <v>6.96</v>
      </c>
      <c r="J144" s="19">
        <v>16.88</v>
      </c>
      <c r="K144" s="57">
        <v>2.9680008017822072E-3</v>
      </c>
      <c r="L144" s="57">
        <v>1.6968405392092802E-2</v>
      </c>
      <c r="M144" s="26" t="s">
        <v>739</v>
      </c>
      <c r="N144" s="26">
        <v>13</v>
      </c>
      <c r="O144" s="26" t="s">
        <v>179</v>
      </c>
    </row>
    <row r="145" spans="1:17" hidden="1" x14ac:dyDescent="0.25">
      <c r="A145" s="26">
        <v>15</v>
      </c>
      <c r="B145" s="86" t="s">
        <v>299</v>
      </c>
      <c r="C145" s="86" t="s">
        <v>724</v>
      </c>
      <c r="D145" s="87">
        <v>0</v>
      </c>
      <c r="E145" s="87">
        <v>6334.31</v>
      </c>
      <c r="F145" s="86">
        <v>2851.27</v>
      </c>
      <c r="G145" s="87">
        <v>2836.76</v>
      </c>
      <c r="H145" s="88">
        <v>0.44784041197857383</v>
      </c>
      <c r="I145" s="86">
        <v>19.96</v>
      </c>
      <c r="J145" s="86">
        <v>626.32000000000005</v>
      </c>
      <c r="K145" s="88">
        <v>9.8877383645574662E-2</v>
      </c>
      <c r="L145" s="88">
        <v>0.2196635183619931</v>
      </c>
      <c r="M145" s="86" t="s">
        <v>739</v>
      </c>
      <c r="N145" s="86">
        <v>13</v>
      </c>
      <c r="O145" s="86" t="s">
        <v>179</v>
      </c>
      <c r="P145" s="86">
        <v>28.93</v>
      </c>
      <c r="Q145" s="86" t="s">
        <v>434</v>
      </c>
    </row>
    <row r="146" spans="1:17" hidden="1" x14ac:dyDescent="0.25">
      <c r="A146" s="26">
        <v>16</v>
      </c>
      <c r="B146" s="19" t="s">
        <v>300</v>
      </c>
      <c r="C146" s="19" t="s">
        <v>726</v>
      </c>
      <c r="D146" s="56">
        <v>10465.620000000001</v>
      </c>
      <c r="E146" s="56">
        <v>0</v>
      </c>
      <c r="F146" s="19">
        <v>10151.61</v>
      </c>
      <c r="G146" s="56">
        <v>0</v>
      </c>
      <c r="H146" s="57">
        <v>0</v>
      </c>
      <c r="I146" s="19">
        <v>71.06</v>
      </c>
      <c r="J146" s="19">
        <v>242.95</v>
      </c>
      <c r="K146" s="57">
        <v>2.321410484997544E-2</v>
      </c>
      <c r="L146" s="57">
        <v>2.3932164454702257E-2</v>
      </c>
      <c r="M146" s="26" t="s">
        <v>739</v>
      </c>
      <c r="N146" s="26">
        <v>13</v>
      </c>
      <c r="O146" s="26" t="s">
        <v>179</v>
      </c>
    </row>
    <row r="147" spans="1:17" hidden="1" x14ac:dyDescent="0.25">
      <c r="A147" s="26">
        <v>17</v>
      </c>
      <c r="B147" s="19" t="s">
        <v>300</v>
      </c>
      <c r="C147" s="19" t="s">
        <v>730</v>
      </c>
      <c r="D147" s="56">
        <v>10465.620000000001</v>
      </c>
      <c r="E147" s="56">
        <v>0</v>
      </c>
      <c r="F147" s="19">
        <v>10151.61</v>
      </c>
      <c r="G147" s="56">
        <v>0</v>
      </c>
      <c r="H147" s="57">
        <v>0</v>
      </c>
      <c r="I147" s="19">
        <v>71.06</v>
      </c>
      <c r="J147" s="19">
        <v>242.95</v>
      </c>
      <c r="K147" s="57">
        <v>2.321410484997544E-2</v>
      </c>
      <c r="L147" s="57">
        <v>2.3932164454702257E-2</v>
      </c>
      <c r="M147" s="26" t="s">
        <v>739</v>
      </c>
      <c r="N147" s="26">
        <v>13</v>
      </c>
      <c r="O147" s="26" t="s">
        <v>179</v>
      </c>
    </row>
    <row r="148" spans="1:17" hidden="1" x14ac:dyDescent="0.25">
      <c r="A148" s="26">
        <v>18</v>
      </c>
      <c r="B148" s="19" t="s">
        <v>301</v>
      </c>
      <c r="C148" s="19" t="s">
        <v>734</v>
      </c>
      <c r="D148" s="56">
        <v>16436.330000000002</v>
      </c>
      <c r="E148" s="56">
        <v>0</v>
      </c>
      <c r="F148" s="19">
        <v>13503.16</v>
      </c>
      <c r="G148" s="56">
        <v>2752.41</v>
      </c>
      <c r="H148" s="57">
        <v>0.16745891570685181</v>
      </c>
      <c r="I148" s="19">
        <v>94.52</v>
      </c>
      <c r="J148" s="19">
        <v>86.24</v>
      </c>
      <c r="K148" s="57">
        <v>5.2469133924665659E-3</v>
      </c>
      <c r="L148" s="57">
        <v>6.3866531982143433E-3</v>
      </c>
      <c r="M148" s="26" t="s">
        <v>739</v>
      </c>
      <c r="N148" s="26">
        <v>13</v>
      </c>
      <c r="O148" s="26" t="s">
        <v>179</v>
      </c>
    </row>
    <row r="149" spans="1:17" hidden="1" x14ac:dyDescent="0.25">
      <c r="A149" s="26">
        <v>19</v>
      </c>
      <c r="B149" s="19" t="s">
        <v>301</v>
      </c>
      <c r="C149" s="19" t="s">
        <v>735</v>
      </c>
      <c r="D149" s="56">
        <v>16436.330000000002</v>
      </c>
      <c r="E149" s="56">
        <v>0</v>
      </c>
      <c r="F149" s="19">
        <v>13503.16</v>
      </c>
      <c r="G149" s="56">
        <v>2752.41</v>
      </c>
      <c r="H149" s="57">
        <v>0.16745891570685181</v>
      </c>
      <c r="I149" s="19">
        <v>94.52</v>
      </c>
      <c r="J149" s="19">
        <v>86.24</v>
      </c>
      <c r="K149" s="57">
        <v>5.2469133924665659E-3</v>
      </c>
      <c r="L149" s="57">
        <v>6.3866531982143433E-3</v>
      </c>
      <c r="M149" s="26" t="s">
        <v>739</v>
      </c>
      <c r="N149" s="26">
        <v>13</v>
      </c>
      <c r="O149" s="26" t="s">
        <v>179</v>
      </c>
    </row>
    <row r="150" spans="1:17" hidden="1" x14ac:dyDescent="0.25">
      <c r="A150" s="26">
        <v>20</v>
      </c>
      <c r="B150" s="19" t="s">
        <v>301</v>
      </c>
      <c r="C150" s="19" t="s">
        <v>737</v>
      </c>
      <c r="D150" s="56">
        <v>16436.330000000002</v>
      </c>
      <c r="E150" s="56">
        <v>0</v>
      </c>
      <c r="F150" s="19">
        <v>13503.16</v>
      </c>
      <c r="G150" s="56">
        <v>2752.41</v>
      </c>
      <c r="H150" s="57">
        <v>0.16745891570685181</v>
      </c>
      <c r="I150" s="19">
        <v>94.52</v>
      </c>
      <c r="J150" s="19">
        <v>86.24</v>
      </c>
      <c r="K150" s="57">
        <v>5.2469133924665659E-3</v>
      </c>
      <c r="L150" s="57">
        <v>6.3866531982143433E-3</v>
      </c>
      <c r="M150" s="26" t="s">
        <v>739</v>
      </c>
      <c r="N150" s="26">
        <v>13</v>
      </c>
      <c r="O150" s="26" t="s">
        <v>179</v>
      </c>
    </row>
    <row r="151" spans="1:17" hidden="1" x14ac:dyDescent="0.25">
      <c r="A151" s="26">
        <v>21</v>
      </c>
      <c r="B151" s="19" t="s">
        <v>301</v>
      </c>
      <c r="C151" s="19" t="s">
        <v>738</v>
      </c>
      <c r="D151" s="56">
        <v>16436.330000000002</v>
      </c>
      <c r="E151" s="56">
        <v>0</v>
      </c>
      <c r="F151" s="19">
        <v>13503.16</v>
      </c>
      <c r="G151" s="56">
        <v>2752.41</v>
      </c>
      <c r="H151" s="57">
        <v>0.16745891570685181</v>
      </c>
      <c r="I151" s="19">
        <v>94.52</v>
      </c>
      <c r="J151" s="19">
        <v>86.24</v>
      </c>
      <c r="K151" s="57">
        <v>5.2469133924665659E-3</v>
      </c>
      <c r="L151" s="57">
        <v>6.3866531982143433E-3</v>
      </c>
      <c r="M151" s="26" t="s">
        <v>739</v>
      </c>
      <c r="N151" s="26">
        <v>13</v>
      </c>
      <c r="O151" s="26" t="s">
        <v>179</v>
      </c>
    </row>
    <row r="152" spans="1:17" hidden="1" x14ac:dyDescent="0.25">
      <c r="C152" s="19" t="s">
        <v>169</v>
      </c>
      <c r="D152" s="19">
        <v>149550.38</v>
      </c>
      <c r="E152" s="19">
        <v>20600.86</v>
      </c>
      <c r="F152" s="19">
        <v>120416.79000000001</v>
      </c>
      <c r="G152" s="19">
        <v>46593.820000000007</v>
      </c>
      <c r="H152" s="57">
        <v>0.27383767523527897</v>
      </c>
      <c r="I152" s="19">
        <v>842.88999999999987</v>
      </c>
      <c r="J152" s="19">
        <v>2297.7399999999993</v>
      </c>
      <c r="K152" s="57">
        <v>1.3504103760865919E-2</v>
      </c>
      <c r="L152" s="57">
        <v>1.9081558310929888E-2</v>
      </c>
      <c r="M152" s="26" t="s">
        <v>739</v>
      </c>
      <c r="N152" s="26">
        <v>13</v>
      </c>
      <c r="O152" s="26" t="s">
        <v>179</v>
      </c>
    </row>
    <row r="153" spans="1:17" hidden="1" x14ac:dyDescent="0.25">
      <c r="A153" s="26">
        <v>1</v>
      </c>
      <c r="B153" s="19" t="s">
        <v>167</v>
      </c>
      <c r="C153" s="19" t="s">
        <v>757</v>
      </c>
      <c r="D153" s="56">
        <v>0</v>
      </c>
      <c r="E153" s="56">
        <v>1603.35</v>
      </c>
      <c r="F153" s="19">
        <v>324.99</v>
      </c>
      <c r="G153" s="56">
        <v>1217.1600000000001</v>
      </c>
      <c r="H153" s="57">
        <v>0.75913555992141468</v>
      </c>
      <c r="I153" s="19">
        <v>2.27</v>
      </c>
      <c r="J153" s="19">
        <v>58.93</v>
      </c>
      <c r="K153" s="57">
        <v>3.6754295693391961E-2</v>
      </c>
      <c r="L153" s="57">
        <v>0.18132865626634664</v>
      </c>
      <c r="M153" s="26" t="s">
        <v>755</v>
      </c>
      <c r="N153" s="26">
        <v>14</v>
      </c>
      <c r="O153" s="26" t="s">
        <v>747</v>
      </c>
      <c r="P153" s="19">
        <v>78</v>
      </c>
      <c r="Q153" s="19" t="s">
        <v>22</v>
      </c>
    </row>
    <row r="154" spans="1:17" hidden="1" x14ac:dyDescent="0.25">
      <c r="A154" s="26">
        <v>2</v>
      </c>
      <c r="B154" s="19" t="s">
        <v>168</v>
      </c>
      <c r="C154" s="19" t="s">
        <v>760</v>
      </c>
      <c r="D154" s="56">
        <v>0</v>
      </c>
      <c r="E154" s="56">
        <v>317.72000000000003</v>
      </c>
      <c r="F154" s="19">
        <v>169.56</v>
      </c>
      <c r="G154" s="56">
        <v>139.29</v>
      </c>
      <c r="H154" s="57">
        <v>0.43840488480423007</v>
      </c>
      <c r="I154" s="19">
        <v>1.19</v>
      </c>
      <c r="J154" s="19">
        <v>7.68</v>
      </c>
      <c r="K154" s="57">
        <v>2.4172227118217295E-2</v>
      </c>
      <c r="L154" s="57">
        <v>4.5293701344656753E-2</v>
      </c>
      <c r="M154" s="26" t="s">
        <v>755</v>
      </c>
      <c r="N154" s="26">
        <v>14</v>
      </c>
      <c r="O154" s="26" t="s">
        <v>747</v>
      </c>
      <c r="P154" s="19">
        <v>20</v>
      </c>
      <c r="Q154" s="19" t="s">
        <v>307</v>
      </c>
    </row>
    <row r="155" spans="1:17" hidden="1" x14ac:dyDescent="0.25">
      <c r="C155" s="19" t="s">
        <v>169</v>
      </c>
      <c r="D155" s="19">
        <v>0</v>
      </c>
      <c r="E155" s="19">
        <v>1921.07</v>
      </c>
      <c r="F155" s="19">
        <v>494.55</v>
      </c>
      <c r="G155" s="19">
        <v>1356.45</v>
      </c>
      <c r="H155" s="57">
        <v>0.70609087643865143</v>
      </c>
      <c r="I155" s="19">
        <v>3.46</v>
      </c>
      <c r="J155" s="19">
        <v>66.61</v>
      </c>
      <c r="K155" s="57">
        <v>3.467338514473705E-2</v>
      </c>
      <c r="L155" s="57">
        <v>0.13468810029319583</v>
      </c>
      <c r="M155" s="26" t="s">
        <v>755</v>
      </c>
      <c r="N155" s="26">
        <v>14</v>
      </c>
      <c r="O155" s="26" t="s">
        <v>747</v>
      </c>
      <c r="P155" s="19">
        <v>98</v>
      </c>
    </row>
    <row r="156" spans="1:17" hidden="1" x14ac:dyDescent="0.25">
      <c r="A156" s="26">
        <v>1</v>
      </c>
      <c r="B156" s="19" t="s">
        <v>295</v>
      </c>
      <c r="C156" s="19" t="s">
        <v>765</v>
      </c>
      <c r="D156" s="56">
        <v>0</v>
      </c>
      <c r="E156" s="56">
        <v>754.41</v>
      </c>
      <c r="F156" s="19">
        <v>671.24</v>
      </c>
      <c r="G156" s="56">
        <v>0</v>
      </c>
      <c r="H156" s="57">
        <v>0</v>
      </c>
      <c r="I156" s="19">
        <v>4.7</v>
      </c>
      <c r="J156" s="19">
        <v>78.47</v>
      </c>
      <c r="K156" s="57">
        <v>0.1040150581248923</v>
      </c>
      <c r="L156" s="57">
        <v>0.11690304511054168</v>
      </c>
      <c r="M156" s="26" t="s">
        <v>797</v>
      </c>
      <c r="N156" s="26">
        <v>15</v>
      </c>
      <c r="O156" s="26" t="s">
        <v>767</v>
      </c>
    </row>
    <row r="157" spans="1:17" hidden="1" x14ac:dyDescent="0.25">
      <c r="A157" s="26">
        <v>2</v>
      </c>
      <c r="B157" s="19" t="s">
        <v>295</v>
      </c>
      <c r="C157" s="19" t="s">
        <v>771</v>
      </c>
      <c r="D157" s="56">
        <v>0</v>
      </c>
      <c r="E157" s="56">
        <v>456.44</v>
      </c>
      <c r="F157" s="19">
        <v>402.74</v>
      </c>
      <c r="G157" s="56">
        <v>0</v>
      </c>
      <c r="H157" s="57">
        <v>0</v>
      </c>
      <c r="I157" s="19">
        <v>2.82</v>
      </c>
      <c r="J157" s="19">
        <v>50.88</v>
      </c>
      <c r="K157" s="57">
        <v>0.11147138725790905</v>
      </c>
      <c r="L157" s="57">
        <v>0.12633460793564086</v>
      </c>
      <c r="M157" s="26" t="s">
        <v>797</v>
      </c>
      <c r="N157" s="26">
        <v>15</v>
      </c>
      <c r="O157" s="26" t="s">
        <v>767</v>
      </c>
    </row>
    <row r="158" spans="1:17" hidden="1" x14ac:dyDescent="0.25">
      <c r="A158" s="26">
        <v>3</v>
      </c>
      <c r="B158" s="19" t="s">
        <v>295</v>
      </c>
      <c r="C158" s="19" t="s">
        <v>776</v>
      </c>
      <c r="D158" s="56">
        <v>0</v>
      </c>
      <c r="E158" s="56">
        <v>354.19</v>
      </c>
      <c r="F158" s="19">
        <v>303.43</v>
      </c>
      <c r="G158" s="56">
        <v>0</v>
      </c>
      <c r="H158" s="57">
        <v>0</v>
      </c>
      <c r="I158" s="19">
        <v>2.12</v>
      </c>
      <c r="J158" s="19">
        <v>48.64</v>
      </c>
      <c r="K158" s="57">
        <v>0.13732742313447585</v>
      </c>
      <c r="L158" s="57">
        <v>0.16030056355666875</v>
      </c>
      <c r="M158" s="26" t="s">
        <v>797</v>
      </c>
      <c r="N158" s="26">
        <v>15</v>
      </c>
      <c r="O158" s="26" t="s">
        <v>767</v>
      </c>
    </row>
    <row r="159" spans="1:17" hidden="1" x14ac:dyDescent="0.25">
      <c r="A159" s="26">
        <v>4</v>
      </c>
      <c r="B159" s="19" t="s">
        <v>295</v>
      </c>
      <c r="C159" s="19" t="s">
        <v>781</v>
      </c>
      <c r="D159" s="56">
        <v>0</v>
      </c>
      <c r="E159" s="56">
        <v>259.61</v>
      </c>
      <c r="F159" s="19">
        <v>101.09</v>
      </c>
      <c r="G159" s="56">
        <v>128.41999999999999</v>
      </c>
      <c r="H159" s="57">
        <v>0.49466507453487918</v>
      </c>
      <c r="I159" s="19">
        <v>0.71</v>
      </c>
      <c r="J159" s="19">
        <v>29.39</v>
      </c>
      <c r="K159" s="57">
        <v>0.11320827394938561</v>
      </c>
      <c r="L159" s="57">
        <v>0.29073103175388265</v>
      </c>
      <c r="M159" s="26" t="s">
        <v>797</v>
      </c>
      <c r="N159" s="26">
        <v>15</v>
      </c>
      <c r="O159" s="26" t="s">
        <v>767</v>
      </c>
    </row>
    <row r="160" spans="1:17" hidden="1" x14ac:dyDescent="0.25">
      <c r="A160" s="26">
        <v>5</v>
      </c>
      <c r="B160" s="19" t="s">
        <v>325</v>
      </c>
      <c r="C160" s="19" t="s">
        <v>786</v>
      </c>
      <c r="D160" s="56">
        <v>0</v>
      </c>
      <c r="E160" s="56">
        <v>3843.36</v>
      </c>
      <c r="F160" s="19">
        <v>577.73</v>
      </c>
      <c r="G160" s="56">
        <v>3101.85</v>
      </c>
      <c r="H160" s="57">
        <v>0.80706725365305354</v>
      </c>
      <c r="I160" s="19">
        <v>4.04</v>
      </c>
      <c r="J160" s="19">
        <v>159.74</v>
      </c>
      <c r="K160" s="57">
        <v>4.1562591066150456E-2</v>
      </c>
      <c r="L160" s="57">
        <v>0.27649594101050662</v>
      </c>
      <c r="M160" s="26" t="s">
        <v>797</v>
      </c>
      <c r="N160" s="26">
        <v>15</v>
      </c>
      <c r="O160" s="26" t="s">
        <v>767</v>
      </c>
    </row>
    <row r="161" spans="1:15" hidden="1" x14ac:dyDescent="0.25">
      <c r="C161" s="19" t="s">
        <v>169</v>
      </c>
      <c r="D161" s="19">
        <v>0</v>
      </c>
      <c r="E161" s="19">
        <v>5668.01</v>
      </c>
      <c r="F161" s="19">
        <v>2056.23</v>
      </c>
      <c r="G161" s="19">
        <v>3230.27</v>
      </c>
      <c r="H161" s="57">
        <v>0.56991254426156623</v>
      </c>
      <c r="I161" s="19">
        <v>14.39</v>
      </c>
      <c r="J161" s="19">
        <v>367.12</v>
      </c>
      <c r="K161" s="57">
        <v>6.4770527927791227E-2</v>
      </c>
      <c r="L161" s="57">
        <v>0.17854033838627001</v>
      </c>
      <c r="M161" s="26" t="s">
        <v>797</v>
      </c>
      <c r="N161" s="26">
        <v>15</v>
      </c>
      <c r="O161" s="26" t="s">
        <v>767</v>
      </c>
    </row>
    <row r="162" spans="1:15" hidden="1" x14ac:dyDescent="0.25">
      <c r="A162" s="26">
        <v>1</v>
      </c>
      <c r="B162" s="19" t="s">
        <v>167</v>
      </c>
      <c r="C162" s="19" t="s">
        <v>805</v>
      </c>
      <c r="D162" s="56">
        <v>0</v>
      </c>
      <c r="E162" s="56">
        <v>1269.27</v>
      </c>
      <c r="F162" s="19">
        <v>1252.5899999999999</v>
      </c>
      <c r="G162" s="56">
        <v>0</v>
      </c>
      <c r="H162" s="57">
        <v>0</v>
      </c>
      <c r="I162" s="19">
        <v>8.77</v>
      </c>
      <c r="J162" s="19">
        <v>7.91</v>
      </c>
      <c r="K162" s="57">
        <v>6.2319285888739195E-3</v>
      </c>
      <c r="L162" s="57">
        <v>6.3149154950941653E-3</v>
      </c>
      <c r="M162" s="26" t="s">
        <v>1132</v>
      </c>
      <c r="N162" s="26">
        <v>16</v>
      </c>
      <c r="O162" s="26" t="s">
        <v>807</v>
      </c>
    </row>
    <row r="163" spans="1:15" hidden="1" x14ac:dyDescent="0.25">
      <c r="A163" s="26">
        <v>2</v>
      </c>
      <c r="B163" s="19" t="s">
        <v>167</v>
      </c>
      <c r="C163" s="19" t="s">
        <v>816</v>
      </c>
      <c r="D163" s="56">
        <v>0</v>
      </c>
      <c r="E163" s="56">
        <v>1269.27</v>
      </c>
      <c r="F163" s="19">
        <v>1252.5899999999999</v>
      </c>
      <c r="G163" s="56">
        <v>0</v>
      </c>
      <c r="H163" s="57">
        <v>0</v>
      </c>
      <c r="I163" s="19">
        <v>8.77</v>
      </c>
      <c r="J163" s="19">
        <v>7.91</v>
      </c>
      <c r="K163" s="57">
        <v>6.2319285888739195E-3</v>
      </c>
      <c r="L163" s="57">
        <v>6.3149154950941653E-3</v>
      </c>
      <c r="M163" s="26" t="s">
        <v>1132</v>
      </c>
      <c r="N163" s="26">
        <v>16</v>
      </c>
      <c r="O163" s="26" t="s">
        <v>807</v>
      </c>
    </row>
    <row r="164" spans="1:15" hidden="1" x14ac:dyDescent="0.25">
      <c r="A164" s="26">
        <v>3</v>
      </c>
      <c r="B164" s="19" t="s">
        <v>167</v>
      </c>
      <c r="C164" s="19" t="s">
        <v>821</v>
      </c>
      <c r="D164" s="56">
        <v>2296.6</v>
      </c>
      <c r="E164" s="56">
        <v>0</v>
      </c>
      <c r="F164" s="19">
        <v>2183.8200000000002</v>
      </c>
      <c r="G164" s="56">
        <v>0</v>
      </c>
      <c r="H164" s="57">
        <v>0</v>
      </c>
      <c r="I164" s="19">
        <v>15.29</v>
      </c>
      <c r="J164" s="19">
        <v>97.49</v>
      </c>
      <c r="K164" s="57">
        <v>4.2449708264390838E-2</v>
      </c>
      <c r="L164" s="57">
        <v>4.4641957670503975E-2</v>
      </c>
      <c r="M164" s="26" t="s">
        <v>1132</v>
      </c>
      <c r="N164" s="26">
        <v>16</v>
      </c>
      <c r="O164" s="26" t="s">
        <v>807</v>
      </c>
    </row>
    <row r="165" spans="1:15" hidden="1" x14ac:dyDescent="0.25">
      <c r="A165" s="26">
        <v>4</v>
      </c>
      <c r="B165" s="19" t="s">
        <v>167</v>
      </c>
      <c r="C165" s="19" t="s">
        <v>837</v>
      </c>
      <c r="D165" s="56">
        <v>2296.6</v>
      </c>
      <c r="E165" s="56">
        <v>0</v>
      </c>
      <c r="F165" s="19">
        <v>2204.36</v>
      </c>
      <c r="G165" s="56">
        <v>0</v>
      </c>
      <c r="H165" s="57">
        <v>0</v>
      </c>
      <c r="I165" s="19">
        <v>15.43</v>
      </c>
      <c r="J165" s="19">
        <v>76.81</v>
      </c>
      <c r="K165" s="57">
        <v>3.3445092745798141E-2</v>
      </c>
      <c r="L165" s="57">
        <v>3.4844580739988022E-2</v>
      </c>
      <c r="M165" s="26" t="s">
        <v>1132</v>
      </c>
      <c r="N165" s="26">
        <v>16</v>
      </c>
      <c r="O165" s="26" t="s">
        <v>807</v>
      </c>
    </row>
    <row r="166" spans="1:15" hidden="1" x14ac:dyDescent="0.25">
      <c r="A166" s="26">
        <v>5</v>
      </c>
      <c r="B166" s="19" t="s">
        <v>167</v>
      </c>
      <c r="C166" s="19" t="s">
        <v>856</v>
      </c>
      <c r="D166" s="56">
        <v>2296.6</v>
      </c>
      <c r="E166" s="56">
        <v>0</v>
      </c>
      <c r="F166" s="19">
        <v>2211.9899999999998</v>
      </c>
      <c r="G166" s="56">
        <v>0</v>
      </c>
      <c r="H166" s="57">
        <v>0</v>
      </c>
      <c r="I166" s="19">
        <v>15.48</v>
      </c>
      <c r="J166" s="19">
        <v>69.13</v>
      </c>
      <c r="K166" s="57">
        <v>3.0101018897500654E-2</v>
      </c>
      <c r="L166" s="57">
        <v>3.1252401683551916E-2</v>
      </c>
      <c r="M166" s="26" t="s">
        <v>1132</v>
      </c>
      <c r="N166" s="26">
        <v>16</v>
      </c>
      <c r="O166" s="26" t="s">
        <v>807</v>
      </c>
    </row>
    <row r="167" spans="1:15" hidden="1" x14ac:dyDescent="0.25">
      <c r="A167" s="26">
        <v>6</v>
      </c>
      <c r="B167" s="19" t="s">
        <v>167</v>
      </c>
      <c r="C167" s="19" t="s">
        <v>883</v>
      </c>
      <c r="D167" s="56">
        <v>2296.6</v>
      </c>
      <c r="E167" s="56">
        <v>0</v>
      </c>
      <c r="F167" s="19">
        <v>2213.11</v>
      </c>
      <c r="G167" s="56">
        <v>0</v>
      </c>
      <c r="H167" s="57">
        <v>0</v>
      </c>
      <c r="I167" s="19">
        <v>15.49</v>
      </c>
      <c r="J167" s="19">
        <v>68</v>
      </c>
      <c r="K167" s="57">
        <v>2.9608987198467301E-2</v>
      </c>
      <c r="L167" s="57">
        <v>3.0725991929908589E-2</v>
      </c>
      <c r="M167" s="26" t="s">
        <v>1132</v>
      </c>
      <c r="N167" s="26">
        <v>16</v>
      </c>
      <c r="O167" s="26" t="s">
        <v>807</v>
      </c>
    </row>
    <row r="168" spans="1:15" hidden="1" x14ac:dyDescent="0.25">
      <c r="A168" s="26">
        <v>7</v>
      </c>
      <c r="B168" s="19" t="s">
        <v>167</v>
      </c>
      <c r="C168" s="19" t="s">
        <v>903</v>
      </c>
      <c r="D168" s="56">
        <v>2296.6</v>
      </c>
      <c r="E168" s="56">
        <v>0</v>
      </c>
      <c r="F168" s="19">
        <v>1545.47</v>
      </c>
      <c r="G168" s="56">
        <v>694.47</v>
      </c>
      <c r="H168" s="57">
        <v>0.30239049028999393</v>
      </c>
      <c r="I168" s="19">
        <v>10.82</v>
      </c>
      <c r="J168" s="19">
        <v>45.84</v>
      </c>
      <c r="K168" s="57">
        <v>1.9959940782025606E-2</v>
      </c>
      <c r="L168" s="57">
        <v>2.966087986178962E-2</v>
      </c>
      <c r="M168" s="26" t="s">
        <v>1132</v>
      </c>
      <c r="N168" s="26">
        <v>16</v>
      </c>
      <c r="O168" s="26" t="s">
        <v>807</v>
      </c>
    </row>
    <row r="169" spans="1:15" hidden="1" x14ac:dyDescent="0.25">
      <c r="A169" s="26">
        <v>8</v>
      </c>
      <c r="B169" s="19" t="s">
        <v>167</v>
      </c>
      <c r="C169" s="19" t="s">
        <v>910</v>
      </c>
      <c r="D169" s="56">
        <v>2296.6</v>
      </c>
      <c r="E169" s="56">
        <v>0</v>
      </c>
      <c r="F169" s="19">
        <v>844.02</v>
      </c>
      <c r="G169" s="56">
        <v>1429.5</v>
      </c>
      <c r="H169" s="57">
        <v>0.62244187059130895</v>
      </c>
      <c r="I169" s="19">
        <v>5.91</v>
      </c>
      <c r="J169" s="19">
        <v>17.170000000000002</v>
      </c>
      <c r="K169" s="57">
        <v>7.4762692676129941E-3</v>
      </c>
      <c r="L169" s="57">
        <v>2.0343119831283622E-2</v>
      </c>
      <c r="M169" s="26" t="s">
        <v>1132</v>
      </c>
      <c r="N169" s="26">
        <v>16</v>
      </c>
      <c r="O169" s="26" t="s">
        <v>807</v>
      </c>
    </row>
    <row r="170" spans="1:15" hidden="1" x14ac:dyDescent="0.25">
      <c r="A170" s="26">
        <v>9</v>
      </c>
      <c r="B170" s="19" t="s">
        <v>167</v>
      </c>
      <c r="C170" s="19" t="s">
        <v>915</v>
      </c>
      <c r="D170" s="56">
        <v>2296.6</v>
      </c>
      <c r="E170" s="56">
        <v>0</v>
      </c>
      <c r="F170" s="19">
        <v>479.68</v>
      </c>
      <c r="G170" s="56">
        <v>1800.48</v>
      </c>
      <c r="H170" s="57">
        <v>0.78397631281024127</v>
      </c>
      <c r="I170" s="19">
        <v>3.36</v>
      </c>
      <c r="J170" s="19">
        <v>13.08</v>
      </c>
      <c r="K170" s="57">
        <v>5.6953757728816518E-3</v>
      </c>
      <c r="L170" s="57">
        <v>2.7268178785857237E-2</v>
      </c>
      <c r="M170" s="26" t="s">
        <v>1132</v>
      </c>
      <c r="N170" s="26">
        <v>16</v>
      </c>
      <c r="O170" s="26" t="s">
        <v>807</v>
      </c>
    </row>
    <row r="171" spans="1:15" hidden="1" x14ac:dyDescent="0.25">
      <c r="A171" s="26">
        <v>10</v>
      </c>
      <c r="B171" s="19" t="s">
        <v>167</v>
      </c>
      <c r="C171" s="19" t="s">
        <v>927</v>
      </c>
      <c r="D171" s="56">
        <v>2296.6</v>
      </c>
      <c r="E171" s="56">
        <v>0</v>
      </c>
      <c r="F171" s="19">
        <v>765.38</v>
      </c>
      <c r="G171" s="56">
        <v>1422.15</v>
      </c>
      <c r="H171" s="57">
        <v>0.61924148741618046</v>
      </c>
      <c r="I171" s="19">
        <v>5.36</v>
      </c>
      <c r="J171" s="19">
        <v>103.71</v>
      </c>
      <c r="K171" s="57">
        <v>4.5158059740485937E-2</v>
      </c>
      <c r="L171" s="57">
        <v>0.13550131960594736</v>
      </c>
      <c r="M171" s="26" t="s">
        <v>1132</v>
      </c>
      <c r="N171" s="26">
        <v>16</v>
      </c>
      <c r="O171" s="26" t="s">
        <v>807</v>
      </c>
    </row>
    <row r="172" spans="1:15" hidden="1" x14ac:dyDescent="0.25">
      <c r="A172" s="26">
        <v>11</v>
      </c>
      <c r="B172" s="19" t="s">
        <v>168</v>
      </c>
      <c r="C172" s="19" t="s">
        <v>1001</v>
      </c>
      <c r="D172" s="56">
        <v>3674.55</v>
      </c>
      <c r="E172" s="56">
        <v>0</v>
      </c>
      <c r="F172" s="19">
        <v>118.64</v>
      </c>
      <c r="G172" s="56">
        <v>3551.72</v>
      </c>
      <c r="H172" s="57">
        <v>0.96657277761902805</v>
      </c>
      <c r="I172" s="19">
        <v>0.83</v>
      </c>
      <c r="J172" s="19">
        <v>3.36</v>
      </c>
      <c r="K172" s="57">
        <v>9.143976813487365E-4</v>
      </c>
      <c r="L172" s="57">
        <v>2.8320971004720162E-2</v>
      </c>
      <c r="M172" s="26" t="s">
        <v>1132</v>
      </c>
      <c r="N172" s="26">
        <v>16</v>
      </c>
      <c r="O172" s="26" t="s">
        <v>807</v>
      </c>
    </row>
    <row r="173" spans="1:15" hidden="1" x14ac:dyDescent="0.25">
      <c r="A173" s="26">
        <v>12</v>
      </c>
      <c r="B173" s="19" t="s">
        <v>295</v>
      </c>
      <c r="C173" s="19" t="s">
        <v>1012</v>
      </c>
      <c r="D173" s="56">
        <v>4423.87</v>
      </c>
      <c r="E173" s="56">
        <v>0</v>
      </c>
      <c r="F173" s="19">
        <v>3980.26</v>
      </c>
      <c r="G173" s="56">
        <v>375.23</v>
      </c>
      <c r="H173" s="57">
        <v>8.4819400208414816E-2</v>
      </c>
      <c r="I173" s="19">
        <v>27.86</v>
      </c>
      <c r="J173" s="19">
        <v>40.520000000000003</v>
      </c>
      <c r="K173" s="57">
        <v>9.1594011578097923E-3</v>
      </c>
      <c r="L173" s="57">
        <v>1.0180239481842894E-2</v>
      </c>
      <c r="M173" s="26" t="s">
        <v>1132</v>
      </c>
      <c r="N173" s="26">
        <v>16</v>
      </c>
      <c r="O173" s="26" t="s">
        <v>807</v>
      </c>
    </row>
    <row r="174" spans="1:15" hidden="1" x14ac:dyDescent="0.25">
      <c r="A174" s="26">
        <v>13</v>
      </c>
      <c r="B174" s="19" t="s">
        <v>295</v>
      </c>
      <c r="C174" s="19" t="s">
        <v>1026</v>
      </c>
      <c r="D174" s="56">
        <v>4423.87</v>
      </c>
      <c r="E174" s="56">
        <v>0</v>
      </c>
      <c r="F174" s="19">
        <v>4010.93</v>
      </c>
      <c r="G174" s="56">
        <v>358.74</v>
      </c>
      <c r="H174" s="57">
        <v>8.1091894653323907E-2</v>
      </c>
      <c r="I174" s="19">
        <v>28.08</v>
      </c>
      <c r="J174" s="19">
        <v>26.12</v>
      </c>
      <c r="K174" s="57">
        <v>5.9043326318359264E-3</v>
      </c>
      <c r="L174" s="57">
        <v>6.5122053987479219E-3</v>
      </c>
      <c r="M174" s="26" t="s">
        <v>1132</v>
      </c>
      <c r="N174" s="26">
        <v>16</v>
      </c>
      <c r="O174" s="26" t="s">
        <v>807</v>
      </c>
    </row>
    <row r="175" spans="1:15" hidden="1" x14ac:dyDescent="0.25">
      <c r="A175" s="26">
        <v>14</v>
      </c>
      <c r="B175" s="19" t="s">
        <v>295</v>
      </c>
      <c r="C175" s="19" t="s">
        <v>1039</v>
      </c>
      <c r="D175" s="56">
        <v>4423.87</v>
      </c>
      <c r="E175" s="56">
        <v>0</v>
      </c>
      <c r="F175" s="19">
        <v>4087.07</v>
      </c>
      <c r="G175" s="56">
        <v>247.53</v>
      </c>
      <c r="H175" s="57">
        <v>5.5953271682938246E-2</v>
      </c>
      <c r="I175" s="19">
        <v>28.61</v>
      </c>
      <c r="J175" s="19">
        <v>60.66</v>
      </c>
      <c r="K175" s="57">
        <v>1.3711976165664904E-2</v>
      </c>
      <c r="L175" s="57">
        <v>1.4841928325181608E-2</v>
      </c>
      <c r="M175" s="26" t="s">
        <v>1132</v>
      </c>
      <c r="N175" s="26">
        <v>16</v>
      </c>
      <c r="O175" s="26" t="s">
        <v>807</v>
      </c>
    </row>
    <row r="176" spans="1:15" hidden="1" x14ac:dyDescent="0.25">
      <c r="A176" s="26">
        <v>15</v>
      </c>
      <c r="B176" s="19" t="s">
        <v>295</v>
      </c>
      <c r="C176" s="19" t="s">
        <v>1068</v>
      </c>
      <c r="D176" s="56">
        <v>5204.55</v>
      </c>
      <c r="E176" s="56">
        <v>0</v>
      </c>
      <c r="F176" s="19">
        <v>4754.8599999999997</v>
      </c>
      <c r="G176" s="56">
        <v>328.43</v>
      </c>
      <c r="H176" s="57">
        <v>6.3104399035459363E-2</v>
      </c>
      <c r="I176" s="19">
        <v>33.28</v>
      </c>
      <c r="J176" s="19">
        <v>87.98</v>
      </c>
      <c r="K176" s="57">
        <v>1.6904439384769095E-2</v>
      </c>
      <c r="L176" s="57">
        <v>1.8503173595016468E-2</v>
      </c>
      <c r="M176" s="26" t="s">
        <v>1132</v>
      </c>
      <c r="N176" s="26">
        <v>16</v>
      </c>
      <c r="O176" s="26" t="s">
        <v>807</v>
      </c>
    </row>
    <row r="177" spans="1:15" hidden="1" x14ac:dyDescent="0.25">
      <c r="A177" s="26">
        <v>16</v>
      </c>
      <c r="B177" s="19" t="s">
        <v>295</v>
      </c>
      <c r="C177" s="19" t="s">
        <v>1082</v>
      </c>
      <c r="D177" s="56">
        <v>4423.87</v>
      </c>
      <c r="E177" s="56">
        <v>0</v>
      </c>
      <c r="F177" s="19">
        <v>2251.7600000000002</v>
      </c>
      <c r="G177" s="56">
        <v>2104.7399999999998</v>
      </c>
      <c r="H177" s="57">
        <v>0.47576895342765496</v>
      </c>
      <c r="I177" s="19">
        <v>15.76</v>
      </c>
      <c r="J177" s="19">
        <v>51.61</v>
      </c>
      <c r="K177" s="57">
        <v>1.1666256015660497E-2</v>
      </c>
      <c r="L177" s="57">
        <v>2.2919849362276618E-2</v>
      </c>
      <c r="M177" s="26" t="s">
        <v>1132</v>
      </c>
      <c r="N177" s="26">
        <v>16</v>
      </c>
      <c r="O177" s="26" t="s">
        <v>807</v>
      </c>
    </row>
    <row r="178" spans="1:15" hidden="1" x14ac:dyDescent="0.25">
      <c r="A178" s="26">
        <v>17</v>
      </c>
      <c r="B178" s="19" t="s">
        <v>295</v>
      </c>
      <c r="C178" s="19" t="s">
        <v>1098</v>
      </c>
      <c r="D178" s="56">
        <v>4423.87</v>
      </c>
      <c r="E178" s="56">
        <v>0</v>
      </c>
      <c r="F178" s="19">
        <v>1470.13</v>
      </c>
      <c r="G178" s="56">
        <v>2903.91</v>
      </c>
      <c r="H178" s="57">
        <v>0.65641847522644203</v>
      </c>
      <c r="I178" s="19">
        <v>10.29</v>
      </c>
      <c r="J178" s="19">
        <v>39.54</v>
      </c>
      <c r="K178" s="57">
        <v>8.9378756609032363E-3</v>
      </c>
      <c r="L178" s="57">
        <v>2.6895580662934567E-2</v>
      </c>
      <c r="M178" s="26" t="s">
        <v>1132</v>
      </c>
      <c r="N178" s="26">
        <v>16</v>
      </c>
      <c r="O178" s="26" t="s">
        <v>807</v>
      </c>
    </row>
    <row r="179" spans="1:15" hidden="1" x14ac:dyDescent="0.25">
      <c r="A179" s="26">
        <v>18</v>
      </c>
      <c r="B179" s="19" t="s">
        <v>297</v>
      </c>
      <c r="C179" s="19" t="s">
        <v>1112</v>
      </c>
      <c r="D179" s="56">
        <v>5143.32</v>
      </c>
      <c r="E179" s="56">
        <v>0</v>
      </c>
      <c r="F179" s="19">
        <v>2695.22</v>
      </c>
      <c r="G179" s="56">
        <v>2371.38</v>
      </c>
      <c r="H179" s="57">
        <v>0.46106017125125409</v>
      </c>
      <c r="I179" s="19">
        <v>18.87</v>
      </c>
      <c r="J179" s="19">
        <v>57.85</v>
      </c>
      <c r="K179" s="57">
        <v>1.1247598827216663E-2</v>
      </c>
      <c r="L179" s="57">
        <v>2.1463925022818176E-2</v>
      </c>
      <c r="M179" s="26" t="s">
        <v>1132</v>
      </c>
      <c r="N179" s="26">
        <v>16</v>
      </c>
      <c r="O179" s="26" t="s">
        <v>807</v>
      </c>
    </row>
    <row r="180" spans="1:15" hidden="1" x14ac:dyDescent="0.25">
      <c r="A180" s="26">
        <v>19</v>
      </c>
      <c r="B180" s="19" t="s">
        <v>297</v>
      </c>
      <c r="C180" s="19" t="s">
        <v>1120</v>
      </c>
      <c r="D180" s="56">
        <v>5143.32</v>
      </c>
      <c r="E180" s="56">
        <v>0</v>
      </c>
      <c r="F180" s="19">
        <v>117.16</v>
      </c>
      <c r="G180" s="56">
        <v>5024.04</v>
      </c>
      <c r="H180" s="57">
        <v>0.9768087538788176</v>
      </c>
      <c r="I180" s="19">
        <v>0.82</v>
      </c>
      <c r="J180" s="19">
        <v>1.3</v>
      </c>
      <c r="K180" s="57">
        <v>2.5275502982509353E-4</v>
      </c>
      <c r="L180" s="57">
        <v>1.1095937179924889E-2</v>
      </c>
      <c r="M180" s="26" t="s">
        <v>1132</v>
      </c>
      <c r="N180" s="26">
        <v>16</v>
      </c>
      <c r="O180" s="26" t="s">
        <v>807</v>
      </c>
    </row>
    <row r="181" spans="1:15" hidden="1" x14ac:dyDescent="0.25">
      <c r="A181" s="26">
        <v>20</v>
      </c>
      <c r="B181" s="19" t="s">
        <v>297</v>
      </c>
      <c r="C181" s="19" t="s">
        <v>1124</v>
      </c>
      <c r="D181" s="56">
        <v>4408.5600000000004</v>
      </c>
      <c r="E181" s="56">
        <v>0</v>
      </c>
      <c r="F181" s="19">
        <v>4233.22</v>
      </c>
      <c r="G181" s="56">
        <v>0</v>
      </c>
      <c r="H181" s="57">
        <v>0</v>
      </c>
      <c r="I181" s="19">
        <v>29.63</v>
      </c>
      <c r="J181" s="19">
        <v>145.71</v>
      </c>
      <c r="K181" s="57">
        <v>3.3051608688551365E-2</v>
      </c>
      <c r="L181" s="57">
        <v>3.4420606535923007E-2</v>
      </c>
      <c r="M181" s="26" t="s">
        <v>1132</v>
      </c>
      <c r="N181" s="26">
        <v>16</v>
      </c>
      <c r="O181" s="26" t="s">
        <v>807</v>
      </c>
    </row>
    <row r="182" spans="1:15" hidden="1" x14ac:dyDescent="0.25">
      <c r="A182" s="26">
        <v>21</v>
      </c>
      <c r="B182" s="19" t="s">
        <v>299</v>
      </c>
      <c r="C182" s="19" t="s">
        <v>1129</v>
      </c>
      <c r="D182" s="56">
        <v>0</v>
      </c>
      <c r="E182" s="56">
        <v>3961.75</v>
      </c>
      <c r="F182" s="19">
        <v>1985.72</v>
      </c>
      <c r="G182" s="56">
        <v>1780.37</v>
      </c>
      <c r="H182" s="57">
        <v>0.44938978986558969</v>
      </c>
      <c r="I182" s="19">
        <v>13.9</v>
      </c>
      <c r="J182" s="19">
        <v>181.76</v>
      </c>
      <c r="K182" s="57">
        <v>4.5878715214236129E-2</v>
      </c>
      <c r="L182" s="57">
        <v>9.1533549543742321E-2</v>
      </c>
      <c r="M182" s="26" t="s">
        <v>1132</v>
      </c>
      <c r="N182" s="26">
        <v>16</v>
      </c>
      <c r="O182" s="26" t="s">
        <v>807</v>
      </c>
    </row>
    <row r="183" spans="1:15" hidden="1" x14ac:dyDescent="0.25">
      <c r="C183" s="19" t="s">
        <v>169</v>
      </c>
      <c r="D183" s="19">
        <v>64066.450000000004</v>
      </c>
      <c r="E183" s="19">
        <v>6500.29</v>
      </c>
      <c r="F183" s="19">
        <v>44657.98</v>
      </c>
      <c r="G183" s="19">
        <v>24392.69</v>
      </c>
      <c r="H183" s="57">
        <v>0.34566837011317225</v>
      </c>
      <c r="I183" s="19">
        <v>312.60999999999996</v>
      </c>
      <c r="J183" s="19">
        <v>1203.46</v>
      </c>
      <c r="K183" s="57">
        <v>1.7054209957835659E-2</v>
      </c>
      <c r="L183" s="57">
        <v>2.6948375184009665E-2</v>
      </c>
      <c r="M183" s="26" t="s">
        <v>1132</v>
      </c>
      <c r="N183" s="26">
        <v>16</v>
      </c>
      <c r="O183" s="26" t="s">
        <v>807</v>
      </c>
    </row>
    <row r="184" spans="1:15" hidden="1" x14ac:dyDescent="0.25">
      <c r="A184" s="26">
        <v>1</v>
      </c>
      <c r="B184" s="19" t="s">
        <v>167</v>
      </c>
      <c r="C184" s="19" t="s">
        <v>1140</v>
      </c>
      <c r="D184" s="56">
        <v>0</v>
      </c>
      <c r="E184" s="56">
        <v>694.47</v>
      </c>
      <c r="F184" s="19">
        <v>663.47</v>
      </c>
      <c r="G184" s="56">
        <v>0</v>
      </c>
      <c r="H184" s="57">
        <v>0</v>
      </c>
      <c r="I184" s="19">
        <v>4.6399999999999997</v>
      </c>
      <c r="J184" s="19">
        <v>26.36</v>
      </c>
      <c r="K184" s="57">
        <v>3.7957003182282886E-2</v>
      </c>
      <c r="L184" s="57">
        <v>3.9730507784828249E-2</v>
      </c>
      <c r="M184" s="26" t="s">
        <v>1477</v>
      </c>
      <c r="N184" s="26">
        <v>17</v>
      </c>
      <c r="O184" s="26" t="s">
        <v>1142</v>
      </c>
    </row>
    <row r="185" spans="1:15" hidden="1" x14ac:dyDescent="0.25">
      <c r="A185" s="26">
        <v>2</v>
      </c>
      <c r="B185" s="19" t="s">
        <v>167</v>
      </c>
      <c r="C185" s="19" t="s">
        <v>1156</v>
      </c>
      <c r="D185" s="56">
        <v>0</v>
      </c>
      <c r="E185" s="56">
        <v>1269.27</v>
      </c>
      <c r="F185" s="19">
        <v>1252.69</v>
      </c>
      <c r="G185" s="56">
        <v>0</v>
      </c>
      <c r="H185" s="57">
        <v>0</v>
      </c>
      <c r="I185" s="19">
        <v>8.77</v>
      </c>
      <c r="J185" s="19">
        <v>7.81</v>
      </c>
      <c r="K185" s="57">
        <v>6.1531431452724796E-3</v>
      </c>
      <c r="L185" s="57">
        <v>6.2345831770030885E-3</v>
      </c>
      <c r="M185" s="26" t="s">
        <v>1477</v>
      </c>
      <c r="N185" s="26">
        <v>17</v>
      </c>
      <c r="O185" s="26" t="s">
        <v>1142</v>
      </c>
    </row>
    <row r="186" spans="1:15" hidden="1" x14ac:dyDescent="0.25">
      <c r="A186" s="26">
        <v>3</v>
      </c>
      <c r="B186" s="19" t="s">
        <v>167</v>
      </c>
      <c r="C186" s="19" t="s">
        <v>1162</v>
      </c>
      <c r="D186" s="56">
        <v>0</v>
      </c>
      <c r="E186" s="56">
        <v>1429.5</v>
      </c>
      <c r="F186" s="19">
        <v>1365.02</v>
      </c>
      <c r="G186" s="56">
        <v>0</v>
      </c>
      <c r="H186" s="57">
        <v>0</v>
      </c>
      <c r="I186" s="19">
        <v>9.56</v>
      </c>
      <c r="J186" s="19">
        <v>54.92</v>
      </c>
      <c r="K186" s="57">
        <v>3.8419027632039172E-2</v>
      </c>
      <c r="L186" s="57">
        <v>4.0233842727579086E-2</v>
      </c>
      <c r="M186" s="26" t="s">
        <v>1477</v>
      </c>
      <c r="N186" s="26">
        <v>17</v>
      </c>
      <c r="O186" s="26" t="s">
        <v>1142</v>
      </c>
    </row>
    <row r="187" spans="1:15" hidden="1" x14ac:dyDescent="0.25">
      <c r="A187" s="26">
        <v>4</v>
      </c>
      <c r="B187" s="19" t="s">
        <v>167</v>
      </c>
      <c r="C187" s="19" t="s">
        <v>1175</v>
      </c>
      <c r="D187" s="56">
        <v>0</v>
      </c>
      <c r="E187" s="56">
        <v>1800.48</v>
      </c>
      <c r="F187" s="19">
        <v>1710.44</v>
      </c>
      <c r="G187" s="56">
        <v>0</v>
      </c>
      <c r="H187" s="57">
        <v>0</v>
      </c>
      <c r="I187" s="19">
        <v>11.97</v>
      </c>
      <c r="J187" s="19">
        <v>78.069999999999993</v>
      </c>
      <c r="K187" s="57">
        <v>4.3360659379720959E-2</v>
      </c>
      <c r="L187" s="57">
        <v>4.5643226304342734E-2</v>
      </c>
      <c r="M187" s="26" t="s">
        <v>1477</v>
      </c>
      <c r="N187" s="26">
        <v>17</v>
      </c>
      <c r="O187" s="26" t="s">
        <v>1142</v>
      </c>
    </row>
    <row r="188" spans="1:15" hidden="1" x14ac:dyDescent="0.25">
      <c r="A188" s="26">
        <v>5</v>
      </c>
      <c r="B188" s="19" t="s">
        <v>167</v>
      </c>
      <c r="C188" s="19" t="s">
        <v>1196</v>
      </c>
      <c r="D188" s="56">
        <v>0</v>
      </c>
      <c r="E188" s="56">
        <v>1422.15</v>
      </c>
      <c r="F188" s="19">
        <v>427.27</v>
      </c>
      <c r="G188" s="56">
        <v>972.87</v>
      </c>
      <c r="H188" s="57">
        <v>0.68408395738846106</v>
      </c>
      <c r="I188" s="19">
        <v>2.99</v>
      </c>
      <c r="J188" s="19">
        <v>19.02</v>
      </c>
      <c r="K188" s="57">
        <v>1.3374116654361353E-2</v>
      </c>
      <c r="L188" s="57">
        <v>4.4515177756453764E-2</v>
      </c>
      <c r="M188" s="26" t="s">
        <v>1477</v>
      </c>
      <c r="N188" s="26">
        <v>17</v>
      </c>
      <c r="O188" s="26" t="s">
        <v>1142</v>
      </c>
    </row>
    <row r="189" spans="1:15" hidden="1" x14ac:dyDescent="0.25">
      <c r="A189" s="26">
        <v>6</v>
      </c>
      <c r="B189" s="19" t="s">
        <v>167</v>
      </c>
      <c r="C189" s="19" t="s">
        <v>1205</v>
      </c>
      <c r="D189" s="56">
        <v>2296.6</v>
      </c>
      <c r="E189" s="56">
        <v>0</v>
      </c>
      <c r="F189" s="19">
        <v>2204.81</v>
      </c>
      <c r="G189" s="56">
        <v>0</v>
      </c>
      <c r="H189" s="57">
        <v>0</v>
      </c>
      <c r="I189" s="19">
        <v>15.43</v>
      </c>
      <c r="J189" s="19">
        <v>76.36</v>
      </c>
      <c r="K189" s="57">
        <v>3.3249150918749457E-2</v>
      </c>
      <c r="L189" s="57">
        <v>3.463336976882362E-2</v>
      </c>
      <c r="M189" s="26" t="s">
        <v>1477</v>
      </c>
      <c r="N189" s="26">
        <v>17</v>
      </c>
      <c r="O189" s="26" t="s">
        <v>1142</v>
      </c>
    </row>
    <row r="190" spans="1:15" hidden="1" x14ac:dyDescent="0.25">
      <c r="A190" s="26">
        <v>7</v>
      </c>
      <c r="B190" s="19" t="s">
        <v>167</v>
      </c>
      <c r="C190" s="19" t="s">
        <v>1229</v>
      </c>
      <c r="D190" s="56">
        <v>2296.6</v>
      </c>
      <c r="E190" s="56">
        <v>0</v>
      </c>
      <c r="F190" s="19">
        <v>2187.54</v>
      </c>
      <c r="G190" s="56">
        <v>0</v>
      </c>
      <c r="H190" s="57">
        <v>0</v>
      </c>
      <c r="I190" s="19">
        <v>15.31</v>
      </c>
      <c r="J190" s="19">
        <v>93.75</v>
      </c>
      <c r="K190" s="57">
        <v>4.0821213968475135E-2</v>
      </c>
      <c r="L190" s="57">
        <v>4.2856359198003235E-2</v>
      </c>
      <c r="M190" s="26" t="s">
        <v>1477</v>
      </c>
      <c r="N190" s="26">
        <v>17</v>
      </c>
      <c r="O190" s="26" t="s">
        <v>1142</v>
      </c>
    </row>
    <row r="191" spans="1:15" hidden="1" x14ac:dyDescent="0.25">
      <c r="A191" s="26">
        <v>8</v>
      </c>
      <c r="B191" s="19" t="s">
        <v>167</v>
      </c>
      <c r="C191" s="19" t="s">
        <v>1246</v>
      </c>
      <c r="D191" s="56">
        <v>2296.6</v>
      </c>
      <c r="E191" s="56">
        <v>0</v>
      </c>
      <c r="F191" s="19">
        <v>2190.35</v>
      </c>
      <c r="G191" s="56">
        <v>0</v>
      </c>
      <c r="H191" s="57">
        <v>0</v>
      </c>
      <c r="I191" s="19">
        <v>15.33</v>
      </c>
      <c r="J191" s="19">
        <v>90.92</v>
      </c>
      <c r="K191" s="57">
        <v>3.9588957589480105E-2</v>
      </c>
      <c r="L191" s="57">
        <v>4.1509347821124483E-2</v>
      </c>
      <c r="M191" s="26" t="s">
        <v>1477</v>
      </c>
      <c r="N191" s="26">
        <v>17</v>
      </c>
      <c r="O191" s="26" t="s">
        <v>1142</v>
      </c>
    </row>
    <row r="192" spans="1:15" hidden="1" x14ac:dyDescent="0.25">
      <c r="A192" s="26">
        <v>9</v>
      </c>
      <c r="B192" s="19" t="s">
        <v>167</v>
      </c>
      <c r="C192" s="19" t="s">
        <v>1258</v>
      </c>
      <c r="D192" s="56">
        <v>2296.6</v>
      </c>
      <c r="E192" s="56">
        <v>0</v>
      </c>
      <c r="F192" s="19">
        <v>2170.96</v>
      </c>
      <c r="G192" s="56">
        <v>0</v>
      </c>
      <c r="H192" s="57">
        <v>0</v>
      </c>
      <c r="I192" s="19">
        <v>15.2</v>
      </c>
      <c r="J192" s="19">
        <v>110.44</v>
      </c>
      <c r="K192" s="57">
        <v>4.8088478620569537E-2</v>
      </c>
      <c r="L192" s="57">
        <v>5.0871503850830967E-2</v>
      </c>
      <c r="M192" s="26" t="s">
        <v>1477</v>
      </c>
      <c r="N192" s="26">
        <v>17</v>
      </c>
      <c r="O192" s="26" t="s">
        <v>1142</v>
      </c>
    </row>
    <row r="193" spans="1:15" hidden="1" x14ac:dyDescent="0.25">
      <c r="A193" s="26">
        <v>10</v>
      </c>
      <c r="B193" s="19" t="s">
        <v>167</v>
      </c>
      <c r="C193" s="19" t="s">
        <v>1277</v>
      </c>
      <c r="D193" s="56">
        <v>2296.6</v>
      </c>
      <c r="E193" s="56">
        <v>0</v>
      </c>
      <c r="F193" s="19">
        <v>1177.1099999999999</v>
      </c>
      <c r="G193" s="56">
        <v>1002.25</v>
      </c>
      <c r="H193" s="57">
        <v>0.4364059914656449</v>
      </c>
      <c r="I193" s="19">
        <v>8.24</v>
      </c>
      <c r="J193" s="19">
        <v>109</v>
      </c>
      <c r="K193" s="57">
        <v>4.7461464774013765E-2</v>
      </c>
      <c r="L193" s="57">
        <v>9.259967207822549E-2</v>
      </c>
      <c r="M193" s="26" t="s">
        <v>1477</v>
      </c>
      <c r="N193" s="26">
        <v>17</v>
      </c>
      <c r="O193" s="26" t="s">
        <v>1142</v>
      </c>
    </row>
    <row r="194" spans="1:15" hidden="1" x14ac:dyDescent="0.25">
      <c r="A194" s="26">
        <v>11</v>
      </c>
      <c r="B194" s="19" t="s">
        <v>167</v>
      </c>
      <c r="C194" s="19" t="s">
        <v>1323</v>
      </c>
      <c r="D194" s="56">
        <v>2296.6</v>
      </c>
      <c r="E194" s="56">
        <v>0</v>
      </c>
      <c r="F194" s="19">
        <v>920.92</v>
      </c>
      <c r="G194" s="56">
        <v>1362.13</v>
      </c>
      <c r="H194" s="57">
        <v>0.59310720195070976</v>
      </c>
      <c r="I194" s="19">
        <v>6.45</v>
      </c>
      <c r="J194" s="19">
        <v>7.1</v>
      </c>
      <c r="K194" s="57">
        <v>3.0915266045458503E-3</v>
      </c>
      <c r="L194" s="57">
        <v>7.709681622725101E-3</v>
      </c>
      <c r="M194" s="26" t="s">
        <v>1477</v>
      </c>
      <c r="N194" s="26">
        <v>17</v>
      </c>
      <c r="O194" s="26" t="s">
        <v>1142</v>
      </c>
    </row>
    <row r="195" spans="1:15" hidden="1" x14ac:dyDescent="0.25">
      <c r="A195" s="26">
        <v>12</v>
      </c>
      <c r="B195" s="19" t="s">
        <v>167</v>
      </c>
      <c r="C195" s="19" t="s">
        <v>1326</v>
      </c>
      <c r="D195" s="56">
        <v>2296.6</v>
      </c>
      <c r="E195" s="56">
        <v>0</v>
      </c>
      <c r="F195" s="19">
        <v>596.32000000000005</v>
      </c>
      <c r="G195" s="56">
        <v>1692</v>
      </c>
      <c r="H195" s="57">
        <v>0.73674126970303933</v>
      </c>
      <c r="I195" s="19">
        <v>4.17</v>
      </c>
      <c r="J195" s="19">
        <v>4.1100000000000003</v>
      </c>
      <c r="K195" s="57">
        <v>1.7896020203779501E-3</v>
      </c>
      <c r="L195" s="57">
        <v>6.8922726053125835E-3</v>
      </c>
      <c r="M195" s="26" t="s">
        <v>1477</v>
      </c>
      <c r="N195" s="26">
        <v>17</v>
      </c>
      <c r="O195" s="26" t="s">
        <v>1142</v>
      </c>
    </row>
    <row r="196" spans="1:15" hidden="1" x14ac:dyDescent="0.25">
      <c r="A196" s="26">
        <v>13</v>
      </c>
      <c r="B196" s="19" t="s">
        <v>167</v>
      </c>
      <c r="C196" s="19" t="s">
        <v>1329</v>
      </c>
      <c r="D196" s="56">
        <v>2296.6</v>
      </c>
      <c r="E196" s="56">
        <v>0</v>
      </c>
      <c r="F196" s="19">
        <v>1192.6400000000001</v>
      </c>
      <c r="G196" s="56">
        <v>1087.4000000000001</v>
      </c>
      <c r="H196" s="57">
        <v>0.4734825394060786</v>
      </c>
      <c r="I196" s="19">
        <v>8.35</v>
      </c>
      <c r="J196" s="19">
        <v>8.2100000000000009</v>
      </c>
      <c r="K196" s="57">
        <v>3.5748497779325965E-3</v>
      </c>
      <c r="L196" s="57">
        <v>6.8838878454521068E-3</v>
      </c>
      <c r="M196" s="26" t="s">
        <v>1477</v>
      </c>
      <c r="N196" s="26">
        <v>17</v>
      </c>
      <c r="O196" s="26" t="s">
        <v>1142</v>
      </c>
    </row>
    <row r="197" spans="1:15" hidden="1" x14ac:dyDescent="0.25">
      <c r="A197" s="26">
        <v>14</v>
      </c>
      <c r="B197" s="19" t="s">
        <v>168</v>
      </c>
      <c r="C197" s="19" t="s">
        <v>1335</v>
      </c>
      <c r="D197" s="56">
        <v>0</v>
      </c>
      <c r="E197" s="56">
        <v>3551.72</v>
      </c>
      <c r="F197" s="19">
        <v>784.33</v>
      </c>
      <c r="G197" s="56">
        <v>2699.16</v>
      </c>
      <c r="H197" s="57">
        <v>0.75995855529152068</v>
      </c>
      <c r="I197" s="19">
        <v>5.49</v>
      </c>
      <c r="J197" s="19">
        <v>62.74</v>
      </c>
      <c r="K197" s="57">
        <v>1.766468077438537E-2</v>
      </c>
      <c r="L197" s="57">
        <v>7.9991840169316486E-2</v>
      </c>
      <c r="M197" s="26" t="s">
        <v>1477</v>
      </c>
      <c r="N197" s="26">
        <v>17</v>
      </c>
      <c r="O197" s="26" t="s">
        <v>1142</v>
      </c>
    </row>
    <row r="198" spans="1:15" hidden="1" x14ac:dyDescent="0.25">
      <c r="A198" s="26">
        <v>15</v>
      </c>
      <c r="B198" s="19" t="s">
        <v>295</v>
      </c>
      <c r="C198" s="19" t="s">
        <v>1343</v>
      </c>
      <c r="D198" s="56">
        <v>0</v>
      </c>
      <c r="E198" s="56">
        <v>2104.7399999999998</v>
      </c>
      <c r="F198" s="19">
        <v>1831.8</v>
      </c>
      <c r="G198" s="56">
        <v>224.61</v>
      </c>
      <c r="H198" s="57">
        <v>0.10671626899284474</v>
      </c>
      <c r="I198" s="19">
        <v>12.82</v>
      </c>
      <c r="J198" s="19">
        <v>35.51</v>
      </c>
      <c r="K198" s="57">
        <v>1.6871442553474541E-2</v>
      </c>
      <c r="L198" s="57">
        <v>1.9385304072496997E-2</v>
      </c>
      <c r="M198" s="26" t="s">
        <v>1477</v>
      </c>
      <c r="N198" s="26">
        <v>17</v>
      </c>
      <c r="O198" s="26" t="s">
        <v>1142</v>
      </c>
    </row>
    <row r="199" spans="1:15" hidden="1" x14ac:dyDescent="0.25">
      <c r="A199" s="26">
        <v>16</v>
      </c>
      <c r="B199" s="19" t="s">
        <v>295</v>
      </c>
      <c r="C199" s="19" t="s">
        <v>1359</v>
      </c>
      <c r="D199" s="56">
        <v>0</v>
      </c>
      <c r="E199" s="56">
        <v>2903.91</v>
      </c>
      <c r="F199" s="19">
        <v>2534.9</v>
      </c>
      <c r="G199" s="56">
        <v>270.58999999999997</v>
      </c>
      <c r="H199" s="57">
        <v>9.3181262504691942E-2</v>
      </c>
      <c r="I199" s="19">
        <v>17.739999999999998</v>
      </c>
      <c r="J199" s="19">
        <v>80.680000000000007</v>
      </c>
      <c r="K199" s="57">
        <v>2.7783230196528133E-2</v>
      </c>
      <c r="L199" s="57">
        <v>3.1827685510276538E-2</v>
      </c>
      <c r="M199" s="26" t="s">
        <v>1477</v>
      </c>
      <c r="N199" s="26">
        <v>17</v>
      </c>
      <c r="O199" s="26" t="s">
        <v>1142</v>
      </c>
    </row>
    <row r="200" spans="1:15" hidden="1" x14ac:dyDescent="0.25">
      <c r="A200" s="26">
        <v>17</v>
      </c>
      <c r="B200" s="19" t="s">
        <v>295</v>
      </c>
      <c r="C200" s="19" t="s">
        <v>1365</v>
      </c>
      <c r="D200" s="56">
        <v>4423.87</v>
      </c>
      <c r="E200" s="56">
        <v>0</v>
      </c>
      <c r="F200" s="19">
        <v>4001.56</v>
      </c>
      <c r="G200" s="56">
        <v>270.58</v>
      </c>
      <c r="H200" s="57">
        <v>6.116364178875057E-2</v>
      </c>
      <c r="I200" s="19">
        <v>28.01</v>
      </c>
      <c r="J200" s="19">
        <v>123.72</v>
      </c>
      <c r="K200" s="57">
        <v>2.7966463752325452E-2</v>
      </c>
      <c r="L200" s="57">
        <v>3.0917942002618978E-2</v>
      </c>
      <c r="M200" s="26" t="s">
        <v>1477</v>
      </c>
      <c r="N200" s="26">
        <v>17</v>
      </c>
      <c r="O200" s="26" t="s">
        <v>1142</v>
      </c>
    </row>
    <row r="201" spans="1:15" hidden="1" x14ac:dyDescent="0.25">
      <c r="A201" s="26">
        <v>18</v>
      </c>
      <c r="B201" s="19" t="s">
        <v>295</v>
      </c>
      <c r="C201" s="19" t="s">
        <v>1380</v>
      </c>
      <c r="D201" s="56">
        <v>4423.87</v>
      </c>
      <c r="E201" s="56">
        <v>0</v>
      </c>
      <c r="F201" s="19">
        <v>4156.08</v>
      </c>
      <c r="G201" s="56">
        <v>0</v>
      </c>
      <c r="H201" s="57">
        <v>0</v>
      </c>
      <c r="I201" s="19">
        <v>29.09</v>
      </c>
      <c r="J201" s="19">
        <v>238.7</v>
      </c>
      <c r="K201" s="57">
        <v>5.3957281746525101E-2</v>
      </c>
      <c r="L201" s="57">
        <v>5.7433928124578926E-2</v>
      </c>
      <c r="M201" s="26" t="s">
        <v>1477</v>
      </c>
      <c r="N201" s="26">
        <v>17</v>
      </c>
      <c r="O201" s="26" t="s">
        <v>1142</v>
      </c>
    </row>
    <row r="202" spans="1:15" hidden="1" x14ac:dyDescent="0.25">
      <c r="A202" s="26">
        <v>19</v>
      </c>
      <c r="B202" s="19" t="s">
        <v>295</v>
      </c>
      <c r="C202" s="19" t="s">
        <v>1397</v>
      </c>
      <c r="D202" s="56">
        <v>4423.87</v>
      </c>
      <c r="E202" s="56">
        <v>0</v>
      </c>
      <c r="F202" s="19">
        <v>4106.93</v>
      </c>
      <c r="G202" s="56">
        <v>0</v>
      </c>
      <c r="H202" s="57">
        <v>0</v>
      </c>
      <c r="I202" s="19">
        <v>28.75</v>
      </c>
      <c r="J202" s="19">
        <v>288.19</v>
      </c>
      <c r="K202" s="57">
        <v>6.5144319340306109E-2</v>
      </c>
      <c r="L202" s="57">
        <v>7.0171636721346603E-2</v>
      </c>
      <c r="M202" s="26" t="s">
        <v>1477</v>
      </c>
      <c r="N202" s="26">
        <v>17</v>
      </c>
      <c r="O202" s="26" t="s">
        <v>1142</v>
      </c>
    </row>
    <row r="203" spans="1:15" hidden="1" x14ac:dyDescent="0.25">
      <c r="A203" s="26">
        <v>20</v>
      </c>
      <c r="B203" s="19" t="s">
        <v>295</v>
      </c>
      <c r="C203" s="19" t="s">
        <v>1419</v>
      </c>
      <c r="D203" s="56">
        <v>4423.87</v>
      </c>
      <c r="E203" s="56">
        <v>0</v>
      </c>
      <c r="F203" s="19">
        <v>287.36</v>
      </c>
      <c r="G203" s="56">
        <v>4130.4799999999996</v>
      </c>
      <c r="H203" s="57">
        <v>0.93368023924753663</v>
      </c>
      <c r="I203" s="19">
        <v>2.0099999999999998</v>
      </c>
      <c r="J203" s="19">
        <v>4.0199999999999996</v>
      </c>
      <c r="K203" s="57">
        <v>9.0870663016770373E-4</v>
      </c>
      <c r="L203" s="57">
        <v>1.3989420935412025E-2</v>
      </c>
      <c r="M203" s="26" t="s">
        <v>1477</v>
      </c>
      <c r="N203" s="26">
        <v>17</v>
      </c>
      <c r="O203" s="26" t="s">
        <v>1142</v>
      </c>
    </row>
    <row r="204" spans="1:15" hidden="1" x14ac:dyDescent="0.25">
      <c r="A204" s="26">
        <v>21</v>
      </c>
      <c r="B204" s="19" t="s">
        <v>295</v>
      </c>
      <c r="C204" s="19" t="s">
        <v>1421</v>
      </c>
      <c r="D204" s="56">
        <v>5204.55</v>
      </c>
      <c r="E204" s="56">
        <v>0</v>
      </c>
      <c r="F204" s="19">
        <v>4719.5600000000004</v>
      </c>
      <c r="G204" s="56">
        <v>387.79</v>
      </c>
      <c r="H204" s="57">
        <v>7.4509803921568626E-2</v>
      </c>
      <c r="I204" s="19">
        <v>33.04</v>
      </c>
      <c r="J204" s="19">
        <v>64.16</v>
      </c>
      <c r="K204" s="57">
        <v>1.232767482299142E-2</v>
      </c>
      <c r="L204" s="57">
        <v>1.3594487621727448E-2</v>
      </c>
      <c r="M204" s="26" t="s">
        <v>1477</v>
      </c>
      <c r="N204" s="26">
        <v>17</v>
      </c>
      <c r="O204" s="26" t="s">
        <v>1142</v>
      </c>
    </row>
    <row r="205" spans="1:15" hidden="1" x14ac:dyDescent="0.25">
      <c r="A205" s="26">
        <v>22</v>
      </c>
      <c r="B205" s="19" t="s">
        <v>295</v>
      </c>
      <c r="C205" s="19" t="s">
        <v>1431</v>
      </c>
      <c r="D205" s="56">
        <v>5204.55</v>
      </c>
      <c r="E205" s="56">
        <v>0</v>
      </c>
      <c r="F205" s="19">
        <v>4893.7299999999996</v>
      </c>
      <c r="G205" s="56">
        <v>0</v>
      </c>
      <c r="H205" s="57">
        <v>0</v>
      </c>
      <c r="I205" s="19">
        <v>34.26</v>
      </c>
      <c r="J205" s="19">
        <v>276.56</v>
      </c>
      <c r="K205" s="57">
        <v>5.313811953002661E-2</v>
      </c>
      <c r="L205" s="57">
        <v>5.6513130066431952E-2</v>
      </c>
      <c r="M205" s="26" t="s">
        <v>1477</v>
      </c>
      <c r="N205" s="26">
        <v>17</v>
      </c>
      <c r="O205" s="26" t="s">
        <v>1142</v>
      </c>
    </row>
    <row r="206" spans="1:15" hidden="1" x14ac:dyDescent="0.25">
      <c r="A206" s="26">
        <v>23</v>
      </c>
      <c r="B206" s="19" t="s">
        <v>297</v>
      </c>
      <c r="C206" s="19" t="s">
        <v>1450</v>
      </c>
      <c r="D206" s="56">
        <v>0</v>
      </c>
      <c r="E206" s="56">
        <v>2371.38</v>
      </c>
      <c r="F206" s="19">
        <v>2181.8200000000002</v>
      </c>
      <c r="G206" s="56">
        <v>112.47</v>
      </c>
      <c r="H206" s="57">
        <v>4.7428079852237938E-2</v>
      </c>
      <c r="I206" s="19">
        <v>15.27</v>
      </c>
      <c r="J206" s="19">
        <v>61.82</v>
      </c>
      <c r="K206" s="57">
        <v>2.6069208646442153E-2</v>
      </c>
      <c r="L206" s="57">
        <v>2.8334143054880787E-2</v>
      </c>
      <c r="M206" s="26" t="s">
        <v>1477</v>
      </c>
      <c r="N206" s="26">
        <v>17</v>
      </c>
      <c r="O206" s="26" t="s">
        <v>1142</v>
      </c>
    </row>
    <row r="207" spans="1:15" hidden="1" x14ac:dyDescent="0.25">
      <c r="A207" s="26">
        <v>24</v>
      </c>
      <c r="B207" s="19" t="s">
        <v>297</v>
      </c>
      <c r="C207" s="19" t="s">
        <v>1453</v>
      </c>
      <c r="D207" s="56">
        <v>4408.5600000000004</v>
      </c>
      <c r="E207" s="56">
        <v>0</v>
      </c>
      <c r="F207" s="19">
        <v>4233.22</v>
      </c>
      <c r="G207" s="56">
        <v>0</v>
      </c>
      <c r="H207" s="57">
        <v>0</v>
      </c>
      <c r="I207" s="19">
        <v>29.63</v>
      </c>
      <c r="J207" s="19">
        <v>145.71</v>
      </c>
      <c r="K207" s="57">
        <v>3.3051608688551365E-2</v>
      </c>
      <c r="L207" s="57">
        <v>3.4420606535923007E-2</v>
      </c>
      <c r="M207" s="26" t="s">
        <v>1477</v>
      </c>
      <c r="N207" s="26">
        <v>17</v>
      </c>
      <c r="O207" s="26" t="s">
        <v>1142</v>
      </c>
    </row>
    <row r="208" spans="1:15" hidden="1" x14ac:dyDescent="0.25">
      <c r="A208" s="26">
        <v>25</v>
      </c>
      <c r="B208" s="19" t="s">
        <v>298</v>
      </c>
      <c r="C208" s="19" t="s">
        <v>1458</v>
      </c>
      <c r="D208" s="56">
        <v>0</v>
      </c>
      <c r="E208" s="56">
        <v>5085.55</v>
      </c>
      <c r="F208" s="19">
        <v>3332.35</v>
      </c>
      <c r="G208" s="56">
        <v>1601.21</v>
      </c>
      <c r="H208" s="57">
        <v>0.31485483379378826</v>
      </c>
      <c r="I208" s="19">
        <v>23.33</v>
      </c>
      <c r="J208" s="19">
        <v>128.66</v>
      </c>
      <c r="K208" s="57">
        <v>2.5299131853978429E-2</v>
      </c>
      <c r="L208" s="57">
        <v>3.8609389769982141E-2</v>
      </c>
      <c r="M208" s="26" t="s">
        <v>1477</v>
      </c>
      <c r="N208" s="26">
        <v>17</v>
      </c>
      <c r="O208" s="26" t="s">
        <v>1142</v>
      </c>
    </row>
    <row r="209" spans="1:17" hidden="1" x14ac:dyDescent="0.25">
      <c r="A209" s="26">
        <v>26</v>
      </c>
      <c r="B209" s="19" t="s">
        <v>299</v>
      </c>
      <c r="C209" s="19" t="s">
        <v>1465</v>
      </c>
      <c r="D209" s="56">
        <v>0</v>
      </c>
      <c r="E209" s="56">
        <v>1564.16</v>
      </c>
      <c r="F209" s="19">
        <v>992.86</v>
      </c>
      <c r="G209" s="56">
        <v>417.67</v>
      </c>
      <c r="H209" s="57">
        <v>0.26702511252045824</v>
      </c>
      <c r="I209" s="19">
        <v>6.95</v>
      </c>
      <c r="J209" s="19">
        <v>146.68</v>
      </c>
      <c r="K209" s="57">
        <v>9.377557283142389E-2</v>
      </c>
      <c r="L209" s="57">
        <v>0.14773482666236931</v>
      </c>
      <c r="M209" s="26" t="s">
        <v>1477</v>
      </c>
      <c r="N209" s="26">
        <v>17</v>
      </c>
      <c r="O209" s="26" t="s">
        <v>1142</v>
      </c>
    </row>
    <row r="210" spans="1:17" hidden="1" x14ac:dyDescent="0.25">
      <c r="A210" s="26">
        <v>27</v>
      </c>
      <c r="B210" s="19" t="s">
        <v>299</v>
      </c>
      <c r="C210" s="19" t="s">
        <v>1468</v>
      </c>
      <c r="D210" s="56">
        <v>5887.5</v>
      </c>
      <c r="E210" s="56">
        <v>0</v>
      </c>
      <c r="F210" s="19">
        <v>4467.87</v>
      </c>
      <c r="G210" s="56">
        <v>0</v>
      </c>
      <c r="H210" s="57">
        <v>0</v>
      </c>
      <c r="I210" s="19">
        <v>31.28</v>
      </c>
      <c r="J210" s="19">
        <v>1388.35</v>
      </c>
      <c r="K210" s="57">
        <v>0.23581316348195328</v>
      </c>
      <c r="L210" s="57">
        <v>0.31074091233630341</v>
      </c>
      <c r="M210" s="26" t="s">
        <v>1477</v>
      </c>
      <c r="N210" s="26">
        <v>17</v>
      </c>
      <c r="O210" s="26" t="s">
        <v>1142</v>
      </c>
    </row>
    <row r="211" spans="1:17" hidden="1" x14ac:dyDescent="0.25">
      <c r="A211" s="26">
        <v>28</v>
      </c>
      <c r="B211" s="86" t="s">
        <v>299</v>
      </c>
      <c r="C211" s="86" t="s">
        <v>1473</v>
      </c>
      <c r="D211" s="87">
        <v>4906.25</v>
      </c>
      <c r="E211" s="87">
        <v>0</v>
      </c>
      <c r="F211" s="86">
        <v>2482.15</v>
      </c>
      <c r="G211" s="87">
        <v>1843</v>
      </c>
      <c r="H211" s="88">
        <f t="shared" ref="H211" si="0">IF(D211+E211&gt;0, G211/(D211+E211), 0)</f>
        <v>0.37564331210191082</v>
      </c>
      <c r="I211" s="86">
        <f t="shared" ref="I211" si="1">ROUND(F211*0.7/100, 2)</f>
        <v>17.38</v>
      </c>
      <c r="J211" s="86">
        <f t="shared" ref="J211" si="2">MAX(ROUND(D211+E211-F211-G211-I211, 2), 0)</f>
        <v>563.72</v>
      </c>
      <c r="K211" s="88">
        <f t="shared" ref="K211" si="3">IF(D211+E211&gt;0, J211/(D211+E211), 0)</f>
        <v>0.11489834394904459</v>
      </c>
      <c r="L211" s="88">
        <f t="shared" ref="L211" si="4">IF(F211&gt;0, J211/F211, 0)</f>
        <v>0.22710956227464094</v>
      </c>
      <c r="M211" s="86" t="s">
        <v>1477</v>
      </c>
      <c r="N211" s="86">
        <v>17</v>
      </c>
      <c r="O211" s="86" t="s">
        <v>1142</v>
      </c>
      <c r="P211" s="86">
        <v>26.99</v>
      </c>
      <c r="Q211" s="86" t="s">
        <v>434</v>
      </c>
    </row>
    <row r="212" spans="1:17" hidden="1" x14ac:dyDescent="0.25">
      <c r="C212" s="19" t="s">
        <v>169</v>
      </c>
      <c r="D212" s="19">
        <v>62660.94</v>
      </c>
      <c r="E212" s="19">
        <v>24197.329999999998</v>
      </c>
      <c r="F212" s="19">
        <v>63066.060000000012</v>
      </c>
      <c r="G212" s="19">
        <v>19055.46</v>
      </c>
      <c r="H212" s="57">
        <v>0.2193856727747398</v>
      </c>
      <c r="I212" s="19">
        <v>441.45999999999992</v>
      </c>
      <c r="J212" s="19">
        <v>4295.29</v>
      </c>
      <c r="K212" s="57">
        <v>4.9451710240141784E-2</v>
      </c>
      <c r="L212" s="57">
        <v>6.8107790466060497E-2</v>
      </c>
      <c r="M212" s="26" t="s">
        <v>1477</v>
      </c>
      <c r="N212" s="26">
        <v>17</v>
      </c>
      <c r="O212" s="26" t="s">
        <v>1142</v>
      </c>
    </row>
    <row r="213" spans="1:17" hidden="1" x14ac:dyDescent="0.25">
      <c r="A213" s="26">
        <v>1</v>
      </c>
      <c r="B213" s="19" t="s">
        <v>298</v>
      </c>
      <c r="C213" s="19" t="s">
        <v>1488</v>
      </c>
      <c r="D213" s="56">
        <v>0</v>
      </c>
      <c r="E213" s="56">
        <v>740.92</v>
      </c>
      <c r="F213" s="19">
        <v>87.92</v>
      </c>
      <c r="G213" s="56">
        <v>632.4</v>
      </c>
      <c r="H213" s="57">
        <v>0.85353344490633265</v>
      </c>
      <c r="I213" s="19">
        <v>0.62</v>
      </c>
      <c r="J213" s="19">
        <v>19.98</v>
      </c>
      <c r="K213" s="57">
        <v>2.6966474113264593E-2</v>
      </c>
      <c r="L213" s="57">
        <v>0.22725204731574158</v>
      </c>
      <c r="M213" s="26" t="s">
        <v>1491</v>
      </c>
      <c r="N213" s="26">
        <v>18</v>
      </c>
      <c r="O213" s="26" t="s">
        <v>1490</v>
      </c>
    </row>
    <row r="214" spans="1:17" hidden="1" x14ac:dyDescent="0.25">
      <c r="C214" s="19" t="s">
        <v>169</v>
      </c>
      <c r="D214" s="19">
        <v>0</v>
      </c>
      <c r="E214" s="19">
        <v>740.92</v>
      </c>
      <c r="F214" s="19">
        <v>87.92</v>
      </c>
      <c r="G214" s="19">
        <v>632.4</v>
      </c>
      <c r="H214" s="57">
        <v>0.85353344490633265</v>
      </c>
      <c r="I214" s="19">
        <v>0.62</v>
      </c>
      <c r="J214" s="19">
        <v>19.98</v>
      </c>
      <c r="K214" s="57">
        <v>2.6966474113264593E-2</v>
      </c>
      <c r="L214" s="57">
        <v>0.22725204731574158</v>
      </c>
      <c r="M214" s="26" t="s">
        <v>1491</v>
      </c>
      <c r="N214" s="26">
        <v>18</v>
      </c>
      <c r="O214" s="26" t="s">
        <v>1490</v>
      </c>
    </row>
    <row r="215" spans="1:17" hidden="1" x14ac:dyDescent="0.25">
      <c r="A215" s="26">
        <v>1</v>
      </c>
      <c r="B215" s="19" t="s">
        <v>167</v>
      </c>
      <c r="C215" s="19" t="s">
        <v>1494</v>
      </c>
      <c r="D215" s="56">
        <v>2296.6</v>
      </c>
      <c r="E215" s="56">
        <v>0</v>
      </c>
      <c r="F215" s="19">
        <v>918.4</v>
      </c>
      <c r="G215" s="56">
        <v>1352.99</v>
      </c>
      <c r="H215" s="57">
        <v>0.58912740573020994</v>
      </c>
      <c r="I215" s="19">
        <v>6.43</v>
      </c>
      <c r="J215" s="19">
        <v>18.78</v>
      </c>
      <c r="K215" s="57">
        <v>8.1773055821649406E-3</v>
      </c>
      <c r="L215" s="57">
        <v>2.0448606271777005E-2</v>
      </c>
      <c r="M215" s="26" t="s">
        <v>1529</v>
      </c>
      <c r="N215" s="26">
        <v>20</v>
      </c>
      <c r="O215" s="26" t="s">
        <v>1496</v>
      </c>
    </row>
    <row r="216" spans="1:17" hidden="1" x14ac:dyDescent="0.25">
      <c r="C216" s="19" t="s">
        <v>169</v>
      </c>
      <c r="D216" s="19">
        <v>2296.6</v>
      </c>
      <c r="E216" s="19">
        <v>0</v>
      </c>
      <c r="F216" s="19">
        <v>918.4</v>
      </c>
      <c r="G216" s="19">
        <v>1352.99</v>
      </c>
      <c r="H216" s="57">
        <v>0.58912740573020994</v>
      </c>
      <c r="I216" s="19">
        <v>6.43</v>
      </c>
      <c r="J216" s="19">
        <v>18.78</v>
      </c>
      <c r="K216" s="57">
        <v>8.1773055821649406E-3</v>
      </c>
      <c r="L216" s="57">
        <v>2.0448606271777005E-2</v>
      </c>
      <c r="M216" s="26" t="s">
        <v>1529</v>
      </c>
      <c r="N216" s="26">
        <v>20</v>
      </c>
      <c r="O216" s="26" t="s">
        <v>1496</v>
      </c>
    </row>
    <row r="217" spans="1:17" hidden="1" x14ac:dyDescent="0.25">
      <c r="A217" s="26">
        <v>1</v>
      </c>
      <c r="B217" s="19" t="s">
        <v>167</v>
      </c>
      <c r="C217" s="19" t="s">
        <v>1532</v>
      </c>
      <c r="D217" s="56">
        <v>0</v>
      </c>
      <c r="E217" s="56">
        <v>1352.99</v>
      </c>
      <c r="F217" s="19">
        <v>918.4</v>
      </c>
      <c r="G217" s="56">
        <v>410.17</v>
      </c>
      <c r="H217" s="57">
        <v>0.30315819037834724</v>
      </c>
      <c r="I217" s="19">
        <v>6.43</v>
      </c>
      <c r="J217" s="19">
        <v>17.989999999999998</v>
      </c>
      <c r="K217" s="57">
        <v>1.3296476692362839E-2</v>
      </c>
      <c r="L217" s="57">
        <v>1.9588414634146342E-2</v>
      </c>
      <c r="M217" s="26" t="s">
        <v>1567</v>
      </c>
      <c r="N217" s="26">
        <v>21</v>
      </c>
      <c r="O217" s="26" t="s">
        <v>1142</v>
      </c>
    </row>
    <row r="218" spans="1:17" hidden="1" x14ac:dyDescent="0.25">
      <c r="C218" s="19" t="s">
        <v>169</v>
      </c>
      <c r="D218" s="19">
        <v>0</v>
      </c>
      <c r="E218" s="19">
        <v>1352.99</v>
      </c>
      <c r="F218" s="19">
        <v>918.4</v>
      </c>
      <c r="G218" s="19">
        <v>410.17</v>
      </c>
      <c r="H218" s="57">
        <v>0.30315819037834724</v>
      </c>
      <c r="I218" s="19">
        <v>6.43</v>
      </c>
      <c r="J218" s="19">
        <v>17.989999999999998</v>
      </c>
      <c r="K218" s="57">
        <v>1.3296476692362839E-2</v>
      </c>
      <c r="L218" s="57">
        <v>1.9588414634146342E-2</v>
      </c>
      <c r="M218" s="26" t="s">
        <v>1567</v>
      </c>
      <c r="N218" s="26">
        <v>21</v>
      </c>
      <c r="O218" s="26" t="s">
        <v>1142</v>
      </c>
    </row>
    <row r="219" spans="1:17" hidden="1" x14ac:dyDescent="0.25">
      <c r="A219" s="26">
        <v>1</v>
      </c>
      <c r="B219" s="19" t="s">
        <v>167</v>
      </c>
      <c r="C219" s="19" t="s">
        <v>1571</v>
      </c>
      <c r="D219" s="56">
        <v>0</v>
      </c>
      <c r="E219" s="56">
        <v>1245.44</v>
      </c>
      <c r="F219" s="19">
        <v>1207.5</v>
      </c>
      <c r="G219" s="56">
        <v>0</v>
      </c>
      <c r="H219" s="57">
        <v>0</v>
      </c>
      <c r="I219" s="19">
        <v>8.4499999999999993</v>
      </c>
      <c r="J219" s="19">
        <v>29.49</v>
      </c>
      <c r="K219" s="57">
        <v>2.3678378725590952E-2</v>
      </c>
      <c r="L219" s="57">
        <v>2.4422360248447204E-2</v>
      </c>
      <c r="M219" s="26" t="s">
        <v>1999</v>
      </c>
      <c r="N219" s="26">
        <v>22</v>
      </c>
      <c r="O219" s="26" t="s">
        <v>1573</v>
      </c>
    </row>
    <row r="220" spans="1:17" hidden="1" x14ac:dyDescent="0.25">
      <c r="A220" s="26">
        <v>2</v>
      </c>
      <c r="B220" s="19" t="s">
        <v>167</v>
      </c>
      <c r="C220" s="19" t="s">
        <v>1589</v>
      </c>
      <c r="D220" s="56">
        <v>0</v>
      </c>
      <c r="E220" s="56">
        <v>1229.94</v>
      </c>
      <c r="F220" s="19">
        <v>1204.29</v>
      </c>
      <c r="G220" s="56">
        <v>0</v>
      </c>
      <c r="H220" s="57">
        <v>0</v>
      </c>
      <c r="I220" s="19">
        <v>8.43</v>
      </c>
      <c r="J220" s="19">
        <v>17.22</v>
      </c>
      <c r="K220" s="57">
        <v>1.4000682960144395E-2</v>
      </c>
      <c r="L220" s="57">
        <v>1.4298881498642352E-2</v>
      </c>
      <c r="M220" s="26" t="s">
        <v>1999</v>
      </c>
      <c r="N220" s="26">
        <v>22</v>
      </c>
      <c r="O220" s="26" t="s">
        <v>1573</v>
      </c>
    </row>
    <row r="221" spans="1:17" hidden="1" x14ac:dyDescent="0.25">
      <c r="A221" s="26">
        <v>3</v>
      </c>
      <c r="B221" s="19" t="s">
        <v>167</v>
      </c>
      <c r="C221" s="19" t="s">
        <v>1604</v>
      </c>
      <c r="D221" s="56">
        <v>0</v>
      </c>
      <c r="E221" s="56">
        <v>1326.06</v>
      </c>
      <c r="F221" s="19">
        <v>1234.98</v>
      </c>
      <c r="G221" s="56">
        <v>0</v>
      </c>
      <c r="H221" s="57">
        <v>0</v>
      </c>
      <c r="I221" s="19">
        <v>8.64</v>
      </c>
      <c r="J221" s="19">
        <v>82.44</v>
      </c>
      <c r="K221" s="57">
        <v>6.2169132618433556E-2</v>
      </c>
      <c r="L221" s="57">
        <v>6.6754117475586641E-2</v>
      </c>
      <c r="M221" s="26" t="s">
        <v>1999</v>
      </c>
      <c r="N221" s="26">
        <v>22</v>
      </c>
      <c r="O221" s="26" t="s">
        <v>1573</v>
      </c>
    </row>
    <row r="222" spans="1:17" hidden="1" x14ac:dyDescent="0.25">
      <c r="A222" s="26">
        <v>4</v>
      </c>
      <c r="B222" s="19" t="s">
        <v>167</v>
      </c>
      <c r="C222" s="19" t="s">
        <v>1629</v>
      </c>
      <c r="D222" s="56">
        <v>0</v>
      </c>
      <c r="E222" s="56">
        <v>410.17</v>
      </c>
      <c r="F222" s="19">
        <v>379.55</v>
      </c>
      <c r="G222" s="56">
        <v>0</v>
      </c>
      <c r="H222" s="57">
        <v>0</v>
      </c>
      <c r="I222" s="19">
        <v>2.66</v>
      </c>
      <c r="J222" s="19">
        <v>27.96</v>
      </c>
      <c r="K222" s="57">
        <v>6.8166857644391343E-2</v>
      </c>
      <c r="L222" s="57">
        <v>7.3666183638519303E-2</v>
      </c>
      <c r="M222" s="26" t="s">
        <v>1999</v>
      </c>
      <c r="N222" s="26">
        <v>22</v>
      </c>
      <c r="O222" s="26" t="s">
        <v>1573</v>
      </c>
    </row>
    <row r="223" spans="1:17" hidden="1" x14ac:dyDescent="0.25">
      <c r="A223" s="26">
        <v>5</v>
      </c>
      <c r="B223" s="19" t="s">
        <v>167</v>
      </c>
      <c r="C223" s="19" t="s">
        <v>1641</v>
      </c>
      <c r="D223" s="56">
        <v>0</v>
      </c>
      <c r="E223" s="56">
        <v>1087.4000000000001</v>
      </c>
      <c r="F223" s="19">
        <v>1007.36</v>
      </c>
      <c r="G223" s="56">
        <v>0</v>
      </c>
      <c r="H223" s="57">
        <v>0</v>
      </c>
      <c r="I223" s="19">
        <v>7.05</v>
      </c>
      <c r="J223" s="19">
        <v>72.989999999999995</v>
      </c>
      <c r="K223" s="57">
        <v>6.7123413647231914E-2</v>
      </c>
      <c r="L223" s="57">
        <v>7.2456718551461241E-2</v>
      </c>
      <c r="M223" s="26" t="s">
        <v>1999</v>
      </c>
      <c r="N223" s="26">
        <v>22</v>
      </c>
      <c r="O223" s="26" t="s">
        <v>1573</v>
      </c>
    </row>
    <row r="224" spans="1:17" hidden="1" x14ac:dyDescent="0.25">
      <c r="A224" s="26">
        <v>6</v>
      </c>
      <c r="B224" s="19" t="s">
        <v>167</v>
      </c>
      <c r="C224" s="19" t="s">
        <v>1661</v>
      </c>
      <c r="D224" s="56">
        <v>0</v>
      </c>
      <c r="E224" s="56">
        <v>1692</v>
      </c>
      <c r="F224" s="19">
        <v>1606.23</v>
      </c>
      <c r="G224" s="56">
        <v>0</v>
      </c>
      <c r="H224" s="57">
        <v>0</v>
      </c>
      <c r="I224" s="19">
        <v>11.24</v>
      </c>
      <c r="J224" s="19">
        <v>74.53</v>
      </c>
      <c r="K224" s="57">
        <v>4.4048463356973995E-2</v>
      </c>
      <c r="L224" s="57">
        <v>4.640057775038444E-2</v>
      </c>
      <c r="M224" s="26" t="s">
        <v>1999</v>
      </c>
      <c r="N224" s="26">
        <v>22</v>
      </c>
      <c r="O224" s="26" t="s">
        <v>1573</v>
      </c>
    </row>
    <row r="225" spans="1:15" hidden="1" x14ac:dyDescent="0.25">
      <c r="A225" s="26">
        <v>7</v>
      </c>
      <c r="B225" s="19" t="s">
        <v>167</v>
      </c>
      <c r="C225" s="19" t="s">
        <v>1677</v>
      </c>
      <c r="D225" s="56">
        <v>0</v>
      </c>
      <c r="E225" s="56">
        <v>972.87</v>
      </c>
      <c r="F225" s="19">
        <v>896.47</v>
      </c>
      <c r="G225" s="56">
        <v>0</v>
      </c>
      <c r="H225" s="57">
        <v>0</v>
      </c>
      <c r="I225" s="19">
        <v>6.28</v>
      </c>
      <c r="J225" s="19">
        <v>70.12</v>
      </c>
      <c r="K225" s="57">
        <v>7.2075405758220523E-2</v>
      </c>
      <c r="L225" s="57">
        <v>7.8217899093109639E-2</v>
      </c>
      <c r="M225" s="26" t="s">
        <v>1999</v>
      </c>
      <c r="N225" s="26">
        <v>22</v>
      </c>
      <c r="O225" s="26" t="s">
        <v>1573</v>
      </c>
    </row>
    <row r="226" spans="1:15" hidden="1" x14ac:dyDescent="0.25">
      <c r="A226" s="26">
        <v>8</v>
      </c>
      <c r="B226" s="19" t="s">
        <v>167</v>
      </c>
      <c r="C226" s="19" t="s">
        <v>1688</v>
      </c>
      <c r="D226" s="56">
        <v>0</v>
      </c>
      <c r="E226" s="56">
        <v>2020.73</v>
      </c>
      <c r="F226" s="19">
        <v>1940.95</v>
      </c>
      <c r="G226" s="56">
        <v>0</v>
      </c>
      <c r="H226" s="57">
        <v>0</v>
      </c>
      <c r="I226" s="19">
        <v>13.59</v>
      </c>
      <c r="J226" s="19">
        <v>66.19</v>
      </c>
      <c r="K226" s="57">
        <v>3.2755489352857631E-2</v>
      </c>
      <c r="L226" s="57">
        <v>3.4101857337901539E-2</v>
      </c>
      <c r="M226" s="26" t="s">
        <v>1999</v>
      </c>
      <c r="N226" s="26">
        <v>22</v>
      </c>
      <c r="O226" s="26" t="s">
        <v>1573</v>
      </c>
    </row>
    <row r="227" spans="1:15" hidden="1" x14ac:dyDescent="0.25">
      <c r="A227" s="26">
        <v>9</v>
      </c>
      <c r="B227" s="19" t="s">
        <v>167</v>
      </c>
      <c r="C227" s="19" t="s">
        <v>1707</v>
      </c>
      <c r="D227" s="56">
        <v>0</v>
      </c>
      <c r="E227" s="56">
        <v>1239.8399999999999</v>
      </c>
      <c r="F227" s="19">
        <v>1172.96</v>
      </c>
      <c r="G227" s="56">
        <v>0</v>
      </c>
      <c r="H227" s="57">
        <v>0</v>
      </c>
      <c r="I227" s="19">
        <v>8.2100000000000009</v>
      </c>
      <c r="J227" s="19">
        <v>58.67</v>
      </c>
      <c r="K227" s="57">
        <v>4.7320622015743968E-2</v>
      </c>
      <c r="L227" s="57">
        <v>5.0018755967807936E-2</v>
      </c>
      <c r="M227" s="26" t="s">
        <v>1999</v>
      </c>
      <c r="N227" s="26">
        <v>22</v>
      </c>
      <c r="O227" s="26" t="s">
        <v>1573</v>
      </c>
    </row>
    <row r="228" spans="1:15" hidden="1" x14ac:dyDescent="0.25">
      <c r="A228" s="26">
        <v>10</v>
      </c>
      <c r="B228" s="19" t="s">
        <v>167</v>
      </c>
      <c r="C228" s="19" t="s">
        <v>1723</v>
      </c>
      <c r="D228" s="56">
        <v>0</v>
      </c>
      <c r="E228" s="56">
        <v>1250.83</v>
      </c>
      <c r="F228" s="19">
        <v>1183.6199999999999</v>
      </c>
      <c r="G228" s="56">
        <v>0</v>
      </c>
      <c r="H228" s="57">
        <v>0</v>
      </c>
      <c r="I228" s="19">
        <v>8.2899999999999991</v>
      </c>
      <c r="J228" s="19">
        <v>58.92</v>
      </c>
      <c r="K228" s="57">
        <v>4.7104722464283717E-2</v>
      </c>
      <c r="L228" s="57">
        <v>4.97794900390328E-2</v>
      </c>
      <c r="M228" s="26" t="s">
        <v>1999</v>
      </c>
      <c r="N228" s="26">
        <v>22</v>
      </c>
      <c r="O228" s="26" t="s">
        <v>1573</v>
      </c>
    </row>
    <row r="229" spans="1:15" hidden="1" x14ac:dyDescent="0.25">
      <c r="A229" s="26">
        <v>11</v>
      </c>
      <c r="B229" s="19" t="s">
        <v>167</v>
      </c>
      <c r="C229" s="19" t="s">
        <v>1733</v>
      </c>
      <c r="D229" s="56">
        <v>0</v>
      </c>
      <c r="E229" s="56">
        <v>1239.8399999999999</v>
      </c>
      <c r="F229" s="19">
        <v>1175.26</v>
      </c>
      <c r="G229" s="56">
        <v>0</v>
      </c>
      <c r="H229" s="57">
        <v>0</v>
      </c>
      <c r="I229" s="19">
        <v>8.23</v>
      </c>
      <c r="J229" s="19">
        <v>56.35</v>
      </c>
      <c r="K229" s="57">
        <v>4.5449412827461615E-2</v>
      </c>
      <c r="L229" s="57">
        <v>4.7946837295577152E-2</v>
      </c>
      <c r="M229" s="26" t="s">
        <v>1999</v>
      </c>
      <c r="N229" s="26">
        <v>22</v>
      </c>
      <c r="O229" s="26" t="s">
        <v>1573</v>
      </c>
    </row>
    <row r="230" spans="1:15" hidden="1" x14ac:dyDescent="0.25">
      <c r="A230" s="26">
        <v>12</v>
      </c>
      <c r="B230" s="19" t="s">
        <v>167</v>
      </c>
      <c r="C230" s="19" t="s">
        <v>1744</v>
      </c>
      <c r="D230" s="56">
        <v>2296.6</v>
      </c>
      <c r="E230" s="56">
        <v>0</v>
      </c>
      <c r="F230" s="19">
        <v>2217.38</v>
      </c>
      <c r="G230" s="56">
        <v>0</v>
      </c>
      <c r="H230" s="57">
        <v>0</v>
      </c>
      <c r="I230" s="19">
        <v>15.52</v>
      </c>
      <c r="J230" s="19">
        <v>63.7</v>
      </c>
      <c r="K230" s="57">
        <v>2.7736654184446576E-2</v>
      </c>
      <c r="L230" s="57">
        <v>2.8727597434810452E-2</v>
      </c>
      <c r="M230" s="26" t="s">
        <v>1999</v>
      </c>
      <c r="N230" s="26">
        <v>22</v>
      </c>
      <c r="O230" s="26" t="s">
        <v>1573</v>
      </c>
    </row>
    <row r="231" spans="1:15" hidden="1" x14ac:dyDescent="0.25">
      <c r="A231" s="26">
        <v>13</v>
      </c>
      <c r="B231" s="19" t="s">
        <v>167</v>
      </c>
      <c r="C231" s="19" t="s">
        <v>1757</v>
      </c>
      <c r="D231" s="56">
        <v>2296.6</v>
      </c>
      <c r="E231" s="56">
        <v>0</v>
      </c>
      <c r="F231" s="19">
        <v>2217.38</v>
      </c>
      <c r="G231" s="56">
        <v>0</v>
      </c>
      <c r="H231" s="57">
        <v>0</v>
      </c>
      <c r="I231" s="19">
        <v>15.52</v>
      </c>
      <c r="J231" s="19">
        <v>63.7</v>
      </c>
      <c r="K231" s="57">
        <v>2.7736654184446576E-2</v>
      </c>
      <c r="L231" s="57">
        <v>2.8727597434810452E-2</v>
      </c>
      <c r="M231" s="26" t="s">
        <v>1999</v>
      </c>
      <c r="N231" s="26">
        <v>22</v>
      </c>
      <c r="O231" s="26" t="s">
        <v>1573</v>
      </c>
    </row>
    <row r="232" spans="1:15" hidden="1" x14ac:dyDescent="0.25">
      <c r="A232" s="26">
        <v>14</v>
      </c>
      <c r="B232" s="19" t="s">
        <v>167</v>
      </c>
      <c r="C232" s="19" t="s">
        <v>1770</v>
      </c>
      <c r="D232" s="56">
        <v>2296.6</v>
      </c>
      <c r="E232" s="56">
        <v>0</v>
      </c>
      <c r="F232" s="19">
        <v>2170.13</v>
      </c>
      <c r="G232" s="56">
        <v>0</v>
      </c>
      <c r="H232" s="57">
        <v>0</v>
      </c>
      <c r="I232" s="19">
        <v>15.19</v>
      </c>
      <c r="J232" s="19">
        <v>111.28</v>
      </c>
      <c r="K232" s="57">
        <v>4.8454236697727075E-2</v>
      </c>
      <c r="L232" s="57">
        <v>5.1278034034827405E-2</v>
      </c>
      <c r="M232" s="26" t="s">
        <v>1999</v>
      </c>
      <c r="N232" s="26">
        <v>22</v>
      </c>
      <c r="O232" s="26" t="s">
        <v>1573</v>
      </c>
    </row>
    <row r="233" spans="1:15" hidden="1" x14ac:dyDescent="0.25">
      <c r="A233" s="26">
        <v>15</v>
      </c>
      <c r="B233" s="19" t="s">
        <v>167</v>
      </c>
      <c r="C233" s="19" t="s">
        <v>1814</v>
      </c>
      <c r="D233" s="56">
        <v>2296.6</v>
      </c>
      <c r="E233" s="56">
        <v>0</v>
      </c>
      <c r="F233" s="19">
        <v>1546.49</v>
      </c>
      <c r="G233" s="56">
        <v>718.82</v>
      </c>
      <c r="H233" s="57">
        <v>0.31299312026473919</v>
      </c>
      <c r="I233" s="19">
        <v>10.83</v>
      </c>
      <c r="J233" s="19">
        <v>20.46</v>
      </c>
      <c r="K233" s="57">
        <v>8.9088217364800149E-3</v>
      </c>
      <c r="L233" s="57">
        <v>1.322995945657586E-2</v>
      </c>
      <c r="M233" s="26" t="s">
        <v>1999</v>
      </c>
      <c r="N233" s="26">
        <v>22</v>
      </c>
      <c r="O233" s="26" t="s">
        <v>1573</v>
      </c>
    </row>
    <row r="234" spans="1:15" hidden="1" x14ac:dyDescent="0.25">
      <c r="A234" s="26">
        <v>16</v>
      </c>
      <c r="B234" s="19" t="s">
        <v>167</v>
      </c>
      <c r="C234" s="19" t="s">
        <v>1833</v>
      </c>
      <c r="D234" s="56">
        <v>2296.6</v>
      </c>
      <c r="E234" s="56">
        <v>0</v>
      </c>
      <c r="F234" s="19">
        <v>596.32000000000005</v>
      </c>
      <c r="G234" s="56">
        <v>1692.01</v>
      </c>
      <c r="H234" s="57">
        <v>0.73674562396586263</v>
      </c>
      <c r="I234" s="19">
        <v>4.17</v>
      </c>
      <c r="J234" s="19">
        <v>4.0999999999999996</v>
      </c>
      <c r="K234" s="57">
        <v>1.785247757554646E-3</v>
      </c>
      <c r="L234" s="57">
        <v>6.8755030855916274E-3</v>
      </c>
      <c r="M234" s="26" t="s">
        <v>1999</v>
      </c>
      <c r="N234" s="26">
        <v>22</v>
      </c>
      <c r="O234" s="26" t="s">
        <v>1573</v>
      </c>
    </row>
    <row r="235" spans="1:15" hidden="1" x14ac:dyDescent="0.25">
      <c r="A235" s="26">
        <v>17</v>
      </c>
      <c r="B235" s="19" t="s">
        <v>168</v>
      </c>
      <c r="C235" s="19" t="s">
        <v>1838</v>
      </c>
      <c r="D235" s="56">
        <v>0</v>
      </c>
      <c r="E235" s="56">
        <v>2699.16</v>
      </c>
      <c r="F235" s="19">
        <v>1627.44</v>
      </c>
      <c r="G235" s="56">
        <v>962.9</v>
      </c>
      <c r="H235" s="57">
        <v>0.35674061559892706</v>
      </c>
      <c r="I235" s="19">
        <v>11.39</v>
      </c>
      <c r="J235" s="19">
        <v>97.43</v>
      </c>
      <c r="K235" s="57">
        <v>3.6096415181019283E-2</v>
      </c>
      <c r="L235" s="57">
        <v>5.9867030428157109E-2</v>
      </c>
      <c r="M235" s="26" t="s">
        <v>1999</v>
      </c>
      <c r="N235" s="26">
        <v>22</v>
      </c>
      <c r="O235" s="26" t="s">
        <v>1573</v>
      </c>
    </row>
    <row r="236" spans="1:15" hidden="1" x14ac:dyDescent="0.25">
      <c r="A236" s="26">
        <v>18</v>
      </c>
      <c r="B236" s="19" t="s">
        <v>295</v>
      </c>
      <c r="C236" s="19" t="s">
        <v>1849</v>
      </c>
      <c r="D236" s="56">
        <v>0</v>
      </c>
      <c r="E236" s="56">
        <v>4130.4799999999996</v>
      </c>
      <c r="F236" s="19">
        <v>3829.63</v>
      </c>
      <c r="G236" s="56">
        <v>0</v>
      </c>
      <c r="H236" s="57">
        <v>0</v>
      </c>
      <c r="I236" s="19">
        <v>26.81</v>
      </c>
      <c r="J236" s="19">
        <v>274.04000000000002</v>
      </c>
      <c r="K236" s="57">
        <v>6.6345800003873648E-2</v>
      </c>
      <c r="L236" s="57">
        <v>7.1557826735219848E-2</v>
      </c>
      <c r="M236" s="26" t="s">
        <v>1999</v>
      </c>
      <c r="N236" s="26">
        <v>22</v>
      </c>
      <c r="O236" s="26" t="s">
        <v>1573</v>
      </c>
    </row>
    <row r="237" spans="1:15" hidden="1" x14ac:dyDescent="0.25">
      <c r="A237" s="26">
        <v>19</v>
      </c>
      <c r="B237" s="19" t="s">
        <v>295</v>
      </c>
      <c r="C237" s="19" t="s">
        <v>1869</v>
      </c>
      <c r="D237" s="56">
        <v>0</v>
      </c>
      <c r="E237" s="56">
        <v>2316.15</v>
      </c>
      <c r="F237" s="19">
        <v>2147.7399999999998</v>
      </c>
      <c r="G237" s="56">
        <v>0</v>
      </c>
      <c r="H237" s="57">
        <v>0</v>
      </c>
      <c r="I237" s="19">
        <v>15.03</v>
      </c>
      <c r="J237" s="19">
        <v>153.38</v>
      </c>
      <c r="K237" s="57">
        <v>6.6221963171642598E-2</v>
      </c>
      <c r="L237" s="57">
        <v>7.1414603257377529E-2</v>
      </c>
      <c r="M237" s="26" t="s">
        <v>1999</v>
      </c>
      <c r="N237" s="26">
        <v>22</v>
      </c>
      <c r="O237" s="26" t="s">
        <v>1573</v>
      </c>
    </row>
    <row r="238" spans="1:15" hidden="1" x14ac:dyDescent="0.25">
      <c r="A238" s="26">
        <v>20</v>
      </c>
      <c r="B238" s="19" t="s">
        <v>295</v>
      </c>
      <c r="C238" s="19" t="s">
        <v>1897</v>
      </c>
      <c r="D238" s="56">
        <v>5204.55</v>
      </c>
      <c r="E238" s="56">
        <v>0</v>
      </c>
      <c r="F238" s="19">
        <v>4780.04</v>
      </c>
      <c r="G238" s="56">
        <v>0</v>
      </c>
      <c r="H238" s="57">
        <v>0</v>
      </c>
      <c r="I238" s="19">
        <v>33.46</v>
      </c>
      <c r="J238" s="19">
        <v>391.05</v>
      </c>
      <c r="K238" s="57">
        <v>7.5136178920367752E-2</v>
      </c>
      <c r="L238" s="57">
        <v>8.180893883733191E-2</v>
      </c>
      <c r="M238" s="26" t="s">
        <v>1999</v>
      </c>
      <c r="N238" s="26">
        <v>22</v>
      </c>
      <c r="O238" s="26" t="s">
        <v>1573</v>
      </c>
    </row>
    <row r="239" spans="1:15" hidden="1" x14ac:dyDescent="0.25">
      <c r="A239" s="26">
        <v>21</v>
      </c>
      <c r="B239" s="19" t="s">
        <v>295</v>
      </c>
      <c r="C239" s="19" t="s">
        <v>1919</v>
      </c>
      <c r="D239" s="56">
        <v>5204.55</v>
      </c>
      <c r="E239" s="56">
        <v>0</v>
      </c>
      <c r="F239" s="19">
        <v>4634.1400000000003</v>
      </c>
      <c r="G239" s="56">
        <v>501.33</v>
      </c>
      <c r="H239" s="57">
        <v>9.6325330720235178E-2</v>
      </c>
      <c r="I239" s="19">
        <v>32.44</v>
      </c>
      <c r="J239" s="19">
        <v>36.64</v>
      </c>
      <c r="K239" s="57">
        <v>7.0399938515337537E-3</v>
      </c>
      <c r="L239" s="57">
        <v>7.906537135261342E-3</v>
      </c>
      <c r="M239" s="26" t="s">
        <v>1999</v>
      </c>
      <c r="N239" s="26">
        <v>22</v>
      </c>
      <c r="O239" s="26" t="s">
        <v>1573</v>
      </c>
    </row>
    <row r="240" spans="1:15" hidden="1" x14ac:dyDescent="0.25">
      <c r="A240" s="26">
        <v>22</v>
      </c>
      <c r="B240" s="19" t="s">
        <v>295</v>
      </c>
      <c r="C240" s="19" t="s">
        <v>1929</v>
      </c>
      <c r="D240" s="56">
        <v>5204.55</v>
      </c>
      <c r="E240" s="56">
        <v>0</v>
      </c>
      <c r="F240" s="19">
        <v>4871.2</v>
      </c>
      <c r="G240" s="56">
        <v>0</v>
      </c>
      <c r="H240" s="57">
        <v>0</v>
      </c>
      <c r="I240" s="19">
        <v>34.1</v>
      </c>
      <c r="J240" s="19">
        <v>299.25</v>
      </c>
      <c r="K240" s="57">
        <v>5.7497766377496609E-2</v>
      </c>
      <c r="L240" s="57">
        <v>6.1432501231729351E-2</v>
      </c>
      <c r="M240" s="26" t="s">
        <v>1999</v>
      </c>
      <c r="N240" s="26">
        <v>22</v>
      </c>
      <c r="O240" s="26" t="s">
        <v>1573</v>
      </c>
    </row>
    <row r="241" spans="1:15" hidden="1" x14ac:dyDescent="0.25">
      <c r="A241" s="26">
        <v>23</v>
      </c>
      <c r="B241" s="19" t="s">
        <v>295</v>
      </c>
      <c r="C241" s="19" t="s">
        <v>1947</v>
      </c>
      <c r="D241" s="56">
        <v>4423.87</v>
      </c>
      <c r="E241" s="56">
        <v>0</v>
      </c>
      <c r="F241" s="19">
        <v>4121.01</v>
      </c>
      <c r="G241" s="56">
        <v>0</v>
      </c>
      <c r="H241" s="57">
        <v>0</v>
      </c>
      <c r="I241" s="19">
        <v>28.85</v>
      </c>
      <c r="J241" s="19">
        <v>274.01</v>
      </c>
      <c r="K241" s="57">
        <v>6.1938981027923515E-2</v>
      </c>
      <c r="L241" s="57">
        <v>6.6490981579758357E-2</v>
      </c>
      <c r="M241" s="26" t="s">
        <v>1999</v>
      </c>
      <c r="N241" s="26">
        <v>22</v>
      </c>
      <c r="O241" s="26" t="s">
        <v>1573</v>
      </c>
    </row>
    <row r="242" spans="1:15" hidden="1" x14ac:dyDescent="0.25">
      <c r="A242" s="26">
        <v>24</v>
      </c>
      <c r="B242" s="19" t="s">
        <v>295</v>
      </c>
      <c r="C242" s="19" t="s">
        <v>1962</v>
      </c>
      <c r="D242" s="56">
        <v>4423.87</v>
      </c>
      <c r="E242" s="56">
        <v>0</v>
      </c>
      <c r="F242" s="19">
        <v>2566.6999999999998</v>
      </c>
      <c r="G242" s="56">
        <v>1769.55</v>
      </c>
      <c r="H242" s="57">
        <v>0.40000045209285084</v>
      </c>
      <c r="I242" s="19">
        <v>17.97</v>
      </c>
      <c r="J242" s="19">
        <v>69.650000000000006</v>
      </c>
      <c r="K242" s="57">
        <v>1.5744133530144422E-2</v>
      </c>
      <c r="L242" s="57">
        <v>2.7136011220633503E-2</v>
      </c>
      <c r="M242" s="26" t="s">
        <v>1999</v>
      </c>
      <c r="N242" s="26">
        <v>22</v>
      </c>
      <c r="O242" s="26" t="s">
        <v>1573</v>
      </c>
    </row>
    <row r="243" spans="1:15" hidden="1" x14ac:dyDescent="0.25">
      <c r="A243" s="26">
        <v>25</v>
      </c>
      <c r="B243" s="19" t="s">
        <v>295</v>
      </c>
      <c r="C243" s="19" t="s">
        <v>1974</v>
      </c>
      <c r="D243" s="56">
        <v>4423.87</v>
      </c>
      <c r="E243" s="56">
        <v>0</v>
      </c>
      <c r="F243" s="19">
        <v>3177.67</v>
      </c>
      <c r="G243" s="56">
        <v>1197.99</v>
      </c>
      <c r="H243" s="57">
        <v>0.27080135718273818</v>
      </c>
      <c r="I243" s="19">
        <v>22.24</v>
      </c>
      <c r="J243" s="19">
        <v>25.97</v>
      </c>
      <c r="K243" s="57">
        <v>5.8704256680236983E-3</v>
      </c>
      <c r="L243" s="57">
        <v>8.1726548068238678E-3</v>
      </c>
      <c r="M243" s="26" t="s">
        <v>1999</v>
      </c>
      <c r="N243" s="26">
        <v>22</v>
      </c>
      <c r="O243" s="26" t="s">
        <v>1573</v>
      </c>
    </row>
    <row r="244" spans="1:15" hidden="1" x14ac:dyDescent="0.25">
      <c r="A244" s="26">
        <v>26</v>
      </c>
      <c r="B244" s="19" t="s">
        <v>295</v>
      </c>
      <c r="C244" s="19" t="s">
        <v>1980</v>
      </c>
      <c r="D244" s="56">
        <v>4423.87</v>
      </c>
      <c r="E244" s="56">
        <v>0</v>
      </c>
      <c r="F244" s="19">
        <v>3078.57</v>
      </c>
      <c r="G244" s="56">
        <v>1303.6600000000001</v>
      </c>
      <c r="H244" s="57">
        <v>0.29468768295632558</v>
      </c>
      <c r="I244" s="19">
        <v>21.55</v>
      </c>
      <c r="J244" s="19">
        <v>20.09</v>
      </c>
      <c r="K244" s="57">
        <v>4.5412726865843708E-3</v>
      </c>
      <c r="L244" s="57">
        <v>6.5257570885183698E-3</v>
      </c>
      <c r="M244" s="26" t="s">
        <v>1999</v>
      </c>
      <c r="N244" s="26">
        <v>22</v>
      </c>
      <c r="O244" s="26" t="s">
        <v>1573</v>
      </c>
    </row>
    <row r="245" spans="1:15" hidden="1" x14ac:dyDescent="0.25">
      <c r="A245" s="26">
        <v>27</v>
      </c>
      <c r="B245" s="19" t="s">
        <v>295</v>
      </c>
      <c r="C245" s="19" t="s">
        <v>1986</v>
      </c>
      <c r="D245" s="56">
        <v>4423.87</v>
      </c>
      <c r="E245" s="56">
        <v>0</v>
      </c>
      <c r="F245" s="19">
        <v>1469.52</v>
      </c>
      <c r="G245" s="56">
        <v>2923.8</v>
      </c>
      <c r="H245" s="57">
        <v>0.66091453862794347</v>
      </c>
      <c r="I245" s="19">
        <v>10.29</v>
      </c>
      <c r="J245" s="19">
        <v>20.260000000000002</v>
      </c>
      <c r="K245" s="57">
        <v>4.5797005789048962E-3</v>
      </c>
      <c r="L245" s="57">
        <v>1.3786814742228756E-2</v>
      </c>
      <c r="M245" s="26" t="s">
        <v>1999</v>
      </c>
      <c r="N245" s="26">
        <v>22</v>
      </c>
      <c r="O245" s="26" t="s">
        <v>1573</v>
      </c>
    </row>
    <row r="246" spans="1:15" hidden="1" x14ac:dyDescent="0.25">
      <c r="A246" s="26">
        <v>28</v>
      </c>
      <c r="B246" s="19" t="s">
        <v>297</v>
      </c>
      <c r="C246" s="19" t="s">
        <v>1990</v>
      </c>
      <c r="D246" s="56">
        <v>0</v>
      </c>
      <c r="E246" s="56">
        <v>5024.04</v>
      </c>
      <c r="F246" s="19">
        <v>2181.8200000000002</v>
      </c>
      <c r="G246" s="56">
        <v>2816.61</v>
      </c>
      <c r="H246" s="57">
        <v>0.56062650775073453</v>
      </c>
      <c r="I246" s="19">
        <v>15.27</v>
      </c>
      <c r="J246" s="19">
        <v>10.34</v>
      </c>
      <c r="K246" s="57">
        <v>2.0581046329248972E-3</v>
      </c>
      <c r="L246" s="57">
        <v>4.7391627173644021E-3</v>
      </c>
      <c r="M246" s="26" t="s">
        <v>1999</v>
      </c>
      <c r="N246" s="26">
        <v>22</v>
      </c>
      <c r="O246" s="26" t="s">
        <v>1573</v>
      </c>
    </row>
    <row r="247" spans="1:15" hidden="1" x14ac:dyDescent="0.25">
      <c r="A247" s="26">
        <v>29</v>
      </c>
      <c r="B247" s="19" t="s">
        <v>297</v>
      </c>
      <c r="C247" s="19" t="s">
        <v>1995</v>
      </c>
      <c r="D247" s="56">
        <v>4408.5600000000004</v>
      </c>
      <c r="E247" s="56">
        <v>0</v>
      </c>
      <c r="F247" s="19">
        <v>4233.22</v>
      </c>
      <c r="G247" s="56">
        <v>0</v>
      </c>
      <c r="H247" s="57">
        <v>0</v>
      </c>
      <c r="I247" s="19">
        <v>29.63</v>
      </c>
      <c r="J247" s="19">
        <v>145.71</v>
      </c>
      <c r="K247" s="57">
        <v>3.3051608688551365E-2</v>
      </c>
      <c r="L247" s="57">
        <v>3.4420606535923007E-2</v>
      </c>
      <c r="M247" s="26" t="s">
        <v>1999</v>
      </c>
      <c r="N247" s="26">
        <v>22</v>
      </c>
      <c r="O247" s="26" t="s">
        <v>1573</v>
      </c>
    </row>
    <row r="248" spans="1:15" hidden="1" x14ac:dyDescent="0.25">
      <c r="C248" s="19" t="s">
        <v>169</v>
      </c>
      <c r="D248" s="19">
        <v>53624.560000000005</v>
      </c>
      <c r="E248" s="19">
        <v>27884.95</v>
      </c>
      <c r="F248" s="19">
        <v>64475.569999999992</v>
      </c>
      <c r="G248" s="19">
        <v>13886.67</v>
      </c>
      <c r="H248" s="57">
        <v>0.17036870912363475</v>
      </c>
      <c r="I248" s="19">
        <v>451.33000000000004</v>
      </c>
      <c r="J248" s="19">
        <v>2695.9400000000005</v>
      </c>
      <c r="K248" s="57">
        <v>3.3075158959979027E-2</v>
      </c>
      <c r="L248" s="57">
        <v>4.181335659382307E-2</v>
      </c>
      <c r="M248" s="26" t="s">
        <v>1999</v>
      </c>
      <c r="N248" s="26">
        <v>22</v>
      </c>
      <c r="O248" s="26" t="s">
        <v>1573</v>
      </c>
    </row>
    <row r="249" spans="1:15" hidden="1" x14ac:dyDescent="0.25">
      <c r="A249" s="26">
        <v>1</v>
      </c>
      <c r="B249" s="19" t="s">
        <v>167</v>
      </c>
      <c r="C249" s="19" t="s">
        <v>2009</v>
      </c>
      <c r="D249" s="19">
        <v>0</v>
      </c>
      <c r="E249" s="19">
        <v>1692.01</v>
      </c>
      <c r="F249" s="19">
        <v>1589.2</v>
      </c>
      <c r="G249" s="19">
        <v>0</v>
      </c>
      <c r="H249" s="57">
        <v>0</v>
      </c>
      <c r="I249" s="19">
        <v>11.12</v>
      </c>
      <c r="J249" s="19">
        <v>91.69</v>
      </c>
      <c r="K249" s="57">
        <v>5.4189987056814083E-2</v>
      </c>
      <c r="L249" s="19">
        <v>5.7695695947646612E-2</v>
      </c>
      <c r="M249" s="26" t="s">
        <v>2440</v>
      </c>
      <c r="N249" s="26">
        <v>23</v>
      </c>
      <c r="O249" s="26" t="s">
        <v>2011</v>
      </c>
    </row>
    <row r="250" spans="1:15" hidden="1" x14ac:dyDescent="0.25">
      <c r="A250" s="26">
        <v>2</v>
      </c>
      <c r="B250" s="19" t="s">
        <v>167</v>
      </c>
      <c r="C250" s="19" t="s">
        <v>2038</v>
      </c>
      <c r="D250" s="19">
        <v>0</v>
      </c>
      <c r="E250" s="19">
        <v>718.82</v>
      </c>
      <c r="F250" s="19">
        <v>662.39</v>
      </c>
      <c r="G250" s="19">
        <v>0</v>
      </c>
      <c r="H250" s="57">
        <v>0</v>
      </c>
      <c r="I250" s="19">
        <v>4.6399999999999997</v>
      </c>
      <c r="J250" s="19">
        <v>51.79</v>
      </c>
      <c r="K250" s="57">
        <v>7.204863526334826E-2</v>
      </c>
      <c r="L250" s="19">
        <v>7.8186566826190004E-2</v>
      </c>
      <c r="M250" s="26" t="s">
        <v>2440</v>
      </c>
      <c r="N250" s="26">
        <v>23</v>
      </c>
      <c r="O250" s="26" t="s">
        <v>2011</v>
      </c>
    </row>
    <row r="251" spans="1:15" hidden="1" x14ac:dyDescent="0.25">
      <c r="A251" s="26">
        <v>3</v>
      </c>
      <c r="B251" s="19" t="s">
        <v>167</v>
      </c>
      <c r="C251" s="19" t="s">
        <v>2057</v>
      </c>
      <c r="D251" s="19">
        <v>2296.6</v>
      </c>
      <c r="E251" s="19">
        <v>0</v>
      </c>
      <c r="F251" s="19">
        <v>2190.0100000000002</v>
      </c>
      <c r="G251" s="19">
        <v>0</v>
      </c>
      <c r="H251" s="57">
        <v>0</v>
      </c>
      <c r="I251" s="19">
        <v>15.33</v>
      </c>
      <c r="J251" s="19">
        <v>91.26</v>
      </c>
      <c r="K251" s="57">
        <v>3.9737002525472444E-2</v>
      </c>
      <c r="L251" s="19">
        <v>4.1671042597979005E-2</v>
      </c>
      <c r="M251" s="26" t="s">
        <v>2440</v>
      </c>
      <c r="N251" s="26">
        <v>23</v>
      </c>
      <c r="O251" s="26" t="s">
        <v>2011</v>
      </c>
    </row>
    <row r="252" spans="1:15" hidden="1" x14ac:dyDescent="0.25">
      <c r="A252" s="26">
        <v>4</v>
      </c>
      <c r="B252" s="19" t="s">
        <v>167</v>
      </c>
      <c r="C252" s="19" t="s">
        <v>2072</v>
      </c>
      <c r="D252" s="19">
        <v>2296.6</v>
      </c>
      <c r="E252" s="19">
        <v>0</v>
      </c>
      <c r="F252" s="19">
        <v>2190.0100000000002</v>
      </c>
      <c r="G252" s="19">
        <v>0</v>
      </c>
      <c r="H252" s="57">
        <v>0</v>
      </c>
      <c r="I252" s="19">
        <v>15.33</v>
      </c>
      <c r="J252" s="19">
        <v>91.26</v>
      </c>
      <c r="K252" s="57">
        <v>3.9737002525472444E-2</v>
      </c>
      <c r="L252" s="19">
        <v>4.1671042597979005E-2</v>
      </c>
      <c r="M252" s="26" t="s">
        <v>2440</v>
      </c>
      <c r="N252" s="26">
        <v>23</v>
      </c>
      <c r="O252" s="26" t="s">
        <v>2011</v>
      </c>
    </row>
    <row r="253" spans="1:15" hidden="1" x14ac:dyDescent="0.25">
      <c r="A253" s="26">
        <v>5</v>
      </c>
      <c r="B253" s="19" t="s">
        <v>167</v>
      </c>
      <c r="C253" s="19" t="s">
        <v>2087</v>
      </c>
      <c r="D253" s="19">
        <v>2296.6</v>
      </c>
      <c r="E253" s="19">
        <v>0</v>
      </c>
      <c r="F253" s="19">
        <v>2226.8000000000002</v>
      </c>
      <c r="G253" s="19">
        <v>0</v>
      </c>
      <c r="H253" s="57">
        <v>0</v>
      </c>
      <c r="I253" s="19">
        <v>15.59</v>
      </c>
      <c r="J253" s="19">
        <v>54.21</v>
      </c>
      <c r="K253" s="57">
        <v>2.3604458765131064E-2</v>
      </c>
      <c r="L253" s="19">
        <v>2.4344350637686363E-2</v>
      </c>
      <c r="M253" s="26" t="s">
        <v>2440</v>
      </c>
      <c r="N253" s="26">
        <v>23</v>
      </c>
      <c r="O253" s="26" t="s">
        <v>2011</v>
      </c>
    </row>
    <row r="254" spans="1:15" hidden="1" x14ac:dyDescent="0.25">
      <c r="A254" s="26">
        <v>6</v>
      </c>
      <c r="B254" s="19" t="s">
        <v>167</v>
      </c>
      <c r="C254" s="19" t="s">
        <v>2111</v>
      </c>
      <c r="D254" s="19">
        <v>2296.6</v>
      </c>
      <c r="E254" s="19">
        <v>0</v>
      </c>
      <c r="F254" s="19">
        <v>2194.5</v>
      </c>
      <c r="G254" s="19">
        <v>0</v>
      </c>
      <c r="H254" s="57">
        <v>0</v>
      </c>
      <c r="I254" s="19">
        <v>15.36</v>
      </c>
      <c r="J254" s="19">
        <v>86.74</v>
      </c>
      <c r="K254" s="57">
        <v>3.776887572933902E-2</v>
      </c>
      <c r="L254" s="19">
        <v>3.9526087947140576E-2</v>
      </c>
      <c r="M254" s="26" t="s">
        <v>2440</v>
      </c>
      <c r="N254" s="26">
        <v>23</v>
      </c>
      <c r="O254" s="26" t="s">
        <v>2011</v>
      </c>
    </row>
    <row r="255" spans="1:15" hidden="1" x14ac:dyDescent="0.25">
      <c r="A255" s="26">
        <v>7</v>
      </c>
      <c r="B255" s="19" t="s">
        <v>167</v>
      </c>
      <c r="C255" s="19" t="s">
        <v>2128</v>
      </c>
      <c r="D255" s="19">
        <v>2296.6</v>
      </c>
      <c r="E255" s="19">
        <v>0</v>
      </c>
      <c r="F255" s="19">
        <v>2196.4</v>
      </c>
      <c r="G255" s="19">
        <v>0</v>
      </c>
      <c r="H255" s="57">
        <v>0</v>
      </c>
      <c r="I255" s="19">
        <v>15.37</v>
      </c>
      <c r="J255" s="19">
        <v>84.83</v>
      </c>
      <c r="K255" s="57">
        <v>3.6937211530087957E-2</v>
      </c>
      <c r="L255" s="19">
        <v>3.8622291021671827E-2</v>
      </c>
      <c r="M255" s="26" t="s">
        <v>2440</v>
      </c>
      <c r="N255" s="26">
        <v>23</v>
      </c>
      <c r="O255" s="26" t="s">
        <v>2011</v>
      </c>
    </row>
    <row r="256" spans="1:15" hidden="1" x14ac:dyDescent="0.25">
      <c r="A256" s="26">
        <v>8</v>
      </c>
      <c r="B256" s="19" t="s">
        <v>167</v>
      </c>
      <c r="C256" s="19" t="s">
        <v>2153</v>
      </c>
      <c r="D256" s="19">
        <v>2296.6</v>
      </c>
      <c r="E256" s="19">
        <v>0</v>
      </c>
      <c r="F256" s="19">
        <v>2185.86</v>
      </c>
      <c r="G256" s="19">
        <v>0</v>
      </c>
      <c r="H256" s="57">
        <v>0</v>
      </c>
      <c r="I256" s="19">
        <v>15.3</v>
      </c>
      <c r="J256" s="19">
        <v>95.44</v>
      </c>
      <c r="K256" s="57">
        <v>4.1557084385613514E-2</v>
      </c>
      <c r="L256" s="19">
        <v>4.3662448647214365E-2</v>
      </c>
      <c r="M256" s="26" t="s">
        <v>2440</v>
      </c>
      <c r="N256" s="26">
        <v>23</v>
      </c>
      <c r="O256" s="26" t="s">
        <v>2011</v>
      </c>
    </row>
    <row r="257" spans="1:15" hidden="1" x14ac:dyDescent="0.25">
      <c r="A257" s="26">
        <v>9</v>
      </c>
      <c r="B257" s="19" t="s">
        <v>167</v>
      </c>
      <c r="C257" s="19" t="s">
        <v>2172</v>
      </c>
      <c r="D257" s="19">
        <v>2296.6</v>
      </c>
      <c r="E257" s="19">
        <v>0</v>
      </c>
      <c r="F257" s="19">
        <v>2173.85</v>
      </c>
      <c r="G257" s="19">
        <v>0</v>
      </c>
      <c r="H257" s="57">
        <v>0</v>
      </c>
      <c r="I257" s="19">
        <v>15.22</v>
      </c>
      <c r="J257" s="19">
        <v>107.53</v>
      </c>
      <c r="K257" s="57">
        <v>4.682138813898807E-2</v>
      </c>
      <c r="L257" s="19">
        <v>4.9465234491800264E-2</v>
      </c>
      <c r="M257" s="26" t="s">
        <v>2440</v>
      </c>
      <c r="N257" s="26">
        <v>23</v>
      </c>
      <c r="O257" s="26" t="s">
        <v>2011</v>
      </c>
    </row>
    <row r="258" spans="1:15" hidden="1" x14ac:dyDescent="0.25">
      <c r="A258" s="26">
        <v>10</v>
      </c>
      <c r="B258" s="19" t="s">
        <v>167</v>
      </c>
      <c r="C258" s="19" t="s">
        <v>2207</v>
      </c>
      <c r="D258" s="19">
        <v>2296.6</v>
      </c>
      <c r="E258" s="19">
        <v>0</v>
      </c>
      <c r="F258" s="19">
        <v>1469.8</v>
      </c>
      <c r="G258" s="19">
        <v>779.33</v>
      </c>
      <c r="H258" s="57">
        <v>0.33934076460855178</v>
      </c>
      <c r="I258" s="19">
        <v>10.29</v>
      </c>
      <c r="J258" s="19">
        <v>37.18</v>
      </c>
      <c r="K258" s="57">
        <v>1.6189149177044327E-2</v>
      </c>
      <c r="L258" s="19">
        <v>2.5295958633827734E-2</v>
      </c>
      <c r="M258" s="26" t="s">
        <v>2440</v>
      </c>
      <c r="N258" s="26">
        <v>23</v>
      </c>
      <c r="O258" s="26" t="s">
        <v>2011</v>
      </c>
    </row>
    <row r="259" spans="1:15" hidden="1" x14ac:dyDescent="0.25">
      <c r="A259" s="26">
        <v>11</v>
      </c>
      <c r="B259" s="19" t="s">
        <v>167</v>
      </c>
      <c r="C259" s="19" t="s">
        <v>2226</v>
      </c>
      <c r="D259" s="19">
        <v>2296.6</v>
      </c>
      <c r="E259" s="19">
        <v>0</v>
      </c>
      <c r="F259" s="19">
        <v>1383.51</v>
      </c>
      <c r="G259" s="19">
        <v>810.01</v>
      </c>
      <c r="H259" s="57">
        <v>0.35269964295044848</v>
      </c>
      <c r="I259" s="19">
        <v>9.68</v>
      </c>
      <c r="J259" s="19">
        <v>93.4</v>
      </c>
      <c r="K259" s="57">
        <v>4.06688147696595E-2</v>
      </c>
      <c r="L259" s="19">
        <v>6.7509450600284793E-2</v>
      </c>
      <c r="M259" s="26" t="s">
        <v>2440</v>
      </c>
      <c r="N259" s="26">
        <v>23</v>
      </c>
      <c r="O259" s="26" t="s">
        <v>2011</v>
      </c>
    </row>
    <row r="260" spans="1:15" hidden="1" x14ac:dyDescent="0.25">
      <c r="A260" s="26">
        <v>12</v>
      </c>
      <c r="B260" s="19" t="s">
        <v>167</v>
      </c>
      <c r="C260" s="19" t="s">
        <v>2238</v>
      </c>
      <c r="D260" s="19">
        <v>2296.6</v>
      </c>
      <c r="E260" s="19">
        <v>0</v>
      </c>
      <c r="F260" s="19">
        <v>1294.5999999999999</v>
      </c>
      <c r="G260" s="19">
        <v>960.44</v>
      </c>
      <c r="H260" s="57">
        <v>0.41820081860141084</v>
      </c>
      <c r="I260" s="19">
        <v>9.06</v>
      </c>
      <c r="J260" s="19">
        <v>32.5</v>
      </c>
      <c r="K260" s="57">
        <v>1.4151354175738049E-2</v>
      </c>
      <c r="L260" s="19">
        <v>2.5104279314073847E-2</v>
      </c>
      <c r="M260" s="26" t="s">
        <v>2440</v>
      </c>
      <c r="N260" s="26">
        <v>23</v>
      </c>
      <c r="O260" s="26" t="s">
        <v>2011</v>
      </c>
    </row>
    <row r="261" spans="1:15" hidden="1" x14ac:dyDescent="0.25">
      <c r="A261" s="26">
        <v>13</v>
      </c>
      <c r="B261" s="19" t="s">
        <v>168</v>
      </c>
      <c r="C261" s="19" t="s">
        <v>2253</v>
      </c>
      <c r="D261" s="19">
        <v>0</v>
      </c>
      <c r="E261" s="19">
        <v>962.9</v>
      </c>
      <c r="F261" s="19">
        <v>904.29</v>
      </c>
      <c r="G261" s="19">
        <v>0</v>
      </c>
      <c r="H261" s="57">
        <v>0</v>
      </c>
      <c r="I261" s="19">
        <v>6.33</v>
      </c>
      <c r="J261" s="19">
        <v>52.28</v>
      </c>
      <c r="K261" s="57">
        <v>5.4294319243950569E-2</v>
      </c>
      <c r="L261" s="19">
        <v>5.7813312101206472E-2</v>
      </c>
      <c r="M261" s="26" t="s">
        <v>2440</v>
      </c>
      <c r="N261" s="26">
        <v>23</v>
      </c>
      <c r="O261" s="26" t="s">
        <v>2011</v>
      </c>
    </row>
    <row r="262" spans="1:15" hidden="1" x14ac:dyDescent="0.25">
      <c r="A262" s="26">
        <v>14</v>
      </c>
      <c r="B262" s="19" t="s">
        <v>168</v>
      </c>
      <c r="C262" s="19" t="s">
        <v>2261</v>
      </c>
      <c r="D262" s="19">
        <v>3674.55</v>
      </c>
      <c r="E262" s="19">
        <v>0</v>
      </c>
      <c r="F262" s="19">
        <v>937.88</v>
      </c>
      <c r="G262" s="19">
        <v>2682.42</v>
      </c>
      <c r="H262" s="57">
        <v>0.72999959178674934</v>
      </c>
      <c r="I262" s="19">
        <v>6.57</v>
      </c>
      <c r="J262" s="19">
        <v>47.68</v>
      </c>
      <c r="K262" s="57">
        <v>1.297573852580588E-2</v>
      </c>
      <c r="L262" s="19">
        <v>5.0838060306222545E-2</v>
      </c>
      <c r="M262" s="26" t="s">
        <v>2440</v>
      </c>
      <c r="N262" s="26">
        <v>23</v>
      </c>
      <c r="O262" s="26" t="s">
        <v>2011</v>
      </c>
    </row>
    <row r="263" spans="1:15" hidden="1" x14ac:dyDescent="0.25">
      <c r="A263" s="26">
        <v>15</v>
      </c>
      <c r="B263" s="19" t="s">
        <v>295</v>
      </c>
      <c r="C263" s="19" t="s">
        <v>2272</v>
      </c>
      <c r="D263" s="19">
        <v>0</v>
      </c>
      <c r="E263" s="19">
        <v>501.33</v>
      </c>
      <c r="F263" s="19">
        <v>86.2</v>
      </c>
      <c r="G263" s="19">
        <v>387.43</v>
      </c>
      <c r="H263" s="57">
        <v>0.77280434045439139</v>
      </c>
      <c r="I263" s="19">
        <v>0.6</v>
      </c>
      <c r="J263" s="19">
        <v>27.1</v>
      </c>
      <c r="K263" s="57">
        <v>5.4056210480122879E-2</v>
      </c>
      <c r="L263" s="19">
        <v>0.31438515081206497</v>
      </c>
      <c r="M263" s="26" t="s">
        <v>2440</v>
      </c>
      <c r="N263" s="26">
        <v>23</v>
      </c>
      <c r="O263" s="26" t="s">
        <v>2011</v>
      </c>
    </row>
    <row r="264" spans="1:15" hidden="1" x14ac:dyDescent="0.25">
      <c r="A264" s="26">
        <v>16</v>
      </c>
      <c r="B264" s="19" t="s">
        <v>295</v>
      </c>
      <c r="C264" s="19" t="s">
        <v>2280</v>
      </c>
      <c r="D264" s="19">
        <v>0</v>
      </c>
      <c r="E264" s="19">
        <v>123.18</v>
      </c>
      <c r="F264" s="19">
        <v>113.04</v>
      </c>
      <c r="G264" s="19">
        <v>0</v>
      </c>
      <c r="H264" s="57">
        <v>0</v>
      </c>
      <c r="I264" s="19">
        <v>0.79</v>
      </c>
      <c r="J264" s="19">
        <v>9.35</v>
      </c>
      <c r="K264" s="57">
        <v>7.5905179412242244E-2</v>
      </c>
      <c r="L264" s="19">
        <v>8.271408351026184E-2</v>
      </c>
      <c r="M264" s="26" t="s">
        <v>2440</v>
      </c>
      <c r="N264" s="26">
        <v>23</v>
      </c>
      <c r="O264" s="26" t="s">
        <v>2011</v>
      </c>
    </row>
    <row r="265" spans="1:15" hidden="1" x14ac:dyDescent="0.25">
      <c r="A265" s="26">
        <v>17</v>
      </c>
      <c r="B265" s="19" t="s">
        <v>295</v>
      </c>
      <c r="C265" s="19" t="s">
        <v>2287</v>
      </c>
      <c r="D265" s="19">
        <v>0</v>
      </c>
      <c r="E265" s="19">
        <v>1769.55</v>
      </c>
      <c r="F265" s="19">
        <v>1558.53</v>
      </c>
      <c r="G265" s="19">
        <v>0</v>
      </c>
      <c r="H265" s="57">
        <v>0</v>
      </c>
      <c r="I265" s="19">
        <v>10.91</v>
      </c>
      <c r="J265" s="19">
        <v>200.11</v>
      </c>
      <c r="K265" s="57">
        <v>0.11308524766183493</v>
      </c>
      <c r="L265" s="19">
        <v>0.12839663015790523</v>
      </c>
      <c r="M265" s="26" t="s">
        <v>2440</v>
      </c>
      <c r="N265" s="26">
        <v>23</v>
      </c>
      <c r="O265" s="26" t="s">
        <v>2011</v>
      </c>
    </row>
    <row r="266" spans="1:15" hidden="1" x14ac:dyDescent="0.25">
      <c r="A266" s="26">
        <v>18</v>
      </c>
      <c r="B266" s="19" t="s">
        <v>295</v>
      </c>
      <c r="C266" s="19" t="s">
        <v>2296</v>
      </c>
      <c r="D266" s="19">
        <v>0</v>
      </c>
      <c r="E266" s="19">
        <v>2923.8</v>
      </c>
      <c r="F266" s="19">
        <v>1469.52</v>
      </c>
      <c r="G266" s="19">
        <v>1298.74</v>
      </c>
      <c r="H266" s="57">
        <v>0.44419590943292975</v>
      </c>
      <c r="I266" s="19">
        <v>10.29</v>
      </c>
      <c r="J266" s="19">
        <v>145.25</v>
      </c>
      <c r="K266" s="57">
        <v>4.9678500581435116E-2</v>
      </c>
      <c r="L266" s="19">
        <v>9.8841798682563015E-2</v>
      </c>
      <c r="M266" s="26" t="s">
        <v>2440</v>
      </c>
      <c r="N266" s="26">
        <v>23</v>
      </c>
      <c r="O266" s="26" t="s">
        <v>2011</v>
      </c>
    </row>
    <row r="267" spans="1:15" hidden="1" x14ac:dyDescent="0.25">
      <c r="A267" s="26">
        <v>19</v>
      </c>
      <c r="B267" s="19" t="s">
        <v>295</v>
      </c>
      <c r="C267" s="19" t="s">
        <v>2301</v>
      </c>
      <c r="D267" s="19">
        <v>0</v>
      </c>
      <c r="E267" s="19">
        <v>1197.99</v>
      </c>
      <c r="F267" s="19">
        <v>860.08</v>
      </c>
      <c r="G267" s="19">
        <v>186</v>
      </c>
      <c r="H267" s="57">
        <v>0.15526006060150752</v>
      </c>
      <c r="I267" s="19">
        <v>6.02</v>
      </c>
      <c r="J267" s="19">
        <v>145.88999999999999</v>
      </c>
      <c r="K267" s="57">
        <v>0.12177897979115017</v>
      </c>
      <c r="L267" s="19">
        <v>0.16962375592968093</v>
      </c>
      <c r="M267" s="26" t="s">
        <v>2440</v>
      </c>
      <c r="N267" s="26">
        <v>23</v>
      </c>
      <c r="O267" s="26" t="s">
        <v>2011</v>
      </c>
    </row>
    <row r="268" spans="1:15" hidden="1" x14ac:dyDescent="0.25">
      <c r="A268" s="26">
        <v>20</v>
      </c>
      <c r="B268" s="19" t="s">
        <v>295</v>
      </c>
      <c r="C268" s="19" t="s">
        <v>2314</v>
      </c>
      <c r="D268" s="19">
        <v>0</v>
      </c>
      <c r="E268" s="19">
        <v>1197.99</v>
      </c>
      <c r="F268" s="19">
        <v>401.9</v>
      </c>
      <c r="G268" s="19">
        <v>776.57</v>
      </c>
      <c r="H268" s="57">
        <v>0.64822744764146611</v>
      </c>
      <c r="I268" s="19">
        <v>2.81</v>
      </c>
      <c r="J268" s="19">
        <v>16.71</v>
      </c>
      <c r="K268" s="57">
        <v>1.3948363508877371E-2</v>
      </c>
      <c r="L268" s="19">
        <v>4.1577506842498141E-2</v>
      </c>
      <c r="M268" s="26" t="s">
        <v>2440</v>
      </c>
      <c r="N268" s="26">
        <v>23</v>
      </c>
      <c r="O268" s="26" t="s">
        <v>2011</v>
      </c>
    </row>
    <row r="269" spans="1:15" hidden="1" x14ac:dyDescent="0.25">
      <c r="A269" s="26">
        <v>21</v>
      </c>
      <c r="B269" s="19" t="s">
        <v>295</v>
      </c>
      <c r="C269" s="19" t="s">
        <v>2322</v>
      </c>
      <c r="D269" s="19">
        <v>5204.55</v>
      </c>
      <c r="E269" s="19">
        <v>0</v>
      </c>
      <c r="F269" s="19">
        <v>1217.8</v>
      </c>
      <c r="G269" s="19">
        <v>3955.39</v>
      </c>
      <c r="H269" s="57">
        <v>0.7599869345092275</v>
      </c>
      <c r="I269" s="19">
        <v>8.52</v>
      </c>
      <c r="J269" s="19">
        <v>22.84</v>
      </c>
      <c r="K269" s="57">
        <v>4.3884677829975696E-3</v>
      </c>
      <c r="L269" s="19">
        <v>1.8755132205616688E-2</v>
      </c>
      <c r="M269" s="26" t="s">
        <v>2440</v>
      </c>
      <c r="N269" s="26">
        <v>23</v>
      </c>
      <c r="O269" s="26" t="s">
        <v>2011</v>
      </c>
    </row>
    <row r="270" spans="1:15" hidden="1" x14ac:dyDescent="0.25">
      <c r="A270" s="26">
        <v>22</v>
      </c>
      <c r="B270" s="19" t="s">
        <v>295</v>
      </c>
      <c r="C270" s="19" t="s">
        <v>2328</v>
      </c>
      <c r="D270" s="19">
        <v>5204.55</v>
      </c>
      <c r="E270" s="19">
        <v>0</v>
      </c>
      <c r="F270" s="19">
        <v>4871.2</v>
      </c>
      <c r="G270" s="19">
        <v>0</v>
      </c>
      <c r="H270" s="57">
        <v>0</v>
      </c>
      <c r="I270" s="19">
        <v>34.1</v>
      </c>
      <c r="J270" s="19">
        <v>299.25</v>
      </c>
      <c r="K270" s="57">
        <v>5.7497766377496609E-2</v>
      </c>
      <c r="L270" s="19">
        <v>6.1432501231729351E-2</v>
      </c>
      <c r="M270" s="26" t="s">
        <v>2440</v>
      </c>
      <c r="N270" s="26">
        <v>23</v>
      </c>
      <c r="O270" s="26" t="s">
        <v>2011</v>
      </c>
    </row>
    <row r="271" spans="1:15" hidden="1" x14ac:dyDescent="0.25">
      <c r="A271" s="26">
        <v>23</v>
      </c>
      <c r="B271" s="19" t="s">
        <v>295</v>
      </c>
      <c r="C271" s="19" t="s">
        <v>2346</v>
      </c>
      <c r="D271" s="19">
        <v>4423.87</v>
      </c>
      <c r="E271" s="19">
        <v>0</v>
      </c>
      <c r="F271" s="19">
        <v>4003.64</v>
      </c>
      <c r="G271" s="19">
        <v>0</v>
      </c>
      <c r="H271" s="57">
        <v>0</v>
      </c>
      <c r="I271" s="19">
        <v>28.03</v>
      </c>
      <c r="J271" s="19">
        <v>392.2</v>
      </c>
      <c r="K271" s="57">
        <v>8.8655408047704831E-2</v>
      </c>
      <c r="L271" s="19">
        <v>9.7960855621384541E-2</v>
      </c>
      <c r="M271" s="26" t="s">
        <v>2440</v>
      </c>
      <c r="N271" s="26">
        <v>23</v>
      </c>
      <c r="O271" s="26" t="s">
        <v>2011</v>
      </c>
    </row>
    <row r="272" spans="1:15" hidden="1" x14ac:dyDescent="0.25">
      <c r="A272" s="26">
        <v>24</v>
      </c>
      <c r="B272" s="19" t="s">
        <v>295</v>
      </c>
      <c r="C272" s="19" t="s">
        <v>2358</v>
      </c>
      <c r="D272" s="19">
        <v>4423.87</v>
      </c>
      <c r="E272" s="19">
        <v>0</v>
      </c>
      <c r="F272" s="19">
        <v>4003.64</v>
      </c>
      <c r="G272" s="19">
        <v>0</v>
      </c>
      <c r="H272" s="57">
        <v>0</v>
      </c>
      <c r="I272" s="19">
        <v>28.03</v>
      </c>
      <c r="J272" s="19">
        <v>392.2</v>
      </c>
      <c r="K272" s="57">
        <v>8.8655408047704831E-2</v>
      </c>
      <c r="L272" s="19">
        <v>9.7960855621384541E-2</v>
      </c>
      <c r="M272" s="26" t="s">
        <v>2440</v>
      </c>
      <c r="N272" s="26">
        <v>23</v>
      </c>
      <c r="O272" s="26" t="s">
        <v>2011</v>
      </c>
    </row>
    <row r="273" spans="1:15" hidden="1" x14ac:dyDescent="0.25">
      <c r="A273" s="26">
        <v>25</v>
      </c>
      <c r="B273" s="19" t="s">
        <v>295</v>
      </c>
      <c r="C273" s="19" t="s">
        <v>2370</v>
      </c>
      <c r="D273" s="19">
        <v>4423.87</v>
      </c>
      <c r="E273" s="19">
        <v>0</v>
      </c>
      <c r="F273" s="19">
        <v>1880.24</v>
      </c>
      <c r="G273" s="19">
        <v>2504.75</v>
      </c>
      <c r="H273" s="57">
        <v>0.56618978405784981</v>
      </c>
      <c r="I273" s="19">
        <v>13.16</v>
      </c>
      <c r="J273" s="19">
        <v>25.72</v>
      </c>
      <c r="K273" s="57">
        <v>5.8139140616699858E-3</v>
      </c>
      <c r="L273" s="19">
        <v>1.3679104795132535E-2</v>
      </c>
      <c r="M273" s="26" t="s">
        <v>2440</v>
      </c>
      <c r="N273" s="26">
        <v>23</v>
      </c>
      <c r="O273" s="26" t="s">
        <v>2011</v>
      </c>
    </row>
    <row r="274" spans="1:15" hidden="1" x14ac:dyDescent="0.25">
      <c r="A274" s="26">
        <v>26</v>
      </c>
      <c r="B274" s="19" t="s">
        <v>295</v>
      </c>
      <c r="C274" s="19" t="s">
        <v>2376</v>
      </c>
      <c r="D274" s="19">
        <v>4423.87</v>
      </c>
      <c r="E274" s="19">
        <v>0</v>
      </c>
      <c r="F274" s="19">
        <v>3084.94</v>
      </c>
      <c r="G274" s="19">
        <v>1270.18</v>
      </c>
      <c r="H274" s="57">
        <v>0.28711964863343636</v>
      </c>
      <c r="I274" s="19">
        <v>21.59</v>
      </c>
      <c r="J274" s="19">
        <v>47.16</v>
      </c>
      <c r="K274" s="57">
        <v>1.0660349422564407E-2</v>
      </c>
      <c r="L274" s="19">
        <v>1.5287169280439813E-2</v>
      </c>
      <c r="M274" s="26" t="s">
        <v>2440</v>
      </c>
      <c r="N274" s="26">
        <v>23</v>
      </c>
      <c r="O274" s="26" t="s">
        <v>2011</v>
      </c>
    </row>
    <row r="275" spans="1:15" hidden="1" x14ac:dyDescent="0.25">
      <c r="A275" s="26">
        <v>27</v>
      </c>
      <c r="B275" s="19" t="s">
        <v>295</v>
      </c>
      <c r="C275" s="19" t="s">
        <v>2387</v>
      </c>
      <c r="D275" s="19">
        <v>4423.87</v>
      </c>
      <c r="E275" s="19">
        <v>0</v>
      </c>
      <c r="F275" s="19">
        <v>3219.83</v>
      </c>
      <c r="G275" s="19">
        <v>928.05</v>
      </c>
      <c r="H275" s="57">
        <v>0.20978238510625311</v>
      </c>
      <c r="I275" s="19">
        <v>22.54</v>
      </c>
      <c r="J275" s="19">
        <v>253.45</v>
      </c>
      <c r="K275" s="57">
        <v>5.7291466521394163E-2</v>
      </c>
      <c r="L275" s="19">
        <v>7.8715335902827172E-2</v>
      </c>
      <c r="M275" s="26" t="s">
        <v>2440</v>
      </c>
      <c r="N275" s="26">
        <v>23</v>
      </c>
      <c r="O275" s="26" t="s">
        <v>2011</v>
      </c>
    </row>
    <row r="276" spans="1:15" hidden="1" x14ac:dyDescent="0.25">
      <c r="A276" s="26">
        <v>28</v>
      </c>
      <c r="B276" s="19" t="s">
        <v>295</v>
      </c>
      <c r="C276" s="19" t="s">
        <v>2399</v>
      </c>
      <c r="D276" s="19">
        <v>4423.87</v>
      </c>
      <c r="E276" s="19">
        <v>0</v>
      </c>
      <c r="F276" s="19">
        <v>3014.39</v>
      </c>
      <c r="G276" s="19">
        <v>1233.22</v>
      </c>
      <c r="H276" s="57">
        <v>0.27876497275010342</v>
      </c>
      <c r="I276" s="19">
        <v>21.1</v>
      </c>
      <c r="J276" s="19">
        <v>155.16</v>
      </c>
      <c r="K276" s="57">
        <v>3.5073363367368389E-2</v>
      </c>
      <c r="L276" s="19">
        <v>5.1473100693672683E-2</v>
      </c>
      <c r="M276" s="26" t="s">
        <v>2440</v>
      </c>
      <c r="N276" s="26">
        <v>23</v>
      </c>
      <c r="O276" s="26" t="s">
        <v>2011</v>
      </c>
    </row>
    <row r="277" spans="1:15" hidden="1" x14ac:dyDescent="0.25">
      <c r="A277" s="26">
        <v>29</v>
      </c>
      <c r="B277" s="19" t="s">
        <v>295</v>
      </c>
      <c r="C277" s="19" t="s">
        <v>2409</v>
      </c>
      <c r="D277" s="19">
        <v>4423.87</v>
      </c>
      <c r="E277" s="19">
        <v>0</v>
      </c>
      <c r="F277" s="19">
        <v>2305.0500000000002</v>
      </c>
      <c r="G277" s="19">
        <v>1972.64</v>
      </c>
      <c r="H277" s="57">
        <v>0.44590822063035307</v>
      </c>
      <c r="I277" s="19">
        <v>16.14</v>
      </c>
      <c r="J277" s="19">
        <v>130.04</v>
      </c>
      <c r="K277" s="57">
        <v>2.9395077160947313E-2</v>
      </c>
      <c r="L277" s="19">
        <v>5.6415262141819043E-2</v>
      </c>
      <c r="M277" s="26" t="s">
        <v>2440</v>
      </c>
      <c r="N277" s="26">
        <v>23</v>
      </c>
      <c r="O277" s="26" t="s">
        <v>2011</v>
      </c>
    </row>
    <row r="278" spans="1:15" hidden="1" x14ac:dyDescent="0.25">
      <c r="A278" s="26">
        <v>30</v>
      </c>
      <c r="B278" s="19" t="s">
        <v>295</v>
      </c>
      <c r="C278" s="19" t="s">
        <v>2419</v>
      </c>
      <c r="D278" s="19">
        <v>4423.87</v>
      </c>
      <c r="E278" s="19">
        <v>0</v>
      </c>
      <c r="F278" s="19">
        <v>2298.88</v>
      </c>
      <c r="G278" s="19">
        <v>1978.93</v>
      </c>
      <c r="H278" s="57">
        <v>0.44733005264621251</v>
      </c>
      <c r="I278" s="19">
        <v>16.09</v>
      </c>
      <c r="J278" s="19">
        <v>129.97</v>
      </c>
      <c r="K278" s="57">
        <v>2.9379253911168277E-2</v>
      </c>
      <c r="L278" s="19">
        <v>5.653622633630289E-2</v>
      </c>
      <c r="M278" s="26" t="s">
        <v>2440</v>
      </c>
      <c r="N278" s="26">
        <v>23</v>
      </c>
      <c r="O278" s="26" t="s">
        <v>2011</v>
      </c>
    </row>
    <row r="279" spans="1:15" hidden="1" x14ac:dyDescent="0.25">
      <c r="A279" s="26">
        <v>31</v>
      </c>
      <c r="B279" s="19" t="s">
        <v>295</v>
      </c>
      <c r="C279" s="19" t="s">
        <v>2429</v>
      </c>
      <c r="D279" s="19">
        <v>4423.87</v>
      </c>
      <c r="E279" s="19">
        <v>0</v>
      </c>
      <c r="F279" s="19">
        <v>287.36</v>
      </c>
      <c r="G279" s="19">
        <v>4130.47</v>
      </c>
      <c r="H279" s="57">
        <v>0.93367797878328262</v>
      </c>
      <c r="I279" s="19">
        <v>2.0099999999999998</v>
      </c>
      <c r="J279" s="19">
        <v>4.03</v>
      </c>
      <c r="K279" s="57">
        <v>9.1096709442185244E-4</v>
      </c>
      <c r="L279" s="19">
        <v>1.4024220489977729E-2</v>
      </c>
      <c r="M279" s="26" t="s">
        <v>2440</v>
      </c>
      <c r="N279" s="26">
        <v>23</v>
      </c>
      <c r="O279" s="26" t="s">
        <v>2011</v>
      </c>
    </row>
    <row r="280" spans="1:15" hidden="1" x14ac:dyDescent="0.25">
      <c r="A280" s="26">
        <v>32</v>
      </c>
      <c r="B280" s="19" t="s">
        <v>297</v>
      </c>
      <c r="C280" s="19" t="s">
        <v>2432</v>
      </c>
      <c r="D280" s="19">
        <v>0</v>
      </c>
      <c r="E280" s="19">
        <v>2816.61</v>
      </c>
      <c r="F280" s="19">
        <v>2181.8200000000002</v>
      </c>
      <c r="G280" s="19">
        <v>557.76</v>
      </c>
      <c r="H280" s="57">
        <v>0.1980252857158073</v>
      </c>
      <c r="I280" s="19">
        <v>15.27</v>
      </c>
      <c r="J280" s="19">
        <v>61.76</v>
      </c>
      <c r="K280" s="57">
        <v>2.1927068355221346E-2</v>
      </c>
      <c r="L280" s="19">
        <v>2.8306643077797431E-2</v>
      </c>
      <c r="M280" s="26" t="s">
        <v>2440</v>
      </c>
      <c r="N280" s="26">
        <v>23</v>
      </c>
      <c r="O280" s="26" t="s">
        <v>2011</v>
      </c>
    </row>
    <row r="281" spans="1:15" hidden="1" x14ac:dyDescent="0.25">
      <c r="A281" s="26">
        <v>33</v>
      </c>
      <c r="B281" s="19" t="s">
        <v>297</v>
      </c>
      <c r="C281" s="19" t="s">
        <v>2437</v>
      </c>
      <c r="D281" s="19">
        <v>4408.5600000000004</v>
      </c>
      <c r="E281" s="19">
        <v>0</v>
      </c>
      <c r="F281" s="19">
        <v>4233.22</v>
      </c>
      <c r="G281" s="19">
        <v>0</v>
      </c>
      <c r="H281" s="57">
        <v>0</v>
      </c>
      <c r="I281" s="19">
        <v>29.63</v>
      </c>
      <c r="J281" s="19">
        <v>145.71</v>
      </c>
      <c r="K281" s="57">
        <v>3.3051608688551365E-2</v>
      </c>
      <c r="L281" s="19">
        <v>3.4420606535923007E-2</v>
      </c>
      <c r="M281" s="26" t="s">
        <v>2440</v>
      </c>
      <c r="N281" s="26">
        <v>23</v>
      </c>
      <c r="O281" s="26" t="s">
        <v>2011</v>
      </c>
    </row>
    <row r="282" spans="1:15" hidden="1" x14ac:dyDescent="0.25">
      <c r="C282" s="19" t="s">
        <v>169</v>
      </c>
      <c r="D282" s="19">
        <v>81273.039999999994</v>
      </c>
      <c r="E282" s="19">
        <v>13904.18</v>
      </c>
      <c r="F282" s="19">
        <v>64690.380000000005</v>
      </c>
      <c r="G282" s="19">
        <v>26412.33</v>
      </c>
      <c r="H282" s="57">
        <v>0.27750684459999991</v>
      </c>
      <c r="I282" s="19">
        <v>452.81999999999994</v>
      </c>
      <c r="J282" s="19">
        <v>3621.6899999999991</v>
      </c>
      <c r="K282" s="57">
        <v>3.8052067501025973E-2</v>
      </c>
      <c r="L282" s="19">
        <v>5.5984985711940459E-2</v>
      </c>
      <c r="M282" s="26" t="s">
        <v>2440</v>
      </c>
      <c r="N282" s="26">
        <v>23</v>
      </c>
      <c r="O282" s="26" t="s">
        <v>2011</v>
      </c>
    </row>
    <row r="283" spans="1:15" x14ac:dyDescent="0.25">
      <c r="A283" s="26">
        <v>1</v>
      </c>
      <c r="B283" s="19" t="s">
        <v>167</v>
      </c>
      <c r="C283" s="19" t="s">
        <v>2448</v>
      </c>
      <c r="D283" s="19">
        <v>0</v>
      </c>
      <c r="E283" s="19">
        <v>810.01</v>
      </c>
      <c r="F283" s="19">
        <v>767.63</v>
      </c>
      <c r="G283" s="19">
        <v>0</v>
      </c>
      <c r="H283" s="57">
        <v>0</v>
      </c>
      <c r="I283" s="19">
        <v>5.37</v>
      </c>
      <c r="J283" s="19">
        <v>37.01</v>
      </c>
      <c r="K283" s="57">
        <v>4.5690793940815544E-2</v>
      </c>
      <c r="L283" s="19">
        <v>4.8213331943774994E-2</v>
      </c>
      <c r="M283" s="26" t="s">
        <v>3150</v>
      </c>
      <c r="N283" s="26">
        <v>24</v>
      </c>
      <c r="O283" s="26" t="s">
        <v>2449</v>
      </c>
    </row>
    <row r="284" spans="1:15" x14ac:dyDescent="0.25">
      <c r="A284" s="26">
        <v>2</v>
      </c>
      <c r="B284" s="19" t="s">
        <v>167</v>
      </c>
      <c r="C284" s="19" t="s">
        <v>2468</v>
      </c>
      <c r="D284" s="19">
        <v>0</v>
      </c>
      <c r="E284" s="19">
        <v>779.33</v>
      </c>
      <c r="F284" s="19">
        <v>732.33</v>
      </c>
      <c r="G284" s="19">
        <v>0</v>
      </c>
      <c r="H284" s="57">
        <v>0</v>
      </c>
      <c r="I284" s="19">
        <v>5.13</v>
      </c>
      <c r="J284" s="19">
        <v>41.87</v>
      </c>
      <c r="K284" s="57">
        <v>5.3725636123336709E-2</v>
      </c>
      <c r="L284" s="19">
        <v>5.7173678532901825E-2</v>
      </c>
      <c r="M284" s="26" t="s">
        <v>3150</v>
      </c>
      <c r="N284" s="26">
        <v>24</v>
      </c>
      <c r="O284" s="26" t="s">
        <v>2449</v>
      </c>
    </row>
    <row r="285" spans="1:15" x14ac:dyDescent="0.25">
      <c r="A285" s="26">
        <v>3</v>
      </c>
      <c r="B285" s="19" t="s">
        <v>167</v>
      </c>
      <c r="C285" s="19" t="s">
        <v>2489</v>
      </c>
      <c r="D285" s="19">
        <v>0</v>
      </c>
      <c r="E285" s="19">
        <v>960.44</v>
      </c>
      <c r="F285" s="19">
        <v>892.83</v>
      </c>
      <c r="G285" s="19">
        <v>0</v>
      </c>
      <c r="H285" s="57">
        <v>0</v>
      </c>
      <c r="I285" s="19">
        <v>6.25</v>
      </c>
      <c r="J285" s="19">
        <v>61.36</v>
      </c>
      <c r="K285" s="57">
        <v>6.3887384948565232E-2</v>
      </c>
      <c r="L285" s="19">
        <v>6.8725289248793162E-2</v>
      </c>
      <c r="M285" s="26" t="s">
        <v>3150</v>
      </c>
      <c r="N285" s="26">
        <v>24</v>
      </c>
      <c r="O285" s="26" t="s">
        <v>2449</v>
      </c>
    </row>
    <row r="286" spans="1:15" x14ac:dyDescent="0.25">
      <c r="A286" s="26">
        <v>4</v>
      </c>
      <c r="B286" s="19" t="s">
        <v>167</v>
      </c>
      <c r="C286" s="19" t="s">
        <v>2512</v>
      </c>
      <c r="D286" s="19">
        <v>2296.6</v>
      </c>
      <c r="E286" s="19">
        <v>0</v>
      </c>
      <c r="F286" s="19">
        <v>2188.0500000000002</v>
      </c>
      <c r="G286" s="19">
        <v>0</v>
      </c>
      <c r="H286" s="57">
        <v>0</v>
      </c>
      <c r="I286" s="19">
        <v>15.32</v>
      </c>
      <c r="J286" s="19">
        <v>93.23</v>
      </c>
      <c r="K286" s="57">
        <v>4.0594792301663331E-2</v>
      </c>
      <c r="L286" s="19">
        <v>4.2608715522954227E-2</v>
      </c>
      <c r="M286" s="26" t="s">
        <v>3150</v>
      </c>
      <c r="N286" s="26">
        <v>24</v>
      </c>
      <c r="O286" s="26" t="s">
        <v>2449</v>
      </c>
    </row>
    <row r="287" spans="1:15" x14ac:dyDescent="0.25">
      <c r="A287" s="26">
        <v>5</v>
      </c>
      <c r="B287" s="19" t="s">
        <v>167</v>
      </c>
      <c r="C287" s="19" t="s">
        <v>2528</v>
      </c>
      <c r="D287" s="19">
        <v>2296.6</v>
      </c>
      <c r="E287" s="19">
        <v>0</v>
      </c>
      <c r="F287" s="19">
        <v>2187.61</v>
      </c>
      <c r="G287" s="19">
        <v>0</v>
      </c>
      <c r="H287" s="57">
        <v>0</v>
      </c>
      <c r="I287" s="19">
        <v>15.31</v>
      </c>
      <c r="J287" s="19">
        <v>93.68</v>
      </c>
      <c r="K287" s="57">
        <v>4.0790734128712015E-2</v>
      </c>
      <c r="L287" s="19">
        <v>4.2822989472529382E-2</v>
      </c>
      <c r="M287" s="26" t="s">
        <v>3150</v>
      </c>
      <c r="N287" s="26">
        <v>24</v>
      </c>
      <c r="O287" s="26" t="s">
        <v>2449</v>
      </c>
    </row>
    <row r="288" spans="1:15" x14ac:dyDescent="0.25">
      <c r="A288" s="26">
        <v>6</v>
      </c>
      <c r="B288" s="19" t="s">
        <v>167</v>
      </c>
      <c r="C288" s="19" t="s">
        <v>2542</v>
      </c>
      <c r="D288" s="19">
        <v>2296.6</v>
      </c>
      <c r="E288" s="19">
        <v>0</v>
      </c>
      <c r="F288" s="19">
        <v>2192.67</v>
      </c>
      <c r="G288" s="19">
        <v>0</v>
      </c>
      <c r="H288" s="57">
        <v>0</v>
      </c>
      <c r="I288" s="19">
        <v>15.35</v>
      </c>
      <c r="J288" s="19">
        <v>88.58</v>
      </c>
      <c r="K288" s="57">
        <v>3.8570060088826963E-2</v>
      </c>
      <c r="L288" s="19">
        <v>4.0398235940656821E-2</v>
      </c>
      <c r="M288" s="26" t="s">
        <v>3150</v>
      </c>
      <c r="N288" s="26">
        <v>24</v>
      </c>
      <c r="O288" s="26" t="s">
        <v>2449</v>
      </c>
    </row>
    <row r="289" spans="1:15" x14ac:dyDescent="0.25">
      <c r="A289" s="26">
        <v>7</v>
      </c>
      <c r="B289" s="19" t="s">
        <v>167</v>
      </c>
      <c r="C289" s="19" t="s">
        <v>2558</v>
      </c>
      <c r="D289" s="19">
        <v>2296.6</v>
      </c>
      <c r="E289" s="19">
        <v>0</v>
      </c>
      <c r="F289" s="19">
        <v>2192.71</v>
      </c>
      <c r="G289" s="19">
        <v>0</v>
      </c>
      <c r="H289" s="57">
        <v>0</v>
      </c>
      <c r="I289" s="19">
        <v>15.35</v>
      </c>
      <c r="J289" s="19">
        <v>88.54</v>
      </c>
      <c r="K289" s="57">
        <v>3.8552643037533751E-2</v>
      </c>
      <c r="L289" s="19">
        <v>4.0379256718854756E-2</v>
      </c>
      <c r="M289" s="26" t="s">
        <v>3150</v>
      </c>
      <c r="N289" s="26">
        <v>24</v>
      </c>
      <c r="O289" s="26" t="s">
        <v>2449</v>
      </c>
    </row>
    <row r="290" spans="1:15" x14ac:dyDescent="0.25">
      <c r="A290" s="26">
        <v>8</v>
      </c>
      <c r="B290" s="19" t="s">
        <v>167</v>
      </c>
      <c r="C290" s="19" t="s">
        <v>2574</v>
      </c>
      <c r="D290" s="19">
        <v>2296.6</v>
      </c>
      <c r="E290" s="19">
        <v>0</v>
      </c>
      <c r="F290" s="19">
        <v>2176.27</v>
      </c>
      <c r="G290" s="19">
        <v>0</v>
      </c>
      <c r="H290" s="57">
        <v>0</v>
      </c>
      <c r="I290" s="19">
        <v>15.23</v>
      </c>
      <c r="J290" s="19">
        <v>105.1</v>
      </c>
      <c r="K290" s="57">
        <v>4.5763302272925195E-2</v>
      </c>
      <c r="L290" s="19">
        <v>4.829364003547354E-2</v>
      </c>
      <c r="M290" s="26" t="s">
        <v>3150</v>
      </c>
      <c r="N290" s="26">
        <v>24</v>
      </c>
      <c r="O290" s="26" t="s">
        <v>2449</v>
      </c>
    </row>
    <row r="291" spans="1:15" x14ac:dyDescent="0.25">
      <c r="A291" s="26">
        <v>9</v>
      </c>
      <c r="B291" s="19" t="s">
        <v>167</v>
      </c>
      <c r="C291" s="19" t="s">
        <v>2596</v>
      </c>
      <c r="D291" s="19">
        <v>2296.6</v>
      </c>
      <c r="E291" s="19">
        <v>0</v>
      </c>
      <c r="F291" s="19">
        <v>2217.59</v>
      </c>
      <c r="G291" s="19">
        <v>0</v>
      </c>
      <c r="H291" s="57">
        <v>0</v>
      </c>
      <c r="I291" s="19">
        <v>15.52</v>
      </c>
      <c r="J291" s="19">
        <v>63.49</v>
      </c>
      <c r="K291" s="57">
        <v>2.7645214665157191E-2</v>
      </c>
      <c r="L291" s="19">
        <v>2.8630179609395786E-2</v>
      </c>
      <c r="M291" s="26" t="s">
        <v>3150</v>
      </c>
      <c r="N291" s="26">
        <v>24</v>
      </c>
      <c r="O291" s="26" t="s">
        <v>2449</v>
      </c>
    </row>
    <row r="292" spans="1:15" x14ac:dyDescent="0.25">
      <c r="A292" s="26">
        <v>10</v>
      </c>
      <c r="B292" s="19" t="s">
        <v>167</v>
      </c>
      <c r="C292" s="19" t="s">
        <v>2624</v>
      </c>
      <c r="D292" s="19">
        <v>2296.6</v>
      </c>
      <c r="E292" s="19">
        <v>0</v>
      </c>
      <c r="F292" s="19">
        <v>2192.66</v>
      </c>
      <c r="G292" s="19">
        <v>0</v>
      </c>
      <c r="H292" s="57">
        <v>0</v>
      </c>
      <c r="I292" s="19">
        <v>15.35</v>
      </c>
      <c r="J292" s="19">
        <v>88.59</v>
      </c>
      <c r="K292" s="57">
        <v>3.8574414351650266E-2</v>
      </c>
      <c r="L292" s="19">
        <v>4.0402980854304819E-2</v>
      </c>
      <c r="M292" s="26" t="s">
        <v>3150</v>
      </c>
      <c r="N292" s="26">
        <v>24</v>
      </c>
      <c r="O292" s="26" t="s">
        <v>2449</v>
      </c>
    </row>
    <row r="293" spans="1:15" x14ac:dyDescent="0.25">
      <c r="A293" s="26">
        <v>11</v>
      </c>
      <c r="B293" s="19" t="s">
        <v>167</v>
      </c>
      <c r="C293" s="19" t="s">
        <v>2639</v>
      </c>
      <c r="D293" s="19">
        <v>2296.6</v>
      </c>
      <c r="E293" s="19">
        <v>0</v>
      </c>
      <c r="F293" s="19">
        <v>2194.66</v>
      </c>
      <c r="G293" s="19">
        <v>0</v>
      </c>
      <c r="H293" s="57">
        <v>0</v>
      </c>
      <c r="I293" s="19">
        <v>15.36</v>
      </c>
      <c r="J293" s="19">
        <v>86.58</v>
      </c>
      <c r="K293" s="57">
        <v>3.769920752416616E-2</v>
      </c>
      <c r="L293" s="19">
        <v>3.9450302096907953E-2</v>
      </c>
      <c r="M293" s="26" t="s">
        <v>3150</v>
      </c>
      <c r="N293" s="26">
        <v>24</v>
      </c>
      <c r="O293" s="26" t="s">
        <v>2449</v>
      </c>
    </row>
    <row r="294" spans="1:15" x14ac:dyDescent="0.25">
      <c r="A294" s="26">
        <v>12</v>
      </c>
      <c r="B294" s="19" t="s">
        <v>167</v>
      </c>
      <c r="C294" s="19" t="s">
        <v>2659</v>
      </c>
      <c r="D294" s="19">
        <v>2296.6</v>
      </c>
      <c r="E294" s="19">
        <v>0</v>
      </c>
      <c r="F294" s="19">
        <v>2187.59</v>
      </c>
      <c r="G294" s="19">
        <v>0</v>
      </c>
      <c r="H294" s="57">
        <v>0</v>
      </c>
      <c r="I294" s="19">
        <v>15.31</v>
      </c>
      <c r="J294" s="19">
        <v>93.7</v>
      </c>
      <c r="K294" s="57">
        <v>4.0799442654358621E-2</v>
      </c>
      <c r="L294" s="19">
        <v>4.2832523461891855E-2</v>
      </c>
      <c r="M294" s="26" t="s">
        <v>3150</v>
      </c>
      <c r="N294" s="26">
        <v>24</v>
      </c>
      <c r="O294" s="26" t="s">
        <v>2449</v>
      </c>
    </row>
    <row r="295" spans="1:15" x14ac:dyDescent="0.25">
      <c r="A295" s="26">
        <v>13</v>
      </c>
      <c r="B295" s="19" t="s">
        <v>167</v>
      </c>
      <c r="C295" s="19" t="s">
        <v>2679</v>
      </c>
      <c r="D295" s="19">
        <v>2296.6</v>
      </c>
      <c r="E295" s="19">
        <v>0</v>
      </c>
      <c r="F295" s="19">
        <v>2185.86</v>
      </c>
      <c r="G295" s="19">
        <v>0</v>
      </c>
      <c r="H295" s="57">
        <v>0</v>
      </c>
      <c r="I295" s="19">
        <v>15.3</v>
      </c>
      <c r="J295" s="19">
        <v>95.44</v>
      </c>
      <c r="K295" s="57">
        <v>4.1557084385613514E-2</v>
      </c>
      <c r="L295" s="19">
        <v>4.3662448647214365E-2</v>
      </c>
      <c r="M295" s="26" t="s">
        <v>3150</v>
      </c>
      <c r="N295" s="26">
        <v>24</v>
      </c>
      <c r="O295" s="26" t="s">
        <v>2449</v>
      </c>
    </row>
    <row r="296" spans="1:15" x14ac:dyDescent="0.25">
      <c r="A296" s="26">
        <v>14</v>
      </c>
      <c r="B296" s="19" t="s">
        <v>167</v>
      </c>
      <c r="C296" s="19" t="s">
        <v>2704</v>
      </c>
      <c r="D296" s="19">
        <v>2296.6</v>
      </c>
      <c r="E296" s="19">
        <v>0</v>
      </c>
      <c r="F296" s="19">
        <v>2185.86</v>
      </c>
      <c r="G296" s="19">
        <v>0</v>
      </c>
      <c r="H296" s="57">
        <v>0</v>
      </c>
      <c r="I296" s="19">
        <v>15.3</v>
      </c>
      <c r="J296" s="19">
        <v>95.44</v>
      </c>
      <c r="K296" s="57">
        <v>4.1557084385613514E-2</v>
      </c>
      <c r="L296" s="19">
        <v>4.3662448647214365E-2</v>
      </c>
      <c r="M296" s="26" t="s">
        <v>3150</v>
      </c>
      <c r="N296" s="26">
        <v>24</v>
      </c>
      <c r="O296" s="26" t="s">
        <v>2449</v>
      </c>
    </row>
    <row r="297" spans="1:15" x14ac:dyDescent="0.25">
      <c r="A297" s="26">
        <v>15</v>
      </c>
      <c r="B297" s="19" t="s">
        <v>167</v>
      </c>
      <c r="C297" s="19" t="s">
        <v>2724</v>
      </c>
      <c r="D297" s="19">
        <v>2296.6</v>
      </c>
      <c r="E297" s="19">
        <v>0</v>
      </c>
      <c r="F297" s="19">
        <v>2180.59</v>
      </c>
      <c r="G297" s="19">
        <v>0</v>
      </c>
      <c r="H297" s="57">
        <v>0</v>
      </c>
      <c r="I297" s="19">
        <v>15.26</v>
      </c>
      <c r="J297" s="19">
        <v>100.75</v>
      </c>
      <c r="K297" s="57">
        <v>4.3869197944787948E-2</v>
      </c>
      <c r="L297" s="19">
        <v>4.6203091823772462E-2</v>
      </c>
      <c r="M297" s="26" t="s">
        <v>3150</v>
      </c>
      <c r="N297" s="26">
        <v>24</v>
      </c>
      <c r="O297" s="26" t="s">
        <v>2449</v>
      </c>
    </row>
    <row r="298" spans="1:15" x14ac:dyDescent="0.25">
      <c r="A298" s="26">
        <v>16</v>
      </c>
      <c r="B298" s="19" t="s">
        <v>167</v>
      </c>
      <c r="C298" s="19" t="s">
        <v>2769</v>
      </c>
      <c r="D298" s="19">
        <v>2296.6</v>
      </c>
      <c r="E298" s="19">
        <v>0</v>
      </c>
      <c r="F298" s="19">
        <v>2139.5500000000002</v>
      </c>
      <c r="G298" s="19">
        <v>0</v>
      </c>
      <c r="H298" s="57">
        <v>0</v>
      </c>
      <c r="I298" s="19">
        <v>14.98</v>
      </c>
      <c r="J298" s="19">
        <v>142.07</v>
      </c>
      <c r="K298" s="57">
        <v>6.1861011930680138E-2</v>
      </c>
      <c r="L298" s="19">
        <v>6.6401813465448337E-2</v>
      </c>
      <c r="M298" s="26" t="s">
        <v>3150</v>
      </c>
      <c r="N298" s="26">
        <v>24</v>
      </c>
      <c r="O298" s="26" t="s">
        <v>2449</v>
      </c>
    </row>
    <row r="299" spans="1:15" x14ac:dyDescent="0.25">
      <c r="A299" s="26">
        <v>17</v>
      </c>
      <c r="B299" s="19" t="s">
        <v>167</v>
      </c>
      <c r="C299" s="19" t="s">
        <v>2814</v>
      </c>
      <c r="D299" s="19">
        <v>2296.6</v>
      </c>
      <c r="E299" s="19">
        <v>0</v>
      </c>
      <c r="F299" s="19">
        <v>1240.33</v>
      </c>
      <c r="G299" s="19">
        <v>1027.73</v>
      </c>
      <c r="H299" s="57">
        <v>0.4475006531394235</v>
      </c>
      <c r="I299" s="19">
        <v>8.68</v>
      </c>
      <c r="J299" s="19">
        <v>19.86</v>
      </c>
      <c r="K299" s="57">
        <v>8.6475659670817735E-3</v>
      </c>
      <c r="L299" s="19">
        <v>1.6011867809373314E-2</v>
      </c>
      <c r="M299" s="26" t="s">
        <v>3150</v>
      </c>
      <c r="N299" s="26">
        <v>24</v>
      </c>
      <c r="O299" s="26" t="s">
        <v>2449</v>
      </c>
    </row>
    <row r="300" spans="1:15" x14ac:dyDescent="0.25">
      <c r="A300" s="26">
        <v>18</v>
      </c>
      <c r="B300" s="19" t="s">
        <v>167</v>
      </c>
      <c r="C300" s="19" t="s">
        <v>2827</v>
      </c>
      <c r="D300" s="19">
        <v>2296.6</v>
      </c>
      <c r="E300" s="19">
        <v>0</v>
      </c>
      <c r="F300" s="19">
        <v>1192.6400000000001</v>
      </c>
      <c r="G300" s="19">
        <v>1087.42</v>
      </c>
      <c r="H300" s="57">
        <v>0.4734912479317252</v>
      </c>
      <c r="I300" s="19">
        <v>8.35</v>
      </c>
      <c r="J300" s="19">
        <v>8.19</v>
      </c>
      <c r="K300" s="57">
        <v>3.5661412522859878E-3</v>
      </c>
      <c r="L300" s="19">
        <v>6.8671183257311497E-3</v>
      </c>
      <c r="M300" s="26" t="s">
        <v>3150</v>
      </c>
      <c r="N300" s="26">
        <v>24</v>
      </c>
      <c r="O300" s="26" t="s">
        <v>2449</v>
      </c>
    </row>
    <row r="301" spans="1:15" x14ac:dyDescent="0.25">
      <c r="A301" s="26">
        <v>19</v>
      </c>
      <c r="B301" s="19" t="s">
        <v>167</v>
      </c>
      <c r="C301" s="19" t="s">
        <v>2833</v>
      </c>
      <c r="D301" s="19">
        <v>2296.6</v>
      </c>
      <c r="E301" s="19">
        <v>0</v>
      </c>
      <c r="F301" s="19">
        <v>1192.6400000000001</v>
      </c>
      <c r="G301" s="19">
        <v>1087.42</v>
      </c>
      <c r="H301" s="57">
        <v>0.4734912479317252</v>
      </c>
      <c r="I301" s="19">
        <v>8.35</v>
      </c>
      <c r="J301" s="19">
        <v>8.19</v>
      </c>
      <c r="K301" s="57">
        <v>3.5661412522859878E-3</v>
      </c>
      <c r="L301" s="19">
        <v>6.8671183257311497E-3</v>
      </c>
      <c r="M301" s="26" t="s">
        <v>3150</v>
      </c>
      <c r="N301" s="26">
        <v>24</v>
      </c>
      <c r="O301" s="26" t="s">
        <v>2449</v>
      </c>
    </row>
    <row r="302" spans="1:15" x14ac:dyDescent="0.25">
      <c r="A302" s="26">
        <v>20</v>
      </c>
      <c r="B302" s="19" t="s">
        <v>167</v>
      </c>
      <c r="C302" s="19" t="s">
        <v>2839</v>
      </c>
      <c r="D302" s="19">
        <v>2296.6</v>
      </c>
      <c r="E302" s="19">
        <v>0</v>
      </c>
      <c r="F302" s="19">
        <v>596.52</v>
      </c>
      <c r="G302" s="19">
        <v>1692</v>
      </c>
      <c r="H302" s="57">
        <v>0.73674126970303933</v>
      </c>
      <c r="I302" s="19">
        <v>4.18</v>
      </c>
      <c r="J302" s="19">
        <v>3.9</v>
      </c>
      <c r="K302" s="57">
        <v>1.6981625010885656E-3</v>
      </c>
      <c r="L302" s="19">
        <v>6.5379199356266349E-3</v>
      </c>
      <c r="M302" s="26" t="s">
        <v>3150</v>
      </c>
      <c r="N302" s="26">
        <v>24</v>
      </c>
      <c r="O302" s="26" t="s">
        <v>2449</v>
      </c>
    </row>
    <row r="303" spans="1:15" x14ac:dyDescent="0.25">
      <c r="A303" s="26">
        <v>21</v>
      </c>
      <c r="B303" s="19" t="s">
        <v>168</v>
      </c>
      <c r="C303" s="19" t="s">
        <v>2844</v>
      </c>
      <c r="D303" s="19">
        <v>0</v>
      </c>
      <c r="E303" s="19">
        <v>2682.42</v>
      </c>
      <c r="F303" s="19">
        <v>2547.7600000000002</v>
      </c>
      <c r="G303" s="19">
        <v>0</v>
      </c>
      <c r="H303" s="57">
        <v>0</v>
      </c>
      <c r="I303" s="19">
        <v>17.829999999999998</v>
      </c>
      <c r="J303" s="19">
        <v>116.83</v>
      </c>
      <c r="K303" s="57">
        <v>4.3553955010773852E-2</v>
      </c>
      <c r="L303" s="19">
        <v>4.5855967595063891E-2</v>
      </c>
      <c r="M303" s="26" t="s">
        <v>3150</v>
      </c>
      <c r="N303" s="26">
        <v>24</v>
      </c>
      <c r="O303" s="26" t="s">
        <v>2449</v>
      </c>
    </row>
    <row r="304" spans="1:15" x14ac:dyDescent="0.25">
      <c r="A304" s="26">
        <v>22</v>
      </c>
      <c r="B304" s="19" t="s">
        <v>168</v>
      </c>
      <c r="C304" s="19" t="s">
        <v>2864</v>
      </c>
      <c r="D304" s="19">
        <v>3674.55</v>
      </c>
      <c r="E304" s="19">
        <v>0</v>
      </c>
      <c r="F304" s="19">
        <v>343.77</v>
      </c>
      <c r="G304" s="19">
        <v>3306.21</v>
      </c>
      <c r="H304" s="57">
        <v>0.89975915418214469</v>
      </c>
      <c r="I304" s="19">
        <v>2.41</v>
      </c>
      <c r="J304" s="19">
        <v>22.16</v>
      </c>
      <c r="K304" s="57">
        <v>6.0306704222285717E-3</v>
      </c>
      <c r="L304" s="19">
        <v>6.4461704046310034E-2</v>
      </c>
      <c r="M304" s="26" t="s">
        <v>3150</v>
      </c>
      <c r="N304" s="26">
        <v>24</v>
      </c>
      <c r="O304" s="26" t="s">
        <v>2449</v>
      </c>
    </row>
    <row r="305" spans="1:15" x14ac:dyDescent="0.25">
      <c r="A305" s="26">
        <v>23</v>
      </c>
      <c r="B305" s="19" t="s">
        <v>295</v>
      </c>
      <c r="C305" s="19" t="s">
        <v>2872</v>
      </c>
      <c r="D305" s="19">
        <v>0</v>
      </c>
      <c r="E305" s="19">
        <v>1298.74</v>
      </c>
      <c r="F305" s="19">
        <v>1221.68</v>
      </c>
      <c r="G305" s="19">
        <v>0</v>
      </c>
      <c r="H305" s="57">
        <v>0</v>
      </c>
      <c r="I305" s="19">
        <v>8.5500000000000007</v>
      </c>
      <c r="J305" s="19">
        <v>68.510000000000005</v>
      </c>
      <c r="K305" s="57">
        <v>5.2751128016385117E-2</v>
      </c>
      <c r="L305" s="19">
        <v>5.6078514832034576E-2</v>
      </c>
      <c r="M305" s="26" t="s">
        <v>3150</v>
      </c>
      <c r="N305" s="26">
        <v>24</v>
      </c>
      <c r="O305" s="26" t="s">
        <v>2449</v>
      </c>
    </row>
    <row r="306" spans="1:15" x14ac:dyDescent="0.25">
      <c r="A306" s="26">
        <v>24</v>
      </c>
      <c r="B306" s="19" t="s">
        <v>295</v>
      </c>
      <c r="C306" s="19" t="s">
        <v>2893</v>
      </c>
      <c r="D306" s="19">
        <v>0</v>
      </c>
      <c r="E306" s="19">
        <v>776.57</v>
      </c>
      <c r="F306" s="19">
        <v>463.74</v>
      </c>
      <c r="G306" s="19">
        <v>238.17</v>
      </c>
      <c r="H306" s="57">
        <v>0.30669482467774956</v>
      </c>
      <c r="I306" s="19">
        <v>3.25</v>
      </c>
      <c r="J306" s="19">
        <v>71.41</v>
      </c>
      <c r="K306" s="57">
        <v>9.1955651132544378E-2</v>
      </c>
      <c r="L306" s="19">
        <v>0.15398714797084573</v>
      </c>
      <c r="M306" s="26" t="s">
        <v>3150</v>
      </c>
      <c r="N306" s="26">
        <v>24</v>
      </c>
      <c r="O306" s="26" t="s">
        <v>2449</v>
      </c>
    </row>
    <row r="307" spans="1:15" x14ac:dyDescent="0.25">
      <c r="A307" s="26">
        <v>25</v>
      </c>
      <c r="B307" s="19" t="s">
        <v>295</v>
      </c>
      <c r="C307" s="19" t="s">
        <v>2902</v>
      </c>
      <c r="D307" s="19">
        <v>0</v>
      </c>
      <c r="E307" s="19">
        <v>1270.18</v>
      </c>
      <c r="F307" s="19">
        <v>635.48</v>
      </c>
      <c r="G307" s="19">
        <v>618.04999999999995</v>
      </c>
      <c r="H307" s="57">
        <v>0.4865845785636681</v>
      </c>
      <c r="I307" s="19">
        <v>4.45</v>
      </c>
      <c r="J307" s="19">
        <v>12.2</v>
      </c>
      <c r="K307" s="57">
        <v>9.6049378828197574E-3</v>
      </c>
      <c r="L307" s="19">
        <v>1.9198086485806003E-2</v>
      </c>
      <c r="M307" s="26" t="s">
        <v>3150</v>
      </c>
      <c r="N307" s="26">
        <v>24</v>
      </c>
      <c r="O307" s="26" t="s">
        <v>2449</v>
      </c>
    </row>
    <row r="308" spans="1:15" x14ac:dyDescent="0.25">
      <c r="A308" s="26">
        <v>26</v>
      </c>
      <c r="B308" s="19" t="s">
        <v>295</v>
      </c>
      <c r="C308" s="19" t="s">
        <v>2908</v>
      </c>
      <c r="D308" s="19">
        <v>0</v>
      </c>
      <c r="E308" s="19">
        <v>928.05</v>
      </c>
      <c r="F308" s="19">
        <v>872.55</v>
      </c>
      <c r="G308" s="19">
        <v>0</v>
      </c>
      <c r="H308" s="57">
        <v>0</v>
      </c>
      <c r="I308" s="19">
        <v>6.11</v>
      </c>
      <c r="J308" s="19">
        <v>49.39</v>
      </c>
      <c r="K308" s="57">
        <v>5.3219115349388509E-2</v>
      </c>
      <c r="L308" s="19">
        <v>5.6604206062689823E-2</v>
      </c>
      <c r="M308" s="26" t="s">
        <v>3150</v>
      </c>
      <c r="N308" s="26">
        <v>24</v>
      </c>
      <c r="O308" s="26" t="s">
        <v>2449</v>
      </c>
    </row>
    <row r="309" spans="1:15" x14ac:dyDescent="0.25">
      <c r="A309" s="26">
        <v>27</v>
      </c>
      <c r="B309" s="19" t="s">
        <v>295</v>
      </c>
      <c r="C309" s="19" t="s">
        <v>2923</v>
      </c>
      <c r="D309" s="19">
        <v>0</v>
      </c>
      <c r="E309" s="19">
        <v>1243.29</v>
      </c>
      <c r="F309" s="19">
        <v>1117.6500000000001</v>
      </c>
      <c r="G309" s="19">
        <v>0</v>
      </c>
      <c r="H309" s="57">
        <v>0</v>
      </c>
      <c r="I309" s="19">
        <v>7.82</v>
      </c>
      <c r="J309" s="19">
        <v>117.82</v>
      </c>
      <c r="K309" s="57">
        <v>9.4764696892921205E-2</v>
      </c>
      <c r="L309" s="19">
        <v>0.10541761732205966</v>
      </c>
      <c r="M309" s="26" t="s">
        <v>3150</v>
      </c>
      <c r="N309" s="26">
        <v>24</v>
      </c>
      <c r="O309" s="26" t="s">
        <v>2449</v>
      </c>
    </row>
    <row r="310" spans="1:15" x14ac:dyDescent="0.25">
      <c r="A310" s="26">
        <v>28</v>
      </c>
      <c r="B310" s="19" t="s">
        <v>295</v>
      </c>
      <c r="C310" s="19" t="s">
        <v>2943</v>
      </c>
      <c r="D310" s="19">
        <v>0</v>
      </c>
      <c r="E310" s="19">
        <v>1972.64</v>
      </c>
      <c r="F310" s="19">
        <v>1808.56</v>
      </c>
      <c r="G310" s="19">
        <v>0</v>
      </c>
      <c r="H310" s="57">
        <v>0</v>
      </c>
      <c r="I310" s="19">
        <v>12.66</v>
      </c>
      <c r="J310" s="19">
        <v>151.41999999999999</v>
      </c>
      <c r="K310" s="57">
        <v>7.6760077865195869E-2</v>
      </c>
      <c r="L310" s="19">
        <v>8.372406776662096E-2</v>
      </c>
      <c r="M310" s="26" t="s">
        <v>3150</v>
      </c>
      <c r="N310" s="26">
        <v>24</v>
      </c>
      <c r="O310" s="26" t="s">
        <v>2449</v>
      </c>
    </row>
    <row r="311" spans="1:15" x14ac:dyDescent="0.25">
      <c r="A311" s="26">
        <v>29</v>
      </c>
      <c r="B311" s="19" t="s">
        <v>295</v>
      </c>
      <c r="C311" s="19" t="s">
        <v>2972</v>
      </c>
      <c r="D311" s="19">
        <v>0</v>
      </c>
      <c r="E311" s="19">
        <v>2504.75</v>
      </c>
      <c r="F311" s="19">
        <v>2241.9699999999998</v>
      </c>
      <c r="G311" s="19">
        <v>0</v>
      </c>
      <c r="H311" s="57">
        <v>0</v>
      </c>
      <c r="I311" s="19">
        <v>15.69</v>
      </c>
      <c r="J311" s="19">
        <v>247.09</v>
      </c>
      <c r="K311" s="57">
        <v>9.8648567721329475E-2</v>
      </c>
      <c r="L311" s="19">
        <v>0.11021110898004881</v>
      </c>
      <c r="M311" s="26" t="s">
        <v>3150</v>
      </c>
      <c r="N311" s="26">
        <v>24</v>
      </c>
      <c r="O311" s="26" t="s">
        <v>2449</v>
      </c>
    </row>
    <row r="312" spans="1:15" x14ac:dyDescent="0.25">
      <c r="A312" s="26">
        <v>30</v>
      </c>
      <c r="B312" s="19" t="s">
        <v>295</v>
      </c>
      <c r="C312" s="19" t="s">
        <v>2983</v>
      </c>
      <c r="D312" s="19">
        <v>0</v>
      </c>
      <c r="E312" s="19">
        <v>4130.47</v>
      </c>
      <c r="F312" s="19">
        <v>3532.22</v>
      </c>
      <c r="G312" s="19">
        <v>376.35</v>
      </c>
      <c r="H312" s="57">
        <v>9.1115538909615615E-2</v>
      </c>
      <c r="I312" s="19">
        <v>24.73</v>
      </c>
      <c r="J312" s="19">
        <v>197.17</v>
      </c>
      <c r="K312" s="57">
        <v>4.7735487728999354E-2</v>
      </c>
      <c r="L312" s="19">
        <v>5.582041888670581E-2</v>
      </c>
      <c r="M312" s="26" t="s">
        <v>3150</v>
      </c>
      <c r="N312" s="26">
        <v>24</v>
      </c>
      <c r="O312" s="26" t="s">
        <v>2449</v>
      </c>
    </row>
    <row r="313" spans="1:15" x14ac:dyDescent="0.25">
      <c r="A313" s="26">
        <v>31</v>
      </c>
      <c r="B313" s="19" t="s">
        <v>295</v>
      </c>
      <c r="C313" s="19" t="s">
        <v>2997</v>
      </c>
      <c r="D313" s="19">
        <v>5204.55</v>
      </c>
      <c r="E313" s="19">
        <v>0</v>
      </c>
      <c r="F313" s="19">
        <v>4720.34</v>
      </c>
      <c r="G313" s="19">
        <v>387.56</v>
      </c>
      <c r="H313" s="57">
        <v>7.4465611820426353E-2</v>
      </c>
      <c r="I313" s="19">
        <v>33.04</v>
      </c>
      <c r="J313" s="19">
        <v>63.61</v>
      </c>
      <c r="K313" s="57">
        <v>1.2221998059390341E-2</v>
      </c>
      <c r="L313" s="19">
        <v>1.3475724206307172E-2</v>
      </c>
      <c r="M313" s="26" t="s">
        <v>3150</v>
      </c>
      <c r="N313" s="26">
        <v>24</v>
      </c>
      <c r="O313" s="26" t="s">
        <v>2449</v>
      </c>
    </row>
    <row r="314" spans="1:15" x14ac:dyDescent="0.25">
      <c r="A314" s="26">
        <v>32</v>
      </c>
      <c r="B314" s="19" t="s">
        <v>295</v>
      </c>
      <c r="C314" s="19" t="s">
        <v>3009</v>
      </c>
      <c r="D314" s="19">
        <v>5204.55</v>
      </c>
      <c r="E314" s="19">
        <v>0</v>
      </c>
      <c r="F314" s="19">
        <v>4871.2</v>
      </c>
      <c r="G314" s="19">
        <v>0</v>
      </c>
      <c r="H314" s="57">
        <v>0</v>
      </c>
      <c r="I314" s="19">
        <v>34.1</v>
      </c>
      <c r="J314" s="19">
        <v>299.25</v>
      </c>
      <c r="K314" s="57">
        <v>5.7497766377496609E-2</v>
      </c>
      <c r="L314" s="19">
        <v>6.1432501231729351E-2</v>
      </c>
      <c r="M314" s="26" t="s">
        <v>3150</v>
      </c>
      <c r="N314" s="26">
        <v>24</v>
      </c>
      <c r="O314" s="26" t="s">
        <v>2449</v>
      </c>
    </row>
    <row r="315" spans="1:15" x14ac:dyDescent="0.25">
      <c r="A315" s="26">
        <v>33</v>
      </c>
      <c r="B315" s="19" t="s">
        <v>295</v>
      </c>
      <c r="C315" s="19" t="s">
        <v>3027</v>
      </c>
      <c r="D315" s="19">
        <v>0</v>
      </c>
      <c r="E315" s="19">
        <v>3955.39</v>
      </c>
      <c r="F315" s="19">
        <v>3653.4</v>
      </c>
      <c r="G315" s="19">
        <v>0</v>
      </c>
      <c r="H315" s="57">
        <v>0</v>
      </c>
      <c r="I315" s="19">
        <v>25.57</v>
      </c>
      <c r="J315" s="19">
        <v>276.42</v>
      </c>
      <c r="K315" s="57">
        <v>6.9884385610521349E-2</v>
      </c>
      <c r="L315" s="19">
        <v>7.5661028083429144E-2</v>
      </c>
      <c r="M315" s="26" t="s">
        <v>3150</v>
      </c>
      <c r="N315" s="26">
        <v>24</v>
      </c>
      <c r="O315" s="26" t="s">
        <v>2449</v>
      </c>
    </row>
    <row r="316" spans="1:15" x14ac:dyDescent="0.25">
      <c r="A316" s="26">
        <v>34</v>
      </c>
      <c r="B316" s="19" t="s">
        <v>295</v>
      </c>
      <c r="C316" s="19" t="s">
        <v>3042</v>
      </c>
      <c r="D316" s="19">
        <v>4423.87</v>
      </c>
      <c r="E316" s="19">
        <v>0</v>
      </c>
      <c r="F316" s="19">
        <v>3760.48</v>
      </c>
      <c r="G316" s="19">
        <v>425.97</v>
      </c>
      <c r="H316" s="57">
        <v>9.6288995833964386E-2</v>
      </c>
      <c r="I316" s="19">
        <v>26.32</v>
      </c>
      <c r="J316" s="19">
        <v>211.1</v>
      </c>
      <c r="K316" s="57">
        <v>4.7718400405075197E-2</v>
      </c>
      <c r="L316" s="19">
        <v>5.6136450665872438E-2</v>
      </c>
      <c r="M316" s="26" t="s">
        <v>3150</v>
      </c>
      <c r="N316" s="26">
        <v>24</v>
      </c>
      <c r="O316" s="26" t="s">
        <v>2449</v>
      </c>
    </row>
    <row r="317" spans="1:15" x14ac:dyDescent="0.25">
      <c r="A317" s="26">
        <v>35</v>
      </c>
      <c r="B317" s="19" t="s">
        <v>295</v>
      </c>
      <c r="C317" s="19" t="s">
        <v>3052</v>
      </c>
      <c r="D317" s="19">
        <v>4423.87</v>
      </c>
      <c r="E317" s="19">
        <v>0</v>
      </c>
      <c r="F317" s="19">
        <v>3585.6</v>
      </c>
      <c r="G317" s="19">
        <v>611.73</v>
      </c>
      <c r="H317" s="57">
        <v>0.13827937981902724</v>
      </c>
      <c r="I317" s="19">
        <v>25.1</v>
      </c>
      <c r="J317" s="19">
        <v>201.44</v>
      </c>
      <c r="K317" s="57">
        <v>4.5534791935567726E-2</v>
      </c>
      <c r="L317" s="19">
        <v>5.6180276662204376E-2</v>
      </c>
      <c r="M317" s="26" t="s">
        <v>3150</v>
      </c>
      <c r="N317" s="26">
        <v>24</v>
      </c>
      <c r="O317" s="26" t="s">
        <v>2449</v>
      </c>
    </row>
    <row r="318" spans="1:15" x14ac:dyDescent="0.25">
      <c r="A318" s="26">
        <v>36</v>
      </c>
      <c r="B318" s="19" t="s">
        <v>295</v>
      </c>
      <c r="C318" s="19" t="s">
        <v>3062</v>
      </c>
      <c r="D318" s="19">
        <v>4423.87</v>
      </c>
      <c r="E318" s="19">
        <v>0</v>
      </c>
      <c r="F318" s="19">
        <v>3543.4</v>
      </c>
      <c r="G318" s="19">
        <v>661.96</v>
      </c>
      <c r="H318" s="57">
        <v>0.14963369176761523</v>
      </c>
      <c r="I318" s="19">
        <v>24.8</v>
      </c>
      <c r="J318" s="19">
        <v>193.71</v>
      </c>
      <c r="K318" s="57">
        <v>4.3787453067110925E-2</v>
      </c>
      <c r="L318" s="19">
        <v>5.4667833154597278E-2</v>
      </c>
      <c r="M318" s="26" t="s">
        <v>3150</v>
      </c>
      <c r="N318" s="26">
        <v>24</v>
      </c>
      <c r="O318" s="26" t="s">
        <v>2449</v>
      </c>
    </row>
    <row r="319" spans="1:15" x14ac:dyDescent="0.25">
      <c r="A319" s="26">
        <v>37</v>
      </c>
      <c r="B319" s="19" t="s">
        <v>295</v>
      </c>
      <c r="C319" s="19" t="s">
        <v>3072</v>
      </c>
      <c r="D319" s="19">
        <v>4423.87</v>
      </c>
      <c r="E319" s="19">
        <v>0</v>
      </c>
      <c r="F319" s="19">
        <v>3099.16</v>
      </c>
      <c r="G319" s="19">
        <v>1135.4100000000001</v>
      </c>
      <c r="H319" s="57">
        <v>0.25665537188027682</v>
      </c>
      <c r="I319" s="19">
        <v>21.69</v>
      </c>
      <c r="J319" s="19">
        <v>167.61</v>
      </c>
      <c r="K319" s="57">
        <v>3.7887641363783295E-2</v>
      </c>
      <c r="L319" s="19">
        <v>5.4082396520347457E-2</v>
      </c>
      <c r="M319" s="26" t="s">
        <v>3150</v>
      </c>
      <c r="N319" s="26">
        <v>24</v>
      </c>
      <c r="O319" s="26" t="s">
        <v>2449</v>
      </c>
    </row>
    <row r="320" spans="1:15" x14ac:dyDescent="0.25">
      <c r="A320" s="26">
        <v>38</v>
      </c>
      <c r="B320" s="19" t="s">
        <v>295</v>
      </c>
      <c r="C320" s="19" t="s">
        <v>3081</v>
      </c>
      <c r="D320" s="19">
        <v>4423.87</v>
      </c>
      <c r="E320" s="19">
        <v>0</v>
      </c>
      <c r="F320" s="19">
        <v>3058.23</v>
      </c>
      <c r="G320" s="19">
        <v>1324.74</v>
      </c>
      <c r="H320" s="57">
        <v>0.29945274160407065</v>
      </c>
      <c r="I320" s="19">
        <v>21.41</v>
      </c>
      <c r="J320" s="19">
        <v>19.489999999999998</v>
      </c>
      <c r="K320" s="57">
        <v>4.405644831335459E-3</v>
      </c>
      <c r="L320" s="19">
        <v>6.3729673700146814E-3</v>
      </c>
      <c r="M320" s="26" t="s">
        <v>3150</v>
      </c>
      <c r="N320" s="26">
        <v>24</v>
      </c>
      <c r="O320" s="26" t="s">
        <v>2449</v>
      </c>
    </row>
    <row r="321" spans="1:15" x14ac:dyDescent="0.25">
      <c r="A321" s="26">
        <v>39</v>
      </c>
      <c r="B321" s="19" t="s">
        <v>295</v>
      </c>
      <c r="C321" s="19" t="s">
        <v>3086</v>
      </c>
      <c r="D321" s="19">
        <v>4423.87</v>
      </c>
      <c r="E321" s="19">
        <v>0</v>
      </c>
      <c r="F321" s="19">
        <v>2910.53</v>
      </c>
      <c r="G321" s="19">
        <v>1475.4</v>
      </c>
      <c r="H321" s="57">
        <v>0.33350889605707223</v>
      </c>
      <c r="I321" s="19">
        <v>20.37</v>
      </c>
      <c r="J321" s="19">
        <v>17.57</v>
      </c>
      <c r="K321" s="57">
        <v>3.9716356945389449E-3</v>
      </c>
      <c r="L321" s="19">
        <v>6.036701219365545E-3</v>
      </c>
      <c r="M321" s="26" t="s">
        <v>3150</v>
      </c>
      <c r="N321" s="26">
        <v>24</v>
      </c>
      <c r="O321" s="26" t="s">
        <v>2449</v>
      </c>
    </row>
    <row r="322" spans="1:15" x14ac:dyDescent="0.25">
      <c r="A322" s="26">
        <v>40</v>
      </c>
      <c r="B322" s="19" t="s">
        <v>295</v>
      </c>
      <c r="C322" s="19" t="s">
        <v>3092</v>
      </c>
      <c r="D322" s="19">
        <v>4423.87</v>
      </c>
      <c r="E322" s="19">
        <v>0</v>
      </c>
      <c r="F322" s="19">
        <v>2939.54</v>
      </c>
      <c r="G322" s="19">
        <v>1324.02</v>
      </c>
      <c r="H322" s="57">
        <v>0.29928998817777197</v>
      </c>
      <c r="I322" s="19">
        <v>20.58</v>
      </c>
      <c r="J322" s="19">
        <v>139.72999999999999</v>
      </c>
      <c r="K322" s="57">
        <v>3.1585467023217226E-2</v>
      </c>
      <c r="L322" s="19">
        <v>4.7534648278302047E-2</v>
      </c>
      <c r="M322" s="26" t="s">
        <v>3150</v>
      </c>
      <c r="N322" s="26">
        <v>24</v>
      </c>
      <c r="O322" s="26" t="s">
        <v>2449</v>
      </c>
    </row>
    <row r="323" spans="1:15" x14ac:dyDescent="0.25">
      <c r="A323" s="26">
        <v>41</v>
      </c>
      <c r="B323" s="19" t="s">
        <v>295</v>
      </c>
      <c r="C323" s="19" t="s">
        <v>3098</v>
      </c>
      <c r="D323" s="19">
        <v>4423.87</v>
      </c>
      <c r="E323" s="19">
        <v>0</v>
      </c>
      <c r="F323" s="19">
        <v>2892.02</v>
      </c>
      <c r="G323" s="19">
        <v>1494.28</v>
      </c>
      <c r="H323" s="57">
        <v>0.3377766525689046</v>
      </c>
      <c r="I323" s="19">
        <v>20.239999999999998</v>
      </c>
      <c r="J323" s="19">
        <v>17.329999999999998</v>
      </c>
      <c r="K323" s="57">
        <v>3.9173845524393793E-3</v>
      </c>
      <c r="L323" s="19">
        <v>5.9923513668646827E-3</v>
      </c>
      <c r="M323" s="26" t="s">
        <v>3150</v>
      </c>
      <c r="N323" s="26">
        <v>24</v>
      </c>
      <c r="O323" s="26" t="s">
        <v>2449</v>
      </c>
    </row>
    <row r="324" spans="1:15" x14ac:dyDescent="0.25">
      <c r="A324" s="26">
        <v>42</v>
      </c>
      <c r="B324" s="19" t="s">
        <v>295</v>
      </c>
      <c r="C324" s="19" t="s">
        <v>3104</v>
      </c>
      <c r="D324" s="19">
        <v>4423.87</v>
      </c>
      <c r="E324" s="19">
        <v>0</v>
      </c>
      <c r="F324" s="19">
        <v>2298.88</v>
      </c>
      <c r="G324" s="19">
        <v>1978.93</v>
      </c>
      <c r="H324" s="57">
        <v>0.44733005264621251</v>
      </c>
      <c r="I324" s="19">
        <v>16.09</v>
      </c>
      <c r="J324" s="19">
        <v>129.97</v>
      </c>
      <c r="K324" s="57">
        <v>2.9379253911168277E-2</v>
      </c>
      <c r="L324" s="19">
        <v>5.653622633630289E-2</v>
      </c>
      <c r="M324" s="26" t="s">
        <v>3150</v>
      </c>
      <c r="N324" s="26">
        <v>24</v>
      </c>
      <c r="O324" s="26" t="s">
        <v>2449</v>
      </c>
    </row>
    <row r="325" spans="1:15" x14ac:dyDescent="0.25">
      <c r="A325" s="26">
        <v>43</v>
      </c>
      <c r="B325" s="19" t="s">
        <v>295</v>
      </c>
      <c r="C325" s="19" t="s">
        <v>3114</v>
      </c>
      <c r="D325" s="19">
        <v>4423.87</v>
      </c>
      <c r="E325" s="19">
        <v>0</v>
      </c>
      <c r="F325" s="19">
        <v>2298.88</v>
      </c>
      <c r="G325" s="19">
        <v>1978.93</v>
      </c>
      <c r="H325" s="57">
        <v>0.44733005264621251</v>
      </c>
      <c r="I325" s="19">
        <v>16.09</v>
      </c>
      <c r="J325" s="19">
        <v>129.97</v>
      </c>
      <c r="K325" s="57">
        <v>2.9379253911168277E-2</v>
      </c>
      <c r="L325" s="19">
        <v>5.653622633630289E-2</v>
      </c>
      <c r="M325" s="26" t="s">
        <v>3150</v>
      </c>
      <c r="N325" s="26">
        <v>24</v>
      </c>
      <c r="O325" s="26" t="s">
        <v>2449</v>
      </c>
    </row>
    <row r="326" spans="1:15" x14ac:dyDescent="0.25">
      <c r="A326" s="26">
        <v>44</v>
      </c>
      <c r="B326" s="19" t="s">
        <v>295</v>
      </c>
      <c r="C326" s="19" t="s">
        <v>3124</v>
      </c>
      <c r="D326" s="19">
        <v>4423.87</v>
      </c>
      <c r="E326" s="19">
        <v>0</v>
      </c>
      <c r="F326" s="19">
        <v>1724.16</v>
      </c>
      <c r="G326" s="19">
        <v>2663.62</v>
      </c>
      <c r="H326" s="57">
        <v>0.60210177966350731</v>
      </c>
      <c r="I326" s="19">
        <v>12.07</v>
      </c>
      <c r="J326" s="19">
        <v>24.02</v>
      </c>
      <c r="K326" s="57">
        <v>5.4296351384647383E-3</v>
      </c>
      <c r="L326" s="19">
        <v>1.3931421677802524E-2</v>
      </c>
      <c r="M326" s="26" t="s">
        <v>3150</v>
      </c>
      <c r="N326" s="26">
        <v>24</v>
      </c>
      <c r="O326" s="26" t="s">
        <v>2449</v>
      </c>
    </row>
    <row r="327" spans="1:15" x14ac:dyDescent="0.25">
      <c r="A327" s="26">
        <v>45</v>
      </c>
      <c r="B327" s="19" t="s">
        <v>297</v>
      </c>
      <c r="C327" s="19" t="s">
        <v>3133</v>
      </c>
      <c r="D327" s="19">
        <v>0</v>
      </c>
      <c r="E327" s="19">
        <v>557.76</v>
      </c>
      <c r="F327" s="19">
        <v>396.24</v>
      </c>
      <c r="G327" s="19">
        <v>123.82</v>
      </c>
      <c r="H327" s="57">
        <v>0.22199512335054503</v>
      </c>
      <c r="I327" s="19">
        <v>2.77</v>
      </c>
      <c r="J327" s="19">
        <v>34.93</v>
      </c>
      <c r="K327" s="57">
        <v>6.262550200803213E-2</v>
      </c>
      <c r="L327" s="19">
        <v>8.8153644256006455E-2</v>
      </c>
      <c r="M327" s="26" t="s">
        <v>3150</v>
      </c>
      <c r="N327" s="26">
        <v>24</v>
      </c>
      <c r="O327" s="26" t="s">
        <v>2449</v>
      </c>
    </row>
    <row r="328" spans="1:15" x14ac:dyDescent="0.25">
      <c r="A328" s="26">
        <v>46</v>
      </c>
      <c r="B328" s="19" t="s">
        <v>297</v>
      </c>
      <c r="C328" s="19" t="s">
        <v>3138</v>
      </c>
      <c r="D328" s="19">
        <v>4408.5600000000004</v>
      </c>
      <c r="E328" s="19">
        <v>0</v>
      </c>
      <c r="F328" s="19">
        <v>4233.22</v>
      </c>
      <c r="G328" s="19">
        <v>123.82</v>
      </c>
      <c r="H328" s="57">
        <v>2.8086268532128401E-2</v>
      </c>
      <c r="I328" s="19">
        <v>29.63</v>
      </c>
      <c r="J328" s="19">
        <v>21.89</v>
      </c>
      <c r="K328" s="57">
        <v>4.9653401564229583E-3</v>
      </c>
      <c r="L328" s="19">
        <v>5.1710045780753184E-3</v>
      </c>
      <c r="M328" s="26" t="s">
        <v>3150</v>
      </c>
      <c r="N328" s="26">
        <v>24</v>
      </c>
      <c r="O328" s="26" t="s">
        <v>2449</v>
      </c>
    </row>
    <row r="329" spans="1:15" x14ac:dyDescent="0.25">
      <c r="A329" s="26">
        <v>47</v>
      </c>
      <c r="B329" s="19" t="s">
        <v>297</v>
      </c>
      <c r="C329" s="19" t="s">
        <v>3142</v>
      </c>
      <c r="D329" s="19">
        <v>5143.32</v>
      </c>
      <c r="E329" s="19">
        <v>0</v>
      </c>
      <c r="F329" s="19">
        <v>4597.96</v>
      </c>
      <c r="G329" s="19">
        <v>420.11</v>
      </c>
      <c r="H329" s="57">
        <v>8.1680704292169268E-2</v>
      </c>
      <c r="I329" s="19">
        <v>32.19</v>
      </c>
      <c r="J329" s="19">
        <v>93.06</v>
      </c>
      <c r="K329" s="57">
        <v>1.8093371596556312E-2</v>
      </c>
      <c r="L329" s="19">
        <v>2.0239410521187658E-2</v>
      </c>
      <c r="M329" s="26" t="s">
        <v>3150</v>
      </c>
      <c r="N329" s="26">
        <v>24</v>
      </c>
      <c r="O329" s="26" t="s">
        <v>2449</v>
      </c>
    </row>
    <row r="330" spans="1:15" x14ac:dyDescent="0.25">
      <c r="C330" s="19" t="s">
        <v>169</v>
      </c>
      <c r="D330" s="19">
        <v>111340.29999999996</v>
      </c>
      <c r="E330" s="19">
        <v>23870.039999999997</v>
      </c>
      <c r="F330" s="19">
        <v>104405.21000000002</v>
      </c>
      <c r="G330" s="19">
        <v>25563.649999999994</v>
      </c>
      <c r="H330" s="57">
        <v>0.18906579186177624</v>
      </c>
      <c r="I330" s="19">
        <v>730.81000000000017</v>
      </c>
      <c r="J330" s="19">
        <v>4510.6700000000028</v>
      </c>
      <c r="K330" s="57">
        <v>3.3360392407858777E-2</v>
      </c>
      <c r="L330" s="19">
        <v>4.3203495304496797E-2</v>
      </c>
      <c r="M330" s="26" t="s">
        <v>3150</v>
      </c>
      <c r="N330" s="26">
        <v>24</v>
      </c>
      <c r="O330" s="26" t="s">
        <v>2449</v>
      </c>
    </row>
  </sheetData>
  <autoFilter ref="A12:O330" xr:uid="{9B07D2B5-D991-4248-8D2A-54A6FD3CADAA}">
    <filterColumn colId="13">
      <filters>
        <filter val="24"/>
      </filters>
    </filterColumn>
  </autoFilter>
  <pageMargins left="0.7" right="0.7" top="0.75" bottom="0.75" header="0.3" footer="0.3"/>
  <pageSetup paperSize="8" scale="44" orientation="portrait" r:id="rId1"/>
  <drawing r:id="rId2"/>
  <legacyDrawing r:id="rId3"/>
  <controls>
    <mc:AlternateContent xmlns:mc="http://schemas.openxmlformats.org/markup-compatibility/2006">
      <mc:Choice Requires="x14">
        <control shapeId="2058" r:id="rId4" name="CommandButton3">
          <controlPr defaultSize="0" autoFill="0" autoLine="0" r:id="rId5">
            <anchor moveWithCells="1">
              <from>
                <xdr:col>17</xdr:col>
                <xdr:colOff>304800</xdr:colOff>
                <xdr:row>1</xdr:row>
                <xdr:rowOff>95250</xdr:rowOff>
              </from>
              <to>
                <xdr:col>18</xdr:col>
                <xdr:colOff>133350</xdr:colOff>
                <xdr:row>2</xdr:row>
                <xdr:rowOff>171450</xdr:rowOff>
              </to>
            </anchor>
          </controlPr>
        </control>
      </mc:Choice>
      <mc:Fallback>
        <control shapeId="2058" r:id="rId4" name="CommandButton3"/>
      </mc:Fallback>
    </mc:AlternateContent>
    <mc:AlternateContent xmlns:mc="http://schemas.openxmlformats.org/markup-compatibility/2006">
      <mc:Choice Requires="x14">
        <control shapeId="2057" r:id="rId6" name="CommandButton2">
          <controlPr defaultSize="0" autoFill="0" autoLine="0" r:id="rId7">
            <anchor moveWithCells="1">
              <from>
                <xdr:col>16</xdr:col>
                <xdr:colOff>180975</xdr:colOff>
                <xdr:row>1</xdr:row>
                <xdr:rowOff>95250</xdr:rowOff>
              </from>
              <to>
                <xdr:col>17</xdr:col>
                <xdr:colOff>28575</xdr:colOff>
                <xdr:row>2</xdr:row>
                <xdr:rowOff>171450</xdr:rowOff>
              </to>
            </anchor>
          </controlPr>
        </control>
      </mc:Choice>
      <mc:Fallback>
        <control shapeId="2057" r:id="rId6" name="CommandButton2"/>
      </mc:Fallback>
    </mc:AlternateContent>
    <mc:AlternateContent xmlns:mc="http://schemas.openxmlformats.org/markup-compatibility/2006">
      <mc:Choice Requires="x14">
        <control shapeId="2056" r:id="rId8" name="CommandButton1">
          <controlPr defaultSize="0" autoFill="0" autoLine="0" r:id="rId9">
            <anchor moveWithCells="1">
              <from>
                <xdr:col>15</xdr:col>
                <xdr:colOff>47625</xdr:colOff>
                <xdr:row>1</xdr:row>
                <xdr:rowOff>95250</xdr:rowOff>
              </from>
              <to>
                <xdr:col>15</xdr:col>
                <xdr:colOff>495300</xdr:colOff>
                <xdr:row>2</xdr:row>
                <xdr:rowOff>171450</xdr:rowOff>
              </to>
            </anchor>
          </controlPr>
        </control>
      </mc:Choice>
      <mc:Fallback>
        <control shapeId="2056" r:id="rId8" name="Command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BE88-AA2D-467A-988A-B96C9D4BC7C8}">
  <sheetPr codeName="Sheet4" filterMode="1"/>
  <dimension ref="A1:AE2344"/>
  <sheetViews>
    <sheetView zoomScale="55" zoomScaleNormal="55" zoomScaleSheetLayoutView="100" workbookViewId="0">
      <pane ySplit="10" topLeftCell="A935" activePane="bottomLeft" state="frozenSplit"/>
      <selection pane="bottomLeft" activeCell="N974" sqref="N974"/>
    </sheetView>
  </sheetViews>
  <sheetFormatPr defaultRowHeight="15" x14ac:dyDescent="0.25"/>
  <cols>
    <col min="1" max="1" width="13.42578125" style="2" bestFit="1" customWidth="1"/>
    <col min="2" max="2" width="31.140625" bestFit="1" customWidth="1"/>
    <col min="3" max="3" width="18.85546875" bestFit="1" customWidth="1"/>
    <col min="4" max="4" width="14" bestFit="1" customWidth="1"/>
    <col min="5" max="5" width="15.28515625" bestFit="1" customWidth="1"/>
    <col min="6" max="6" width="19.28515625" bestFit="1" customWidth="1"/>
    <col min="7" max="7" width="13" style="2" bestFit="1" customWidth="1"/>
    <col min="8" max="8" width="12.42578125" bestFit="1" customWidth="1"/>
    <col min="9" max="9" width="20" bestFit="1" customWidth="1"/>
    <col min="10" max="10" width="12.140625" style="2" bestFit="1" customWidth="1"/>
    <col min="11" max="11" width="17.7109375" style="2" bestFit="1" customWidth="1"/>
    <col min="12" max="12" width="14.28515625" bestFit="1" customWidth="1"/>
    <col min="13" max="13" width="15.85546875" bestFit="1" customWidth="1"/>
    <col min="14" max="14" width="13.42578125" bestFit="1" customWidth="1"/>
    <col min="15" max="15" width="11.140625" bestFit="1" customWidth="1"/>
    <col min="16" max="16" width="48.28515625" style="19" bestFit="1" customWidth="1"/>
    <col min="17" max="17" width="19.140625" style="19" bestFit="1" customWidth="1"/>
    <col min="18" max="18" width="14.42578125" style="19" bestFit="1" customWidth="1"/>
    <col min="19" max="19" width="11" style="19" bestFit="1" customWidth="1"/>
    <col min="20" max="20" width="13.140625" style="19" bestFit="1" customWidth="1"/>
    <col min="21" max="21" width="13.5703125" style="19" bestFit="1" customWidth="1"/>
    <col min="22" max="22" width="12.5703125" style="19" bestFit="1" customWidth="1"/>
    <col min="23" max="23" width="16" style="20" bestFit="1" customWidth="1"/>
    <col min="24" max="24" width="15.28515625" style="65" bestFit="1" customWidth="1"/>
    <col min="25" max="25" width="12.140625" bestFit="1" customWidth="1"/>
    <col min="26" max="27" width="12.85546875" bestFit="1" customWidth="1"/>
    <col min="28" max="28" width="18.28515625" bestFit="1" customWidth="1"/>
    <col min="29" max="29" width="94.5703125" bestFit="1" customWidth="1"/>
    <col min="30" max="30" width="94.28515625" style="2" bestFit="1" customWidth="1"/>
    <col min="31" max="31" width="30.7109375" style="7" bestFit="1" customWidth="1"/>
  </cols>
  <sheetData>
    <row r="1" spans="1:31" ht="15" customHeight="1" x14ac:dyDescent="0.25">
      <c r="B1" s="11"/>
      <c r="C1" s="11"/>
      <c r="D1" s="11"/>
      <c r="E1" s="11"/>
      <c r="F1" s="11"/>
      <c r="G1" s="12"/>
      <c r="H1" s="11"/>
      <c r="I1" s="11"/>
      <c r="J1" s="12"/>
      <c r="K1" s="12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4"/>
      <c r="X1" s="66"/>
      <c r="Y1" s="11"/>
      <c r="Z1" s="11"/>
      <c r="AA1" s="11"/>
      <c r="AB1" s="11"/>
      <c r="AC1" s="11"/>
      <c r="AD1" s="12"/>
      <c r="AE1" s="38"/>
    </row>
    <row r="2" spans="1:31" ht="15" customHeight="1" x14ac:dyDescent="0.25">
      <c r="B2" s="15"/>
      <c r="C2" s="15"/>
      <c r="D2" s="15"/>
      <c r="E2" s="15"/>
      <c r="F2" s="15"/>
      <c r="G2" s="12"/>
      <c r="H2" s="15"/>
      <c r="I2" s="15"/>
      <c r="J2" s="12"/>
      <c r="K2" s="12"/>
      <c r="L2" s="15"/>
      <c r="M2" s="38" t="s">
        <v>69</v>
      </c>
      <c r="N2" s="15"/>
      <c r="O2" s="15"/>
      <c r="P2" s="16"/>
      <c r="Q2" s="16"/>
      <c r="R2" s="16"/>
      <c r="S2" s="16"/>
      <c r="T2" s="16"/>
      <c r="U2" s="16"/>
      <c r="V2" s="16"/>
      <c r="W2" s="17"/>
      <c r="X2" s="67"/>
      <c r="Y2" s="15"/>
      <c r="Z2" s="15"/>
      <c r="AA2" s="15"/>
      <c r="AB2" s="15"/>
      <c r="AC2" s="15"/>
      <c r="AD2" s="12"/>
      <c r="AE2" s="38"/>
    </row>
    <row r="3" spans="1:31" x14ac:dyDescent="0.25">
      <c r="A3" s="18" t="s">
        <v>70</v>
      </c>
      <c r="C3" s="4" t="str">
        <f ca="1">'List chi tiet'!B3&amp;"-"&amp;'List chi tiet'!B2</f>
        <v>10726-141-10726-141 DG XK SHIPLIFT ÚC</v>
      </c>
    </row>
    <row r="4" spans="1:31" x14ac:dyDescent="0.25">
      <c r="A4" s="18" t="s">
        <v>71</v>
      </c>
      <c r="C4" s="5" t="str">
        <f ca="1">INDEX(M11:M99710, MATCH(1, INDEX(SUBTOTAL(3, OFFSET(M11, ROW(M11:M99710)-ROW(M11), 0)), 0), 0))</f>
        <v>VT-SL-TT-024</v>
      </c>
    </row>
    <row r="5" spans="1:31" x14ac:dyDescent="0.25">
      <c r="A5" s="18" t="s">
        <v>72</v>
      </c>
      <c r="C5" s="4" t="str">
        <f ca="1">INDEX(P11:P99710, MATCH(1, INDEX(SUBTOTAL(3, OFFSET(P11, ROW(P11:P99710)-ROW(P11), 0)), 0), 0))</f>
        <v>PLATFORM-MAIN STRUCTURE-BEAM(3.KC5-2.KME-1.KC6)</v>
      </c>
    </row>
    <row r="6" spans="1:31" x14ac:dyDescent="0.25">
      <c r="A6" s="18" t="s">
        <v>73</v>
      </c>
      <c r="C6" s="4" t="s">
        <v>74</v>
      </c>
    </row>
    <row r="7" spans="1:31" x14ac:dyDescent="0.25">
      <c r="A7" s="18" t="s">
        <v>75</v>
      </c>
      <c r="C7" s="4"/>
    </row>
    <row r="8" spans="1:31" x14ac:dyDescent="0.25">
      <c r="A8" s="18" t="s">
        <v>76</v>
      </c>
      <c r="C8" s="4"/>
      <c r="H8" s="81">
        <f ca="1">SUMPRODUCT(SUBTOTAL(109, OFFSET(H11, ROW(H11:H99710)-ROW(H11), 0)), (B11:B99710&lt;&gt;"") * (B11:B99710&lt;&gt;0))</f>
        <v>2667</v>
      </c>
      <c r="I8" s="81">
        <f ca="1">SUMPRODUCT(SUBTOTAL(109, OFFSET(I11, ROW(I11:I99710)-ROW(I11), 0)), (B11:B99710&lt;&gt;"") * (B11:B99710&lt;&gt;0))</f>
        <v>104405.20999999977</v>
      </c>
      <c r="P8" s="46">
        <f ca="1">VALUE(SUMPRODUCT(SUBTOTAL(103,OFFSET(B11,ROW(B11:B99403)-MIN(ROW(B11:B99403)),,1)),--(B11:B99403&lt;&gt;"")))</f>
        <v>625</v>
      </c>
    </row>
    <row r="9" spans="1:31" x14ac:dyDescent="0.25">
      <c r="A9" s="18" t="s">
        <v>77</v>
      </c>
      <c r="C9" s="4"/>
      <c r="AC9" t="str">
        <f>IFERROR(VLOOKUP(A9,'List chi tiet'!$A:$L,12,0),"")</f>
        <v/>
      </c>
    </row>
    <row r="10" spans="1:31" s="1" customFormat="1" ht="33.75" customHeight="1" x14ac:dyDescent="0.25">
      <c r="A10" s="22" t="s">
        <v>78</v>
      </c>
      <c r="B10" s="22" t="s">
        <v>79</v>
      </c>
      <c r="C10" s="22" t="s">
        <v>80</v>
      </c>
      <c r="D10" s="22" t="s">
        <v>81</v>
      </c>
      <c r="E10" s="22" t="s">
        <v>82</v>
      </c>
      <c r="F10" s="22" t="s">
        <v>83</v>
      </c>
      <c r="G10" s="22" t="s">
        <v>84</v>
      </c>
      <c r="H10" s="22" t="s">
        <v>85</v>
      </c>
      <c r="I10" s="22" t="s">
        <v>86</v>
      </c>
      <c r="J10" s="22" t="s">
        <v>87</v>
      </c>
      <c r="K10" s="22" t="s">
        <v>88</v>
      </c>
      <c r="L10" s="22" t="s">
        <v>89</v>
      </c>
      <c r="M10" s="22" t="s">
        <v>59</v>
      </c>
      <c r="N10" s="22" t="s">
        <v>90</v>
      </c>
      <c r="O10" s="22" t="s">
        <v>91</v>
      </c>
      <c r="P10" s="23" t="s">
        <v>28</v>
      </c>
      <c r="Q10" s="23" t="s">
        <v>92</v>
      </c>
      <c r="R10" s="23" t="s">
        <v>93</v>
      </c>
      <c r="S10" s="23" t="s">
        <v>94</v>
      </c>
      <c r="T10" s="23" t="s">
        <v>95</v>
      </c>
      <c r="U10" s="23" t="s">
        <v>96</v>
      </c>
      <c r="V10" s="23" t="s">
        <v>97</v>
      </c>
      <c r="W10" s="24" t="s">
        <v>105</v>
      </c>
      <c r="X10" s="68" t="s">
        <v>98</v>
      </c>
      <c r="Y10" s="22" t="s">
        <v>21</v>
      </c>
      <c r="Z10" s="22" t="s">
        <v>22</v>
      </c>
      <c r="AA10" s="22" t="s">
        <v>23</v>
      </c>
      <c r="AB10" s="22" t="s">
        <v>24</v>
      </c>
      <c r="AC10" s="22" t="s">
        <v>99</v>
      </c>
      <c r="AD10" s="22" t="s">
        <v>29</v>
      </c>
      <c r="AE10" s="84" t="str">
        <f>IF(LEN('List chi tiet'!$B$2)=0,"",'List chi tiet'!$B$2)</f>
        <v>10726-141 DG XK SHIPLIFT ÚC</v>
      </c>
    </row>
    <row r="11" spans="1:31" hidden="1" x14ac:dyDescent="0.25">
      <c r="A11" s="2">
        <f>IF('List chi tiet'!A6&lt;&gt;"",'List chi tiet'!A6,"")</f>
        <v>1</v>
      </c>
      <c r="B11" s="2" t="str">
        <f>IF('List chi tiet'!B6&lt;&gt;"",'List chi tiet'!B6,"")</f>
        <v>PL026 PL026_1</v>
      </c>
      <c r="C11" s="69">
        <f>IF('List chi tiet'!E6&lt;&gt;"",'List chi tiet'!E6,"")</f>
        <v>30</v>
      </c>
      <c r="D11" s="69">
        <f>IF('List chi tiet'!F6&lt;&gt;"",'List chi tiet'!F6,"")</f>
        <v>670</v>
      </c>
      <c r="E11">
        <f>IF('List chi tiet'!G6&lt;&gt;"",'List chi tiet'!G6,"")</f>
        <v>720</v>
      </c>
      <c r="F11" t="str">
        <f>IF('List chi tiet'!C6&lt;&gt;"",'List chi tiet'!C6,"")</f>
        <v>S355JR</v>
      </c>
      <c r="G11" s="2" t="str">
        <f>IF(A11&lt;&gt;"","Pcs","")</f>
        <v>Pcs</v>
      </c>
      <c r="H11">
        <f>IF('List chi tiet'!H6&lt;&gt;"",'List chi tiet'!H6,"")</f>
        <v>4</v>
      </c>
      <c r="I11" s="70">
        <f>IF('List chi tiet'!J6&lt;&gt;"",'List chi tiet'!J6,"")</f>
        <v>359.45</v>
      </c>
      <c r="J11" s="2" t="str">
        <f>IF(A11&lt;&gt;"","SC-VT1","")</f>
        <v>SC-VT1</v>
      </c>
      <c r="M11" t="str">
        <f>IF('List chi tiet'!A6&lt;&gt;"",LEFT('List chi tiet'!L6,FIND("-",'List chi tiet'!L6,FIND("-",'List chi tiet'!L6,FIND("-",'List chi tiet'!L6,FIND("-",'List chi tiet'!L6)+1)+1)+1)-1),"")</f>
        <v>VT-SL-TT-003</v>
      </c>
      <c r="N11" t="str">
        <f>IF('List chi tiet'!D6&lt;&gt;"",'List chi tiet'!D6,"")</f>
        <v>PL30x670x720</v>
      </c>
      <c r="O11" s="25"/>
      <c r="P11" s="26" t="str">
        <f>IF('List chi tiet'!Z6&lt;&gt;"",'List chi tiet'!Z6,"")</f>
        <v>BPGC_ĐB</v>
      </c>
      <c r="Q11" s="26"/>
      <c r="R11" s="26"/>
      <c r="S11" s="26"/>
      <c r="T11" s="26"/>
      <c r="U11" s="26"/>
      <c r="V11" s="26"/>
      <c r="W11" s="27">
        <f>IF('List chi tiet'!Q6&lt;&gt;"",'List chi tiet'!Q6,"")</f>
        <v>3</v>
      </c>
      <c r="X11" s="64" t="str">
        <f>IF('List chi tiet'!R6&lt;&gt;"",'List chi tiet'!R6,"")</f>
        <v>18/08/2026</v>
      </c>
      <c r="AB11" t="str">
        <f>IF('List chi tiet'!V6&lt;&gt;"",'List chi tiet'!V6,"")</f>
        <v>10726-141</v>
      </c>
      <c r="AC11" t="str">
        <f>IF('List chi tiet'!L6&lt;&gt;"",'List chi tiet'!L6,"")</f>
        <v>VT-SL-TT-003-BPGC_DB-S355JR-SP30-001</v>
      </c>
      <c r="AD11" s="2" t="str">
        <f>IF('List chi tiet'!K6&lt;&gt;"",'List chi tiet'!K6,"")</f>
        <v>PL30x925x6000</v>
      </c>
    </row>
    <row r="12" spans="1:31" hidden="1" x14ac:dyDescent="0.25">
      <c r="A12" s="2">
        <v>1</v>
      </c>
      <c r="B12" t="s">
        <v>114</v>
      </c>
      <c r="C12">
        <v>6</v>
      </c>
      <c r="D12">
        <v>50</v>
      </c>
      <c r="E12">
        <v>600</v>
      </c>
      <c r="F12" t="s">
        <v>115</v>
      </c>
      <c r="G12" s="2" t="s">
        <v>156</v>
      </c>
      <c r="H12">
        <v>25</v>
      </c>
      <c r="I12">
        <v>35.32</v>
      </c>
      <c r="J12" s="2" t="s">
        <v>170</v>
      </c>
      <c r="K12" s="2" t="s">
        <v>74</v>
      </c>
      <c r="M12" t="s">
        <v>158</v>
      </c>
      <c r="O12" s="25"/>
      <c r="P12" s="26" t="s">
        <v>121</v>
      </c>
      <c r="Q12" s="26"/>
      <c r="R12" s="26"/>
      <c r="S12" s="26" t="s">
        <v>138</v>
      </c>
      <c r="T12" s="26"/>
      <c r="U12" s="26"/>
      <c r="V12" s="26"/>
      <c r="W12" s="27">
        <v>1</v>
      </c>
      <c r="X12" s="64" t="s">
        <v>119</v>
      </c>
      <c r="AB12" t="s">
        <v>120</v>
      </c>
      <c r="AC12" t="s">
        <v>118</v>
      </c>
      <c r="AD12" s="2" t="s">
        <v>122</v>
      </c>
    </row>
    <row r="13" spans="1:31" hidden="1" x14ac:dyDescent="0.25">
      <c r="A13" s="2">
        <v>2</v>
      </c>
      <c r="B13" t="s">
        <v>123</v>
      </c>
      <c r="C13">
        <v>6</v>
      </c>
      <c r="D13">
        <v>50</v>
      </c>
      <c r="E13">
        <v>350</v>
      </c>
      <c r="F13" t="s">
        <v>115</v>
      </c>
      <c r="G13" s="2" t="s">
        <v>156</v>
      </c>
      <c r="H13">
        <v>25</v>
      </c>
      <c r="I13">
        <v>20.61</v>
      </c>
      <c r="J13" s="2" t="s">
        <v>170</v>
      </c>
      <c r="K13" s="2" t="s">
        <v>74</v>
      </c>
      <c r="M13" t="s">
        <v>158</v>
      </c>
      <c r="O13" s="25"/>
      <c r="P13" s="26" t="s">
        <v>121</v>
      </c>
      <c r="Q13" s="26"/>
      <c r="R13" s="26"/>
      <c r="S13" s="26" t="s">
        <v>138</v>
      </c>
      <c r="T13" s="26"/>
      <c r="U13" s="26"/>
      <c r="V13" s="26"/>
      <c r="W13" s="27">
        <v>1</v>
      </c>
      <c r="X13" s="64" t="s">
        <v>119</v>
      </c>
      <c r="AB13" t="s">
        <v>120</v>
      </c>
      <c r="AC13" t="s">
        <v>118</v>
      </c>
      <c r="AD13" s="2" t="s">
        <v>122</v>
      </c>
    </row>
    <row r="14" spans="1:31" hidden="1" x14ac:dyDescent="0.25">
      <c r="A14" s="2">
        <v>3</v>
      </c>
      <c r="B14" t="s">
        <v>125</v>
      </c>
      <c r="C14">
        <v>10</v>
      </c>
      <c r="D14">
        <v>50</v>
      </c>
      <c r="E14">
        <v>300</v>
      </c>
      <c r="F14" t="s">
        <v>126</v>
      </c>
      <c r="G14" s="2" t="s">
        <v>156</v>
      </c>
      <c r="H14">
        <v>80</v>
      </c>
      <c r="I14">
        <v>86.24</v>
      </c>
      <c r="J14" s="2" t="s">
        <v>170</v>
      </c>
      <c r="K14" s="2" t="s">
        <v>74</v>
      </c>
      <c r="M14" t="s">
        <v>158</v>
      </c>
      <c r="O14" s="25"/>
      <c r="P14" s="26" t="s">
        <v>121</v>
      </c>
      <c r="Q14" s="26"/>
      <c r="R14" s="26"/>
      <c r="S14" s="26" t="s">
        <v>138</v>
      </c>
      <c r="T14" s="26"/>
      <c r="U14" s="26"/>
      <c r="V14" s="26"/>
      <c r="W14" s="27">
        <v>1</v>
      </c>
      <c r="X14" s="64" t="s">
        <v>119</v>
      </c>
      <c r="AB14" t="s">
        <v>120</v>
      </c>
      <c r="AC14" t="s">
        <v>129</v>
      </c>
      <c r="AD14" s="2" t="s">
        <v>130</v>
      </c>
    </row>
    <row r="15" spans="1:31" hidden="1" x14ac:dyDescent="0.25">
      <c r="A15" s="2">
        <v>4</v>
      </c>
      <c r="B15" t="s">
        <v>131</v>
      </c>
      <c r="C15">
        <v>10</v>
      </c>
      <c r="D15">
        <v>50</v>
      </c>
      <c r="E15">
        <v>50</v>
      </c>
      <c r="F15" t="s">
        <v>126</v>
      </c>
      <c r="G15" s="2" t="s">
        <v>156</v>
      </c>
      <c r="H15">
        <v>100</v>
      </c>
      <c r="I15">
        <v>19.63</v>
      </c>
      <c r="J15" s="2" t="s">
        <v>170</v>
      </c>
      <c r="K15" s="2" t="s">
        <v>74</v>
      </c>
      <c r="M15" t="s">
        <v>158</v>
      </c>
      <c r="O15" s="25"/>
      <c r="P15" s="26" t="s">
        <v>121</v>
      </c>
      <c r="Q15" s="26"/>
      <c r="R15" s="26"/>
      <c r="S15" s="26" t="s">
        <v>138</v>
      </c>
      <c r="T15" s="26"/>
      <c r="U15" s="26"/>
      <c r="V15" s="26"/>
      <c r="W15" s="27">
        <v>1</v>
      </c>
      <c r="X15" s="64" t="s">
        <v>119</v>
      </c>
      <c r="AB15" t="s">
        <v>120</v>
      </c>
      <c r="AC15" t="s">
        <v>129</v>
      </c>
      <c r="AD15" s="2" t="s">
        <v>130</v>
      </c>
    </row>
    <row r="16" spans="1:31" hidden="1" x14ac:dyDescent="0.25">
      <c r="A16" s="2">
        <v>5</v>
      </c>
      <c r="B16" t="s">
        <v>133</v>
      </c>
      <c r="C16">
        <v>12</v>
      </c>
      <c r="D16">
        <v>150</v>
      </c>
      <c r="E16">
        <v>350</v>
      </c>
      <c r="F16" t="s">
        <v>134</v>
      </c>
      <c r="G16" s="2" t="s">
        <v>156</v>
      </c>
      <c r="H16">
        <v>50</v>
      </c>
      <c r="I16">
        <v>247.28</v>
      </c>
      <c r="J16" s="2" t="s">
        <v>170</v>
      </c>
      <c r="K16" s="2" t="s">
        <v>74</v>
      </c>
      <c r="M16" t="s">
        <v>158</v>
      </c>
      <c r="O16" s="25"/>
      <c r="P16" s="26" t="s">
        <v>121</v>
      </c>
      <c r="Q16" s="26"/>
      <c r="R16" s="26"/>
      <c r="S16" s="26" t="s">
        <v>138</v>
      </c>
      <c r="T16" s="26"/>
      <c r="U16" s="26"/>
      <c r="V16" s="26" t="s">
        <v>138</v>
      </c>
      <c r="W16" s="27">
        <v>1</v>
      </c>
      <c r="X16" s="64" t="s">
        <v>119</v>
      </c>
      <c r="AB16" t="s">
        <v>120</v>
      </c>
      <c r="AC16" t="s">
        <v>137</v>
      </c>
      <c r="AD16" s="2" t="s">
        <v>139</v>
      </c>
    </row>
    <row r="17" spans="1:30" hidden="1" x14ac:dyDescent="0.25">
      <c r="A17" s="2">
        <v>6</v>
      </c>
      <c r="B17" t="s">
        <v>140</v>
      </c>
      <c r="C17">
        <v>16</v>
      </c>
      <c r="D17">
        <v>50</v>
      </c>
      <c r="E17">
        <v>100</v>
      </c>
      <c r="F17" t="s">
        <v>141</v>
      </c>
      <c r="G17" s="2" t="s">
        <v>156</v>
      </c>
      <c r="H17">
        <v>14</v>
      </c>
      <c r="I17">
        <v>8.7899999999999991</v>
      </c>
      <c r="J17" s="2" t="s">
        <v>170</v>
      </c>
      <c r="K17" s="2" t="s">
        <v>74</v>
      </c>
      <c r="M17" t="s">
        <v>158</v>
      </c>
      <c r="O17" s="25"/>
      <c r="P17" s="26" t="s">
        <v>121</v>
      </c>
      <c r="Q17" s="26"/>
      <c r="R17" s="26"/>
      <c r="S17" s="26" t="s">
        <v>138</v>
      </c>
      <c r="T17" s="26"/>
      <c r="U17" s="26"/>
      <c r="V17" s="26"/>
      <c r="W17" s="27">
        <v>1</v>
      </c>
      <c r="X17" s="64" t="s">
        <v>119</v>
      </c>
      <c r="AB17" t="s">
        <v>120</v>
      </c>
      <c r="AC17" t="s">
        <v>144</v>
      </c>
      <c r="AD17" s="2" t="s">
        <v>145</v>
      </c>
    </row>
    <row r="18" spans="1:30" hidden="1" x14ac:dyDescent="0.25">
      <c r="A18" s="2">
        <v>7</v>
      </c>
      <c r="B18" t="s">
        <v>146</v>
      </c>
      <c r="C18">
        <v>16</v>
      </c>
      <c r="D18">
        <v>200</v>
      </c>
      <c r="E18">
        <v>600</v>
      </c>
      <c r="F18" t="s">
        <v>141</v>
      </c>
      <c r="G18" s="2" t="s">
        <v>156</v>
      </c>
      <c r="H18">
        <v>14</v>
      </c>
      <c r="I18">
        <v>211.01</v>
      </c>
      <c r="J18" s="2" t="s">
        <v>170</v>
      </c>
      <c r="K18" s="2" t="s">
        <v>74</v>
      </c>
      <c r="M18" t="s">
        <v>158</v>
      </c>
      <c r="O18" s="25"/>
      <c r="P18" s="26" t="s">
        <v>121</v>
      </c>
      <c r="Q18" s="26"/>
      <c r="R18" s="26"/>
      <c r="S18" s="26" t="s">
        <v>138</v>
      </c>
      <c r="T18" s="26"/>
      <c r="U18" s="26"/>
      <c r="V18" s="26" t="s">
        <v>138</v>
      </c>
      <c r="W18" s="27">
        <v>1</v>
      </c>
      <c r="X18" s="64" t="s">
        <v>119</v>
      </c>
      <c r="AB18" t="s">
        <v>120</v>
      </c>
      <c r="AC18" t="s">
        <v>144</v>
      </c>
      <c r="AD18" s="2" t="s">
        <v>145</v>
      </c>
    </row>
    <row r="19" spans="1:30" hidden="1" x14ac:dyDescent="0.25">
      <c r="A19" s="2">
        <v>8</v>
      </c>
      <c r="B19" t="s">
        <v>140</v>
      </c>
      <c r="C19">
        <v>16</v>
      </c>
      <c r="D19">
        <v>50</v>
      </c>
      <c r="E19">
        <v>100</v>
      </c>
      <c r="F19" t="s">
        <v>141</v>
      </c>
      <c r="G19" s="2" t="s">
        <v>156</v>
      </c>
      <c r="H19">
        <v>23</v>
      </c>
      <c r="I19">
        <v>14.44</v>
      </c>
      <c r="J19" s="2" t="s">
        <v>170</v>
      </c>
      <c r="K19" s="2" t="s">
        <v>74</v>
      </c>
      <c r="M19" t="s">
        <v>158</v>
      </c>
      <c r="O19" s="25"/>
      <c r="P19" s="26" t="s">
        <v>121</v>
      </c>
      <c r="Q19" s="26"/>
      <c r="R19" s="26"/>
      <c r="S19" s="26" t="s">
        <v>138</v>
      </c>
      <c r="T19" s="26"/>
      <c r="U19" s="26"/>
      <c r="V19" s="26"/>
      <c r="W19" s="27">
        <v>1</v>
      </c>
      <c r="X19" s="64" t="s">
        <v>119</v>
      </c>
      <c r="AB19" t="s">
        <v>120</v>
      </c>
      <c r="AC19" t="s">
        <v>149</v>
      </c>
      <c r="AD19" s="2" t="s">
        <v>150</v>
      </c>
    </row>
    <row r="20" spans="1:30" hidden="1" x14ac:dyDescent="0.25">
      <c r="A20" s="2">
        <v>9</v>
      </c>
      <c r="B20" t="s">
        <v>146</v>
      </c>
      <c r="C20">
        <v>16</v>
      </c>
      <c r="D20">
        <v>200</v>
      </c>
      <c r="E20">
        <v>600</v>
      </c>
      <c r="F20" t="s">
        <v>141</v>
      </c>
      <c r="G20" s="2" t="s">
        <v>156</v>
      </c>
      <c r="H20">
        <v>5</v>
      </c>
      <c r="I20">
        <v>75.36</v>
      </c>
      <c r="J20" s="2" t="s">
        <v>170</v>
      </c>
      <c r="K20" s="2" t="s">
        <v>74</v>
      </c>
      <c r="M20" t="s">
        <v>158</v>
      </c>
      <c r="O20" s="25"/>
      <c r="P20" s="26" t="s">
        <v>121</v>
      </c>
      <c r="Q20" s="26"/>
      <c r="R20" s="26"/>
      <c r="S20" s="26" t="s">
        <v>138</v>
      </c>
      <c r="T20" s="26"/>
      <c r="U20" s="26"/>
      <c r="V20" s="26" t="s">
        <v>138</v>
      </c>
      <c r="W20" s="27">
        <v>1</v>
      </c>
      <c r="X20" s="64" t="s">
        <v>119</v>
      </c>
      <c r="AB20" t="s">
        <v>120</v>
      </c>
      <c r="AC20" t="s">
        <v>149</v>
      </c>
      <c r="AD20" s="2" t="s">
        <v>150</v>
      </c>
    </row>
    <row r="21" spans="1:30" hidden="1" x14ac:dyDescent="0.25">
      <c r="A21" s="2">
        <v>10</v>
      </c>
      <c r="B21" t="s">
        <v>140</v>
      </c>
      <c r="C21">
        <v>16</v>
      </c>
      <c r="D21">
        <v>50</v>
      </c>
      <c r="E21">
        <v>100</v>
      </c>
      <c r="F21" t="s">
        <v>141</v>
      </c>
      <c r="G21" s="2" t="s">
        <v>156</v>
      </c>
      <c r="H21">
        <v>3</v>
      </c>
      <c r="I21">
        <v>1.88</v>
      </c>
      <c r="J21" s="2" t="s">
        <v>170</v>
      </c>
      <c r="K21" s="2" t="s">
        <v>74</v>
      </c>
      <c r="M21" t="s">
        <v>158</v>
      </c>
      <c r="O21" s="25"/>
      <c r="P21" s="26" t="s">
        <v>121</v>
      </c>
      <c r="Q21" s="26"/>
      <c r="R21" s="26"/>
      <c r="S21" s="26" t="s">
        <v>138</v>
      </c>
      <c r="T21" s="26"/>
      <c r="U21" s="26"/>
      <c r="V21" s="26"/>
      <c r="W21" s="27">
        <v>1</v>
      </c>
      <c r="X21" s="64" t="s">
        <v>119</v>
      </c>
      <c r="AB21" t="s">
        <v>120</v>
      </c>
      <c r="AC21" t="s">
        <v>152</v>
      </c>
      <c r="AD21" s="2" t="s">
        <v>153</v>
      </c>
    </row>
    <row r="22" spans="1:30" hidden="1" x14ac:dyDescent="0.25">
      <c r="A22" s="2">
        <v>11</v>
      </c>
      <c r="B22" t="s">
        <v>146</v>
      </c>
      <c r="C22">
        <v>16</v>
      </c>
      <c r="D22">
        <v>200</v>
      </c>
      <c r="E22">
        <v>600</v>
      </c>
      <c r="F22" t="s">
        <v>141</v>
      </c>
      <c r="G22" s="2" t="s">
        <v>156</v>
      </c>
      <c r="H22">
        <v>1</v>
      </c>
      <c r="I22">
        <v>15.07</v>
      </c>
      <c r="J22" s="2" t="s">
        <v>170</v>
      </c>
      <c r="K22" s="2" t="s">
        <v>74</v>
      </c>
      <c r="M22" t="s">
        <v>158</v>
      </c>
      <c r="O22" s="25"/>
      <c r="P22" s="26" t="s">
        <v>121</v>
      </c>
      <c r="Q22" s="26"/>
      <c r="R22" s="26"/>
      <c r="S22" s="26" t="s">
        <v>138</v>
      </c>
      <c r="T22" s="26"/>
      <c r="U22" s="26"/>
      <c r="V22" s="26" t="s">
        <v>138</v>
      </c>
      <c r="W22" s="27">
        <v>1</v>
      </c>
      <c r="X22" s="64" t="s">
        <v>119</v>
      </c>
      <c r="AB22" t="s">
        <v>120</v>
      </c>
      <c r="AC22" t="s">
        <v>152</v>
      </c>
      <c r="AD22" s="2" t="s">
        <v>153</v>
      </c>
    </row>
    <row r="23" spans="1:30" hidden="1" x14ac:dyDescent="0.25">
      <c r="A23" s="2">
        <v>1</v>
      </c>
      <c r="B23" t="s">
        <v>302</v>
      </c>
      <c r="C23">
        <v>30</v>
      </c>
      <c r="D23">
        <v>670</v>
      </c>
      <c r="E23">
        <v>720</v>
      </c>
      <c r="F23" t="s">
        <v>134</v>
      </c>
      <c r="G23" s="2" t="s">
        <v>156</v>
      </c>
      <c r="H23">
        <v>4</v>
      </c>
      <c r="I23">
        <v>359.45</v>
      </c>
      <c r="J23" s="2" t="s">
        <v>170</v>
      </c>
      <c r="K23" s="2" t="s">
        <v>74</v>
      </c>
      <c r="M23" t="s">
        <v>322</v>
      </c>
      <c r="O23" s="25"/>
      <c r="P23" s="26" t="s">
        <v>308</v>
      </c>
      <c r="Q23" s="26" t="s">
        <v>25</v>
      </c>
      <c r="R23" s="26"/>
      <c r="S23" s="26" t="s">
        <v>138</v>
      </c>
      <c r="T23" s="26"/>
      <c r="U23" s="26"/>
      <c r="V23" s="26"/>
      <c r="W23" s="27">
        <v>3</v>
      </c>
      <c r="X23" s="64" t="s">
        <v>306</v>
      </c>
      <c r="Z23" t="s">
        <v>307</v>
      </c>
      <c r="AB23" t="s">
        <v>178</v>
      </c>
      <c r="AC23" t="s">
        <v>305</v>
      </c>
      <c r="AD23" s="2" t="s">
        <v>309</v>
      </c>
    </row>
    <row r="24" spans="1:30" hidden="1" x14ac:dyDescent="0.25">
      <c r="A24" s="2">
        <v>2</v>
      </c>
      <c r="B24" t="s">
        <v>310</v>
      </c>
      <c r="C24">
        <v>30</v>
      </c>
      <c r="D24">
        <v>580</v>
      </c>
      <c r="E24">
        <v>650</v>
      </c>
      <c r="F24" t="s">
        <v>134</v>
      </c>
      <c r="G24" s="2" t="s">
        <v>156</v>
      </c>
      <c r="H24">
        <v>4</v>
      </c>
      <c r="I24">
        <v>280.13</v>
      </c>
      <c r="J24" s="2" t="s">
        <v>170</v>
      </c>
      <c r="K24" s="2" t="s">
        <v>74</v>
      </c>
      <c r="M24" t="s">
        <v>322</v>
      </c>
      <c r="O24" s="25"/>
      <c r="P24" s="26" t="s">
        <v>308</v>
      </c>
      <c r="Q24" s="26" t="s">
        <v>25</v>
      </c>
      <c r="R24" s="26"/>
      <c r="S24" s="26" t="s">
        <v>138</v>
      </c>
      <c r="T24" s="26"/>
      <c r="U24" s="26"/>
      <c r="V24" s="26"/>
      <c r="W24" s="27">
        <v>3</v>
      </c>
      <c r="X24" s="64" t="s">
        <v>306</v>
      </c>
      <c r="Z24" t="s">
        <v>307</v>
      </c>
      <c r="AB24" t="s">
        <v>178</v>
      </c>
      <c r="AC24" t="s">
        <v>305</v>
      </c>
      <c r="AD24" s="2" t="s">
        <v>309</v>
      </c>
    </row>
    <row r="25" spans="1:30" hidden="1" x14ac:dyDescent="0.25">
      <c r="A25" s="2">
        <v>3</v>
      </c>
      <c r="B25" t="s">
        <v>312</v>
      </c>
      <c r="C25">
        <v>35</v>
      </c>
      <c r="D25">
        <v>1570</v>
      </c>
      <c r="E25">
        <v>1990</v>
      </c>
      <c r="F25" t="s">
        <v>134</v>
      </c>
      <c r="G25" s="2" t="s">
        <v>156</v>
      </c>
      <c r="H25">
        <v>1</v>
      </c>
      <c r="I25">
        <v>858.4</v>
      </c>
      <c r="J25" s="2" t="s">
        <v>170</v>
      </c>
      <c r="K25" s="2" t="s">
        <v>74</v>
      </c>
      <c r="M25" t="s">
        <v>322</v>
      </c>
      <c r="O25" s="25" t="s">
        <v>176</v>
      </c>
      <c r="P25" s="26" t="s">
        <v>308</v>
      </c>
      <c r="Q25" s="26" t="s">
        <v>26</v>
      </c>
      <c r="R25" s="26"/>
      <c r="S25" s="26" t="s">
        <v>138</v>
      </c>
      <c r="T25" s="26"/>
      <c r="U25" s="26"/>
      <c r="V25" s="26" t="s">
        <v>138</v>
      </c>
      <c r="W25" s="27">
        <v>3</v>
      </c>
      <c r="X25" s="64" t="s">
        <v>306</v>
      </c>
      <c r="Z25" t="s">
        <v>307</v>
      </c>
      <c r="AB25" t="s">
        <v>178</v>
      </c>
      <c r="AC25" t="s">
        <v>315</v>
      </c>
      <c r="AD25" s="2" t="s">
        <v>316</v>
      </c>
    </row>
    <row r="26" spans="1:30" hidden="1" x14ac:dyDescent="0.25">
      <c r="A26" s="2">
        <v>4</v>
      </c>
      <c r="B26" t="s">
        <v>317</v>
      </c>
      <c r="C26">
        <v>35</v>
      </c>
      <c r="D26">
        <v>400</v>
      </c>
      <c r="E26">
        <v>1570</v>
      </c>
      <c r="F26" t="s">
        <v>134</v>
      </c>
      <c r="G26" s="2" t="s">
        <v>156</v>
      </c>
      <c r="H26">
        <v>1</v>
      </c>
      <c r="I26">
        <v>172.54</v>
      </c>
      <c r="J26" s="2" t="s">
        <v>170</v>
      </c>
      <c r="K26" s="2" t="s">
        <v>74</v>
      </c>
      <c r="M26" t="s">
        <v>322</v>
      </c>
      <c r="O26" s="25"/>
      <c r="P26" s="26" t="s">
        <v>308</v>
      </c>
      <c r="Q26" s="26" t="s">
        <v>26</v>
      </c>
      <c r="R26" s="26"/>
      <c r="S26" s="26" t="s">
        <v>138</v>
      </c>
      <c r="T26" s="26"/>
      <c r="U26" s="26"/>
      <c r="V26" s="26" t="s">
        <v>138</v>
      </c>
      <c r="W26" s="27">
        <v>3</v>
      </c>
      <c r="X26" s="64" t="s">
        <v>306</v>
      </c>
      <c r="Z26" t="s">
        <v>307</v>
      </c>
      <c r="AB26" t="s">
        <v>178</v>
      </c>
      <c r="AC26" t="s">
        <v>315</v>
      </c>
      <c r="AD26" s="2" t="s">
        <v>316</v>
      </c>
    </row>
    <row r="27" spans="1:30" hidden="1" x14ac:dyDescent="0.25">
      <c r="A27" s="2">
        <v>5</v>
      </c>
      <c r="B27" t="s">
        <v>319</v>
      </c>
      <c r="C27">
        <v>35</v>
      </c>
      <c r="D27">
        <v>1570</v>
      </c>
      <c r="E27">
        <v>2390</v>
      </c>
      <c r="F27" t="s">
        <v>134</v>
      </c>
      <c r="G27" s="2" t="s">
        <v>156</v>
      </c>
      <c r="H27">
        <v>1</v>
      </c>
      <c r="I27">
        <v>1030.94</v>
      </c>
      <c r="J27" s="2" t="s">
        <v>170</v>
      </c>
      <c r="K27" s="2" t="s">
        <v>74</v>
      </c>
      <c r="M27" t="s">
        <v>322</v>
      </c>
      <c r="O27" s="25" t="s">
        <v>176</v>
      </c>
      <c r="P27" s="26" t="s">
        <v>308</v>
      </c>
      <c r="Q27" s="26" t="s">
        <v>26</v>
      </c>
      <c r="R27" s="26"/>
      <c r="S27" s="26" t="s">
        <v>138</v>
      </c>
      <c r="T27" s="26"/>
      <c r="U27" s="26"/>
      <c r="V27" s="26" t="s">
        <v>138</v>
      </c>
      <c r="W27" s="27">
        <v>3</v>
      </c>
      <c r="X27" s="64" t="s">
        <v>306</v>
      </c>
      <c r="Z27" t="s">
        <v>307</v>
      </c>
      <c r="AB27" t="s">
        <v>178</v>
      </c>
      <c r="AC27" t="s">
        <v>315</v>
      </c>
      <c r="AD27" s="2" t="s">
        <v>316</v>
      </c>
    </row>
    <row r="28" spans="1:30" hidden="1" x14ac:dyDescent="0.25">
      <c r="A28" s="2">
        <v>1</v>
      </c>
      <c r="B28" t="s">
        <v>327</v>
      </c>
      <c r="C28">
        <v>12</v>
      </c>
      <c r="D28">
        <v>275</v>
      </c>
      <c r="E28">
        <v>300</v>
      </c>
      <c r="F28" t="s">
        <v>172</v>
      </c>
      <c r="G28" s="2" t="s">
        <v>156</v>
      </c>
      <c r="H28">
        <v>69</v>
      </c>
      <c r="I28">
        <v>463.15</v>
      </c>
      <c r="J28" s="2" t="s">
        <v>170</v>
      </c>
      <c r="K28" s="2" t="s">
        <v>74</v>
      </c>
      <c r="M28" t="s">
        <v>376</v>
      </c>
      <c r="O28" s="25"/>
      <c r="P28" s="26" t="s">
        <v>330</v>
      </c>
      <c r="Q28" s="26" t="s">
        <v>25</v>
      </c>
      <c r="R28" s="26" t="s">
        <v>138</v>
      </c>
      <c r="S28" s="26"/>
      <c r="T28" s="26"/>
      <c r="U28" s="26"/>
      <c r="V28" s="26"/>
      <c r="W28" s="27">
        <v>4</v>
      </c>
      <c r="X28" s="64" t="s">
        <v>432</v>
      </c>
      <c r="Z28" t="s">
        <v>307</v>
      </c>
      <c r="AB28" t="s">
        <v>178</v>
      </c>
      <c r="AC28" t="s">
        <v>329</v>
      </c>
      <c r="AD28" s="2" t="s">
        <v>180</v>
      </c>
    </row>
    <row r="29" spans="1:30" hidden="1" x14ac:dyDescent="0.25">
      <c r="A29" s="2">
        <v>2</v>
      </c>
      <c r="B29" t="s">
        <v>331</v>
      </c>
      <c r="C29">
        <v>12</v>
      </c>
      <c r="D29">
        <v>295</v>
      </c>
      <c r="E29">
        <v>300</v>
      </c>
      <c r="F29" t="s">
        <v>172</v>
      </c>
      <c r="G29" s="2" t="s">
        <v>156</v>
      </c>
      <c r="H29">
        <v>28</v>
      </c>
      <c r="I29">
        <v>196.38</v>
      </c>
      <c r="J29" s="2" t="s">
        <v>170</v>
      </c>
      <c r="K29" s="2" t="s">
        <v>74</v>
      </c>
      <c r="M29" t="s">
        <v>376</v>
      </c>
      <c r="O29" s="25"/>
      <c r="P29" s="26" t="s">
        <v>330</v>
      </c>
      <c r="Q29" s="26" t="s">
        <v>25</v>
      </c>
      <c r="R29" s="26" t="s">
        <v>138</v>
      </c>
      <c r="S29" s="26"/>
      <c r="T29" s="26"/>
      <c r="U29" s="26"/>
      <c r="V29" s="26"/>
      <c r="W29" s="27">
        <v>4</v>
      </c>
      <c r="X29" s="64" t="s">
        <v>432</v>
      </c>
      <c r="Z29" t="s">
        <v>307</v>
      </c>
      <c r="AB29" t="s">
        <v>178</v>
      </c>
      <c r="AC29" t="s">
        <v>329</v>
      </c>
      <c r="AD29" s="2" t="s">
        <v>180</v>
      </c>
    </row>
    <row r="30" spans="1:30" hidden="1" x14ac:dyDescent="0.25">
      <c r="A30" s="2">
        <v>3</v>
      </c>
      <c r="B30" t="s">
        <v>332</v>
      </c>
      <c r="C30">
        <v>12</v>
      </c>
      <c r="D30">
        <v>275</v>
      </c>
      <c r="E30">
        <v>300</v>
      </c>
      <c r="F30" t="s">
        <v>172</v>
      </c>
      <c r="G30" s="2" t="s">
        <v>156</v>
      </c>
      <c r="H30">
        <v>4</v>
      </c>
      <c r="I30">
        <v>26.85</v>
      </c>
      <c r="J30" s="2" t="s">
        <v>170</v>
      </c>
      <c r="K30" s="2" t="s">
        <v>74</v>
      </c>
      <c r="M30" t="s">
        <v>376</v>
      </c>
      <c r="O30" s="25"/>
      <c r="P30" s="26" t="s">
        <v>330</v>
      </c>
      <c r="Q30" s="26" t="s">
        <v>25</v>
      </c>
      <c r="R30" s="26" t="s">
        <v>138</v>
      </c>
      <c r="S30" s="26"/>
      <c r="T30" s="26"/>
      <c r="U30" s="26"/>
      <c r="V30" s="26"/>
      <c r="W30" s="27">
        <v>4</v>
      </c>
      <c r="X30" s="64" t="s">
        <v>432</v>
      </c>
      <c r="Z30" t="s">
        <v>307</v>
      </c>
      <c r="AB30" t="s">
        <v>178</v>
      </c>
      <c r="AC30" t="s">
        <v>329</v>
      </c>
      <c r="AD30" s="2" t="s">
        <v>180</v>
      </c>
    </row>
    <row r="31" spans="1:30" hidden="1" x14ac:dyDescent="0.25">
      <c r="A31" s="2">
        <v>4</v>
      </c>
      <c r="B31" t="s">
        <v>333</v>
      </c>
      <c r="C31">
        <v>12</v>
      </c>
      <c r="D31">
        <v>295</v>
      </c>
      <c r="E31">
        <v>300</v>
      </c>
      <c r="F31" t="s">
        <v>172</v>
      </c>
      <c r="G31" s="2" t="s">
        <v>156</v>
      </c>
      <c r="H31">
        <v>28</v>
      </c>
      <c r="I31">
        <v>196.38</v>
      </c>
      <c r="J31" s="2" t="s">
        <v>170</v>
      </c>
      <c r="K31" s="2" t="s">
        <v>74</v>
      </c>
      <c r="M31" t="s">
        <v>376</v>
      </c>
      <c r="O31" s="25"/>
      <c r="P31" s="26" t="s">
        <v>330</v>
      </c>
      <c r="Q31" s="26" t="s">
        <v>25</v>
      </c>
      <c r="R31" s="26" t="s">
        <v>138</v>
      </c>
      <c r="S31" s="26"/>
      <c r="T31" s="26"/>
      <c r="U31" s="26"/>
      <c r="V31" s="26"/>
      <c r="W31" s="27">
        <v>4</v>
      </c>
      <c r="X31" s="64" t="s">
        <v>432</v>
      </c>
      <c r="Z31" t="s">
        <v>307</v>
      </c>
      <c r="AB31" t="s">
        <v>178</v>
      </c>
      <c r="AC31" t="s">
        <v>329</v>
      </c>
      <c r="AD31" s="2" t="s">
        <v>180</v>
      </c>
    </row>
    <row r="32" spans="1:30" hidden="1" x14ac:dyDescent="0.25">
      <c r="A32" s="2">
        <v>5</v>
      </c>
      <c r="B32" t="s">
        <v>334</v>
      </c>
      <c r="C32">
        <v>12</v>
      </c>
      <c r="D32">
        <v>295</v>
      </c>
      <c r="E32">
        <v>300</v>
      </c>
      <c r="F32" t="s">
        <v>172</v>
      </c>
      <c r="G32" s="2" t="s">
        <v>156</v>
      </c>
      <c r="H32">
        <v>28</v>
      </c>
      <c r="I32">
        <v>196.38</v>
      </c>
      <c r="J32" s="2" t="s">
        <v>170</v>
      </c>
      <c r="K32" s="2" t="s">
        <v>74</v>
      </c>
      <c r="M32" t="s">
        <v>376</v>
      </c>
      <c r="O32" s="25"/>
      <c r="P32" s="26" t="s">
        <v>330</v>
      </c>
      <c r="Q32" s="26" t="s">
        <v>25</v>
      </c>
      <c r="R32" s="26" t="s">
        <v>138</v>
      </c>
      <c r="S32" s="26"/>
      <c r="T32" s="26"/>
      <c r="U32" s="26"/>
      <c r="V32" s="26"/>
      <c r="W32" s="27">
        <v>4</v>
      </c>
      <c r="X32" s="64" t="s">
        <v>432</v>
      </c>
      <c r="Z32" t="s">
        <v>307</v>
      </c>
      <c r="AB32" t="s">
        <v>178</v>
      </c>
      <c r="AC32" t="s">
        <v>335</v>
      </c>
      <c r="AD32" s="2" t="s">
        <v>180</v>
      </c>
    </row>
    <row r="33" spans="1:30" hidden="1" x14ac:dyDescent="0.25">
      <c r="A33" s="2">
        <v>6</v>
      </c>
      <c r="B33" t="s">
        <v>336</v>
      </c>
      <c r="C33">
        <v>12</v>
      </c>
      <c r="D33">
        <v>275</v>
      </c>
      <c r="E33">
        <v>300</v>
      </c>
      <c r="F33" t="s">
        <v>172</v>
      </c>
      <c r="G33" s="2" t="s">
        <v>156</v>
      </c>
      <c r="H33">
        <v>73</v>
      </c>
      <c r="I33">
        <v>490</v>
      </c>
      <c r="J33" s="2" t="s">
        <v>170</v>
      </c>
      <c r="K33" s="2" t="s">
        <v>74</v>
      </c>
      <c r="M33" t="s">
        <v>376</v>
      </c>
      <c r="O33" s="25"/>
      <c r="P33" s="26" t="s">
        <v>330</v>
      </c>
      <c r="Q33" s="26" t="s">
        <v>25</v>
      </c>
      <c r="R33" s="26" t="s">
        <v>138</v>
      </c>
      <c r="S33" s="26"/>
      <c r="T33" s="26"/>
      <c r="U33" s="26"/>
      <c r="V33" s="26"/>
      <c r="W33" s="27">
        <v>4</v>
      </c>
      <c r="X33" s="64" t="s">
        <v>432</v>
      </c>
      <c r="Z33" t="s">
        <v>307</v>
      </c>
      <c r="AB33" t="s">
        <v>178</v>
      </c>
      <c r="AC33" t="s">
        <v>335</v>
      </c>
      <c r="AD33" s="2" t="s">
        <v>180</v>
      </c>
    </row>
    <row r="34" spans="1:30" hidden="1" x14ac:dyDescent="0.25">
      <c r="A34" s="2">
        <v>7</v>
      </c>
      <c r="B34" t="s">
        <v>337</v>
      </c>
      <c r="C34">
        <v>12</v>
      </c>
      <c r="D34">
        <v>295</v>
      </c>
      <c r="E34">
        <v>300</v>
      </c>
      <c r="F34" t="s">
        <v>172</v>
      </c>
      <c r="G34" s="2" t="s">
        <v>156</v>
      </c>
      <c r="H34">
        <v>28</v>
      </c>
      <c r="I34">
        <v>196.38</v>
      </c>
      <c r="J34" s="2" t="s">
        <v>170</v>
      </c>
      <c r="K34" s="2" t="s">
        <v>74</v>
      </c>
      <c r="M34" t="s">
        <v>376</v>
      </c>
      <c r="O34" s="25"/>
      <c r="P34" s="26" t="s">
        <v>330</v>
      </c>
      <c r="Q34" s="26" t="s">
        <v>25</v>
      </c>
      <c r="R34" s="26" t="s">
        <v>138</v>
      </c>
      <c r="S34" s="26"/>
      <c r="T34" s="26"/>
      <c r="U34" s="26"/>
      <c r="V34" s="26"/>
      <c r="W34" s="27">
        <v>4</v>
      </c>
      <c r="X34" s="64" t="s">
        <v>432</v>
      </c>
      <c r="Z34" t="s">
        <v>307</v>
      </c>
      <c r="AB34" t="s">
        <v>178</v>
      </c>
      <c r="AC34" t="s">
        <v>335</v>
      </c>
      <c r="AD34" s="2" t="s">
        <v>180</v>
      </c>
    </row>
    <row r="35" spans="1:30" hidden="1" x14ac:dyDescent="0.25">
      <c r="A35" s="2">
        <v>8</v>
      </c>
      <c r="B35" t="s">
        <v>338</v>
      </c>
      <c r="C35">
        <v>12</v>
      </c>
      <c r="D35">
        <v>75</v>
      </c>
      <c r="E35">
        <v>75</v>
      </c>
      <c r="F35" t="s">
        <v>172</v>
      </c>
      <c r="G35" s="2" t="s">
        <v>156</v>
      </c>
      <c r="H35">
        <v>4</v>
      </c>
      <c r="I35">
        <v>2.12</v>
      </c>
      <c r="J35" s="2" t="s">
        <v>170</v>
      </c>
      <c r="K35" s="2" t="s">
        <v>74</v>
      </c>
      <c r="M35" t="s">
        <v>376</v>
      </c>
      <c r="O35" s="25"/>
      <c r="P35" s="26" t="s">
        <v>330</v>
      </c>
      <c r="Q35" s="26" t="s">
        <v>25</v>
      </c>
      <c r="R35" s="26" t="s">
        <v>138</v>
      </c>
      <c r="S35" s="26"/>
      <c r="T35" s="26"/>
      <c r="U35" s="26"/>
      <c r="V35" s="26"/>
      <c r="W35" s="27">
        <v>4</v>
      </c>
      <c r="X35" s="64" t="s">
        <v>432</v>
      </c>
      <c r="Z35" t="s">
        <v>307</v>
      </c>
      <c r="AB35" t="s">
        <v>178</v>
      </c>
      <c r="AC35" t="s">
        <v>335</v>
      </c>
      <c r="AD35" s="2" t="s">
        <v>180</v>
      </c>
    </row>
    <row r="36" spans="1:30" hidden="1" x14ac:dyDescent="0.25">
      <c r="A36" s="2">
        <v>9</v>
      </c>
      <c r="B36" t="s">
        <v>339</v>
      </c>
      <c r="C36">
        <v>12</v>
      </c>
      <c r="D36">
        <v>275</v>
      </c>
      <c r="E36">
        <v>300</v>
      </c>
      <c r="F36" t="s">
        <v>172</v>
      </c>
      <c r="G36" s="2" t="s">
        <v>156</v>
      </c>
      <c r="H36">
        <v>80</v>
      </c>
      <c r="I36">
        <v>536.98</v>
      </c>
      <c r="J36" s="2" t="s">
        <v>170</v>
      </c>
      <c r="K36" s="2" t="s">
        <v>74</v>
      </c>
      <c r="M36" t="s">
        <v>376</v>
      </c>
      <c r="O36" s="25"/>
      <c r="P36" s="26" t="s">
        <v>330</v>
      </c>
      <c r="Q36" s="26" t="s">
        <v>25</v>
      </c>
      <c r="R36" s="26" t="s">
        <v>138</v>
      </c>
      <c r="S36" s="26"/>
      <c r="T36" s="26"/>
      <c r="U36" s="26"/>
      <c r="V36" s="26"/>
      <c r="W36" s="27">
        <v>4</v>
      </c>
      <c r="X36" s="64" t="s">
        <v>432</v>
      </c>
      <c r="Z36" t="s">
        <v>307</v>
      </c>
      <c r="AB36" t="s">
        <v>178</v>
      </c>
      <c r="AC36" t="s">
        <v>340</v>
      </c>
      <c r="AD36" s="2" t="s">
        <v>180</v>
      </c>
    </row>
    <row r="37" spans="1:30" hidden="1" x14ac:dyDescent="0.25">
      <c r="A37" s="2">
        <v>10</v>
      </c>
      <c r="B37" t="s">
        <v>336</v>
      </c>
      <c r="C37">
        <v>12</v>
      </c>
      <c r="D37">
        <v>275</v>
      </c>
      <c r="E37">
        <v>300</v>
      </c>
      <c r="F37" t="s">
        <v>172</v>
      </c>
      <c r="G37" s="2" t="s">
        <v>156</v>
      </c>
      <c r="H37">
        <v>7</v>
      </c>
      <c r="I37">
        <v>46.99</v>
      </c>
      <c r="J37" s="2" t="s">
        <v>170</v>
      </c>
      <c r="K37" s="2" t="s">
        <v>74</v>
      </c>
      <c r="M37" t="s">
        <v>376</v>
      </c>
      <c r="O37" s="25"/>
      <c r="P37" s="26" t="s">
        <v>330</v>
      </c>
      <c r="Q37" s="26" t="s">
        <v>25</v>
      </c>
      <c r="R37" s="26" t="s">
        <v>138</v>
      </c>
      <c r="S37" s="26"/>
      <c r="T37" s="26"/>
      <c r="U37" s="26"/>
      <c r="V37" s="26"/>
      <c r="W37" s="27">
        <v>4</v>
      </c>
      <c r="X37" s="64" t="s">
        <v>432</v>
      </c>
      <c r="Z37" t="s">
        <v>307</v>
      </c>
      <c r="AB37" t="s">
        <v>178</v>
      </c>
      <c r="AC37" t="s">
        <v>340</v>
      </c>
      <c r="AD37" s="2" t="s">
        <v>180</v>
      </c>
    </row>
    <row r="38" spans="1:30" hidden="1" x14ac:dyDescent="0.25">
      <c r="A38" s="2">
        <v>11</v>
      </c>
      <c r="B38" t="s">
        <v>341</v>
      </c>
      <c r="C38">
        <v>20</v>
      </c>
      <c r="D38">
        <v>30</v>
      </c>
      <c r="E38">
        <v>30</v>
      </c>
      <c r="F38" t="s">
        <v>172</v>
      </c>
      <c r="G38" s="2" t="s">
        <v>156</v>
      </c>
      <c r="H38">
        <v>8</v>
      </c>
      <c r="I38">
        <v>1.06</v>
      </c>
      <c r="J38" s="2" t="s">
        <v>170</v>
      </c>
      <c r="K38" s="2" t="s">
        <v>74</v>
      </c>
      <c r="M38" t="s">
        <v>376</v>
      </c>
      <c r="O38" s="25" t="s">
        <v>176</v>
      </c>
      <c r="P38" s="26" t="s">
        <v>330</v>
      </c>
      <c r="Q38" s="26" t="s">
        <v>26</v>
      </c>
      <c r="R38" s="26" t="s">
        <v>138</v>
      </c>
      <c r="S38" s="26"/>
      <c r="T38" s="26"/>
      <c r="U38" s="26"/>
      <c r="V38" s="26"/>
      <c r="W38" s="27">
        <v>4</v>
      </c>
      <c r="X38" s="64" t="s">
        <v>432</v>
      </c>
      <c r="Z38" t="s">
        <v>307</v>
      </c>
      <c r="AB38" t="s">
        <v>178</v>
      </c>
      <c r="AC38" t="s">
        <v>342</v>
      </c>
      <c r="AD38" s="2" t="s">
        <v>180</v>
      </c>
    </row>
    <row r="39" spans="1:30" hidden="1" x14ac:dyDescent="0.25">
      <c r="A39" s="2">
        <v>12</v>
      </c>
      <c r="B39" t="s">
        <v>343</v>
      </c>
      <c r="C39">
        <v>20</v>
      </c>
      <c r="D39">
        <v>30</v>
      </c>
      <c r="E39">
        <v>30</v>
      </c>
      <c r="F39" t="s">
        <v>172</v>
      </c>
      <c r="G39" s="2" t="s">
        <v>156</v>
      </c>
      <c r="H39">
        <v>8</v>
      </c>
      <c r="I39">
        <v>1.06</v>
      </c>
      <c r="J39" s="2" t="s">
        <v>170</v>
      </c>
      <c r="K39" s="2" t="s">
        <v>74</v>
      </c>
      <c r="M39" t="s">
        <v>376</v>
      </c>
      <c r="O39" s="25" t="s">
        <v>176</v>
      </c>
      <c r="P39" s="26" t="s">
        <v>330</v>
      </c>
      <c r="Q39" s="26" t="s">
        <v>26</v>
      </c>
      <c r="R39" s="26" t="s">
        <v>138</v>
      </c>
      <c r="S39" s="26"/>
      <c r="T39" s="26"/>
      <c r="U39" s="26"/>
      <c r="V39" s="26"/>
      <c r="W39" s="27">
        <v>4</v>
      </c>
      <c r="X39" s="64" t="s">
        <v>432</v>
      </c>
      <c r="Z39" t="s">
        <v>307</v>
      </c>
      <c r="AB39" t="s">
        <v>178</v>
      </c>
      <c r="AC39" t="s">
        <v>342</v>
      </c>
      <c r="AD39" s="2" t="s">
        <v>180</v>
      </c>
    </row>
    <row r="40" spans="1:30" hidden="1" x14ac:dyDescent="0.25">
      <c r="A40" s="2">
        <v>13</v>
      </c>
      <c r="B40" t="s">
        <v>344</v>
      </c>
      <c r="C40">
        <v>20</v>
      </c>
      <c r="D40">
        <v>250</v>
      </c>
      <c r="E40">
        <v>2658</v>
      </c>
      <c r="F40" t="s">
        <v>172</v>
      </c>
      <c r="G40" s="2" t="s">
        <v>156</v>
      </c>
      <c r="H40">
        <v>1</v>
      </c>
      <c r="I40">
        <v>104.28</v>
      </c>
      <c r="J40" s="2" t="s">
        <v>170</v>
      </c>
      <c r="K40" s="2" t="s">
        <v>74</v>
      </c>
      <c r="M40" t="s">
        <v>376</v>
      </c>
      <c r="O40" s="25"/>
      <c r="P40" s="26" t="s">
        <v>330</v>
      </c>
      <c r="Q40" s="26" t="s">
        <v>25</v>
      </c>
      <c r="R40" s="26" t="s">
        <v>138</v>
      </c>
      <c r="S40" s="26"/>
      <c r="T40" s="26"/>
      <c r="U40" s="26"/>
      <c r="V40" s="26"/>
      <c r="W40" s="27">
        <v>4</v>
      </c>
      <c r="X40" s="64" t="s">
        <v>432</v>
      </c>
      <c r="Z40" t="s">
        <v>307</v>
      </c>
      <c r="AB40" t="s">
        <v>178</v>
      </c>
      <c r="AC40" t="s">
        <v>342</v>
      </c>
      <c r="AD40" s="2" t="s">
        <v>180</v>
      </c>
    </row>
    <row r="41" spans="1:30" hidden="1" x14ac:dyDescent="0.25">
      <c r="A41" s="2">
        <v>14</v>
      </c>
      <c r="B41" t="s">
        <v>345</v>
      </c>
      <c r="C41">
        <v>20</v>
      </c>
      <c r="D41">
        <v>250</v>
      </c>
      <c r="E41">
        <v>2638</v>
      </c>
      <c r="F41" t="s">
        <v>172</v>
      </c>
      <c r="G41" s="2" t="s">
        <v>156</v>
      </c>
      <c r="H41">
        <v>10</v>
      </c>
      <c r="I41">
        <v>1034.96</v>
      </c>
      <c r="J41" s="2" t="s">
        <v>170</v>
      </c>
      <c r="K41" s="2" t="s">
        <v>74</v>
      </c>
      <c r="M41" t="s">
        <v>376</v>
      </c>
      <c r="O41" s="25"/>
      <c r="P41" s="26" t="s">
        <v>330</v>
      </c>
      <c r="Q41" s="26" t="s">
        <v>25</v>
      </c>
      <c r="R41" s="26" t="s">
        <v>138</v>
      </c>
      <c r="S41" s="26"/>
      <c r="T41" s="26"/>
      <c r="U41" s="26"/>
      <c r="V41" s="26"/>
      <c r="W41" s="27">
        <v>4</v>
      </c>
      <c r="X41" s="64" t="s">
        <v>432</v>
      </c>
      <c r="Z41" t="s">
        <v>307</v>
      </c>
      <c r="AB41" t="s">
        <v>178</v>
      </c>
      <c r="AC41" t="s">
        <v>342</v>
      </c>
      <c r="AD41" s="2" t="s">
        <v>180</v>
      </c>
    </row>
    <row r="42" spans="1:30" hidden="1" x14ac:dyDescent="0.25">
      <c r="A42" s="2">
        <v>15</v>
      </c>
      <c r="B42" t="s">
        <v>346</v>
      </c>
      <c r="C42">
        <v>20</v>
      </c>
      <c r="D42">
        <v>250</v>
      </c>
      <c r="E42">
        <v>1218</v>
      </c>
      <c r="F42" t="s">
        <v>172</v>
      </c>
      <c r="G42" s="2" t="s">
        <v>156</v>
      </c>
      <c r="H42">
        <v>2</v>
      </c>
      <c r="I42">
        <v>95.53</v>
      </c>
      <c r="J42" s="2" t="s">
        <v>170</v>
      </c>
      <c r="K42" s="2" t="s">
        <v>74</v>
      </c>
      <c r="M42" t="s">
        <v>376</v>
      </c>
      <c r="O42" s="25"/>
      <c r="P42" s="26" t="s">
        <v>330</v>
      </c>
      <c r="Q42" s="26" t="s">
        <v>25</v>
      </c>
      <c r="R42" s="26" t="s">
        <v>138</v>
      </c>
      <c r="S42" s="26"/>
      <c r="T42" s="26"/>
      <c r="U42" s="26"/>
      <c r="V42" s="26"/>
      <c r="W42" s="27">
        <v>4</v>
      </c>
      <c r="X42" s="64" t="s">
        <v>432</v>
      </c>
      <c r="Z42" t="s">
        <v>307</v>
      </c>
      <c r="AB42" t="s">
        <v>178</v>
      </c>
      <c r="AC42" t="s">
        <v>342</v>
      </c>
      <c r="AD42" s="2" t="s">
        <v>180</v>
      </c>
    </row>
    <row r="43" spans="1:30" hidden="1" x14ac:dyDescent="0.25">
      <c r="A43" s="2">
        <v>16</v>
      </c>
      <c r="B43" t="s">
        <v>347</v>
      </c>
      <c r="C43">
        <v>20</v>
      </c>
      <c r="D43">
        <v>30</v>
      </c>
      <c r="E43">
        <v>30</v>
      </c>
      <c r="F43" t="s">
        <v>172</v>
      </c>
      <c r="G43" s="2" t="s">
        <v>156</v>
      </c>
      <c r="H43">
        <v>8</v>
      </c>
      <c r="I43">
        <v>1.06</v>
      </c>
      <c r="J43" s="2" t="s">
        <v>170</v>
      </c>
      <c r="K43" s="2" t="s">
        <v>74</v>
      </c>
      <c r="M43" t="s">
        <v>376</v>
      </c>
      <c r="O43" s="25" t="s">
        <v>176</v>
      </c>
      <c r="P43" s="26" t="s">
        <v>330</v>
      </c>
      <c r="Q43" s="26" t="s">
        <v>26</v>
      </c>
      <c r="R43" s="26" t="s">
        <v>138</v>
      </c>
      <c r="S43" s="26"/>
      <c r="T43" s="26"/>
      <c r="U43" s="26"/>
      <c r="V43" s="26"/>
      <c r="W43" s="27">
        <v>4</v>
      </c>
      <c r="X43" s="64" t="s">
        <v>432</v>
      </c>
      <c r="Z43" t="s">
        <v>307</v>
      </c>
      <c r="AB43" t="s">
        <v>178</v>
      </c>
      <c r="AC43" t="s">
        <v>342</v>
      </c>
      <c r="AD43" s="2" t="s">
        <v>180</v>
      </c>
    </row>
    <row r="44" spans="1:30" hidden="1" x14ac:dyDescent="0.25">
      <c r="A44" s="2">
        <v>17</v>
      </c>
      <c r="B44" t="s">
        <v>348</v>
      </c>
      <c r="C44">
        <v>20</v>
      </c>
      <c r="D44">
        <v>250</v>
      </c>
      <c r="E44">
        <v>2638</v>
      </c>
      <c r="F44" t="s">
        <v>172</v>
      </c>
      <c r="G44" s="2" t="s">
        <v>156</v>
      </c>
      <c r="H44">
        <v>1</v>
      </c>
      <c r="I44">
        <v>103.5</v>
      </c>
      <c r="J44" s="2" t="s">
        <v>170</v>
      </c>
      <c r="K44" s="2" t="s">
        <v>74</v>
      </c>
      <c r="M44" t="s">
        <v>376</v>
      </c>
      <c r="O44" s="25"/>
      <c r="P44" s="26" t="s">
        <v>330</v>
      </c>
      <c r="Q44" s="26" t="s">
        <v>25</v>
      </c>
      <c r="R44" s="26" t="s">
        <v>138</v>
      </c>
      <c r="S44" s="26"/>
      <c r="T44" s="26"/>
      <c r="U44" s="26"/>
      <c r="V44" s="26"/>
      <c r="W44" s="27">
        <v>4</v>
      </c>
      <c r="X44" s="64" t="s">
        <v>432</v>
      </c>
      <c r="Z44" t="s">
        <v>307</v>
      </c>
      <c r="AB44" t="s">
        <v>178</v>
      </c>
      <c r="AC44" t="s">
        <v>342</v>
      </c>
      <c r="AD44" s="2" t="s">
        <v>180</v>
      </c>
    </row>
    <row r="45" spans="1:30" hidden="1" x14ac:dyDescent="0.25">
      <c r="A45" s="2">
        <v>18</v>
      </c>
      <c r="B45" t="s">
        <v>349</v>
      </c>
      <c r="C45">
        <v>25</v>
      </c>
      <c r="D45">
        <v>350</v>
      </c>
      <c r="E45">
        <v>1030</v>
      </c>
      <c r="F45" t="s">
        <v>172</v>
      </c>
      <c r="G45" s="2" t="s">
        <v>156</v>
      </c>
      <c r="H45">
        <v>2</v>
      </c>
      <c r="I45">
        <v>141.5</v>
      </c>
      <c r="J45" s="2" t="s">
        <v>170</v>
      </c>
      <c r="K45" s="2" t="s">
        <v>74</v>
      </c>
      <c r="M45" t="s">
        <v>376</v>
      </c>
      <c r="O45" s="25"/>
      <c r="P45" s="26" t="s">
        <v>330</v>
      </c>
      <c r="Q45" s="26" t="s">
        <v>26</v>
      </c>
      <c r="R45" s="26" t="s">
        <v>138</v>
      </c>
      <c r="S45" s="26"/>
      <c r="T45" s="26"/>
      <c r="U45" s="26"/>
      <c r="V45" s="26"/>
      <c r="W45" s="27">
        <v>4</v>
      </c>
      <c r="X45" s="64" t="s">
        <v>432</v>
      </c>
      <c r="Z45" t="s">
        <v>434</v>
      </c>
      <c r="AB45" t="s">
        <v>178</v>
      </c>
      <c r="AC45" t="s">
        <v>350</v>
      </c>
      <c r="AD45" s="2" t="s">
        <v>180</v>
      </c>
    </row>
    <row r="46" spans="1:30" hidden="1" x14ac:dyDescent="0.25">
      <c r="A46" s="2">
        <v>19</v>
      </c>
      <c r="B46" t="s">
        <v>351</v>
      </c>
      <c r="C46">
        <v>25</v>
      </c>
      <c r="D46">
        <v>65</v>
      </c>
      <c r="E46">
        <v>346</v>
      </c>
      <c r="F46" t="s">
        <v>172</v>
      </c>
      <c r="G46" s="2" t="s">
        <v>156</v>
      </c>
      <c r="H46">
        <v>4</v>
      </c>
      <c r="I46">
        <v>17.52</v>
      </c>
      <c r="J46" s="2" t="s">
        <v>170</v>
      </c>
      <c r="K46" s="2" t="s">
        <v>74</v>
      </c>
      <c r="M46" t="s">
        <v>376</v>
      </c>
      <c r="O46" s="25"/>
      <c r="P46" s="26" t="s">
        <v>330</v>
      </c>
      <c r="Q46" s="26" t="s">
        <v>25</v>
      </c>
      <c r="R46" s="26" t="s">
        <v>138</v>
      </c>
      <c r="S46" s="26"/>
      <c r="T46" s="26"/>
      <c r="U46" s="26"/>
      <c r="V46" s="26"/>
      <c r="W46" s="27">
        <v>4</v>
      </c>
      <c r="X46" s="64" t="s">
        <v>432</v>
      </c>
      <c r="Z46" t="s">
        <v>434</v>
      </c>
      <c r="AB46" t="s">
        <v>178</v>
      </c>
      <c r="AC46" t="s">
        <v>350</v>
      </c>
      <c r="AD46" s="2" t="s">
        <v>180</v>
      </c>
    </row>
    <row r="47" spans="1:30" hidden="1" x14ac:dyDescent="0.25">
      <c r="A47" s="2">
        <v>20</v>
      </c>
      <c r="B47" t="s">
        <v>352</v>
      </c>
      <c r="C47">
        <v>25</v>
      </c>
      <c r="D47">
        <v>65</v>
      </c>
      <c r="E47">
        <v>188</v>
      </c>
      <c r="F47" t="s">
        <v>172</v>
      </c>
      <c r="G47" s="2" t="s">
        <v>156</v>
      </c>
      <c r="H47">
        <v>4</v>
      </c>
      <c r="I47">
        <v>9.4600000000000009</v>
      </c>
      <c r="J47" s="2" t="s">
        <v>170</v>
      </c>
      <c r="K47" s="2" t="s">
        <v>74</v>
      </c>
      <c r="M47" t="s">
        <v>376</v>
      </c>
      <c r="O47" s="25"/>
      <c r="P47" s="26" t="s">
        <v>330</v>
      </c>
      <c r="Q47" s="26" t="s">
        <v>25</v>
      </c>
      <c r="R47" s="26" t="s">
        <v>138</v>
      </c>
      <c r="S47" s="26"/>
      <c r="T47" s="26"/>
      <c r="U47" s="26"/>
      <c r="V47" s="26"/>
      <c r="W47" s="27">
        <v>4</v>
      </c>
      <c r="X47" s="64" t="s">
        <v>432</v>
      </c>
      <c r="Z47" t="s">
        <v>434</v>
      </c>
      <c r="AB47" t="s">
        <v>178</v>
      </c>
      <c r="AC47" t="s">
        <v>350</v>
      </c>
      <c r="AD47" s="2" t="s">
        <v>180</v>
      </c>
    </row>
    <row r="48" spans="1:30" hidden="1" x14ac:dyDescent="0.25">
      <c r="A48" s="2">
        <v>21</v>
      </c>
      <c r="B48" t="s">
        <v>353</v>
      </c>
      <c r="C48">
        <v>25</v>
      </c>
      <c r="D48">
        <v>65</v>
      </c>
      <c r="E48">
        <v>346</v>
      </c>
      <c r="F48" t="s">
        <v>172</v>
      </c>
      <c r="G48" s="2" t="s">
        <v>156</v>
      </c>
      <c r="H48">
        <v>4</v>
      </c>
      <c r="I48">
        <v>10.95</v>
      </c>
      <c r="J48" s="2" t="s">
        <v>170</v>
      </c>
      <c r="K48" s="2" t="s">
        <v>74</v>
      </c>
      <c r="M48" t="s">
        <v>376</v>
      </c>
      <c r="O48" s="25"/>
      <c r="P48" s="26" t="s">
        <v>330</v>
      </c>
      <c r="Q48" s="26" t="s">
        <v>25</v>
      </c>
      <c r="R48" s="26" t="s">
        <v>138</v>
      </c>
      <c r="S48" s="26"/>
      <c r="T48" s="26"/>
      <c r="U48" s="26"/>
      <c r="V48" s="26"/>
      <c r="W48" s="27">
        <v>4</v>
      </c>
      <c r="X48" s="64" t="s">
        <v>432</v>
      </c>
      <c r="Z48" t="s">
        <v>434</v>
      </c>
      <c r="AB48" t="s">
        <v>178</v>
      </c>
      <c r="AC48" t="s">
        <v>350</v>
      </c>
      <c r="AD48" s="2" t="s">
        <v>180</v>
      </c>
    </row>
    <row r="49" spans="1:30" hidden="1" x14ac:dyDescent="0.25">
      <c r="A49" s="2">
        <v>22</v>
      </c>
      <c r="B49" t="s">
        <v>354</v>
      </c>
      <c r="C49">
        <v>25</v>
      </c>
      <c r="D49">
        <v>350</v>
      </c>
      <c r="E49">
        <v>1030</v>
      </c>
      <c r="F49" t="s">
        <v>172</v>
      </c>
      <c r="G49" s="2" t="s">
        <v>156</v>
      </c>
      <c r="H49">
        <v>2</v>
      </c>
      <c r="I49">
        <v>141.5</v>
      </c>
      <c r="J49" s="2" t="s">
        <v>170</v>
      </c>
      <c r="K49" s="2" t="s">
        <v>74</v>
      </c>
      <c r="M49" t="s">
        <v>376</v>
      </c>
      <c r="O49" s="25"/>
      <c r="P49" s="26" t="s">
        <v>330</v>
      </c>
      <c r="Q49" s="26" t="s">
        <v>26</v>
      </c>
      <c r="R49" s="26" t="s">
        <v>138</v>
      </c>
      <c r="S49" s="26"/>
      <c r="T49" s="26"/>
      <c r="U49" s="26"/>
      <c r="V49" s="26"/>
      <c r="W49" s="27">
        <v>4</v>
      </c>
      <c r="X49" s="64" t="s">
        <v>432</v>
      </c>
      <c r="Z49" t="s">
        <v>434</v>
      </c>
      <c r="AB49" t="s">
        <v>178</v>
      </c>
      <c r="AC49" t="s">
        <v>350</v>
      </c>
      <c r="AD49" s="2" t="s">
        <v>180</v>
      </c>
    </row>
    <row r="50" spans="1:30" hidden="1" x14ac:dyDescent="0.25">
      <c r="A50" s="2">
        <v>23</v>
      </c>
      <c r="B50" t="s">
        <v>355</v>
      </c>
      <c r="C50">
        <v>25</v>
      </c>
      <c r="D50">
        <v>65</v>
      </c>
      <c r="E50">
        <v>346</v>
      </c>
      <c r="F50" t="s">
        <v>172</v>
      </c>
      <c r="G50" s="2" t="s">
        <v>156</v>
      </c>
      <c r="H50">
        <v>4</v>
      </c>
      <c r="I50">
        <v>17.52</v>
      </c>
      <c r="J50" s="2" t="s">
        <v>170</v>
      </c>
      <c r="K50" s="2" t="s">
        <v>74</v>
      </c>
      <c r="M50" t="s">
        <v>376</v>
      </c>
      <c r="O50" s="25"/>
      <c r="P50" s="26" t="s">
        <v>330</v>
      </c>
      <c r="Q50" s="26" t="s">
        <v>25</v>
      </c>
      <c r="R50" s="26" t="s">
        <v>138</v>
      </c>
      <c r="S50" s="26"/>
      <c r="T50" s="26"/>
      <c r="U50" s="26"/>
      <c r="V50" s="26"/>
      <c r="W50" s="27">
        <v>4</v>
      </c>
      <c r="X50" s="64" t="s">
        <v>432</v>
      </c>
      <c r="Z50" t="s">
        <v>434</v>
      </c>
      <c r="AB50" t="s">
        <v>178</v>
      </c>
      <c r="AC50" t="s">
        <v>350</v>
      </c>
      <c r="AD50" s="2" t="s">
        <v>180</v>
      </c>
    </row>
    <row r="51" spans="1:30" hidden="1" x14ac:dyDescent="0.25">
      <c r="A51" s="2">
        <v>24</v>
      </c>
      <c r="B51" t="s">
        <v>356</v>
      </c>
      <c r="C51">
        <v>25</v>
      </c>
      <c r="D51">
        <v>65</v>
      </c>
      <c r="E51">
        <v>188</v>
      </c>
      <c r="F51" t="s">
        <v>172</v>
      </c>
      <c r="G51" s="2" t="s">
        <v>156</v>
      </c>
      <c r="H51">
        <v>4</v>
      </c>
      <c r="I51">
        <v>9.4600000000000009</v>
      </c>
      <c r="J51" s="2" t="s">
        <v>170</v>
      </c>
      <c r="K51" s="2" t="s">
        <v>74</v>
      </c>
      <c r="M51" t="s">
        <v>376</v>
      </c>
      <c r="O51" s="25"/>
      <c r="P51" s="26" t="s">
        <v>330</v>
      </c>
      <c r="Q51" s="26" t="s">
        <v>25</v>
      </c>
      <c r="R51" s="26" t="s">
        <v>138</v>
      </c>
      <c r="S51" s="26"/>
      <c r="T51" s="26"/>
      <c r="U51" s="26"/>
      <c r="V51" s="26"/>
      <c r="W51" s="27">
        <v>4</v>
      </c>
      <c r="X51" s="64" t="s">
        <v>432</v>
      </c>
      <c r="Z51" t="s">
        <v>434</v>
      </c>
      <c r="AB51" t="s">
        <v>178</v>
      </c>
      <c r="AC51" t="s">
        <v>350</v>
      </c>
      <c r="AD51" s="2" t="s">
        <v>180</v>
      </c>
    </row>
    <row r="52" spans="1:30" hidden="1" x14ac:dyDescent="0.25">
      <c r="A52" s="2">
        <v>25</v>
      </c>
      <c r="B52" t="s">
        <v>357</v>
      </c>
      <c r="C52">
        <v>25</v>
      </c>
      <c r="D52">
        <v>65</v>
      </c>
      <c r="E52">
        <v>346</v>
      </c>
      <c r="F52" t="s">
        <v>172</v>
      </c>
      <c r="G52" s="2" t="s">
        <v>156</v>
      </c>
      <c r="H52">
        <v>4</v>
      </c>
      <c r="I52">
        <v>10.95</v>
      </c>
      <c r="J52" s="2" t="s">
        <v>170</v>
      </c>
      <c r="K52" s="2" t="s">
        <v>74</v>
      </c>
      <c r="M52" t="s">
        <v>376</v>
      </c>
      <c r="O52" s="25"/>
      <c r="P52" s="26" t="s">
        <v>330</v>
      </c>
      <c r="Q52" s="26" t="s">
        <v>25</v>
      </c>
      <c r="R52" s="26" t="s">
        <v>138</v>
      </c>
      <c r="S52" s="26"/>
      <c r="T52" s="26"/>
      <c r="U52" s="26"/>
      <c r="V52" s="26"/>
      <c r="W52" s="27">
        <v>4</v>
      </c>
      <c r="X52" s="64" t="s">
        <v>432</v>
      </c>
      <c r="Z52" t="s">
        <v>434</v>
      </c>
      <c r="AB52" t="s">
        <v>178</v>
      </c>
      <c r="AC52" t="s">
        <v>350</v>
      </c>
      <c r="AD52" s="2" t="s">
        <v>180</v>
      </c>
    </row>
    <row r="53" spans="1:30" hidden="1" x14ac:dyDescent="0.25">
      <c r="A53" s="2">
        <v>26</v>
      </c>
      <c r="B53" t="s">
        <v>358</v>
      </c>
      <c r="C53">
        <v>25</v>
      </c>
      <c r="D53">
        <v>65</v>
      </c>
      <c r="E53">
        <v>188</v>
      </c>
      <c r="F53" t="s">
        <v>172</v>
      </c>
      <c r="G53" s="2" t="s">
        <v>156</v>
      </c>
      <c r="H53">
        <v>3</v>
      </c>
      <c r="I53">
        <v>7.1</v>
      </c>
      <c r="J53" s="2" t="s">
        <v>170</v>
      </c>
      <c r="K53" s="2" t="s">
        <v>74</v>
      </c>
      <c r="M53" t="s">
        <v>376</v>
      </c>
      <c r="O53" s="25"/>
      <c r="P53" s="26" t="s">
        <v>330</v>
      </c>
      <c r="Q53" s="26" t="s">
        <v>25</v>
      </c>
      <c r="R53" s="26" t="s">
        <v>138</v>
      </c>
      <c r="S53" s="26"/>
      <c r="T53" s="26"/>
      <c r="U53" s="26"/>
      <c r="V53" s="26"/>
      <c r="W53" s="27">
        <v>4</v>
      </c>
      <c r="X53" s="64" t="s">
        <v>432</v>
      </c>
      <c r="Z53" t="s">
        <v>434</v>
      </c>
      <c r="AB53" t="s">
        <v>178</v>
      </c>
      <c r="AC53" t="s">
        <v>350</v>
      </c>
      <c r="AD53" s="2" t="s">
        <v>180</v>
      </c>
    </row>
    <row r="54" spans="1:30" hidden="1" x14ac:dyDescent="0.25">
      <c r="A54" s="2">
        <v>27</v>
      </c>
      <c r="B54" t="s">
        <v>359</v>
      </c>
      <c r="C54">
        <v>25</v>
      </c>
      <c r="D54">
        <v>65</v>
      </c>
      <c r="E54">
        <v>346</v>
      </c>
      <c r="F54" t="s">
        <v>172</v>
      </c>
      <c r="G54" s="2" t="s">
        <v>156</v>
      </c>
      <c r="H54">
        <v>2</v>
      </c>
      <c r="I54">
        <v>5.48</v>
      </c>
      <c r="J54" s="2" t="s">
        <v>170</v>
      </c>
      <c r="K54" s="2" t="s">
        <v>74</v>
      </c>
      <c r="M54" t="s">
        <v>376</v>
      </c>
      <c r="O54" s="25"/>
      <c r="P54" s="26" t="s">
        <v>330</v>
      </c>
      <c r="Q54" s="26" t="s">
        <v>25</v>
      </c>
      <c r="R54" s="26" t="s">
        <v>138</v>
      </c>
      <c r="S54" s="26"/>
      <c r="T54" s="26"/>
      <c r="U54" s="26"/>
      <c r="V54" s="26"/>
      <c r="W54" s="27">
        <v>4</v>
      </c>
      <c r="X54" s="64" t="s">
        <v>432</v>
      </c>
      <c r="Z54" t="s">
        <v>434</v>
      </c>
      <c r="AB54" t="s">
        <v>178</v>
      </c>
      <c r="AC54" t="s">
        <v>350</v>
      </c>
      <c r="AD54" s="2" t="s">
        <v>180</v>
      </c>
    </row>
    <row r="55" spans="1:30" hidden="1" x14ac:dyDescent="0.25">
      <c r="A55" s="2">
        <v>28</v>
      </c>
      <c r="B55" t="s">
        <v>360</v>
      </c>
      <c r="C55">
        <v>50</v>
      </c>
      <c r="D55">
        <v>1130</v>
      </c>
      <c r="E55">
        <v>1990</v>
      </c>
      <c r="F55" t="s">
        <v>172</v>
      </c>
      <c r="G55" s="2" t="s">
        <v>156</v>
      </c>
      <c r="H55">
        <v>2</v>
      </c>
      <c r="I55">
        <v>1765.23</v>
      </c>
      <c r="J55" s="2" t="s">
        <v>170</v>
      </c>
      <c r="K55" s="2" t="s">
        <v>74</v>
      </c>
      <c r="M55" t="s">
        <v>376</v>
      </c>
      <c r="O55" s="25"/>
      <c r="P55" s="26" t="s">
        <v>330</v>
      </c>
      <c r="Q55" s="26" t="s">
        <v>26</v>
      </c>
      <c r="R55" s="26" t="s">
        <v>138</v>
      </c>
      <c r="S55" s="26"/>
      <c r="T55" s="26"/>
      <c r="U55" s="26"/>
      <c r="V55" s="26"/>
      <c r="W55" s="27">
        <v>4</v>
      </c>
      <c r="X55" s="64" t="s">
        <v>432</v>
      </c>
      <c r="Z55" t="s">
        <v>307</v>
      </c>
      <c r="AB55" t="s">
        <v>178</v>
      </c>
      <c r="AC55" t="s">
        <v>361</v>
      </c>
      <c r="AD55" s="2" t="s">
        <v>180</v>
      </c>
    </row>
    <row r="56" spans="1:30" hidden="1" x14ac:dyDescent="0.25">
      <c r="A56" s="2">
        <v>29</v>
      </c>
      <c r="B56" t="s">
        <v>362</v>
      </c>
      <c r="C56">
        <v>50</v>
      </c>
      <c r="D56">
        <v>1130</v>
      </c>
      <c r="E56">
        <v>1990</v>
      </c>
      <c r="F56" t="s">
        <v>172</v>
      </c>
      <c r="G56" s="2" t="s">
        <v>156</v>
      </c>
      <c r="H56">
        <v>2</v>
      </c>
      <c r="I56">
        <v>1765.23</v>
      </c>
      <c r="J56" s="2" t="s">
        <v>170</v>
      </c>
      <c r="K56" s="2" t="s">
        <v>74</v>
      </c>
      <c r="M56" t="s">
        <v>376</v>
      </c>
      <c r="O56" s="25"/>
      <c r="P56" s="26" t="s">
        <v>330</v>
      </c>
      <c r="Q56" s="26" t="s">
        <v>26</v>
      </c>
      <c r="R56" s="26" t="s">
        <v>138</v>
      </c>
      <c r="S56" s="26"/>
      <c r="T56" s="26"/>
      <c r="U56" s="26"/>
      <c r="V56" s="26"/>
      <c r="W56" s="27">
        <v>4</v>
      </c>
      <c r="X56" s="64" t="s">
        <v>432</v>
      </c>
      <c r="Z56" t="s">
        <v>307</v>
      </c>
      <c r="AB56" t="s">
        <v>178</v>
      </c>
      <c r="AC56" t="s">
        <v>361</v>
      </c>
      <c r="AD56" s="2" t="s">
        <v>180</v>
      </c>
    </row>
    <row r="57" spans="1:30" hidden="1" x14ac:dyDescent="0.25">
      <c r="A57" s="2">
        <v>30</v>
      </c>
      <c r="B57" t="s">
        <v>363</v>
      </c>
      <c r="C57">
        <v>50</v>
      </c>
      <c r="D57">
        <v>1160</v>
      </c>
      <c r="E57">
        <v>1940</v>
      </c>
      <c r="F57" t="s">
        <v>364</v>
      </c>
      <c r="G57" s="2" t="s">
        <v>156</v>
      </c>
      <c r="H57">
        <v>4</v>
      </c>
      <c r="I57">
        <v>2844.78</v>
      </c>
      <c r="J57" s="2" t="s">
        <v>170</v>
      </c>
      <c r="K57" s="2" t="s">
        <v>74</v>
      </c>
      <c r="M57" t="s">
        <v>376</v>
      </c>
      <c r="O57" s="25" t="s">
        <v>176</v>
      </c>
      <c r="P57" s="26" t="s">
        <v>330</v>
      </c>
      <c r="Q57" s="26" t="s">
        <v>26</v>
      </c>
      <c r="R57" s="26" t="s">
        <v>138</v>
      </c>
      <c r="S57" s="26"/>
      <c r="T57" s="26"/>
      <c r="U57" s="26"/>
      <c r="V57" s="26"/>
      <c r="W57" s="27">
        <v>4</v>
      </c>
      <c r="X57" s="64" t="s">
        <v>432</v>
      </c>
      <c r="Z57" t="s">
        <v>434</v>
      </c>
      <c r="AB57" t="s">
        <v>178</v>
      </c>
      <c r="AC57" t="s">
        <v>366</v>
      </c>
      <c r="AD57" s="2" t="s">
        <v>180</v>
      </c>
    </row>
    <row r="58" spans="1:30" hidden="1" x14ac:dyDescent="0.25">
      <c r="A58" s="2">
        <v>31</v>
      </c>
      <c r="B58" t="s">
        <v>367</v>
      </c>
      <c r="C58">
        <v>50</v>
      </c>
      <c r="D58">
        <v>1160</v>
      </c>
      <c r="E58">
        <v>1940</v>
      </c>
      <c r="F58" t="s">
        <v>364</v>
      </c>
      <c r="G58" s="2" t="s">
        <v>156</v>
      </c>
      <c r="H58">
        <v>1</v>
      </c>
      <c r="I58">
        <v>711.19</v>
      </c>
      <c r="J58" s="2" t="s">
        <v>170</v>
      </c>
      <c r="K58" s="2" t="s">
        <v>74</v>
      </c>
      <c r="M58" t="s">
        <v>376</v>
      </c>
      <c r="O58" s="25" t="s">
        <v>176</v>
      </c>
      <c r="P58" s="26" t="s">
        <v>330</v>
      </c>
      <c r="Q58" s="26" t="s">
        <v>26</v>
      </c>
      <c r="R58" s="26" t="s">
        <v>138</v>
      </c>
      <c r="S58" s="26"/>
      <c r="T58" s="26"/>
      <c r="U58" s="26"/>
      <c r="V58" s="26"/>
      <c r="W58" s="27">
        <v>4</v>
      </c>
      <c r="X58" s="64" t="s">
        <v>432</v>
      </c>
      <c r="Z58" t="s">
        <v>434</v>
      </c>
      <c r="AB58" t="s">
        <v>178</v>
      </c>
      <c r="AC58" t="s">
        <v>366</v>
      </c>
      <c r="AD58" s="2" t="s">
        <v>180</v>
      </c>
    </row>
    <row r="59" spans="1:30" hidden="1" x14ac:dyDescent="0.25">
      <c r="A59" s="2">
        <v>32</v>
      </c>
      <c r="B59" t="s">
        <v>368</v>
      </c>
      <c r="C59">
        <v>50</v>
      </c>
      <c r="D59">
        <v>150</v>
      </c>
      <c r="E59">
        <v>400</v>
      </c>
      <c r="F59" t="s">
        <v>364</v>
      </c>
      <c r="G59" s="2" t="s">
        <v>156</v>
      </c>
      <c r="H59">
        <v>5</v>
      </c>
      <c r="I59">
        <v>117.75</v>
      </c>
      <c r="J59" s="2" t="s">
        <v>170</v>
      </c>
      <c r="K59" s="2" t="s">
        <v>74</v>
      </c>
      <c r="M59" t="s">
        <v>376</v>
      </c>
      <c r="O59" s="25"/>
      <c r="P59" s="26" t="s">
        <v>330</v>
      </c>
      <c r="Q59" s="26"/>
      <c r="R59" s="26" t="s">
        <v>138</v>
      </c>
      <c r="S59" s="26"/>
      <c r="T59" s="26"/>
      <c r="U59" s="26"/>
      <c r="V59" s="26"/>
      <c r="W59" s="27">
        <v>4</v>
      </c>
      <c r="X59" s="64" t="s">
        <v>432</v>
      </c>
      <c r="Z59" t="s">
        <v>434</v>
      </c>
      <c r="AB59" t="s">
        <v>178</v>
      </c>
      <c r="AC59" t="s">
        <v>366</v>
      </c>
      <c r="AD59" s="2" t="s">
        <v>180</v>
      </c>
    </row>
    <row r="60" spans="1:30" hidden="1" x14ac:dyDescent="0.25">
      <c r="A60" s="2">
        <v>33</v>
      </c>
      <c r="B60" t="s">
        <v>370</v>
      </c>
      <c r="C60">
        <v>50</v>
      </c>
      <c r="D60">
        <v>1160</v>
      </c>
      <c r="E60">
        <v>1210</v>
      </c>
      <c r="F60" t="s">
        <v>172</v>
      </c>
      <c r="G60" s="2" t="s">
        <v>156</v>
      </c>
      <c r="H60">
        <v>4</v>
      </c>
      <c r="I60">
        <v>1678.13</v>
      </c>
      <c r="J60" s="2" t="s">
        <v>170</v>
      </c>
      <c r="K60" s="2" t="s">
        <v>74</v>
      </c>
      <c r="M60" t="s">
        <v>376</v>
      </c>
      <c r="O60" s="25" t="s">
        <v>176</v>
      </c>
      <c r="P60" s="26" t="s">
        <v>330</v>
      </c>
      <c r="Q60" s="26" t="s">
        <v>26</v>
      </c>
      <c r="R60" s="26" t="s">
        <v>138</v>
      </c>
      <c r="S60" s="26"/>
      <c r="T60" s="26"/>
      <c r="U60" s="26"/>
      <c r="V60" s="26"/>
      <c r="W60" s="27">
        <v>4</v>
      </c>
      <c r="X60" s="64" t="s">
        <v>432</v>
      </c>
      <c r="Z60" t="s">
        <v>307</v>
      </c>
      <c r="AB60" t="s">
        <v>178</v>
      </c>
      <c r="AC60" t="s">
        <v>371</v>
      </c>
      <c r="AD60" s="2" t="s">
        <v>180</v>
      </c>
    </row>
    <row r="61" spans="1:30" hidden="1" x14ac:dyDescent="0.25">
      <c r="A61" s="2">
        <v>34</v>
      </c>
      <c r="B61" t="s">
        <v>372</v>
      </c>
      <c r="C61">
        <v>50</v>
      </c>
      <c r="D61">
        <v>1160</v>
      </c>
      <c r="E61">
        <v>1210</v>
      </c>
      <c r="F61" t="s">
        <v>172</v>
      </c>
      <c r="G61" s="2" t="s">
        <v>156</v>
      </c>
      <c r="H61">
        <v>4</v>
      </c>
      <c r="I61">
        <v>1678.13</v>
      </c>
      <c r="J61" s="2" t="s">
        <v>170</v>
      </c>
      <c r="K61" s="2" t="s">
        <v>74</v>
      </c>
      <c r="M61" t="s">
        <v>376</v>
      </c>
      <c r="O61" s="25" t="s">
        <v>176</v>
      </c>
      <c r="P61" s="26" t="s">
        <v>330</v>
      </c>
      <c r="Q61" s="26" t="s">
        <v>26</v>
      </c>
      <c r="R61" s="26" t="s">
        <v>138</v>
      </c>
      <c r="S61" s="26"/>
      <c r="T61" s="26"/>
      <c r="U61" s="26"/>
      <c r="V61" s="26"/>
      <c r="W61" s="27">
        <v>4</v>
      </c>
      <c r="X61" s="64" t="s">
        <v>432</v>
      </c>
      <c r="Z61" t="s">
        <v>307</v>
      </c>
      <c r="AB61" t="s">
        <v>178</v>
      </c>
      <c r="AC61" t="s">
        <v>371</v>
      </c>
      <c r="AD61" s="2" t="s">
        <v>180</v>
      </c>
    </row>
    <row r="62" spans="1:30" hidden="1" x14ac:dyDescent="0.25">
      <c r="A62" s="2">
        <v>35</v>
      </c>
      <c r="B62" t="s">
        <v>368</v>
      </c>
      <c r="C62">
        <v>50</v>
      </c>
      <c r="D62">
        <v>150</v>
      </c>
      <c r="E62">
        <v>400</v>
      </c>
      <c r="F62" t="s">
        <v>172</v>
      </c>
      <c r="G62" s="2" t="s">
        <v>156</v>
      </c>
      <c r="H62">
        <v>10</v>
      </c>
      <c r="I62">
        <v>235.5</v>
      </c>
      <c r="J62" s="2" t="s">
        <v>170</v>
      </c>
      <c r="K62" s="2" t="s">
        <v>74</v>
      </c>
      <c r="M62" t="s">
        <v>376</v>
      </c>
      <c r="O62" s="25"/>
      <c r="P62" s="26" t="s">
        <v>330</v>
      </c>
      <c r="Q62" s="26"/>
      <c r="R62" s="26" t="s">
        <v>138</v>
      </c>
      <c r="S62" s="26"/>
      <c r="T62" s="26"/>
      <c r="U62" s="26"/>
      <c r="V62" s="26"/>
      <c r="W62" s="27">
        <v>4</v>
      </c>
      <c r="X62" s="64" t="s">
        <v>432</v>
      </c>
      <c r="Z62" t="s">
        <v>307</v>
      </c>
      <c r="AB62" t="s">
        <v>178</v>
      </c>
      <c r="AC62" t="s">
        <v>371</v>
      </c>
      <c r="AD62" s="2" t="s">
        <v>180</v>
      </c>
    </row>
    <row r="63" spans="1:30" hidden="1" x14ac:dyDescent="0.25">
      <c r="A63" s="2">
        <v>36</v>
      </c>
      <c r="B63" t="s">
        <v>373</v>
      </c>
      <c r="C63">
        <v>50</v>
      </c>
      <c r="D63">
        <v>964</v>
      </c>
      <c r="E63">
        <v>2638</v>
      </c>
      <c r="F63" t="s">
        <v>172</v>
      </c>
      <c r="G63" s="2" t="s">
        <v>156</v>
      </c>
      <c r="H63">
        <v>4</v>
      </c>
      <c r="I63">
        <v>2851.27</v>
      </c>
      <c r="J63" s="2" t="s">
        <v>170</v>
      </c>
      <c r="K63" s="2" t="s">
        <v>74</v>
      </c>
      <c r="M63" t="s">
        <v>376</v>
      </c>
      <c r="O63" s="25" t="s">
        <v>176</v>
      </c>
      <c r="P63" s="26" t="s">
        <v>330</v>
      </c>
      <c r="Q63" s="26" t="s">
        <v>26</v>
      </c>
      <c r="R63" s="26" t="s">
        <v>138</v>
      </c>
      <c r="S63" s="26"/>
      <c r="T63" s="26"/>
      <c r="U63" s="26"/>
      <c r="V63" s="26"/>
      <c r="W63" s="27">
        <v>4</v>
      </c>
      <c r="X63" s="64" t="s">
        <v>432</v>
      </c>
      <c r="Z63" t="s">
        <v>307</v>
      </c>
      <c r="AB63" t="s">
        <v>178</v>
      </c>
      <c r="AC63" t="s">
        <v>374</v>
      </c>
      <c r="AD63" s="2" t="s">
        <v>180</v>
      </c>
    </row>
    <row r="64" spans="1:30" hidden="1" x14ac:dyDescent="0.25">
      <c r="A64" s="2">
        <v>37</v>
      </c>
      <c r="B64" t="s">
        <v>375</v>
      </c>
      <c r="C64">
        <v>50</v>
      </c>
      <c r="D64">
        <v>964</v>
      </c>
      <c r="E64">
        <v>2638</v>
      </c>
      <c r="F64" t="s">
        <v>172</v>
      </c>
      <c r="G64" s="2" t="s">
        <v>156</v>
      </c>
      <c r="H64">
        <v>3</v>
      </c>
      <c r="I64">
        <v>2138.4499999999998</v>
      </c>
      <c r="J64" s="2" t="s">
        <v>170</v>
      </c>
      <c r="K64" s="2" t="s">
        <v>74</v>
      </c>
      <c r="M64" t="s">
        <v>376</v>
      </c>
      <c r="O64" s="25" t="s">
        <v>176</v>
      </c>
      <c r="P64" s="26" t="s">
        <v>330</v>
      </c>
      <c r="Q64" s="26" t="s">
        <v>26</v>
      </c>
      <c r="R64" s="26" t="s">
        <v>138</v>
      </c>
      <c r="S64" s="26"/>
      <c r="T64" s="26"/>
      <c r="U64" s="26"/>
      <c r="V64" s="26"/>
      <c r="W64" s="27">
        <v>4</v>
      </c>
      <c r="X64" s="64" t="s">
        <v>432</v>
      </c>
      <c r="Z64" t="s">
        <v>307</v>
      </c>
      <c r="AB64" t="s">
        <v>178</v>
      </c>
      <c r="AC64" t="s">
        <v>374</v>
      </c>
      <c r="AD64" s="2" t="s">
        <v>180</v>
      </c>
    </row>
    <row r="65" spans="1:30" hidden="1" x14ac:dyDescent="0.25">
      <c r="A65" s="2">
        <v>1</v>
      </c>
      <c r="B65" t="s">
        <v>377</v>
      </c>
      <c r="C65">
        <v>10</v>
      </c>
      <c r="D65">
        <v>150</v>
      </c>
      <c r="E65">
        <v>400</v>
      </c>
      <c r="F65" t="s">
        <v>378</v>
      </c>
      <c r="G65" s="2" t="s">
        <v>156</v>
      </c>
      <c r="H65">
        <v>6</v>
      </c>
      <c r="I65">
        <v>28.17</v>
      </c>
      <c r="J65" s="2" t="s">
        <v>170</v>
      </c>
      <c r="K65" s="2" t="s">
        <v>74</v>
      </c>
      <c r="M65" t="s">
        <v>403</v>
      </c>
      <c r="O65" s="25"/>
      <c r="P65" s="26" t="s">
        <v>383</v>
      </c>
      <c r="Q65" s="26" t="s">
        <v>25</v>
      </c>
      <c r="R65" s="26"/>
      <c r="S65" s="26" t="s">
        <v>138</v>
      </c>
      <c r="T65" s="26"/>
      <c r="U65" s="26"/>
      <c r="V65" s="26"/>
      <c r="W65" s="27">
        <v>5</v>
      </c>
      <c r="X65" s="64" t="s">
        <v>382</v>
      </c>
      <c r="Z65" t="s">
        <v>307</v>
      </c>
      <c r="AB65" t="s">
        <v>178</v>
      </c>
      <c r="AC65" t="s">
        <v>381</v>
      </c>
      <c r="AD65" s="2" t="s">
        <v>384</v>
      </c>
    </row>
    <row r="66" spans="1:30" hidden="1" x14ac:dyDescent="0.25">
      <c r="A66" s="2">
        <v>2</v>
      </c>
      <c r="B66" t="s">
        <v>385</v>
      </c>
      <c r="C66">
        <v>20</v>
      </c>
      <c r="D66">
        <v>50</v>
      </c>
      <c r="E66">
        <v>300</v>
      </c>
      <c r="F66" t="s">
        <v>115</v>
      </c>
      <c r="G66" s="2" t="s">
        <v>156</v>
      </c>
      <c r="H66">
        <v>10</v>
      </c>
      <c r="I66">
        <v>21.56</v>
      </c>
      <c r="J66" s="2" t="s">
        <v>170</v>
      </c>
      <c r="K66" s="2" t="s">
        <v>74</v>
      </c>
      <c r="M66" t="s">
        <v>403</v>
      </c>
      <c r="O66" s="25"/>
      <c r="P66" s="26" t="s">
        <v>383</v>
      </c>
      <c r="Q66" s="26" t="s">
        <v>25</v>
      </c>
      <c r="R66" s="26"/>
      <c r="S66" s="26" t="s">
        <v>138</v>
      </c>
      <c r="T66" s="26"/>
      <c r="U66" s="26"/>
      <c r="V66" s="26"/>
      <c r="W66" s="27">
        <v>5</v>
      </c>
      <c r="X66" s="64" t="s">
        <v>382</v>
      </c>
      <c r="Z66" t="s">
        <v>307</v>
      </c>
      <c r="AB66" t="s">
        <v>178</v>
      </c>
      <c r="AC66" t="s">
        <v>388</v>
      </c>
      <c r="AD66" s="2" t="s">
        <v>122</v>
      </c>
    </row>
    <row r="67" spans="1:30" hidden="1" x14ac:dyDescent="0.25">
      <c r="A67" s="2">
        <v>3</v>
      </c>
      <c r="B67" t="s">
        <v>389</v>
      </c>
      <c r="C67">
        <v>20</v>
      </c>
      <c r="D67">
        <v>50</v>
      </c>
      <c r="E67">
        <v>50</v>
      </c>
      <c r="F67" t="s">
        <v>115</v>
      </c>
      <c r="G67" s="2" t="s">
        <v>156</v>
      </c>
      <c r="H67">
        <v>20</v>
      </c>
      <c r="I67">
        <v>7.85</v>
      </c>
      <c r="J67" s="2" t="s">
        <v>170</v>
      </c>
      <c r="K67" s="2" t="s">
        <v>74</v>
      </c>
      <c r="M67" t="s">
        <v>403</v>
      </c>
      <c r="O67" s="25"/>
      <c r="P67" s="26" t="s">
        <v>383</v>
      </c>
      <c r="Q67" s="26" t="s">
        <v>25</v>
      </c>
      <c r="R67" s="26"/>
      <c r="S67" s="26" t="s">
        <v>138</v>
      </c>
      <c r="T67" s="26"/>
      <c r="U67" s="26"/>
      <c r="V67" s="26"/>
      <c r="W67" s="27">
        <v>5</v>
      </c>
      <c r="X67" s="64" t="s">
        <v>382</v>
      </c>
      <c r="Z67" t="s">
        <v>307</v>
      </c>
      <c r="AB67" t="s">
        <v>178</v>
      </c>
      <c r="AC67" t="s">
        <v>388</v>
      </c>
      <c r="AD67" s="2" t="s">
        <v>122</v>
      </c>
    </row>
    <row r="68" spans="1:30" hidden="1" x14ac:dyDescent="0.25">
      <c r="A68" s="2">
        <v>4</v>
      </c>
      <c r="B68" t="s">
        <v>391</v>
      </c>
      <c r="C68">
        <v>20</v>
      </c>
      <c r="D68">
        <v>50</v>
      </c>
      <c r="E68">
        <v>300</v>
      </c>
      <c r="F68" t="s">
        <v>115</v>
      </c>
      <c r="G68" s="2" t="s">
        <v>156</v>
      </c>
      <c r="H68">
        <v>45</v>
      </c>
      <c r="I68">
        <v>97.02</v>
      </c>
      <c r="J68" s="2" t="s">
        <v>170</v>
      </c>
      <c r="K68" s="2" t="s">
        <v>74</v>
      </c>
      <c r="M68" t="s">
        <v>403</v>
      </c>
      <c r="O68" s="25"/>
      <c r="P68" s="26" t="s">
        <v>383</v>
      </c>
      <c r="Q68" s="26" t="s">
        <v>25</v>
      </c>
      <c r="R68" s="26"/>
      <c r="S68" s="26" t="s">
        <v>138</v>
      </c>
      <c r="T68" s="26"/>
      <c r="U68" s="26"/>
      <c r="V68" s="26"/>
      <c r="W68" s="27">
        <v>5</v>
      </c>
      <c r="X68" s="64" t="s">
        <v>382</v>
      </c>
      <c r="Z68" t="s">
        <v>307</v>
      </c>
      <c r="AB68" t="s">
        <v>178</v>
      </c>
      <c r="AC68" t="s">
        <v>388</v>
      </c>
      <c r="AD68" s="2" t="s">
        <v>122</v>
      </c>
    </row>
    <row r="69" spans="1:30" hidden="1" x14ac:dyDescent="0.25">
      <c r="A69" s="2">
        <v>5</v>
      </c>
      <c r="B69" t="s">
        <v>392</v>
      </c>
      <c r="C69">
        <v>20</v>
      </c>
      <c r="D69">
        <v>50</v>
      </c>
      <c r="E69">
        <v>50</v>
      </c>
      <c r="F69" t="s">
        <v>115</v>
      </c>
      <c r="G69" s="2" t="s">
        <v>156</v>
      </c>
      <c r="H69">
        <v>40</v>
      </c>
      <c r="I69">
        <v>15.7</v>
      </c>
      <c r="J69" s="2" t="s">
        <v>170</v>
      </c>
      <c r="K69" s="2" t="s">
        <v>74</v>
      </c>
      <c r="M69" t="s">
        <v>403</v>
      </c>
      <c r="O69" s="25"/>
      <c r="P69" s="26" t="s">
        <v>383</v>
      </c>
      <c r="Q69" s="26" t="s">
        <v>25</v>
      </c>
      <c r="R69" s="26"/>
      <c r="S69" s="26" t="s">
        <v>138</v>
      </c>
      <c r="T69" s="26"/>
      <c r="U69" s="26"/>
      <c r="V69" s="26"/>
      <c r="W69" s="27">
        <v>5</v>
      </c>
      <c r="X69" s="64" t="s">
        <v>382</v>
      </c>
      <c r="Z69" t="s">
        <v>307</v>
      </c>
      <c r="AB69" t="s">
        <v>178</v>
      </c>
      <c r="AC69" t="s">
        <v>388</v>
      </c>
      <c r="AD69" s="2" t="s">
        <v>122</v>
      </c>
    </row>
    <row r="70" spans="1:30" hidden="1" x14ac:dyDescent="0.25">
      <c r="A70" s="2">
        <v>6</v>
      </c>
      <c r="B70" s="86" t="s">
        <v>393</v>
      </c>
      <c r="C70" s="86">
        <v>25</v>
      </c>
      <c r="D70" s="86">
        <v>300</v>
      </c>
      <c r="E70" s="86">
        <v>1200</v>
      </c>
      <c r="F70" s="86" t="s">
        <v>172</v>
      </c>
      <c r="G70" s="86" t="s">
        <v>156</v>
      </c>
      <c r="H70" s="86">
        <v>2</v>
      </c>
      <c r="I70" s="86">
        <v>141.30000000000001</v>
      </c>
      <c r="J70" s="86" t="s">
        <v>170</v>
      </c>
      <c r="K70" s="86" t="s">
        <v>74</v>
      </c>
      <c r="L70" s="86"/>
      <c r="M70" s="86" t="s">
        <v>403</v>
      </c>
      <c r="N70" s="86"/>
      <c r="O70" s="89"/>
      <c r="P70" s="89" t="s">
        <v>383</v>
      </c>
      <c r="Q70" s="89" t="s">
        <v>25</v>
      </c>
      <c r="R70" s="89"/>
      <c r="S70" s="89" t="s">
        <v>138</v>
      </c>
      <c r="T70" s="89"/>
      <c r="U70" s="89"/>
      <c r="V70" s="89" t="s">
        <v>138</v>
      </c>
      <c r="W70" s="89">
        <v>5</v>
      </c>
      <c r="X70" s="90" t="s">
        <v>432</v>
      </c>
      <c r="Y70" s="86"/>
      <c r="Z70" s="86" t="s">
        <v>434</v>
      </c>
      <c r="AA70" s="86"/>
      <c r="AB70" s="86" t="s">
        <v>178</v>
      </c>
      <c r="AC70" s="86" t="s">
        <v>395</v>
      </c>
      <c r="AD70" s="86" t="s">
        <v>350</v>
      </c>
    </row>
    <row r="71" spans="1:30" hidden="1" x14ac:dyDescent="0.25">
      <c r="A71" s="2">
        <v>7</v>
      </c>
      <c r="B71" t="s">
        <v>396</v>
      </c>
      <c r="C71">
        <v>32</v>
      </c>
      <c r="D71">
        <v>150</v>
      </c>
      <c r="E71">
        <v>400</v>
      </c>
      <c r="F71" t="s">
        <v>273</v>
      </c>
      <c r="G71" s="2" t="s">
        <v>156</v>
      </c>
      <c r="H71">
        <v>8</v>
      </c>
      <c r="I71">
        <v>120.58</v>
      </c>
      <c r="J71" s="2" t="s">
        <v>170</v>
      </c>
      <c r="K71" s="2" t="s">
        <v>74</v>
      </c>
      <c r="M71" t="s">
        <v>403</v>
      </c>
      <c r="P71" s="19" t="s">
        <v>383</v>
      </c>
      <c r="Q71" s="19" t="s">
        <v>25</v>
      </c>
      <c r="R71" s="19" t="s">
        <v>138</v>
      </c>
      <c r="V71" s="19" t="s">
        <v>138</v>
      </c>
      <c r="W71" s="20">
        <v>5</v>
      </c>
      <c r="X71" s="65" t="s">
        <v>382</v>
      </c>
      <c r="Z71" t="s">
        <v>307</v>
      </c>
      <c r="AB71" t="s">
        <v>178</v>
      </c>
      <c r="AC71" t="s">
        <v>399</v>
      </c>
      <c r="AD71" s="2" t="s">
        <v>180</v>
      </c>
    </row>
    <row r="72" spans="1:30" hidden="1" x14ac:dyDescent="0.25">
      <c r="A72" s="2">
        <v>8</v>
      </c>
      <c r="B72" t="s">
        <v>400</v>
      </c>
      <c r="C72">
        <v>32</v>
      </c>
      <c r="D72">
        <v>300</v>
      </c>
      <c r="E72">
        <v>350</v>
      </c>
      <c r="F72" t="s">
        <v>273</v>
      </c>
      <c r="G72" s="2" t="s">
        <v>156</v>
      </c>
      <c r="H72">
        <v>8</v>
      </c>
      <c r="I72">
        <v>211.01</v>
      </c>
      <c r="J72" s="2" t="s">
        <v>170</v>
      </c>
      <c r="K72" s="2" t="s">
        <v>74</v>
      </c>
      <c r="M72" t="s">
        <v>403</v>
      </c>
      <c r="P72" s="19" t="s">
        <v>383</v>
      </c>
      <c r="Q72" s="19" t="s">
        <v>25</v>
      </c>
      <c r="R72" s="19" t="s">
        <v>138</v>
      </c>
      <c r="W72" s="20">
        <v>5</v>
      </c>
      <c r="X72" s="65" t="s">
        <v>382</v>
      </c>
      <c r="Z72" t="s">
        <v>307</v>
      </c>
      <c r="AB72" t="s">
        <v>178</v>
      </c>
      <c r="AC72" t="s">
        <v>399</v>
      </c>
      <c r="AD72" s="2" t="s">
        <v>180</v>
      </c>
    </row>
    <row r="73" spans="1:30" hidden="1" x14ac:dyDescent="0.25">
      <c r="A73" s="2">
        <v>1</v>
      </c>
      <c r="B73" t="s">
        <v>407</v>
      </c>
      <c r="C73">
        <v>12</v>
      </c>
      <c r="D73">
        <v>275</v>
      </c>
      <c r="E73">
        <v>300</v>
      </c>
      <c r="F73" t="s">
        <v>273</v>
      </c>
      <c r="G73" s="2" t="s">
        <v>156</v>
      </c>
      <c r="H73">
        <v>72</v>
      </c>
      <c r="I73">
        <v>483.28</v>
      </c>
      <c r="J73" s="2" t="s">
        <v>170</v>
      </c>
      <c r="K73" s="2" t="s">
        <v>74</v>
      </c>
      <c r="M73" t="s">
        <v>429</v>
      </c>
      <c r="P73" s="19" t="s">
        <v>409</v>
      </c>
      <c r="Q73" s="19" t="s">
        <v>25</v>
      </c>
      <c r="R73" s="19" t="s">
        <v>138</v>
      </c>
      <c r="W73" s="20">
        <v>6</v>
      </c>
      <c r="X73" s="65" t="s">
        <v>382</v>
      </c>
      <c r="Z73" t="s">
        <v>307</v>
      </c>
      <c r="AB73" t="s">
        <v>178</v>
      </c>
      <c r="AC73" t="s">
        <v>408</v>
      </c>
      <c r="AD73" s="2" t="s">
        <v>180</v>
      </c>
    </row>
    <row r="74" spans="1:30" hidden="1" x14ac:dyDescent="0.25">
      <c r="A74" s="2">
        <v>2</v>
      </c>
      <c r="B74" t="s">
        <v>410</v>
      </c>
      <c r="C74">
        <v>12</v>
      </c>
      <c r="D74">
        <v>295</v>
      </c>
      <c r="E74">
        <v>300</v>
      </c>
      <c r="F74" t="s">
        <v>273</v>
      </c>
      <c r="G74" s="2" t="s">
        <v>156</v>
      </c>
      <c r="H74">
        <v>28</v>
      </c>
      <c r="I74">
        <v>196.38</v>
      </c>
      <c r="J74" s="2" t="s">
        <v>170</v>
      </c>
      <c r="K74" s="2" t="s">
        <v>74</v>
      </c>
      <c r="M74" t="s">
        <v>429</v>
      </c>
      <c r="P74" s="19" t="s">
        <v>409</v>
      </c>
      <c r="Q74" s="19" t="s">
        <v>25</v>
      </c>
      <c r="R74" s="19" t="s">
        <v>138</v>
      </c>
      <c r="W74" s="20">
        <v>6</v>
      </c>
      <c r="X74" s="65" t="s">
        <v>382</v>
      </c>
      <c r="Z74" t="s">
        <v>307</v>
      </c>
      <c r="AB74" t="s">
        <v>178</v>
      </c>
      <c r="AC74" t="s">
        <v>408</v>
      </c>
      <c r="AD74" s="2" t="s">
        <v>180</v>
      </c>
    </row>
    <row r="75" spans="1:30" hidden="1" x14ac:dyDescent="0.25">
      <c r="A75" s="2">
        <v>3</v>
      </c>
      <c r="B75" t="s">
        <v>411</v>
      </c>
      <c r="C75">
        <v>12</v>
      </c>
      <c r="D75">
        <v>75</v>
      </c>
      <c r="E75">
        <v>75</v>
      </c>
      <c r="F75" t="s">
        <v>273</v>
      </c>
      <c r="G75" s="2" t="s">
        <v>156</v>
      </c>
      <c r="H75">
        <v>4</v>
      </c>
      <c r="I75">
        <v>2.12</v>
      </c>
      <c r="J75" s="2" t="s">
        <v>170</v>
      </c>
      <c r="K75" s="2" t="s">
        <v>74</v>
      </c>
      <c r="M75" t="s">
        <v>429</v>
      </c>
      <c r="P75" s="19" t="s">
        <v>409</v>
      </c>
      <c r="Q75" s="19" t="s">
        <v>25</v>
      </c>
      <c r="R75" s="19" t="s">
        <v>138</v>
      </c>
      <c r="W75" s="20">
        <v>6</v>
      </c>
      <c r="X75" s="65" t="s">
        <v>382</v>
      </c>
      <c r="Z75" t="s">
        <v>307</v>
      </c>
      <c r="AB75" t="s">
        <v>178</v>
      </c>
      <c r="AC75" t="s">
        <v>408</v>
      </c>
      <c r="AD75" s="2" t="s">
        <v>180</v>
      </c>
    </row>
    <row r="76" spans="1:30" hidden="1" x14ac:dyDescent="0.25">
      <c r="A76" s="2">
        <v>4</v>
      </c>
      <c r="B76" t="s">
        <v>412</v>
      </c>
      <c r="C76">
        <v>12</v>
      </c>
      <c r="D76">
        <v>275</v>
      </c>
      <c r="E76">
        <v>300</v>
      </c>
      <c r="F76" t="s">
        <v>273</v>
      </c>
      <c r="G76" s="2" t="s">
        <v>156</v>
      </c>
      <c r="H76">
        <v>1</v>
      </c>
      <c r="I76">
        <v>6.71</v>
      </c>
      <c r="J76" s="2" t="s">
        <v>170</v>
      </c>
      <c r="K76" s="2" t="s">
        <v>74</v>
      </c>
      <c r="M76" t="s">
        <v>429</v>
      </c>
      <c r="P76" s="26" t="s">
        <v>409</v>
      </c>
      <c r="Q76" s="19" t="s">
        <v>25</v>
      </c>
      <c r="R76" s="19" t="s">
        <v>138</v>
      </c>
      <c r="W76" s="20">
        <v>6</v>
      </c>
      <c r="X76" s="65" t="s">
        <v>382</v>
      </c>
      <c r="Z76" t="s">
        <v>307</v>
      </c>
      <c r="AB76" t="s">
        <v>178</v>
      </c>
      <c r="AC76" t="s">
        <v>408</v>
      </c>
      <c r="AD76" s="2" t="s">
        <v>180</v>
      </c>
    </row>
    <row r="77" spans="1:30" hidden="1" x14ac:dyDescent="0.25">
      <c r="A77" s="2">
        <v>5</v>
      </c>
      <c r="B77" t="s">
        <v>413</v>
      </c>
      <c r="C77">
        <v>12</v>
      </c>
      <c r="D77">
        <v>295</v>
      </c>
      <c r="E77">
        <v>300</v>
      </c>
      <c r="F77" t="s">
        <v>273</v>
      </c>
      <c r="G77" s="2" t="s">
        <v>156</v>
      </c>
      <c r="H77">
        <v>28</v>
      </c>
      <c r="I77">
        <v>196.38</v>
      </c>
      <c r="J77" s="2" t="s">
        <v>170</v>
      </c>
      <c r="K77" s="2" t="s">
        <v>74</v>
      </c>
      <c r="M77" t="s">
        <v>429</v>
      </c>
      <c r="P77" s="19" t="s">
        <v>409</v>
      </c>
      <c r="Q77" s="19" t="s">
        <v>25</v>
      </c>
      <c r="R77" s="19" t="s">
        <v>138</v>
      </c>
      <c r="W77" s="20">
        <v>6</v>
      </c>
      <c r="X77" s="65" t="s">
        <v>382</v>
      </c>
      <c r="Z77" t="s">
        <v>307</v>
      </c>
      <c r="AB77" t="s">
        <v>178</v>
      </c>
      <c r="AC77" t="s">
        <v>408</v>
      </c>
      <c r="AD77" s="2" t="s">
        <v>180</v>
      </c>
    </row>
    <row r="78" spans="1:30" hidden="1" x14ac:dyDescent="0.25">
      <c r="A78" s="2">
        <v>6</v>
      </c>
      <c r="B78" t="s">
        <v>407</v>
      </c>
      <c r="C78">
        <v>12</v>
      </c>
      <c r="D78">
        <v>275</v>
      </c>
      <c r="E78">
        <v>300</v>
      </c>
      <c r="F78" t="s">
        <v>273</v>
      </c>
      <c r="G78" s="2" t="s">
        <v>156</v>
      </c>
      <c r="H78">
        <v>8</v>
      </c>
      <c r="I78">
        <v>53.7</v>
      </c>
      <c r="J78" s="2" t="s">
        <v>170</v>
      </c>
      <c r="K78" s="2" t="s">
        <v>74</v>
      </c>
      <c r="M78" t="s">
        <v>429</v>
      </c>
      <c r="P78" s="19" t="s">
        <v>409</v>
      </c>
      <c r="Q78" s="19" t="s">
        <v>25</v>
      </c>
      <c r="R78" s="19" t="s">
        <v>138</v>
      </c>
      <c r="W78" s="20">
        <v>6</v>
      </c>
      <c r="X78" s="65" t="s">
        <v>382</v>
      </c>
      <c r="Z78" t="s">
        <v>307</v>
      </c>
      <c r="AB78" t="s">
        <v>178</v>
      </c>
      <c r="AC78" t="s">
        <v>414</v>
      </c>
      <c r="AD78" s="2" t="s">
        <v>180</v>
      </c>
    </row>
    <row r="79" spans="1:30" hidden="1" x14ac:dyDescent="0.25">
      <c r="A79" s="2">
        <v>7</v>
      </c>
      <c r="B79" t="s">
        <v>412</v>
      </c>
      <c r="C79">
        <v>12</v>
      </c>
      <c r="D79">
        <v>275</v>
      </c>
      <c r="E79">
        <v>300</v>
      </c>
      <c r="F79" t="s">
        <v>273</v>
      </c>
      <c r="G79" s="2" t="s">
        <v>156</v>
      </c>
      <c r="H79">
        <v>79</v>
      </c>
      <c r="I79">
        <v>530.27</v>
      </c>
      <c r="J79" s="2" t="s">
        <v>170</v>
      </c>
      <c r="K79" s="2" t="s">
        <v>74</v>
      </c>
      <c r="M79" t="s">
        <v>429</v>
      </c>
      <c r="P79" s="19" t="s">
        <v>409</v>
      </c>
      <c r="Q79" s="19" t="s">
        <v>25</v>
      </c>
      <c r="R79" s="19" t="s">
        <v>138</v>
      </c>
      <c r="W79" s="20">
        <v>6</v>
      </c>
      <c r="X79" s="65" t="s">
        <v>382</v>
      </c>
      <c r="Z79" t="s">
        <v>307</v>
      </c>
      <c r="AB79" t="s">
        <v>178</v>
      </c>
      <c r="AC79" t="s">
        <v>414</v>
      </c>
      <c r="AD79" s="2" t="s">
        <v>180</v>
      </c>
    </row>
    <row r="80" spans="1:30" hidden="1" x14ac:dyDescent="0.25">
      <c r="A80" s="2">
        <v>8</v>
      </c>
      <c r="B80" s="86" t="s">
        <v>415</v>
      </c>
      <c r="C80" s="86">
        <v>25</v>
      </c>
      <c r="D80" s="86">
        <v>65</v>
      </c>
      <c r="E80" s="86">
        <v>188</v>
      </c>
      <c r="F80" s="86" t="s">
        <v>172</v>
      </c>
      <c r="G80" s="86" t="s">
        <v>156</v>
      </c>
      <c r="H80" s="86">
        <v>4</v>
      </c>
      <c r="I80" s="86">
        <v>9.59</v>
      </c>
      <c r="J80" s="86" t="s">
        <v>170</v>
      </c>
      <c r="K80" s="86" t="s">
        <v>74</v>
      </c>
      <c r="L80" s="86"/>
      <c r="M80" s="86" t="s">
        <v>429</v>
      </c>
      <c r="N80" s="86"/>
      <c r="O80" s="89"/>
      <c r="P80" s="89" t="s">
        <v>409</v>
      </c>
      <c r="Q80" s="89" t="s">
        <v>25</v>
      </c>
      <c r="R80" s="89"/>
      <c r="S80" s="89" t="s">
        <v>138</v>
      </c>
      <c r="T80" s="89"/>
      <c r="U80" s="89"/>
      <c r="V80" s="89"/>
      <c r="W80" s="89">
        <v>6</v>
      </c>
      <c r="X80" s="90" t="s">
        <v>432</v>
      </c>
      <c r="Y80" s="86"/>
      <c r="Z80" s="86" t="s">
        <v>434</v>
      </c>
      <c r="AA80" s="86"/>
      <c r="AB80" s="86" t="s">
        <v>178</v>
      </c>
      <c r="AC80" s="86" t="s">
        <v>416</v>
      </c>
      <c r="AD80" s="86" t="s">
        <v>395</v>
      </c>
    </row>
    <row r="81" spans="1:30" hidden="1" x14ac:dyDescent="0.25">
      <c r="A81" s="2">
        <v>9</v>
      </c>
      <c r="B81" s="86" t="s">
        <v>417</v>
      </c>
      <c r="C81" s="86">
        <v>25</v>
      </c>
      <c r="D81" s="86">
        <v>65</v>
      </c>
      <c r="E81" s="86">
        <v>346</v>
      </c>
      <c r="F81" s="86" t="s">
        <v>172</v>
      </c>
      <c r="G81" s="86" t="s">
        <v>156</v>
      </c>
      <c r="H81" s="86">
        <v>4</v>
      </c>
      <c r="I81" s="86">
        <v>11.08</v>
      </c>
      <c r="J81" s="86" t="s">
        <v>170</v>
      </c>
      <c r="K81" s="86" t="s">
        <v>74</v>
      </c>
      <c r="L81" s="86"/>
      <c r="M81" s="86" t="s">
        <v>429</v>
      </c>
      <c r="N81" s="86"/>
      <c r="O81" s="89"/>
      <c r="P81" s="89" t="s">
        <v>409</v>
      </c>
      <c r="Q81" s="89" t="s">
        <v>25</v>
      </c>
      <c r="R81" s="89"/>
      <c r="S81" s="89" t="s">
        <v>138</v>
      </c>
      <c r="T81" s="89"/>
      <c r="U81" s="89"/>
      <c r="V81" s="89"/>
      <c r="W81" s="89">
        <v>6</v>
      </c>
      <c r="X81" s="90" t="s">
        <v>432</v>
      </c>
      <c r="Y81" s="86"/>
      <c r="Z81" s="86" t="s">
        <v>434</v>
      </c>
      <c r="AA81" s="86"/>
      <c r="AB81" s="86" t="s">
        <v>178</v>
      </c>
      <c r="AC81" s="86" t="s">
        <v>416</v>
      </c>
      <c r="AD81" s="86" t="s">
        <v>395</v>
      </c>
    </row>
    <row r="82" spans="1:30" hidden="1" x14ac:dyDescent="0.25">
      <c r="A82" s="2">
        <v>10</v>
      </c>
      <c r="B82" s="86" t="s">
        <v>418</v>
      </c>
      <c r="C82" s="86">
        <v>25</v>
      </c>
      <c r="D82" s="86">
        <v>330</v>
      </c>
      <c r="E82" s="86">
        <v>1218</v>
      </c>
      <c r="F82" s="86" t="s">
        <v>172</v>
      </c>
      <c r="G82" s="86" t="s">
        <v>156</v>
      </c>
      <c r="H82" s="86">
        <v>2</v>
      </c>
      <c r="I82" s="86">
        <v>157.69</v>
      </c>
      <c r="J82" s="86" t="s">
        <v>170</v>
      </c>
      <c r="K82" s="86" t="s">
        <v>74</v>
      </c>
      <c r="L82" s="86"/>
      <c r="M82" s="86" t="s">
        <v>429</v>
      </c>
      <c r="N82" s="86"/>
      <c r="O82" s="89"/>
      <c r="P82" s="89" t="s">
        <v>409</v>
      </c>
      <c r="Q82" s="89" t="s">
        <v>25</v>
      </c>
      <c r="R82" s="89"/>
      <c r="S82" s="89" t="s">
        <v>138</v>
      </c>
      <c r="T82" s="89"/>
      <c r="U82" s="89"/>
      <c r="V82" s="89"/>
      <c r="W82" s="89">
        <v>6</v>
      </c>
      <c r="X82" s="90" t="s">
        <v>432</v>
      </c>
      <c r="Y82" s="86"/>
      <c r="Z82" s="86" t="s">
        <v>434</v>
      </c>
      <c r="AA82" s="86"/>
      <c r="AB82" s="86" t="s">
        <v>178</v>
      </c>
      <c r="AC82" s="86" t="s">
        <v>416</v>
      </c>
      <c r="AD82" s="86" t="s">
        <v>395</v>
      </c>
    </row>
    <row r="83" spans="1:30" hidden="1" x14ac:dyDescent="0.25">
      <c r="A83" s="2">
        <v>11</v>
      </c>
      <c r="B83" t="s">
        <v>419</v>
      </c>
      <c r="C83">
        <v>40</v>
      </c>
      <c r="D83">
        <v>834</v>
      </c>
      <c r="E83">
        <v>2658</v>
      </c>
      <c r="F83" t="s">
        <v>273</v>
      </c>
      <c r="G83" s="2" t="s">
        <v>156</v>
      </c>
      <c r="H83">
        <v>2</v>
      </c>
      <c r="I83">
        <v>994.79</v>
      </c>
      <c r="J83" s="2" t="s">
        <v>170</v>
      </c>
      <c r="K83" s="2" t="s">
        <v>74</v>
      </c>
      <c r="M83" t="s">
        <v>429</v>
      </c>
      <c r="O83" t="s">
        <v>176</v>
      </c>
      <c r="P83" s="19" t="s">
        <v>409</v>
      </c>
      <c r="Q83" s="19" t="s">
        <v>26</v>
      </c>
      <c r="R83" s="19" t="s">
        <v>138</v>
      </c>
      <c r="W83" s="20">
        <v>6</v>
      </c>
      <c r="X83" s="65" t="s">
        <v>382</v>
      </c>
      <c r="Z83" t="s">
        <v>307</v>
      </c>
      <c r="AB83" t="s">
        <v>178</v>
      </c>
      <c r="AC83" t="s">
        <v>421</v>
      </c>
      <c r="AD83" s="2" t="s">
        <v>180</v>
      </c>
    </row>
    <row r="84" spans="1:30" hidden="1" x14ac:dyDescent="0.25">
      <c r="A84" s="2">
        <v>12</v>
      </c>
      <c r="B84" t="s">
        <v>422</v>
      </c>
      <c r="C84">
        <v>50</v>
      </c>
      <c r="D84">
        <v>964</v>
      </c>
      <c r="E84">
        <v>2638</v>
      </c>
      <c r="F84" t="s">
        <v>273</v>
      </c>
      <c r="G84" s="2" t="s">
        <v>156</v>
      </c>
      <c r="H84">
        <v>4</v>
      </c>
      <c r="I84">
        <v>2851.27</v>
      </c>
      <c r="J84" s="2" t="s">
        <v>170</v>
      </c>
      <c r="K84" s="2" t="s">
        <v>74</v>
      </c>
      <c r="M84" t="s">
        <v>429</v>
      </c>
      <c r="O84" t="s">
        <v>176</v>
      </c>
      <c r="P84" s="19" t="s">
        <v>409</v>
      </c>
      <c r="Q84" s="19" t="s">
        <v>26</v>
      </c>
      <c r="S84" s="19" t="s">
        <v>138</v>
      </c>
      <c r="W84" s="20">
        <v>6</v>
      </c>
      <c r="X84" s="65" t="s">
        <v>382</v>
      </c>
      <c r="Z84" t="s">
        <v>307</v>
      </c>
      <c r="AB84" t="s">
        <v>178</v>
      </c>
      <c r="AC84" t="s">
        <v>424</v>
      </c>
      <c r="AD84" s="2" t="s">
        <v>374</v>
      </c>
    </row>
    <row r="85" spans="1:30" hidden="1" x14ac:dyDescent="0.25">
      <c r="A85" s="2">
        <v>13</v>
      </c>
      <c r="B85" t="s">
        <v>425</v>
      </c>
      <c r="C85">
        <v>60</v>
      </c>
      <c r="D85">
        <v>1080</v>
      </c>
      <c r="E85">
        <v>2260</v>
      </c>
      <c r="F85" t="s">
        <v>426</v>
      </c>
      <c r="G85" s="2" t="s">
        <v>156</v>
      </c>
      <c r="H85">
        <v>2</v>
      </c>
      <c r="I85">
        <v>2298.83</v>
      </c>
      <c r="J85" s="2" t="s">
        <v>170</v>
      </c>
      <c r="K85" s="2" t="s">
        <v>74</v>
      </c>
      <c r="M85" t="s">
        <v>429</v>
      </c>
      <c r="P85" s="19" t="s">
        <v>409</v>
      </c>
      <c r="Q85" s="19" t="s">
        <v>27</v>
      </c>
      <c r="R85" s="19" t="s">
        <v>138</v>
      </c>
      <c r="V85" s="19" t="s">
        <v>138</v>
      </c>
      <c r="W85" s="20">
        <v>6</v>
      </c>
      <c r="X85" s="65" t="s">
        <v>382</v>
      </c>
      <c r="Z85" t="s">
        <v>307</v>
      </c>
      <c r="AB85" t="s">
        <v>178</v>
      </c>
      <c r="AC85" t="s">
        <v>428</v>
      </c>
      <c r="AD85" s="2" t="s">
        <v>180</v>
      </c>
    </row>
    <row r="86" spans="1:30" hidden="1" x14ac:dyDescent="0.25">
      <c r="A86" s="2">
        <v>1</v>
      </c>
      <c r="B86" t="s">
        <v>438</v>
      </c>
      <c r="C86">
        <v>25</v>
      </c>
      <c r="D86">
        <v>350</v>
      </c>
      <c r="E86">
        <v>1030</v>
      </c>
      <c r="F86" t="s">
        <v>172</v>
      </c>
      <c r="G86" s="2" t="s">
        <v>156</v>
      </c>
      <c r="H86">
        <v>2</v>
      </c>
      <c r="I86">
        <v>141.5</v>
      </c>
      <c r="J86" s="2" t="s">
        <v>170</v>
      </c>
      <c r="K86" s="2" t="s">
        <v>74</v>
      </c>
      <c r="M86" t="s">
        <v>478</v>
      </c>
      <c r="P86" s="19" t="s">
        <v>440</v>
      </c>
      <c r="Q86" s="19" t="s">
        <v>26</v>
      </c>
      <c r="S86" s="19" t="s">
        <v>138</v>
      </c>
      <c r="W86" s="20">
        <v>7</v>
      </c>
      <c r="X86" s="65" t="s">
        <v>432</v>
      </c>
      <c r="Z86" t="s">
        <v>307</v>
      </c>
      <c r="AB86" t="s">
        <v>178</v>
      </c>
      <c r="AC86" t="s">
        <v>439</v>
      </c>
      <c r="AD86" s="2" t="s">
        <v>416</v>
      </c>
    </row>
    <row r="87" spans="1:30" hidden="1" x14ac:dyDescent="0.25">
      <c r="A87" s="2">
        <v>2</v>
      </c>
      <c r="B87" t="s">
        <v>441</v>
      </c>
      <c r="C87">
        <v>25</v>
      </c>
      <c r="D87">
        <v>65</v>
      </c>
      <c r="E87">
        <v>346</v>
      </c>
      <c r="F87" t="s">
        <v>172</v>
      </c>
      <c r="G87" s="2" t="s">
        <v>156</v>
      </c>
      <c r="H87">
        <v>4</v>
      </c>
      <c r="I87">
        <v>17.649999999999999</v>
      </c>
      <c r="J87" s="2" t="s">
        <v>170</v>
      </c>
      <c r="K87" s="2" t="s">
        <v>74</v>
      </c>
      <c r="M87" t="s">
        <v>478</v>
      </c>
      <c r="P87" s="19" t="s">
        <v>440</v>
      </c>
      <c r="Q87" s="19" t="s">
        <v>25</v>
      </c>
      <c r="S87" s="19" t="s">
        <v>138</v>
      </c>
      <c r="W87" s="20">
        <v>7</v>
      </c>
      <c r="X87" s="65" t="s">
        <v>432</v>
      </c>
      <c r="Z87" t="s">
        <v>307</v>
      </c>
      <c r="AB87" t="s">
        <v>178</v>
      </c>
      <c r="AC87" t="s">
        <v>439</v>
      </c>
      <c r="AD87" s="2" t="s">
        <v>416</v>
      </c>
    </row>
    <row r="88" spans="1:30" hidden="1" x14ac:dyDescent="0.25">
      <c r="A88" s="2">
        <v>3</v>
      </c>
      <c r="B88" t="s">
        <v>442</v>
      </c>
      <c r="C88">
        <v>25</v>
      </c>
      <c r="D88">
        <v>65</v>
      </c>
      <c r="E88">
        <v>188</v>
      </c>
      <c r="F88" t="s">
        <v>172</v>
      </c>
      <c r="G88" s="2" t="s">
        <v>156</v>
      </c>
      <c r="H88">
        <v>4</v>
      </c>
      <c r="I88">
        <v>9.59</v>
      </c>
      <c r="J88" s="2" t="s">
        <v>170</v>
      </c>
      <c r="K88" s="2" t="s">
        <v>74</v>
      </c>
      <c r="M88" t="s">
        <v>478</v>
      </c>
      <c r="P88" s="19" t="s">
        <v>440</v>
      </c>
      <c r="Q88" s="19" t="s">
        <v>25</v>
      </c>
      <c r="S88" s="19" t="s">
        <v>138</v>
      </c>
      <c r="W88" s="20">
        <v>7</v>
      </c>
      <c r="X88" s="65" t="s">
        <v>432</v>
      </c>
      <c r="Z88" t="s">
        <v>307</v>
      </c>
      <c r="AB88" t="s">
        <v>178</v>
      </c>
      <c r="AC88" t="s">
        <v>439</v>
      </c>
      <c r="AD88" s="2" t="s">
        <v>416</v>
      </c>
    </row>
    <row r="89" spans="1:30" hidden="1" x14ac:dyDescent="0.25">
      <c r="A89" s="2">
        <v>4</v>
      </c>
      <c r="B89" t="s">
        <v>443</v>
      </c>
      <c r="C89">
        <v>25</v>
      </c>
      <c r="D89">
        <v>65</v>
      </c>
      <c r="E89">
        <v>346</v>
      </c>
      <c r="F89" t="s">
        <v>172</v>
      </c>
      <c r="G89" s="2" t="s">
        <v>156</v>
      </c>
      <c r="H89">
        <v>4</v>
      </c>
      <c r="I89">
        <v>11.08</v>
      </c>
      <c r="J89" s="2" t="s">
        <v>170</v>
      </c>
      <c r="K89" s="2" t="s">
        <v>74</v>
      </c>
      <c r="M89" t="s">
        <v>478</v>
      </c>
      <c r="P89" s="19" t="s">
        <v>440</v>
      </c>
      <c r="Q89" s="19" t="s">
        <v>25</v>
      </c>
      <c r="S89" s="19" t="s">
        <v>138</v>
      </c>
      <c r="W89" s="20">
        <v>7</v>
      </c>
      <c r="X89" s="65" t="s">
        <v>432</v>
      </c>
      <c r="Z89" t="s">
        <v>307</v>
      </c>
      <c r="AB89" t="s">
        <v>178</v>
      </c>
      <c r="AC89" t="s">
        <v>439</v>
      </c>
      <c r="AD89" s="2" t="s">
        <v>416</v>
      </c>
    </row>
    <row r="90" spans="1:30" hidden="1" x14ac:dyDescent="0.25">
      <c r="A90" s="2">
        <v>5</v>
      </c>
      <c r="B90" t="s">
        <v>444</v>
      </c>
      <c r="C90">
        <v>25</v>
      </c>
      <c r="D90">
        <v>350</v>
      </c>
      <c r="E90">
        <v>1030</v>
      </c>
      <c r="F90" t="s">
        <v>172</v>
      </c>
      <c r="G90" s="2" t="s">
        <v>156</v>
      </c>
      <c r="H90">
        <v>2</v>
      </c>
      <c r="I90">
        <v>141.5</v>
      </c>
      <c r="J90" s="2" t="s">
        <v>170</v>
      </c>
      <c r="K90" s="2" t="s">
        <v>74</v>
      </c>
      <c r="M90" t="s">
        <v>478</v>
      </c>
      <c r="P90" s="19" t="s">
        <v>440</v>
      </c>
      <c r="Q90" s="19" t="s">
        <v>26</v>
      </c>
      <c r="S90" s="19" t="s">
        <v>138</v>
      </c>
      <c r="W90" s="20">
        <v>7</v>
      </c>
      <c r="X90" s="65" t="s">
        <v>432</v>
      </c>
      <c r="Z90" t="s">
        <v>307</v>
      </c>
      <c r="AB90" t="s">
        <v>178</v>
      </c>
      <c r="AC90" t="s">
        <v>439</v>
      </c>
      <c r="AD90" s="2" t="s">
        <v>416</v>
      </c>
    </row>
    <row r="91" spans="1:30" hidden="1" x14ac:dyDescent="0.25">
      <c r="A91" s="2">
        <v>6</v>
      </c>
      <c r="B91" t="s">
        <v>445</v>
      </c>
      <c r="C91">
        <v>25</v>
      </c>
      <c r="D91">
        <v>65</v>
      </c>
      <c r="E91">
        <v>346</v>
      </c>
      <c r="F91" t="s">
        <v>172</v>
      </c>
      <c r="G91" s="2" t="s">
        <v>156</v>
      </c>
      <c r="H91">
        <v>2</v>
      </c>
      <c r="I91">
        <v>8.83</v>
      </c>
      <c r="J91" s="2" t="s">
        <v>170</v>
      </c>
      <c r="K91" s="2" t="s">
        <v>74</v>
      </c>
      <c r="M91" t="s">
        <v>478</v>
      </c>
      <c r="P91" s="19" t="s">
        <v>440</v>
      </c>
      <c r="Q91" s="19" t="s">
        <v>25</v>
      </c>
      <c r="S91" s="19" t="s">
        <v>138</v>
      </c>
      <c r="W91" s="20">
        <v>7</v>
      </c>
      <c r="X91" s="65" t="s">
        <v>432</v>
      </c>
      <c r="Z91" t="s">
        <v>307</v>
      </c>
      <c r="AB91" t="s">
        <v>178</v>
      </c>
      <c r="AC91" t="s">
        <v>439</v>
      </c>
      <c r="AD91" s="2" t="s">
        <v>416</v>
      </c>
    </row>
    <row r="92" spans="1:30" hidden="1" x14ac:dyDescent="0.25">
      <c r="A92" s="2">
        <v>7</v>
      </c>
      <c r="B92" t="s">
        <v>446</v>
      </c>
      <c r="C92">
        <v>25</v>
      </c>
      <c r="D92">
        <v>65</v>
      </c>
      <c r="E92">
        <v>188</v>
      </c>
      <c r="F92" t="s">
        <v>172</v>
      </c>
      <c r="G92" s="2" t="s">
        <v>156</v>
      </c>
      <c r="H92">
        <v>1</v>
      </c>
      <c r="I92">
        <v>2.4</v>
      </c>
      <c r="J92" s="2" t="s">
        <v>170</v>
      </c>
      <c r="K92" s="2" t="s">
        <v>74</v>
      </c>
      <c r="M92" t="s">
        <v>478</v>
      </c>
      <c r="P92" s="19" t="s">
        <v>440</v>
      </c>
      <c r="Q92" s="19" t="s">
        <v>25</v>
      </c>
      <c r="S92" s="19" t="s">
        <v>138</v>
      </c>
      <c r="W92" s="20">
        <v>7</v>
      </c>
      <c r="X92" s="65" t="s">
        <v>432</v>
      </c>
      <c r="Z92" t="s">
        <v>307</v>
      </c>
      <c r="AB92" t="s">
        <v>178</v>
      </c>
      <c r="AC92" t="s">
        <v>439</v>
      </c>
      <c r="AD92" s="2" t="s">
        <v>416</v>
      </c>
    </row>
    <row r="93" spans="1:30" hidden="1" x14ac:dyDescent="0.25">
      <c r="A93" s="2">
        <v>8</v>
      </c>
      <c r="B93" t="s">
        <v>447</v>
      </c>
      <c r="C93">
        <v>25</v>
      </c>
      <c r="D93">
        <v>65</v>
      </c>
      <c r="E93">
        <v>346</v>
      </c>
      <c r="F93" t="s">
        <v>172</v>
      </c>
      <c r="G93" s="2" t="s">
        <v>156</v>
      </c>
      <c r="H93">
        <v>1</v>
      </c>
      <c r="I93">
        <v>2.77</v>
      </c>
      <c r="J93" s="2" t="s">
        <v>170</v>
      </c>
      <c r="K93" s="2" t="s">
        <v>74</v>
      </c>
      <c r="M93" t="s">
        <v>478</v>
      </c>
      <c r="P93" s="19" t="s">
        <v>440</v>
      </c>
      <c r="Q93" s="19" t="s">
        <v>25</v>
      </c>
      <c r="S93" s="19" t="s">
        <v>138</v>
      </c>
      <c r="W93" s="20">
        <v>7</v>
      </c>
      <c r="X93" s="65" t="s">
        <v>432</v>
      </c>
      <c r="Z93" t="s">
        <v>307</v>
      </c>
      <c r="AB93" t="s">
        <v>178</v>
      </c>
      <c r="AC93" t="s">
        <v>439</v>
      </c>
      <c r="AD93" s="2" t="s">
        <v>416</v>
      </c>
    </row>
    <row r="94" spans="1:30" hidden="1" x14ac:dyDescent="0.25">
      <c r="A94" s="2">
        <v>9</v>
      </c>
      <c r="B94" t="s">
        <v>448</v>
      </c>
      <c r="C94">
        <v>25</v>
      </c>
      <c r="D94">
        <v>350</v>
      </c>
      <c r="E94">
        <v>1030</v>
      </c>
      <c r="F94" t="s">
        <v>172</v>
      </c>
      <c r="G94" s="2" t="s">
        <v>156</v>
      </c>
      <c r="H94">
        <v>2</v>
      </c>
      <c r="I94">
        <v>141.5</v>
      </c>
      <c r="J94" s="2" t="s">
        <v>170</v>
      </c>
      <c r="K94" s="2" t="s">
        <v>74</v>
      </c>
      <c r="M94" t="s">
        <v>478</v>
      </c>
      <c r="P94" s="19" t="s">
        <v>440</v>
      </c>
      <c r="Q94" s="19" t="s">
        <v>26</v>
      </c>
      <c r="S94" s="19" t="s">
        <v>138</v>
      </c>
      <c r="W94" s="20">
        <v>7</v>
      </c>
      <c r="X94" s="65" t="s">
        <v>432</v>
      </c>
      <c r="Z94" t="s">
        <v>307</v>
      </c>
      <c r="AB94" t="s">
        <v>178</v>
      </c>
      <c r="AC94" t="s">
        <v>439</v>
      </c>
      <c r="AD94" s="2" t="s">
        <v>416</v>
      </c>
    </row>
    <row r="95" spans="1:30" hidden="1" x14ac:dyDescent="0.25">
      <c r="A95" s="2">
        <v>10</v>
      </c>
      <c r="B95" t="s">
        <v>449</v>
      </c>
      <c r="C95">
        <v>25</v>
      </c>
      <c r="D95">
        <v>65</v>
      </c>
      <c r="E95">
        <v>346</v>
      </c>
      <c r="F95" t="s">
        <v>172</v>
      </c>
      <c r="G95" s="2" t="s">
        <v>156</v>
      </c>
      <c r="H95">
        <v>4</v>
      </c>
      <c r="I95">
        <v>17.649999999999999</v>
      </c>
      <c r="J95" s="2" t="s">
        <v>170</v>
      </c>
      <c r="K95" s="2" t="s">
        <v>74</v>
      </c>
      <c r="M95" t="s">
        <v>478</v>
      </c>
      <c r="P95" s="19" t="s">
        <v>440</v>
      </c>
      <c r="Q95" s="19" t="s">
        <v>25</v>
      </c>
      <c r="S95" s="19" t="s">
        <v>138</v>
      </c>
      <c r="W95" s="20">
        <v>7</v>
      </c>
      <c r="X95" s="65" t="s">
        <v>432</v>
      </c>
      <c r="Z95" t="s">
        <v>307</v>
      </c>
      <c r="AB95" t="s">
        <v>178</v>
      </c>
      <c r="AC95" t="s">
        <v>439</v>
      </c>
      <c r="AD95" s="2" t="s">
        <v>416</v>
      </c>
    </row>
    <row r="96" spans="1:30" hidden="1" x14ac:dyDescent="0.25">
      <c r="A96" s="2">
        <v>11</v>
      </c>
      <c r="B96" t="s">
        <v>450</v>
      </c>
      <c r="C96">
        <v>25</v>
      </c>
      <c r="D96">
        <v>65</v>
      </c>
      <c r="E96">
        <v>188</v>
      </c>
      <c r="F96" t="s">
        <v>172</v>
      </c>
      <c r="G96" s="2" t="s">
        <v>156</v>
      </c>
      <c r="H96">
        <v>4</v>
      </c>
      <c r="I96">
        <v>9.59</v>
      </c>
      <c r="J96" s="2" t="s">
        <v>170</v>
      </c>
      <c r="K96" s="2" t="s">
        <v>74</v>
      </c>
      <c r="M96" t="s">
        <v>478</v>
      </c>
      <c r="P96" s="19" t="s">
        <v>440</v>
      </c>
      <c r="Q96" s="19" t="s">
        <v>25</v>
      </c>
      <c r="S96" s="19" t="s">
        <v>138</v>
      </c>
      <c r="W96" s="20">
        <v>7</v>
      </c>
      <c r="X96" s="65" t="s">
        <v>432</v>
      </c>
      <c r="Z96" t="s">
        <v>307</v>
      </c>
      <c r="AB96" t="s">
        <v>178</v>
      </c>
      <c r="AC96" t="s">
        <v>439</v>
      </c>
      <c r="AD96" s="2" t="s">
        <v>416</v>
      </c>
    </row>
    <row r="97" spans="1:30" hidden="1" x14ac:dyDescent="0.25">
      <c r="A97" s="2">
        <v>12</v>
      </c>
      <c r="B97" t="s">
        <v>451</v>
      </c>
      <c r="C97">
        <v>25</v>
      </c>
      <c r="D97">
        <v>65</v>
      </c>
      <c r="E97">
        <v>346</v>
      </c>
      <c r="F97" t="s">
        <v>172</v>
      </c>
      <c r="G97" s="2" t="s">
        <v>156</v>
      </c>
      <c r="H97">
        <v>4</v>
      </c>
      <c r="I97">
        <v>11.08</v>
      </c>
      <c r="J97" s="2" t="s">
        <v>170</v>
      </c>
      <c r="K97" s="2" t="s">
        <v>74</v>
      </c>
      <c r="M97" t="s">
        <v>478</v>
      </c>
      <c r="P97" s="19" t="s">
        <v>440</v>
      </c>
      <c r="Q97" s="19" t="s">
        <v>25</v>
      </c>
      <c r="S97" s="19" t="s">
        <v>138</v>
      </c>
      <c r="W97" s="20">
        <v>7</v>
      </c>
      <c r="X97" s="65" t="s">
        <v>432</v>
      </c>
      <c r="Z97" t="s">
        <v>307</v>
      </c>
      <c r="AB97" t="s">
        <v>178</v>
      </c>
      <c r="AC97" t="s">
        <v>439</v>
      </c>
      <c r="AD97" s="2" t="s">
        <v>416</v>
      </c>
    </row>
    <row r="98" spans="1:30" hidden="1" x14ac:dyDescent="0.25">
      <c r="A98" s="2">
        <v>13</v>
      </c>
      <c r="B98" t="s">
        <v>452</v>
      </c>
      <c r="C98">
        <v>50</v>
      </c>
      <c r="D98">
        <v>1160</v>
      </c>
      <c r="E98">
        <v>1940</v>
      </c>
      <c r="F98" t="s">
        <v>257</v>
      </c>
      <c r="G98" s="2" t="s">
        <v>156</v>
      </c>
      <c r="H98">
        <v>2</v>
      </c>
      <c r="I98">
        <v>1422.39</v>
      </c>
      <c r="J98" s="2" t="s">
        <v>170</v>
      </c>
      <c r="K98" s="2" t="s">
        <v>74</v>
      </c>
      <c r="M98" t="s">
        <v>478</v>
      </c>
      <c r="P98" s="19" t="s">
        <v>440</v>
      </c>
      <c r="Q98" s="19" t="s">
        <v>26</v>
      </c>
      <c r="R98" s="19" t="s">
        <v>138</v>
      </c>
      <c r="W98" s="20">
        <v>7</v>
      </c>
      <c r="X98" s="65" t="s">
        <v>432</v>
      </c>
      <c r="Z98" t="s">
        <v>307</v>
      </c>
      <c r="AB98" t="s">
        <v>178</v>
      </c>
      <c r="AC98" t="s">
        <v>453</v>
      </c>
      <c r="AD98" s="2" t="s">
        <v>180</v>
      </c>
    </row>
    <row r="99" spans="1:30" hidden="1" x14ac:dyDescent="0.25">
      <c r="A99" s="2">
        <v>14</v>
      </c>
      <c r="B99" t="s">
        <v>454</v>
      </c>
      <c r="C99">
        <v>50</v>
      </c>
      <c r="D99">
        <v>1160</v>
      </c>
      <c r="E99">
        <v>1940</v>
      </c>
      <c r="F99" t="s">
        <v>257</v>
      </c>
      <c r="G99" s="2" t="s">
        <v>156</v>
      </c>
      <c r="H99">
        <v>3</v>
      </c>
      <c r="I99">
        <v>2133.58</v>
      </c>
      <c r="J99" s="2" t="s">
        <v>170</v>
      </c>
      <c r="K99" s="2" t="s">
        <v>74</v>
      </c>
      <c r="M99" t="s">
        <v>478</v>
      </c>
      <c r="P99" s="19" t="s">
        <v>440</v>
      </c>
      <c r="Q99" s="19" t="s">
        <v>26</v>
      </c>
      <c r="R99" s="19" t="s">
        <v>138</v>
      </c>
      <c r="W99" s="20">
        <v>7</v>
      </c>
      <c r="X99" s="65" t="s">
        <v>432</v>
      </c>
      <c r="Z99" t="s">
        <v>307</v>
      </c>
      <c r="AB99" t="s">
        <v>178</v>
      </c>
      <c r="AC99" t="s">
        <v>453</v>
      </c>
      <c r="AD99" s="2" t="s">
        <v>180</v>
      </c>
    </row>
    <row r="100" spans="1:30" hidden="1" x14ac:dyDescent="0.25">
      <c r="A100" s="2">
        <v>15</v>
      </c>
      <c r="B100" t="s">
        <v>455</v>
      </c>
      <c r="C100">
        <v>50</v>
      </c>
      <c r="D100">
        <v>150</v>
      </c>
      <c r="E100">
        <v>400</v>
      </c>
      <c r="F100" t="s">
        <v>257</v>
      </c>
      <c r="G100" s="2" t="s">
        <v>156</v>
      </c>
      <c r="H100">
        <v>5</v>
      </c>
      <c r="I100">
        <v>117.75</v>
      </c>
      <c r="J100" s="2" t="s">
        <v>170</v>
      </c>
      <c r="K100" s="2" t="s">
        <v>74</v>
      </c>
      <c r="M100" t="s">
        <v>478</v>
      </c>
      <c r="P100" s="19" t="s">
        <v>440</v>
      </c>
      <c r="R100" s="19" t="s">
        <v>138</v>
      </c>
      <c r="V100" s="19" t="s">
        <v>138</v>
      </c>
      <c r="W100" s="20">
        <v>7</v>
      </c>
      <c r="X100" s="65" t="s">
        <v>432</v>
      </c>
      <c r="Z100" t="s">
        <v>307</v>
      </c>
      <c r="AB100" t="s">
        <v>178</v>
      </c>
      <c r="AC100" t="s">
        <v>453</v>
      </c>
      <c r="AD100" s="2" t="s">
        <v>180</v>
      </c>
    </row>
    <row r="101" spans="1:30" hidden="1" x14ac:dyDescent="0.25">
      <c r="A101" s="2">
        <v>16</v>
      </c>
      <c r="B101" t="s">
        <v>456</v>
      </c>
      <c r="C101">
        <v>50</v>
      </c>
      <c r="D101">
        <v>250</v>
      </c>
      <c r="E101">
        <v>1200</v>
      </c>
      <c r="F101" t="s">
        <v>257</v>
      </c>
      <c r="G101" s="2" t="s">
        <v>156</v>
      </c>
      <c r="H101">
        <v>1</v>
      </c>
      <c r="I101">
        <v>117.75</v>
      </c>
      <c r="J101" s="2" t="s">
        <v>170</v>
      </c>
      <c r="K101" s="2" t="s">
        <v>74</v>
      </c>
      <c r="M101" t="s">
        <v>478</v>
      </c>
      <c r="P101" s="19" t="s">
        <v>440</v>
      </c>
      <c r="R101" s="19" t="s">
        <v>138</v>
      </c>
      <c r="V101" s="19" t="s">
        <v>138</v>
      </c>
      <c r="W101" s="20">
        <v>7</v>
      </c>
      <c r="X101" s="65" t="s">
        <v>432</v>
      </c>
      <c r="Z101" t="s">
        <v>307</v>
      </c>
      <c r="AB101" t="s">
        <v>178</v>
      </c>
      <c r="AC101" t="s">
        <v>453</v>
      </c>
      <c r="AD101" s="2" t="s">
        <v>180</v>
      </c>
    </row>
    <row r="102" spans="1:30" hidden="1" x14ac:dyDescent="0.25">
      <c r="A102" s="2">
        <v>17</v>
      </c>
      <c r="B102" t="s">
        <v>458</v>
      </c>
      <c r="C102">
        <v>50</v>
      </c>
      <c r="D102">
        <v>300</v>
      </c>
      <c r="E102">
        <v>350</v>
      </c>
      <c r="F102" t="s">
        <v>257</v>
      </c>
      <c r="G102" s="2" t="s">
        <v>156</v>
      </c>
      <c r="H102">
        <v>2</v>
      </c>
      <c r="I102">
        <v>82.43</v>
      </c>
      <c r="J102" s="2" t="s">
        <v>170</v>
      </c>
      <c r="K102" s="2" t="s">
        <v>74</v>
      </c>
      <c r="M102" t="s">
        <v>478</v>
      </c>
      <c r="P102" s="19" t="s">
        <v>440</v>
      </c>
      <c r="Q102" s="19" t="s">
        <v>27</v>
      </c>
      <c r="R102" s="19" t="s">
        <v>138</v>
      </c>
      <c r="W102" s="20">
        <v>7</v>
      </c>
      <c r="X102" s="65" t="s">
        <v>432</v>
      </c>
      <c r="Z102" t="s">
        <v>307</v>
      </c>
      <c r="AB102" t="s">
        <v>178</v>
      </c>
      <c r="AC102" t="s">
        <v>453</v>
      </c>
      <c r="AD102" s="2" t="s">
        <v>180</v>
      </c>
    </row>
    <row r="103" spans="1:30" hidden="1" x14ac:dyDescent="0.25">
      <c r="A103" s="2">
        <v>18</v>
      </c>
      <c r="B103" t="s">
        <v>454</v>
      </c>
      <c r="C103">
        <v>50</v>
      </c>
      <c r="D103">
        <v>1160</v>
      </c>
      <c r="E103">
        <v>1940</v>
      </c>
      <c r="F103" t="s">
        <v>257</v>
      </c>
      <c r="G103" s="2" t="s">
        <v>156</v>
      </c>
      <c r="H103">
        <v>1</v>
      </c>
      <c r="I103">
        <v>711.19</v>
      </c>
      <c r="J103" s="2" t="s">
        <v>170</v>
      </c>
      <c r="K103" s="2" t="s">
        <v>74</v>
      </c>
      <c r="M103" t="s">
        <v>478</v>
      </c>
      <c r="P103" s="19" t="s">
        <v>440</v>
      </c>
      <c r="Q103" s="19" t="s">
        <v>26</v>
      </c>
      <c r="R103" s="19" t="s">
        <v>138</v>
      </c>
      <c r="W103" s="20">
        <v>7</v>
      </c>
      <c r="X103" s="65" t="s">
        <v>432</v>
      </c>
      <c r="Z103" t="s">
        <v>307</v>
      </c>
      <c r="AB103" t="s">
        <v>178</v>
      </c>
      <c r="AC103" t="s">
        <v>460</v>
      </c>
      <c r="AD103" s="2" t="s">
        <v>180</v>
      </c>
    </row>
    <row r="104" spans="1:30" hidden="1" x14ac:dyDescent="0.25">
      <c r="A104" s="2">
        <v>19</v>
      </c>
      <c r="B104" t="s">
        <v>461</v>
      </c>
      <c r="C104">
        <v>50</v>
      </c>
      <c r="D104">
        <v>1160</v>
      </c>
      <c r="E104">
        <v>1940</v>
      </c>
      <c r="F104" t="s">
        <v>257</v>
      </c>
      <c r="G104" s="2" t="s">
        <v>156</v>
      </c>
      <c r="H104">
        <v>4</v>
      </c>
      <c r="I104">
        <v>2844.78</v>
      </c>
      <c r="J104" s="2" t="s">
        <v>170</v>
      </c>
      <c r="K104" s="2" t="s">
        <v>74</v>
      </c>
      <c r="M104" t="s">
        <v>478</v>
      </c>
      <c r="P104" s="19" t="s">
        <v>440</v>
      </c>
      <c r="Q104" s="19" t="s">
        <v>26</v>
      </c>
      <c r="R104" s="19" t="s">
        <v>138</v>
      </c>
      <c r="W104" s="20">
        <v>7</v>
      </c>
      <c r="X104" s="65" t="s">
        <v>432</v>
      </c>
      <c r="Z104" t="s">
        <v>307</v>
      </c>
      <c r="AB104" t="s">
        <v>178</v>
      </c>
      <c r="AC104" t="s">
        <v>460</v>
      </c>
      <c r="AD104" s="2" t="s">
        <v>180</v>
      </c>
    </row>
    <row r="105" spans="1:30" hidden="1" x14ac:dyDescent="0.25">
      <c r="A105" s="2">
        <v>20</v>
      </c>
      <c r="B105" t="s">
        <v>452</v>
      </c>
      <c r="C105">
        <v>50</v>
      </c>
      <c r="D105">
        <v>1160</v>
      </c>
      <c r="E105">
        <v>1940</v>
      </c>
      <c r="F105" t="s">
        <v>257</v>
      </c>
      <c r="G105" s="2" t="s">
        <v>156</v>
      </c>
      <c r="H105">
        <v>2</v>
      </c>
      <c r="I105">
        <v>1422.39</v>
      </c>
      <c r="J105" s="2" t="s">
        <v>170</v>
      </c>
      <c r="K105" s="2" t="s">
        <v>74</v>
      </c>
      <c r="M105" t="s">
        <v>478</v>
      </c>
      <c r="P105" s="19" t="s">
        <v>440</v>
      </c>
      <c r="Q105" s="19" t="s">
        <v>26</v>
      </c>
      <c r="R105" s="19" t="s">
        <v>138</v>
      </c>
      <c r="W105" s="20">
        <v>7</v>
      </c>
      <c r="X105" s="65" t="s">
        <v>432</v>
      </c>
      <c r="Z105" t="s">
        <v>307</v>
      </c>
      <c r="AB105" t="s">
        <v>178</v>
      </c>
      <c r="AC105" t="s">
        <v>462</v>
      </c>
      <c r="AD105" s="2" t="s">
        <v>180</v>
      </c>
    </row>
    <row r="106" spans="1:30" hidden="1" x14ac:dyDescent="0.25">
      <c r="A106" s="2">
        <v>21</v>
      </c>
      <c r="B106" t="s">
        <v>463</v>
      </c>
      <c r="C106">
        <v>50</v>
      </c>
      <c r="D106">
        <v>1160</v>
      </c>
      <c r="E106">
        <v>1210</v>
      </c>
      <c r="F106" t="s">
        <v>172</v>
      </c>
      <c r="G106" s="2" t="s">
        <v>156</v>
      </c>
      <c r="H106">
        <v>4</v>
      </c>
      <c r="I106">
        <v>1678.13</v>
      </c>
      <c r="J106" s="2" t="s">
        <v>170</v>
      </c>
      <c r="K106" s="2" t="s">
        <v>74</v>
      </c>
      <c r="M106" t="s">
        <v>478</v>
      </c>
      <c r="O106" t="s">
        <v>176</v>
      </c>
      <c r="P106" s="19" t="s">
        <v>440</v>
      </c>
      <c r="Q106" s="19" t="s">
        <v>26</v>
      </c>
      <c r="S106" s="19" t="s">
        <v>138</v>
      </c>
      <c r="W106" s="20">
        <v>7</v>
      </c>
      <c r="X106" s="65" t="s">
        <v>432</v>
      </c>
      <c r="Z106" t="s">
        <v>307</v>
      </c>
      <c r="AB106" t="s">
        <v>178</v>
      </c>
      <c r="AC106" t="s">
        <v>465</v>
      </c>
      <c r="AD106" s="2" t="s">
        <v>371</v>
      </c>
    </row>
    <row r="107" spans="1:30" hidden="1" x14ac:dyDescent="0.25">
      <c r="A107" s="2">
        <v>22</v>
      </c>
      <c r="B107" t="s">
        <v>466</v>
      </c>
      <c r="C107">
        <v>50</v>
      </c>
      <c r="D107">
        <v>1160</v>
      </c>
      <c r="E107">
        <v>1210</v>
      </c>
      <c r="F107" t="s">
        <v>172</v>
      </c>
      <c r="G107" s="2" t="s">
        <v>156</v>
      </c>
      <c r="H107">
        <v>4</v>
      </c>
      <c r="I107">
        <v>1678.13</v>
      </c>
      <c r="J107" s="2" t="s">
        <v>170</v>
      </c>
      <c r="K107" s="2" t="s">
        <v>74</v>
      </c>
      <c r="M107" t="s">
        <v>478</v>
      </c>
      <c r="O107" t="s">
        <v>176</v>
      </c>
      <c r="P107" s="19" t="s">
        <v>440</v>
      </c>
      <c r="Q107" s="19" t="s">
        <v>26</v>
      </c>
      <c r="S107" s="19" t="s">
        <v>138</v>
      </c>
      <c r="W107" s="20">
        <v>7</v>
      </c>
      <c r="X107" s="65" t="s">
        <v>432</v>
      </c>
      <c r="Z107" t="s">
        <v>307</v>
      </c>
      <c r="AB107" t="s">
        <v>178</v>
      </c>
      <c r="AC107" t="s">
        <v>465</v>
      </c>
      <c r="AD107" s="2" t="s">
        <v>371</v>
      </c>
    </row>
    <row r="108" spans="1:30" hidden="1" x14ac:dyDescent="0.25">
      <c r="A108" s="2">
        <v>23</v>
      </c>
      <c r="B108" t="s">
        <v>467</v>
      </c>
      <c r="C108">
        <v>50</v>
      </c>
      <c r="D108">
        <v>1160</v>
      </c>
      <c r="E108">
        <v>1210</v>
      </c>
      <c r="F108" t="s">
        <v>172</v>
      </c>
      <c r="G108" s="2" t="s">
        <v>156</v>
      </c>
      <c r="H108">
        <v>4</v>
      </c>
      <c r="I108">
        <v>1678.13</v>
      </c>
      <c r="J108" s="2" t="s">
        <v>170</v>
      </c>
      <c r="K108" s="2" t="s">
        <v>74</v>
      </c>
      <c r="M108" t="s">
        <v>478</v>
      </c>
      <c r="O108" t="s">
        <v>176</v>
      </c>
      <c r="P108" s="19" t="s">
        <v>440</v>
      </c>
      <c r="Q108" s="19" t="s">
        <v>26</v>
      </c>
      <c r="S108" s="19" t="s">
        <v>138</v>
      </c>
      <c r="W108" s="20">
        <v>7</v>
      </c>
      <c r="X108" s="65" t="s">
        <v>432</v>
      </c>
      <c r="Z108" t="s">
        <v>307</v>
      </c>
      <c r="AB108" t="s">
        <v>178</v>
      </c>
      <c r="AC108" t="s">
        <v>465</v>
      </c>
      <c r="AD108" s="2" t="s">
        <v>371</v>
      </c>
    </row>
    <row r="109" spans="1:30" hidden="1" x14ac:dyDescent="0.25">
      <c r="A109" s="2">
        <v>24</v>
      </c>
      <c r="B109" t="s">
        <v>468</v>
      </c>
      <c r="C109">
        <v>50</v>
      </c>
      <c r="D109">
        <v>1130</v>
      </c>
      <c r="E109">
        <v>1990</v>
      </c>
      <c r="F109" t="s">
        <v>172</v>
      </c>
      <c r="G109" s="2" t="s">
        <v>156</v>
      </c>
      <c r="H109">
        <v>2</v>
      </c>
      <c r="I109">
        <v>1765.23</v>
      </c>
      <c r="J109" s="2" t="s">
        <v>170</v>
      </c>
      <c r="K109" s="2" t="s">
        <v>74</v>
      </c>
      <c r="M109" t="s">
        <v>478</v>
      </c>
      <c r="P109" s="19" t="s">
        <v>440</v>
      </c>
      <c r="Q109" s="19" t="s">
        <v>26</v>
      </c>
      <c r="S109" s="19" t="s">
        <v>138</v>
      </c>
      <c r="W109" s="20">
        <v>7</v>
      </c>
      <c r="X109" s="65" t="s">
        <v>432</v>
      </c>
      <c r="Z109" t="s">
        <v>307</v>
      </c>
      <c r="AB109" t="s">
        <v>178</v>
      </c>
      <c r="AC109" t="s">
        <v>470</v>
      </c>
      <c r="AD109" s="2" t="s">
        <v>361</v>
      </c>
    </row>
    <row r="110" spans="1:30" hidden="1" x14ac:dyDescent="0.25">
      <c r="A110" s="2">
        <v>25</v>
      </c>
      <c r="B110" t="s">
        <v>471</v>
      </c>
      <c r="C110">
        <v>50</v>
      </c>
      <c r="D110">
        <v>1130</v>
      </c>
      <c r="E110">
        <v>1990</v>
      </c>
      <c r="F110" t="s">
        <v>172</v>
      </c>
      <c r="G110" s="2" t="s">
        <v>156</v>
      </c>
      <c r="H110">
        <v>2</v>
      </c>
      <c r="I110">
        <v>1765.23</v>
      </c>
      <c r="J110" s="2" t="s">
        <v>170</v>
      </c>
      <c r="K110" s="2" t="s">
        <v>74</v>
      </c>
      <c r="M110" t="s">
        <v>478</v>
      </c>
      <c r="P110" s="19" t="s">
        <v>440</v>
      </c>
      <c r="Q110" s="19" t="s">
        <v>26</v>
      </c>
      <c r="S110" s="19" t="s">
        <v>138</v>
      </c>
      <c r="W110" s="20">
        <v>7</v>
      </c>
      <c r="X110" s="65" t="s">
        <v>432</v>
      </c>
      <c r="Z110" t="s">
        <v>307</v>
      </c>
      <c r="AB110" t="s">
        <v>178</v>
      </c>
      <c r="AC110" t="s">
        <v>470</v>
      </c>
      <c r="AD110" s="2" t="s">
        <v>361</v>
      </c>
    </row>
    <row r="111" spans="1:30" hidden="1" x14ac:dyDescent="0.25">
      <c r="A111" s="2">
        <v>26</v>
      </c>
      <c r="B111" t="s">
        <v>472</v>
      </c>
      <c r="C111">
        <v>50</v>
      </c>
      <c r="D111">
        <v>1130</v>
      </c>
      <c r="E111">
        <v>1990</v>
      </c>
      <c r="F111" t="s">
        <v>172</v>
      </c>
      <c r="G111" s="2" t="s">
        <v>156</v>
      </c>
      <c r="H111">
        <v>2</v>
      </c>
      <c r="I111">
        <v>1765.23</v>
      </c>
      <c r="J111" s="2" t="s">
        <v>170</v>
      </c>
      <c r="K111" s="2" t="s">
        <v>74</v>
      </c>
      <c r="M111" t="s">
        <v>478</v>
      </c>
      <c r="P111" s="19" t="s">
        <v>440</v>
      </c>
      <c r="Q111" s="19" t="s">
        <v>26</v>
      </c>
      <c r="S111" s="19" t="s">
        <v>138</v>
      </c>
      <c r="W111" s="20">
        <v>7</v>
      </c>
      <c r="X111" s="65" t="s">
        <v>432</v>
      </c>
      <c r="Z111" t="s">
        <v>307</v>
      </c>
      <c r="AB111" t="s">
        <v>178</v>
      </c>
      <c r="AC111" t="s">
        <v>470</v>
      </c>
      <c r="AD111" s="2" t="s">
        <v>361</v>
      </c>
    </row>
    <row r="112" spans="1:30" hidden="1" x14ac:dyDescent="0.25">
      <c r="A112" s="2">
        <v>27</v>
      </c>
      <c r="B112" t="s">
        <v>458</v>
      </c>
      <c r="C112">
        <v>50</v>
      </c>
      <c r="D112">
        <v>300</v>
      </c>
      <c r="E112">
        <v>350</v>
      </c>
      <c r="F112" t="s">
        <v>364</v>
      </c>
      <c r="G112" s="2" t="s">
        <v>156</v>
      </c>
      <c r="H112">
        <v>1</v>
      </c>
      <c r="I112">
        <v>41.21</v>
      </c>
      <c r="J112" s="2" t="s">
        <v>170</v>
      </c>
      <c r="K112" s="2" t="s">
        <v>74</v>
      </c>
      <c r="M112" t="s">
        <v>478</v>
      </c>
      <c r="P112" s="19" t="s">
        <v>440</v>
      </c>
      <c r="Q112" s="19" t="s">
        <v>27</v>
      </c>
      <c r="S112" s="19" t="s">
        <v>138</v>
      </c>
      <c r="W112" s="20">
        <v>7</v>
      </c>
      <c r="X112" s="65" t="s">
        <v>432</v>
      </c>
      <c r="Z112" t="s">
        <v>307</v>
      </c>
      <c r="AB112" t="s">
        <v>178</v>
      </c>
      <c r="AC112" t="s">
        <v>474</v>
      </c>
      <c r="AD112" s="2" t="s">
        <v>475</v>
      </c>
    </row>
    <row r="113" spans="1:30" hidden="1" x14ac:dyDescent="0.25">
      <c r="A113" s="2">
        <v>28</v>
      </c>
      <c r="B113" t="s">
        <v>458</v>
      </c>
      <c r="C113">
        <v>50</v>
      </c>
      <c r="D113">
        <v>300</v>
      </c>
      <c r="E113">
        <v>350</v>
      </c>
      <c r="F113" t="s">
        <v>364</v>
      </c>
      <c r="G113" s="2" t="s">
        <v>156</v>
      </c>
      <c r="H113">
        <v>1</v>
      </c>
      <c r="I113">
        <v>41.21</v>
      </c>
      <c r="J113" s="2" t="s">
        <v>170</v>
      </c>
      <c r="K113" s="2" t="s">
        <v>74</v>
      </c>
      <c r="M113" t="s">
        <v>478</v>
      </c>
      <c r="P113" s="19" t="s">
        <v>440</v>
      </c>
      <c r="Q113" s="19" t="s">
        <v>27</v>
      </c>
      <c r="S113" s="19" t="s">
        <v>138</v>
      </c>
      <c r="W113" s="20">
        <v>7</v>
      </c>
      <c r="X113" s="65" t="s">
        <v>432</v>
      </c>
      <c r="Z113" t="s">
        <v>307</v>
      </c>
      <c r="AB113" t="s">
        <v>178</v>
      </c>
      <c r="AC113" t="s">
        <v>476</v>
      </c>
      <c r="AD113" s="2" t="s">
        <v>477</v>
      </c>
    </row>
    <row r="114" spans="1:30" hidden="1" x14ac:dyDescent="0.25">
      <c r="A114" s="2">
        <v>1</v>
      </c>
      <c r="B114" t="s">
        <v>482</v>
      </c>
      <c r="C114">
        <v>25</v>
      </c>
      <c r="D114">
        <v>350</v>
      </c>
      <c r="E114">
        <v>1030</v>
      </c>
      <c r="F114" t="s">
        <v>172</v>
      </c>
      <c r="G114" s="2" t="s">
        <v>156</v>
      </c>
      <c r="H114">
        <v>2</v>
      </c>
      <c r="I114">
        <v>141.5</v>
      </c>
      <c r="J114" s="2" t="s">
        <v>170</v>
      </c>
      <c r="K114" s="2" t="s">
        <v>74</v>
      </c>
      <c r="M114" t="s">
        <v>503</v>
      </c>
      <c r="P114" s="19" t="s">
        <v>485</v>
      </c>
      <c r="Q114" s="19" t="s">
        <v>26</v>
      </c>
      <c r="S114" s="19" t="s">
        <v>138</v>
      </c>
      <c r="W114" s="20">
        <v>8</v>
      </c>
      <c r="X114" s="65" t="s">
        <v>484</v>
      </c>
      <c r="Z114" t="s">
        <v>307</v>
      </c>
      <c r="AB114" t="s">
        <v>178</v>
      </c>
      <c r="AC114" t="s">
        <v>483</v>
      </c>
      <c r="AD114" s="2" t="s">
        <v>439</v>
      </c>
    </row>
    <row r="115" spans="1:30" hidden="1" x14ac:dyDescent="0.25">
      <c r="A115" s="2">
        <v>2</v>
      </c>
      <c r="B115" t="s">
        <v>486</v>
      </c>
      <c r="C115">
        <v>25</v>
      </c>
      <c r="D115">
        <v>65</v>
      </c>
      <c r="E115">
        <v>188</v>
      </c>
      <c r="F115" t="s">
        <v>172</v>
      </c>
      <c r="G115" s="2" t="s">
        <v>156</v>
      </c>
      <c r="H115">
        <v>4</v>
      </c>
      <c r="I115">
        <v>9.59</v>
      </c>
      <c r="J115" s="2" t="s">
        <v>170</v>
      </c>
      <c r="K115" s="2" t="s">
        <v>74</v>
      </c>
      <c r="M115" t="s">
        <v>503</v>
      </c>
      <c r="P115" s="19" t="s">
        <v>485</v>
      </c>
      <c r="Q115" s="19" t="s">
        <v>25</v>
      </c>
      <c r="S115" s="19" t="s">
        <v>138</v>
      </c>
      <c r="W115" s="20">
        <v>8</v>
      </c>
      <c r="X115" s="65" t="s">
        <v>484</v>
      </c>
      <c r="Z115" t="s">
        <v>307</v>
      </c>
      <c r="AB115" t="s">
        <v>178</v>
      </c>
      <c r="AC115" t="s">
        <v>483</v>
      </c>
      <c r="AD115" s="2" t="s">
        <v>439</v>
      </c>
    </row>
    <row r="116" spans="1:30" hidden="1" x14ac:dyDescent="0.25">
      <c r="A116" s="2">
        <v>3</v>
      </c>
      <c r="B116" t="s">
        <v>487</v>
      </c>
      <c r="C116">
        <v>25</v>
      </c>
      <c r="D116">
        <v>65</v>
      </c>
      <c r="E116">
        <v>346</v>
      </c>
      <c r="F116" t="s">
        <v>172</v>
      </c>
      <c r="G116" s="2" t="s">
        <v>156</v>
      </c>
      <c r="H116">
        <v>4</v>
      </c>
      <c r="I116">
        <v>11.08</v>
      </c>
      <c r="J116" s="2" t="s">
        <v>170</v>
      </c>
      <c r="K116" s="2" t="s">
        <v>74</v>
      </c>
      <c r="M116" t="s">
        <v>503</v>
      </c>
      <c r="P116" s="19" t="s">
        <v>485</v>
      </c>
      <c r="Q116" s="19" t="s">
        <v>25</v>
      </c>
      <c r="S116" s="19" t="s">
        <v>138</v>
      </c>
      <c r="W116" s="20">
        <v>8</v>
      </c>
      <c r="X116" s="65" t="s">
        <v>484</v>
      </c>
      <c r="Z116" t="s">
        <v>307</v>
      </c>
      <c r="AB116" t="s">
        <v>178</v>
      </c>
      <c r="AC116" t="s">
        <v>483</v>
      </c>
      <c r="AD116" s="2" t="s">
        <v>439</v>
      </c>
    </row>
    <row r="117" spans="1:30" hidden="1" x14ac:dyDescent="0.25">
      <c r="A117" s="2">
        <v>4</v>
      </c>
      <c r="B117" t="s">
        <v>488</v>
      </c>
      <c r="C117">
        <v>25</v>
      </c>
      <c r="D117">
        <v>350</v>
      </c>
      <c r="E117">
        <v>1030</v>
      </c>
      <c r="F117" t="s">
        <v>172</v>
      </c>
      <c r="G117" s="2" t="s">
        <v>156</v>
      </c>
      <c r="H117">
        <v>2</v>
      </c>
      <c r="I117">
        <v>141.5</v>
      </c>
      <c r="J117" s="2" t="s">
        <v>170</v>
      </c>
      <c r="K117" s="2" t="s">
        <v>74</v>
      </c>
      <c r="M117" t="s">
        <v>503</v>
      </c>
      <c r="P117" s="19" t="s">
        <v>485</v>
      </c>
      <c r="Q117" s="19" t="s">
        <v>26</v>
      </c>
      <c r="S117" s="19" t="s">
        <v>138</v>
      </c>
      <c r="W117" s="20">
        <v>8</v>
      </c>
      <c r="X117" s="65" t="s">
        <v>484</v>
      </c>
      <c r="Z117" t="s">
        <v>307</v>
      </c>
      <c r="AB117" t="s">
        <v>178</v>
      </c>
      <c r="AC117" t="s">
        <v>483</v>
      </c>
      <c r="AD117" s="2" t="s">
        <v>439</v>
      </c>
    </row>
    <row r="118" spans="1:30" hidden="1" x14ac:dyDescent="0.25">
      <c r="A118" s="2">
        <v>5</v>
      </c>
      <c r="B118" t="s">
        <v>489</v>
      </c>
      <c r="C118">
        <v>25</v>
      </c>
      <c r="D118">
        <v>65</v>
      </c>
      <c r="E118">
        <v>188</v>
      </c>
      <c r="F118" t="s">
        <v>172</v>
      </c>
      <c r="G118" s="2" t="s">
        <v>156</v>
      </c>
      <c r="H118">
        <v>4</v>
      </c>
      <c r="I118">
        <v>9.59</v>
      </c>
      <c r="J118" s="2" t="s">
        <v>170</v>
      </c>
      <c r="K118" s="2" t="s">
        <v>74</v>
      </c>
      <c r="M118" t="s">
        <v>503</v>
      </c>
      <c r="P118" s="19" t="s">
        <v>485</v>
      </c>
      <c r="Q118" s="19" t="s">
        <v>25</v>
      </c>
      <c r="S118" s="19" t="s">
        <v>138</v>
      </c>
      <c r="W118" s="20">
        <v>8</v>
      </c>
      <c r="X118" s="65" t="s">
        <v>484</v>
      </c>
      <c r="Z118" t="s">
        <v>307</v>
      </c>
      <c r="AB118" t="s">
        <v>178</v>
      </c>
      <c r="AC118" t="s">
        <v>483</v>
      </c>
      <c r="AD118" s="2" t="s">
        <v>439</v>
      </c>
    </row>
    <row r="119" spans="1:30" hidden="1" x14ac:dyDescent="0.25">
      <c r="A119" s="2">
        <v>6</v>
      </c>
      <c r="B119" t="s">
        <v>490</v>
      </c>
      <c r="C119">
        <v>50</v>
      </c>
      <c r="D119">
        <v>1130</v>
      </c>
      <c r="E119">
        <v>1990</v>
      </c>
      <c r="F119" t="s">
        <v>172</v>
      </c>
      <c r="G119" s="2" t="s">
        <v>156</v>
      </c>
      <c r="H119">
        <v>2</v>
      </c>
      <c r="I119">
        <v>1765.23</v>
      </c>
      <c r="J119" s="2" t="s">
        <v>170</v>
      </c>
      <c r="K119" s="2" t="s">
        <v>74</v>
      </c>
      <c r="M119" t="s">
        <v>503</v>
      </c>
      <c r="P119" s="19" t="s">
        <v>485</v>
      </c>
      <c r="Q119" s="19" t="s">
        <v>26</v>
      </c>
      <c r="S119" s="19" t="s">
        <v>138</v>
      </c>
      <c r="W119" s="20">
        <v>8</v>
      </c>
      <c r="X119" s="65" t="s">
        <v>484</v>
      </c>
      <c r="Z119" t="s">
        <v>307</v>
      </c>
      <c r="AB119" t="s">
        <v>178</v>
      </c>
      <c r="AC119" t="s">
        <v>492</v>
      </c>
      <c r="AD119" s="2" t="s">
        <v>470</v>
      </c>
    </row>
    <row r="120" spans="1:30" hidden="1" x14ac:dyDescent="0.25">
      <c r="A120" s="2">
        <v>7</v>
      </c>
      <c r="B120" t="s">
        <v>493</v>
      </c>
      <c r="C120">
        <v>50</v>
      </c>
      <c r="D120">
        <v>1160</v>
      </c>
      <c r="E120">
        <v>1940</v>
      </c>
      <c r="F120" t="s">
        <v>257</v>
      </c>
      <c r="G120" s="2" t="s">
        <v>156</v>
      </c>
      <c r="H120">
        <v>3</v>
      </c>
      <c r="I120">
        <v>2133.58</v>
      </c>
      <c r="J120" s="2" t="s">
        <v>170</v>
      </c>
      <c r="K120" s="2" t="s">
        <v>74</v>
      </c>
      <c r="M120" t="s">
        <v>503</v>
      </c>
      <c r="P120" s="19" t="s">
        <v>485</v>
      </c>
      <c r="Q120" s="19" t="s">
        <v>26</v>
      </c>
      <c r="S120" s="19" t="s">
        <v>138</v>
      </c>
      <c r="W120" s="20">
        <v>8</v>
      </c>
      <c r="X120" s="65" t="s">
        <v>484</v>
      </c>
      <c r="Z120" t="s">
        <v>307</v>
      </c>
      <c r="AB120" t="s">
        <v>178</v>
      </c>
      <c r="AC120" t="s">
        <v>494</v>
      </c>
      <c r="AD120" s="2" t="s">
        <v>462</v>
      </c>
    </row>
    <row r="121" spans="1:30" hidden="1" x14ac:dyDescent="0.25">
      <c r="A121" s="2">
        <v>8</v>
      </c>
      <c r="B121" t="s">
        <v>495</v>
      </c>
      <c r="C121">
        <v>50</v>
      </c>
      <c r="D121">
        <v>1160</v>
      </c>
      <c r="E121">
        <v>1940</v>
      </c>
      <c r="F121" t="s">
        <v>257</v>
      </c>
      <c r="G121" s="2" t="s">
        <v>156</v>
      </c>
      <c r="H121">
        <v>1</v>
      </c>
      <c r="I121">
        <v>711.19</v>
      </c>
      <c r="J121" s="2" t="s">
        <v>170</v>
      </c>
      <c r="K121" s="2" t="s">
        <v>74</v>
      </c>
      <c r="M121" t="s">
        <v>503</v>
      </c>
      <c r="P121" s="19" t="s">
        <v>485</v>
      </c>
      <c r="Q121" s="19" t="s">
        <v>26</v>
      </c>
      <c r="R121" s="19" t="s">
        <v>138</v>
      </c>
      <c r="W121" s="20">
        <v>8</v>
      </c>
      <c r="X121" s="65" t="s">
        <v>484</v>
      </c>
      <c r="Z121" t="s">
        <v>307</v>
      </c>
      <c r="AB121" t="s">
        <v>178</v>
      </c>
      <c r="AC121" t="s">
        <v>496</v>
      </c>
      <c r="AD121" s="2" t="s">
        <v>180</v>
      </c>
    </row>
    <row r="122" spans="1:30" hidden="1" x14ac:dyDescent="0.25">
      <c r="A122" s="2">
        <v>9</v>
      </c>
      <c r="B122" t="s">
        <v>497</v>
      </c>
      <c r="C122">
        <v>50</v>
      </c>
      <c r="D122">
        <v>1160</v>
      </c>
      <c r="E122">
        <v>1940</v>
      </c>
      <c r="F122" t="s">
        <v>257</v>
      </c>
      <c r="G122" s="2" t="s">
        <v>156</v>
      </c>
      <c r="H122">
        <v>2</v>
      </c>
      <c r="I122">
        <v>1422.39</v>
      </c>
      <c r="J122" s="2" t="s">
        <v>170</v>
      </c>
      <c r="K122" s="2" t="s">
        <v>74</v>
      </c>
      <c r="M122" t="s">
        <v>503</v>
      </c>
      <c r="P122" s="19" t="s">
        <v>485</v>
      </c>
      <c r="Q122" s="19" t="s">
        <v>26</v>
      </c>
      <c r="R122" s="19" t="s">
        <v>138</v>
      </c>
      <c r="W122" s="20">
        <v>8</v>
      </c>
      <c r="X122" s="65" t="s">
        <v>484</v>
      </c>
      <c r="Z122" t="s">
        <v>307</v>
      </c>
      <c r="AB122" t="s">
        <v>178</v>
      </c>
      <c r="AC122" t="s">
        <v>498</v>
      </c>
      <c r="AD122" s="2" t="s">
        <v>180</v>
      </c>
    </row>
    <row r="123" spans="1:30" hidden="1" x14ac:dyDescent="0.25">
      <c r="A123" s="2">
        <v>10</v>
      </c>
      <c r="B123" t="s">
        <v>499</v>
      </c>
      <c r="C123">
        <v>50</v>
      </c>
      <c r="D123">
        <v>1160</v>
      </c>
      <c r="E123">
        <v>1940</v>
      </c>
      <c r="F123" t="s">
        <v>257</v>
      </c>
      <c r="G123" s="2" t="s">
        <v>156</v>
      </c>
      <c r="H123">
        <v>4</v>
      </c>
      <c r="I123">
        <v>2844.78</v>
      </c>
      <c r="J123" s="2" t="s">
        <v>170</v>
      </c>
      <c r="K123" s="2" t="s">
        <v>74</v>
      </c>
      <c r="M123" t="s">
        <v>503</v>
      </c>
      <c r="P123" s="19" t="s">
        <v>485</v>
      </c>
      <c r="Q123" s="19" t="s">
        <v>26</v>
      </c>
      <c r="R123" s="19" t="s">
        <v>138</v>
      </c>
      <c r="W123" s="20">
        <v>8</v>
      </c>
      <c r="X123" s="65" t="s">
        <v>484</v>
      </c>
      <c r="Z123" t="s">
        <v>307</v>
      </c>
      <c r="AB123" t="s">
        <v>178</v>
      </c>
      <c r="AC123" t="s">
        <v>498</v>
      </c>
      <c r="AD123" s="2" t="s">
        <v>180</v>
      </c>
    </row>
    <row r="124" spans="1:30" hidden="1" x14ac:dyDescent="0.25">
      <c r="A124" s="2">
        <v>11</v>
      </c>
      <c r="B124" t="s">
        <v>497</v>
      </c>
      <c r="C124">
        <v>50</v>
      </c>
      <c r="D124">
        <v>1160</v>
      </c>
      <c r="E124">
        <v>1940</v>
      </c>
      <c r="F124" t="s">
        <v>257</v>
      </c>
      <c r="G124" s="2" t="s">
        <v>156</v>
      </c>
      <c r="H124">
        <v>2</v>
      </c>
      <c r="I124">
        <v>1422.39</v>
      </c>
      <c r="J124" s="2" t="s">
        <v>170</v>
      </c>
      <c r="K124" s="2" t="s">
        <v>74</v>
      </c>
      <c r="M124" t="s">
        <v>503</v>
      </c>
      <c r="P124" s="19" t="s">
        <v>485</v>
      </c>
      <c r="Q124" s="19" t="s">
        <v>26</v>
      </c>
      <c r="R124" s="19" t="s">
        <v>138</v>
      </c>
      <c r="W124" s="20">
        <v>8</v>
      </c>
      <c r="X124" s="65" t="s">
        <v>484</v>
      </c>
      <c r="Z124" t="s">
        <v>307</v>
      </c>
      <c r="AB124" t="s">
        <v>178</v>
      </c>
      <c r="AC124" t="s">
        <v>500</v>
      </c>
      <c r="AD124" s="2" t="s">
        <v>180</v>
      </c>
    </row>
    <row r="125" spans="1:30" hidden="1" x14ac:dyDescent="0.25">
      <c r="A125" s="2">
        <v>12</v>
      </c>
      <c r="B125" t="s">
        <v>495</v>
      </c>
      <c r="C125">
        <v>50</v>
      </c>
      <c r="D125">
        <v>1160</v>
      </c>
      <c r="E125">
        <v>1940</v>
      </c>
      <c r="F125" t="s">
        <v>257</v>
      </c>
      <c r="G125" s="2" t="s">
        <v>156</v>
      </c>
      <c r="H125">
        <v>3</v>
      </c>
      <c r="I125">
        <v>2133.58</v>
      </c>
      <c r="J125" s="2" t="s">
        <v>170</v>
      </c>
      <c r="K125" s="2" t="s">
        <v>74</v>
      </c>
      <c r="M125" t="s">
        <v>503</v>
      </c>
      <c r="P125" s="19" t="s">
        <v>485</v>
      </c>
      <c r="Q125" s="19" t="s">
        <v>26</v>
      </c>
      <c r="R125" s="19" t="s">
        <v>138</v>
      </c>
      <c r="W125" s="20">
        <v>8</v>
      </c>
      <c r="X125" s="65" t="s">
        <v>484</v>
      </c>
      <c r="Z125" t="s">
        <v>307</v>
      </c>
      <c r="AB125" t="s">
        <v>178</v>
      </c>
      <c r="AC125" t="s">
        <v>500</v>
      </c>
      <c r="AD125" s="2" t="s">
        <v>180</v>
      </c>
    </row>
    <row r="126" spans="1:30" hidden="1" x14ac:dyDescent="0.25">
      <c r="A126" s="2">
        <v>13</v>
      </c>
      <c r="B126" t="s">
        <v>493</v>
      </c>
      <c r="C126">
        <v>50</v>
      </c>
      <c r="D126">
        <v>1160</v>
      </c>
      <c r="E126">
        <v>1940</v>
      </c>
      <c r="F126" t="s">
        <v>257</v>
      </c>
      <c r="G126" s="2" t="s">
        <v>156</v>
      </c>
      <c r="H126">
        <v>1</v>
      </c>
      <c r="I126">
        <v>711.19</v>
      </c>
      <c r="J126" s="2" t="s">
        <v>170</v>
      </c>
      <c r="K126" s="2" t="s">
        <v>74</v>
      </c>
      <c r="M126" t="s">
        <v>503</v>
      </c>
      <c r="P126" s="19" t="s">
        <v>485</v>
      </c>
      <c r="Q126" s="19" t="s">
        <v>26</v>
      </c>
      <c r="R126" s="19" t="s">
        <v>138</v>
      </c>
      <c r="W126" s="20">
        <v>8</v>
      </c>
      <c r="X126" s="65" t="s">
        <v>484</v>
      </c>
      <c r="Z126" t="s">
        <v>307</v>
      </c>
      <c r="AB126" t="s">
        <v>178</v>
      </c>
      <c r="AC126" t="s">
        <v>500</v>
      </c>
      <c r="AD126" s="2" t="s">
        <v>180</v>
      </c>
    </row>
    <row r="127" spans="1:30" hidden="1" x14ac:dyDescent="0.25">
      <c r="A127" s="2">
        <v>14</v>
      </c>
      <c r="B127" t="s">
        <v>501</v>
      </c>
      <c r="C127">
        <v>50</v>
      </c>
      <c r="D127">
        <v>1160</v>
      </c>
      <c r="E127">
        <v>1210</v>
      </c>
      <c r="F127" t="s">
        <v>172</v>
      </c>
      <c r="G127" s="2" t="s">
        <v>156</v>
      </c>
      <c r="H127">
        <v>4</v>
      </c>
      <c r="I127">
        <v>1678.13</v>
      </c>
      <c r="J127" s="2" t="s">
        <v>170</v>
      </c>
      <c r="K127" s="2" t="s">
        <v>74</v>
      </c>
      <c r="M127" t="s">
        <v>503</v>
      </c>
      <c r="O127" t="s">
        <v>176</v>
      </c>
      <c r="P127" s="19" t="s">
        <v>485</v>
      </c>
      <c r="Q127" s="19" t="s">
        <v>26</v>
      </c>
      <c r="R127" s="19" t="s">
        <v>138</v>
      </c>
      <c r="W127" s="20">
        <v>8</v>
      </c>
      <c r="X127" s="65" t="s">
        <v>484</v>
      </c>
      <c r="Z127" t="s">
        <v>307</v>
      </c>
      <c r="AB127" t="s">
        <v>178</v>
      </c>
      <c r="AC127" t="s">
        <v>502</v>
      </c>
      <c r="AD127" s="2" t="s">
        <v>180</v>
      </c>
    </row>
    <row r="128" spans="1:30" hidden="1" x14ac:dyDescent="0.25">
      <c r="A128" s="2">
        <v>1</v>
      </c>
      <c r="B128" t="s">
        <v>505</v>
      </c>
      <c r="C128">
        <v>12</v>
      </c>
      <c r="D128">
        <v>275</v>
      </c>
      <c r="E128">
        <v>300</v>
      </c>
      <c r="F128" t="s">
        <v>273</v>
      </c>
      <c r="G128" s="2" t="s">
        <v>156</v>
      </c>
      <c r="H128">
        <v>80</v>
      </c>
      <c r="I128">
        <v>536.98</v>
      </c>
      <c r="J128" s="2" t="s">
        <v>170</v>
      </c>
      <c r="K128" s="2" t="s">
        <v>74</v>
      </c>
      <c r="M128" t="s">
        <v>540</v>
      </c>
      <c r="P128" s="19" t="s">
        <v>507</v>
      </c>
      <c r="Q128" s="19" t="s">
        <v>25</v>
      </c>
      <c r="R128" s="19" t="s">
        <v>138</v>
      </c>
      <c r="W128" s="20">
        <v>9</v>
      </c>
      <c r="X128" s="65" t="s">
        <v>484</v>
      </c>
      <c r="Z128" t="s">
        <v>307</v>
      </c>
      <c r="AB128" t="s">
        <v>178</v>
      </c>
      <c r="AC128" t="s">
        <v>506</v>
      </c>
      <c r="AD128" s="2" t="s">
        <v>180</v>
      </c>
    </row>
    <row r="129" spans="1:30" hidden="1" x14ac:dyDescent="0.25">
      <c r="A129" s="2">
        <v>2</v>
      </c>
      <c r="B129" t="s">
        <v>508</v>
      </c>
      <c r="C129">
        <v>12</v>
      </c>
      <c r="D129">
        <v>295</v>
      </c>
      <c r="E129">
        <v>300</v>
      </c>
      <c r="F129" t="s">
        <v>273</v>
      </c>
      <c r="G129" s="2" t="s">
        <v>156</v>
      </c>
      <c r="H129">
        <v>28</v>
      </c>
      <c r="I129">
        <v>196.38</v>
      </c>
      <c r="J129" s="2" t="s">
        <v>170</v>
      </c>
      <c r="K129" s="2" t="s">
        <v>74</v>
      </c>
      <c r="M129" t="s">
        <v>540</v>
      </c>
      <c r="P129" s="19" t="s">
        <v>507</v>
      </c>
      <c r="Q129" s="19" t="s">
        <v>25</v>
      </c>
      <c r="R129" s="19" t="s">
        <v>138</v>
      </c>
      <c r="W129" s="20">
        <v>9</v>
      </c>
      <c r="X129" s="65" t="s">
        <v>484</v>
      </c>
      <c r="Z129" t="s">
        <v>307</v>
      </c>
      <c r="AB129" t="s">
        <v>178</v>
      </c>
      <c r="AC129" t="s">
        <v>506</v>
      </c>
      <c r="AD129" s="2" t="s">
        <v>180</v>
      </c>
    </row>
    <row r="130" spans="1:30" hidden="1" x14ac:dyDescent="0.25">
      <c r="A130" s="2">
        <v>3</v>
      </c>
      <c r="B130" t="s">
        <v>509</v>
      </c>
      <c r="C130">
        <v>12</v>
      </c>
      <c r="D130">
        <v>75</v>
      </c>
      <c r="E130">
        <v>75</v>
      </c>
      <c r="F130" t="s">
        <v>273</v>
      </c>
      <c r="G130" s="2" t="s">
        <v>156</v>
      </c>
      <c r="H130">
        <v>4</v>
      </c>
      <c r="I130">
        <v>2.12</v>
      </c>
      <c r="J130" s="2" t="s">
        <v>170</v>
      </c>
      <c r="K130" s="2" t="s">
        <v>74</v>
      </c>
      <c r="M130" t="s">
        <v>540</v>
      </c>
      <c r="P130" s="19" t="s">
        <v>507</v>
      </c>
      <c r="Q130" s="19" t="s">
        <v>25</v>
      </c>
      <c r="R130" s="19" t="s">
        <v>138</v>
      </c>
      <c r="W130" s="20">
        <v>9</v>
      </c>
      <c r="X130" s="65" t="s">
        <v>484</v>
      </c>
      <c r="Z130" t="s">
        <v>307</v>
      </c>
      <c r="AB130" t="s">
        <v>178</v>
      </c>
      <c r="AC130" t="s">
        <v>506</v>
      </c>
      <c r="AD130" s="2" t="s">
        <v>180</v>
      </c>
    </row>
    <row r="131" spans="1:30" hidden="1" x14ac:dyDescent="0.25">
      <c r="A131" s="2">
        <v>4</v>
      </c>
      <c r="B131" t="s">
        <v>510</v>
      </c>
      <c r="C131">
        <v>20</v>
      </c>
      <c r="D131">
        <v>30</v>
      </c>
      <c r="E131">
        <v>30</v>
      </c>
      <c r="F131" t="s">
        <v>172</v>
      </c>
      <c r="G131" s="2" t="s">
        <v>156</v>
      </c>
      <c r="H131">
        <v>8</v>
      </c>
      <c r="I131">
        <v>1.06</v>
      </c>
      <c r="J131" s="2" t="s">
        <v>170</v>
      </c>
      <c r="K131" s="2" t="s">
        <v>74</v>
      </c>
      <c r="M131" t="s">
        <v>540</v>
      </c>
      <c r="O131" t="s">
        <v>176</v>
      </c>
      <c r="P131" s="19" t="s">
        <v>507</v>
      </c>
      <c r="Q131" s="19" t="s">
        <v>26</v>
      </c>
      <c r="S131" s="19" t="s">
        <v>138</v>
      </c>
      <c r="W131" s="20">
        <v>9</v>
      </c>
      <c r="X131" s="65" t="s">
        <v>484</v>
      </c>
      <c r="Z131" t="s">
        <v>307</v>
      </c>
      <c r="AB131" t="s">
        <v>178</v>
      </c>
      <c r="AC131" t="s">
        <v>512</v>
      </c>
      <c r="AD131" s="2" t="s">
        <v>342</v>
      </c>
    </row>
    <row r="132" spans="1:30" hidden="1" x14ac:dyDescent="0.25">
      <c r="A132" s="2">
        <v>5</v>
      </c>
      <c r="B132" t="s">
        <v>513</v>
      </c>
      <c r="C132">
        <v>20</v>
      </c>
      <c r="D132">
        <v>250</v>
      </c>
      <c r="E132">
        <v>2658</v>
      </c>
      <c r="F132" t="s">
        <v>172</v>
      </c>
      <c r="G132" s="2" t="s">
        <v>156</v>
      </c>
      <c r="H132">
        <v>4</v>
      </c>
      <c r="I132">
        <v>417.12</v>
      </c>
      <c r="J132" s="2" t="s">
        <v>170</v>
      </c>
      <c r="K132" s="2" t="s">
        <v>74</v>
      </c>
      <c r="M132" t="s">
        <v>540</v>
      </c>
      <c r="P132" s="19" t="s">
        <v>507</v>
      </c>
      <c r="Q132" s="19" t="s">
        <v>25</v>
      </c>
      <c r="S132" s="19" t="s">
        <v>138</v>
      </c>
      <c r="W132" s="20">
        <v>9</v>
      </c>
      <c r="X132" s="65" t="s">
        <v>484</v>
      </c>
      <c r="Z132" t="s">
        <v>307</v>
      </c>
      <c r="AB132" t="s">
        <v>178</v>
      </c>
      <c r="AC132" t="s">
        <v>512</v>
      </c>
      <c r="AD132" s="2" t="s">
        <v>342</v>
      </c>
    </row>
    <row r="133" spans="1:30" hidden="1" x14ac:dyDescent="0.25">
      <c r="A133" s="2">
        <v>6</v>
      </c>
      <c r="B133" t="s">
        <v>514</v>
      </c>
      <c r="C133">
        <v>20</v>
      </c>
      <c r="D133">
        <v>250</v>
      </c>
      <c r="E133">
        <v>2638</v>
      </c>
      <c r="F133" t="s">
        <v>172</v>
      </c>
      <c r="G133" s="2" t="s">
        <v>156</v>
      </c>
      <c r="H133">
        <v>10</v>
      </c>
      <c r="I133">
        <v>1034.96</v>
      </c>
      <c r="J133" s="2" t="s">
        <v>170</v>
      </c>
      <c r="K133" s="2" t="s">
        <v>74</v>
      </c>
      <c r="M133" t="s">
        <v>540</v>
      </c>
      <c r="P133" s="19" t="s">
        <v>507</v>
      </c>
      <c r="Q133" s="19" t="s">
        <v>25</v>
      </c>
      <c r="S133" s="19" t="s">
        <v>138</v>
      </c>
      <c r="W133" s="20">
        <v>9</v>
      </c>
      <c r="X133" s="65" t="s">
        <v>484</v>
      </c>
      <c r="Z133" t="s">
        <v>307</v>
      </c>
      <c r="AB133" t="s">
        <v>178</v>
      </c>
      <c r="AC133" t="s">
        <v>512</v>
      </c>
      <c r="AD133" s="2" t="s">
        <v>342</v>
      </c>
    </row>
    <row r="134" spans="1:30" hidden="1" x14ac:dyDescent="0.25">
      <c r="A134" s="2">
        <v>7</v>
      </c>
      <c r="B134" t="s">
        <v>515</v>
      </c>
      <c r="C134">
        <v>25</v>
      </c>
      <c r="D134">
        <v>65</v>
      </c>
      <c r="E134">
        <v>346</v>
      </c>
      <c r="F134" t="s">
        <v>172</v>
      </c>
      <c r="G134" s="2" t="s">
        <v>156</v>
      </c>
      <c r="H134">
        <v>2</v>
      </c>
      <c r="I134">
        <v>8.65</v>
      </c>
      <c r="J134" s="2" t="s">
        <v>170</v>
      </c>
      <c r="K134" s="2" t="s">
        <v>74</v>
      </c>
      <c r="M134" t="s">
        <v>540</v>
      </c>
      <c r="P134" s="19" t="s">
        <v>507</v>
      </c>
      <c r="Q134" s="19" t="s">
        <v>25</v>
      </c>
      <c r="S134" s="19" t="s">
        <v>138</v>
      </c>
      <c r="W134" s="20">
        <v>9</v>
      </c>
      <c r="X134" s="65" t="s">
        <v>484</v>
      </c>
      <c r="Z134" t="s">
        <v>307</v>
      </c>
      <c r="AB134" t="s">
        <v>178</v>
      </c>
      <c r="AC134" t="s">
        <v>516</v>
      </c>
      <c r="AD134" s="2" t="s">
        <v>483</v>
      </c>
    </row>
    <row r="135" spans="1:30" hidden="1" x14ac:dyDescent="0.25">
      <c r="A135" s="2">
        <v>8</v>
      </c>
      <c r="B135" t="s">
        <v>517</v>
      </c>
      <c r="C135">
        <v>25</v>
      </c>
      <c r="D135">
        <v>65</v>
      </c>
      <c r="E135">
        <v>188</v>
      </c>
      <c r="F135" t="s">
        <v>172</v>
      </c>
      <c r="G135" s="2" t="s">
        <v>156</v>
      </c>
      <c r="H135">
        <v>2</v>
      </c>
      <c r="I135">
        <v>4.62</v>
      </c>
      <c r="J135" s="2" t="s">
        <v>170</v>
      </c>
      <c r="K135" s="2" t="s">
        <v>74</v>
      </c>
      <c r="M135" t="s">
        <v>540</v>
      </c>
      <c r="P135" s="19" t="s">
        <v>507</v>
      </c>
      <c r="Q135" s="19" t="s">
        <v>25</v>
      </c>
      <c r="S135" s="19" t="s">
        <v>138</v>
      </c>
      <c r="W135" s="20">
        <v>9</v>
      </c>
      <c r="X135" s="65" t="s">
        <v>484</v>
      </c>
      <c r="Z135" t="s">
        <v>307</v>
      </c>
      <c r="AB135" t="s">
        <v>178</v>
      </c>
      <c r="AC135" t="s">
        <v>516</v>
      </c>
      <c r="AD135" s="2" t="s">
        <v>483</v>
      </c>
    </row>
    <row r="136" spans="1:30" hidden="1" x14ac:dyDescent="0.25">
      <c r="A136" s="2">
        <v>9</v>
      </c>
      <c r="B136" t="s">
        <v>518</v>
      </c>
      <c r="C136">
        <v>25</v>
      </c>
      <c r="D136">
        <v>65</v>
      </c>
      <c r="E136">
        <v>346</v>
      </c>
      <c r="F136" t="s">
        <v>172</v>
      </c>
      <c r="G136" s="2" t="s">
        <v>156</v>
      </c>
      <c r="H136">
        <v>2</v>
      </c>
      <c r="I136">
        <v>5.39</v>
      </c>
      <c r="J136" s="2" t="s">
        <v>170</v>
      </c>
      <c r="K136" s="2" t="s">
        <v>74</v>
      </c>
      <c r="M136" t="s">
        <v>540</v>
      </c>
      <c r="P136" s="19" t="s">
        <v>507</v>
      </c>
      <c r="Q136" s="19" t="s">
        <v>25</v>
      </c>
      <c r="S136" s="19" t="s">
        <v>138</v>
      </c>
      <c r="W136" s="20">
        <v>9</v>
      </c>
      <c r="X136" s="65" t="s">
        <v>484</v>
      </c>
      <c r="Z136" t="s">
        <v>307</v>
      </c>
      <c r="AB136" t="s">
        <v>178</v>
      </c>
      <c r="AC136" t="s">
        <v>516</v>
      </c>
      <c r="AD136" s="2" t="s">
        <v>483</v>
      </c>
    </row>
    <row r="137" spans="1:30" hidden="1" x14ac:dyDescent="0.25">
      <c r="A137" s="2">
        <v>10</v>
      </c>
      <c r="B137" t="s">
        <v>519</v>
      </c>
      <c r="C137">
        <v>25</v>
      </c>
      <c r="D137">
        <v>330</v>
      </c>
      <c r="E137">
        <v>1218</v>
      </c>
      <c r="F137" t="s">
        <v>172</v>
      </c>
      <c r="G137" s="2" t="s">
        <v>156</v>
      </c>
      <c r="H137">
        <v>2</v>
      </c>
      <c r="I137">
        <v>157.69</v>
      </c>
      <c r="J137" s="2" t="s">
        <v>170</v>
      </c>
      <c r="K137" s="2" t="s">
        <v>74</v>
      </c>
      <c r="M137" t="s">
        <v>540</v>
      </c>
      <c r="P137" s="19" t="s">
        <v>507</v>
      </c>
      <c r="Q137" s="19" t="s">
        <v>25</v>
      </c>
      <c r="S137" s="19" t="s">
        <v>138</v>
      </c>
      <c r="W137" s="20">
        <v>9</v>
      </c>
      <c r="X137" s="65" t="s">
        <v>484</v>
      </c>
      <c r="Z137" t="s">
        <v>307</v>
      </c>
      <c r="AB137" t="s">
        <v>178</v>
      </c>
      <c r="AC137" t="s">
        <v>516</v>
      </c>
      <c r="AD137" s="2" t="s">
        <v>483</v>
      </c>
    </row>
    <row r="138" spans="1:30" hidden="1" x14ac:dyDescent="0.25">
      <c r="A138" s="2">
        <v>11</v>
      </c>
      <c r="B138" t="s">
        <v>520</v>
      </c>
      <c r="C138">
        <v>32</v>
      </c>
      <c r="D138">
        <v>2660</v>
      </c>
      <c r="E138">
        <v>14134</v>
      </c>
      <c r="F138" t="s">
        <v>172</v>
      </c>
      <c r="G138" s="2" t="s">
        <v>156</v>
      </c>
      <c r="H138">
        <v>1</v>
      </c>
      <c r="I138">
        <v>9173.23</v>
      </c>
      <c r="J138" s="2" t="s">
        <v>170</v>
      </c>
      <c r="K138" s="2" t="s">
        <v>74</v>
      </c>
      <c r="M138" t="s">
        <v>540</v>
      </c>
      <c r="P138" s="19" t="s">
        <v>507</v>
      </c>
      <c r="Q138" s="19" t="s">
        <v>27</v>
      </c>
      <c r="R138" s="19" t="s">
        <v>138</v>
      </c>
      <c r="V138" s="19" t="s">
        <v>138</v>
      </c>
      <c r="W138" s="20">
        <v>9</v>
      </c>
      <c r="X138" s="65" t="s">
        <v>484</v>
      </c>
      <c r="Z138" t="s">
        <v>307</v>
      </c>
      <c r="AB138" t="s">
        <v>178</v>
      </c>
      <c r="AC138" t="s">
        <v>522</v>
      </c>
      <c r="AD138" s="2" t="s">
        <v>180</v>
      </c>
    </row>
    <row r="139" spans="1:30" hidden="1" x14ac:dyDescent="0.25">
      <c r="A139" s="2">
        <v>12</v>
      </c>
      <c r="B139" t="s">
        <v>523</v>
      </c>
      <c r="C139">
        <v>32</v>
      </c>
      <c r="D139">
        <v>2660</v>
      </c>
      <c r="E139">
        <v>13686</v>
      </c>
      <c r="F139" t="s">
        <v>172</v>
      </c>
      <c r="G139" s="2" t="s">
        <v>156</v>
      </c>
      <c r="H139">
        <v>1</v>
      </c>
      <c r="I139">
        <v>8877.4</v>
      </c>
      <c r="J139" s="2" t="s">
        <v>170</v>
      </c>
      <c r="K139" s="2" t="s">
        <v>74</v>
      </c>
      <c r="M139" t="s">
        <v>540</v>
      </c>
      <c r="P139" s="19" t="s">
        <v>507</v>
      </c>
      <c r="Q139" s="19" t="s">
        <v>27</v>
      </c>
      <c r="R139" s="19" t="s">
        <v>138</v>
      </c>
      <c r="V139" s="19" t="s">
        <v>138</v>
      </c>
      <c r="W139" s="20">
        <v>9</v>
      </c>
      <c r="X139" s="65" t="s">
        <v>484</v>
      </c>
      <c r="Z139" t="s">
        <v>307</v>
      </c>
      <c r="AB139" t="s">
        <v>178</v>
      </c>
      <c r="AC139" t="s">
        <v>525</v>
      </c>
      <c r="AD139" s="2" t="s">
        <v>180</v>
      </c>
    </row>
    <row r="140" spans="1:30" hidden="1" x14ac:dyDescent="0.25">
      <c r="A140" s="2">
        <v>13</v>
      </c>
      <c r="B140" t="s">
        <v>526</v>
      </c>
      <c r="C140">
        <v>40</v>
      </c>
      <c r="D140">
        <v>834</v>
      </c>
      <c r="E140">
        <v>2658</v>
      </c>
      <c r="F140" t="s">
        <v>273</v>
      </c>
      <c r="G140" s="2" t="s">
        <v>156</v>
      </c>
      <c r="H140">
        <v>4</v>
      </c>
      <c r="I140">
        <v>1989.59</v>
      </c>
      <c r="J140" s="2" t="s">
        <v>170</v>
      </c>
      <c r="K140" s="2" t="s">
        <v>74</v>
      </c>
      <c r="M140" t="s">
        <v>540</v>
      </c>
      <c r="O140" t="s">
        <v>176</v>
      </c>
      <c r="P140" s="19" t="s">
        <v>507</v>
      </c>
      <c r="Q140" s="19" t="s">
        <v>26</v>
      </c>
      <c r="S140" s="19" t="s">
        <v>138</v>
      </c>
      <c r="W140" s="20">
        <v>9</v>
      </c>
      <c r="X140" s="65" t="s">
        <v>484</v>
      </c>
      <c r="Z140" t="s">
        <v>307</v>
      </c>
      <c r="AB140" t="s">
        <v>178</v>
      </c>
      <c r="AC140" t="s">
        <v>527</v>
      </c>
      <c r="AD140" s="2" t="s">
        <v>421</v>
      </c>
    </row>
    <row r="141" spans="1:30" hidden="1" x14ac:dyDescent="0.25">
      <c r="A141" s="2">
        <v>14</v>
      </c>
      <c r="B141" t="s">
        <v>528</v>
      </c>
      <c r="C141">
        <v>50</v>
      </c>
      <c r="D141">
        <v>964</v>
      </c>
      <c r="E141">
        <v>2638</v>
      </c>
      <c r="F141" t="s">
        <v>172</v>
      </c>
      <c r="G141" s="2" t="s">
        <v>156</v>
      </c>
      <c r="H141">
        <v>1</v>
      </c>
      <c r="I141">
        <v>712.82</v>
      </c>
      <c r="J141" s="2" t="s">
        <v>170</v>
      </c>
      <c r="K141" s="2" t="s">
        <v>74</v>
      </c>
      <c r="M141" t="s">
        <v>540</v>
      </c>
      <c r="O141" t="s">
        <v>176</v>
      </c>
      <c r="P141" s="19" t="s">
        <v>507</v>
      </c>
      <c r="Q141" s="19" t="s">
        <v>26</v>
      </c>
      <c r="S141" s="19" t="s">
        <v>138</v>
      </c>
      <c r="W141" s="20">
        <v>9</v>
      </c>
      <c r="X141" s="65" t="s">
        <v>484</v>
      </c>
      <c r="Z141" t="s">
        <v>307</v>
      </c>
      <c r="AB141" t="s">
        <v>178</v>
      </c>
      <c r="AC141" t="s">
        <v>530</v>
      </c>
      <c r="AD141" s="2" t="s">
        <v>424</v>
      </c>
    </row>
    <row r="142" spans="1:30" hidden="1" x14ac:dyDescent="0.25">
      <c r="A142" s="2">
        <v>15</v>
      </c>
      <c r="B142" t="s">
        <v>528</v>
      </c>
      <c r="C142">
        <v>50</v>
      </c>
      <c r="D142">
        <v>964</v>
      </c>
      <c r="E142">
        <v>2638</v>
      </c>
      <c r="F142" t="s">
        <v>172</v>
      </c>
      <c r="G142" s="2" t="s">
        <v>156</v>
      </c>
      <c r="H142">
        <v>3</v>
      </c>
      <c r="I142">
        <v>2138.4499999999998</v>
      </c>
      <c r="J142" s="2" t="s">
        <v>170</v>
      </c>
      <c r="K142" s="2" t="s">
        <v>74</v>
      </c>
      <c r="M142" t="s">
        <v>540</v>
      </c>
      <c r="O142" t="s">
        <v>176</v>
      </c>
      <c r="P142" s="19" t="s">
        <v>507</v>
      </c>
      <c r="Q142" s="19" t="s">
        <v>26</v>
      </c>
      <c r="R142" s="19" t="s">
        <v>138</v>
      </c>
      <c r="W142" s="20">
        <v>9</v>
      </c>
      <c r="X142" s="65" t="s">
        <v>484</v>
      </c>
      <c r="Z142" t="s">
        <v>307</v>
      </c>
      <c r="AB142" t="s">
        <v>178</v>
      </c>
      <c r="AC142" t="s">
        <v>531</v>
      </c>
      <c r="AD142" s="2" t="s">
        <v>180</v>
      </c>
    </row>
    <row r="143" spans="1:30" hidden="1" x14ac:dyDescent="0.25">
      <c r="A143" s="2">
        <v>16</v>
      </c>
      <c r="B143" t="s">
        <v>532</v>
      </c>
      <c r="C143">
        <v>60</v>
      </c>
      <c r="D143">
        <v>1080</v>
      </c>
      <c r="E143">
        <v>4910</v>
      </c>
      <c r="F143" t="s">
        <v>172</v>
      </c>
      <c r="G143" s="2" t="s">
        <v>156</v>
      </c>
      <c r="H143">
        <v>2</v>
      </c>
      <c r="I143">
        <v>4995.24</v>
      </c>
      <c r="J143" s="2" t="s">
        <v>170</v>
      </c>
      <c r="K143" s="2" t="s">
        <v>74</v>
      </c>
      <c r="M143" t="s">
        <v>540</v>
      </c>
      <c r="P143" s="19" t="s">
        <v>507</v>
      </c>
      <c r="Q143" s="19" t="s">
        <v>27</v>
      </c>
      <c r="S143" s="19" t="s">
        <v>138</v>
      </c>
      <c r="W143" s="20">
        <v>9</v>
      </c>
      <c r="X143" s="65" t="s">
        <v>484</v>
      </c>
      <c r="Z143" t="s">
        <v>307</v>
      </c>
      <c r="AB143" t="s">
        <v>178</v>
      </c>
      <c r="AC143" t="s">
        <v>534</v>
      </c>
      <c r="AD143" s="2" t="s">
        <v>428</v>
      </c>
    </row>
    <row r="144" spans="1:30" hidden="1" x14ac:dyDescent="0.25">
      <c r="A144" s="2">
        <v>17</v>
      </c>
      <c r="B144" t="s">
        <v>535</v>
      </c>
      <c r="C144">
        <v>60</v>
      </c>
      <c r="D144">
        <v>1080</v>
      </c>
      <c r="E144">
        <v>2810</v>
      </c>
      <c r="F144" t="s">
        <v>172</v>
      </c>
      <c r="G144" s="2" t="s">
        <v>156</v>
      </c>
      <c r="H144">
        <v>2</v>
      </c>
      <c r="I144">
        <v>2858.78</v>
      </c>
      <c r="J144" s="2" t="s">
        <v>170</v>
      </c>
      <c r="K144" s="2" t="s">
        <v>74</v>
      </c>
      <c r="M144" t="s">
        <v>540</v>
      </c>
      <c r="P144" s="19" t="s">
        <v>507</v>
      </c>
      <c r="Q144" s="19" t="s">
        <v>27</v>
      </c>
      <c r="S144" s="19" t="s">
        <v>138</v>
      </c>
      <c r="W144" s="20">
        <v>9</v>
      </c>
      <c r="X144" s="65" t="s">
        <v>484</v>
      </c>
      <c r="Z144" t="s">
        <v>307</v>
      </c>
      <c r="AB144" t="s">
        <v>178</v>
      </c>
      <c r="AC144" t="s">
        <v>534</v>
      </c>
      <c r="AD144" s="2" t="s">
        <v>428</v>
      </c>
    </row>
    <row r="145" spans="1:30" hidden="1" x14ac:dyDescent="0.25">
      <c r="A145" s="2">
        <v>18</v>
      </c>
      <c r="B145" t="s">
        <v>536</v>
      </c>
      <c r="C145">
        <v>80</v>
      </c>
      <c r="D145">
        <v>1200</v>
      </c>
      <c r="E145">
        <v>17998</v>
      </c>
      <c r="F145" t="s">
        <v>273</v>
      </c>
      <c r="G145" s="2" t="s">
        <v>156</v>
      </c>
      <c r="H145">
        <v>1</v>
      </c>
      <c r="I145">
        <v>13503.16</v>
      </c>
      <c r="J145" s="2" t="s">
        <v>170</v>
      </c>
      <c r="K145" s="2" t="s">
        <v>74</v>
      </c>
      <c r="M145" t="s">
        <v>540</v>
      </c>
      <c r="P145" s="19" t="s">
        <v>507</v>
      </c>
      <c r="Q145" s="19" t="s">
        <v>27</v>
      </c>
      <c r="R145" s="19" t="s">
        <v>138</v>
      </c>
      <c r="V145" s="19" t="s">
        <v>138</v>
      </c>
      <c r="W145" s="20">
        <v>9</v>
      </c>
      <c r="X145" s="65" t="s">
        <v>484</v>
      </c>
      <c r="Z145" t="s">
        <v>307</v>
      </c>
      <c r="AB145" t="s">
        <v>178</v>
      </c>
      <c r="AC145" t="s">
        <v>538</v>
      </c>
      <c r="AD145" s="2" t="s">
        <v>180</v>
      </c>
    </row>
    <row r="146" spans="1:30" hidden="1" x14ac:dyDescent="0.25">
      <c r="A146" s="2">
        <v>19</v>
      </c>
      <c r="B146" t="s">
        <v>536</v>
      </c>
      <c r="C146">
        <v>80</v>
      </c>
      <c r="D146">
        <v>1200</v>
      </c>
      <c r="E146">
        <v>17998</v>
      </c>
      <c r="F146" t="s">
        <v>273</v>
      </c>
      <c r="G146" s="2" t="s">
        <v>156</v>
      </c>
      <c r="H146">
        <v>1</v>
      </c>
      <c r="I146">
        <v>13503.16</v>
      </c>
      <c r="J146" s="2" t="s">
        <v>170</v>
      </c>
      <c r="K146" s="2" t="s">
        <v>74</v>
      </c>
      <c r="M146" t="s">
        <v>540</v>
      </c>
      <c r="P146" s="19" t="s">
        <v>507</v>
      </c>
      <c r="Q146" s="19" t="s">
        <v>27</v>
      </c>
      <c r="R146" s="19" t="s">
        <v>138</v>
      </c>
      <c r="V146" s="19" t="s">
        <v>138</v>
      </c>
      <c r="W146" s="20">
        <v>9</v>
      </c>
      <c r="X146" s="65" t="s">
        <v>484</v>
      </c>
      <c r="Z146" t="s">
        <v>307</v>
      </c>
      <c r="AB146" t="s">
        <v>178</v>
      </c>
      <c r="AC146" t="s">
        <v>539</v>
      </c>
      <c r="AD146" s="2" t="s">
        <v>180</v>
      </c>
    </row>
    <row r="147" spans="1:30" hidden="1" x14ac:dyDescent="0.25">
      <c r="A147" s="2">
        <v>1</v>
      </c>
      <c r="B147" t="s">
        <v>545</v>
      </c>
      <c r="C147">
        <v>20</v>
      </c>
      <c r="D147">
        <v>260</v>
      </c>
      <c r="E147">
        <v>660</v>
      </c>
      <c r="F147" t="s">
        <v>115</v>
      </c>
      <c r="G147" s="2" t="s">
        <v>156</v>
      </c>
      <c r="H147">
        <v>4</v>
      </c>
      <c r="I147">
        <v>102.22</v>
      </c>
      <c r="J147" s="2" t="s">
        <v>170</v>
      </c>
      <c r="K147" s="2" t="s">
        <v>74</v>
      </c>
      <c r="M147" t="s">
        <v>575</v>
      </c>
      <c r="O147" t="s">
        <v>176</v>
      </c>
      <c r="P147" s="19" t="s">
        <v>551</v>
      </c>
      <c r="Q147" s="19" t="s">
        <v>26</v>
      </c>
      <c r="S147" s="19" t="s">
        <v>138</v>
      </c>
      <c r="W147" s="20">
        <v>10</v>
      </c>
      <c r="X147" s="65" t="s">
        <v>549</v>
      </c>
      <c r="Z147" t="s">
        <v>307</v>
      </c>
      <c r="AB147" t="s">
        <v>550</v>
      </c>
      <c r="AC147" t="s">
        <v>548</v>
      </c>
      <c r="AD147" s="2" t="s">
        <v>552</v>
      </c>
    </row>
    <row r="148" spans="1:30" hidden="1" x14ac:dyDescent="0.25">
      <c r="A148" s="2">
        <v>2</v>
      </c>
      <c r="B148" t="s">
        <v>553</v>
      </c>
      <c r="C148">
        <v>20</v>
      </c>
      <c r="D148">
        <v>180</v>
      </c>
      <c r="E148">
        <v>180</v>
      </c>
      <c r="F148" t="s">
        <v>115</v>
      </c>
      <c r="G148" s="2" t="s">
        <v>156</v>
      </c>
      <c r="H148">
        <v>12</v>
      </c>
      <c r="I148">
        <v>39.619999999999997</v>
      </c>
      <c r="J148" s="2" t="s">
        <v>170</v>
      </c>
      <c r="K148" s="2" t="s">
        <v>74</v>
      </c>
      <c r="M148" t="s">
        <v>575</v>
      </c>
      <c r="O148" t="s">
        <v>176</v>
      </c>
      <c r="P148" s="19" t="s">
        <v>551</v>
      </c>
      <c r="Q148" s="19" t="s">
        <v>26</v>
      </c>
      <c r="S148" s="19" t="s">
        <v>138</v>
      </c>
      <c r="W148" s="20">
        <v>10</v>
      </c>
      <c r="X148" s="65" t="s">
        <v>549</v>
      </c>
      <c r="Z148" t="s">
        <v>307</v>
      </c>
      <c r="AB148" t="s">
        <v>550</v>
      </c>
      <c r="AC148" t="s">
        <v>548</v>
      </c>
      <c r="AD148" s="2" t="s">
        <v>552</v>
      </c>
    </row>
    <row r="149" spans="1:30" hidden="1" x14ac:dyDescent="0.25">
      <c r="A149" s="2">
        <v>3</v>
      </c>
      <c r="B149" t="s">
        <v>555</v>
      </c>
      <c r="C149">
        <v>20</v>
      </c>
      <c r="D149">
        <v>180</v>
      </c>
      <c r="E149">
        <v>180</v>
      </c>
      <c r="F149" t="s">
        <v>115</v>
      </c>
      <c r="G149" s="2" t="s">
        <v>156</v>
      </c>
      <c r="H149">
        <v>4</v>
      </c>
      <c r="I149">
        <v>13.21</v>
      </c>
      <c r="J149" s="2" t="s">
        <v>170</v>
      </c>
      <c r="K149" s="2" t="s">
        <v>74</v>
      </c>
      <c r="M149" t="s">
        <v>575</v>
      </c>
      <c r="O149" t="s">
        <v>176</v>
      </c>
      <c r="P149" s="19" t="s">
        <v>551</v>
      </c>
      <c r="Q149" s="19" t="s">
        <v>26</v>
      </c>
      <c r="S149" s="19" t="s">
        <v>138</v>
      </c>
      <c r="W149" s="20">
        <v>10</v>
      </c>
      <c r="X149" s="65" t="s">
        <v>549</v>
      </c>
      <c r="Z149" t="s">
        <v>307</v>
      </c>
      <c r="AB149" t="s">
        <v>550</v>
      </c>
      <c r="AC149" t="s">
        <v>548</v>
      </c>
      <c r="AD149" s="2" t="s">
        <v>552</v>
      </c>
    </row>
    <row r="150" spans="1:30" hidden="1" x14ac:dyDescent="0.25">
      <c r="A150" s="2">
        <v>4</v>
      </c>
      <c r="B150" t="s">
        <v>556</v>
      </c>
      <c r="C150">
        <v>20</v>
      </c>
      <c r="D150">
        <v>180</v>
      </c>
      <c r="E150">
        <v>180</v>
      </c>
      <c r="F150" t="s">
        <v>115</v>
      </c>
      <c r="G150" s="2" t="s">
        <v>156</v>
      </c>
      <c r="H150">
        <v>8</v>
      </c>
      <c r="I150">
        <v>26.41</v>
      </c>
      <c r="J150" s="2" t="s">
        <v>170</v>
      </c>
      <c r="K150" s="2" t="s">
        <v>74</v>
      </c>
      <c r="M150" t="s">
        <v>575</v>
      </c>
      <c r="O150" t="s">
        <v>176</v>
      </c>
      <c r="P150" s="19" t="s">
        <v>551</v>
      </c>
      <c r="Q150" s="19" t="s">
        <v>26</v>
      </c>
      <c r="S150" s="19" t="s">
        <v>138</v>
      </c>
      <c r="W150" s="20">
        <v>10</v>
      </c>
      <c r="X150" s="65" t="s">
        <v>549</v>
      </c>
      <c r="Z150" t="s">
        <v>307</v>
      </c>
      <c r="AB150" t="s">
        <v>550</v>
      </c>
      <c r="AC150" t="s">
        <v>548</v>
      </c>
      <c r="AD150" s="2" t="s">
        <v>552</v>
      </c>
    </row>
    <row r="151" spans="1:30" hidden="1" x14ac:dyDescent="0.25">
      <c r="A151" s="2">
        <v>5</v>
      </c>
      <c r="B151" t="s">
        <v>557</v>
      </c>
      <c r="C151">
        <v>20</v>
      </c>
      <c r="D151">
        <v>300</v>
      </c>
      <c r="E151">
        <v>380</v>
      </c>
      <c r="F151" t="s">
        <v>115</v>
      </c>
      <c r="G151" s="2" t="s">
        <v>156</v>
      </c>
      <c r="H151">
        <v>4</v>
      </c>
      <c r="I151">
        <v>65.430000000000007</v>
      </c>
      <c r="J151" s="2" t="s">
        <v>170</v>
      </c>
      <c r="K151" s="2" t="s">
        <v>74</v>
      </c>
      <c r="M151" t="s">
        <v>575</v>
      </c>
      <c r="O151" t="s">
        <v>176</v>
      </c>
      <c r="P151" s="19" t="s">
        <v>551</v>
      </c>
      <c r="Q151" s="19" t="s">
        <v>26</v>
      </c>
      <c r="S151" s="19" t="s">
        <v>138</v>
      </c>
      <c r="W151" s="20">
        <v>10</v>
      </c>
      <c r="X151" s="65" t="s">
        <v>549</v>
      </c>
      <c r="Z151" t="s">
        <v>307</v>
      </c>
      <c r="AB151" t="s">
        <v>550</v>
      </c>
      <c r="AC151" t="s">
        <v>548</v>
      </c>
      <c r="AD151" s="2" t="s">
        <v>552</v>
      </c>
    </row>
    <row r="152" spans="1:30" hidden="1" x14ac:dyDescent="0.25">
      <c r="A152" s="2">
        <v>6</v>
      </c>
      <c r="B152" t="s">
        <v>559</v>
      </c>
      <c r="C152">
        <v>20</v>
      </c>
      <c r="D152">
        <v>50</v>
      </c>
      <c r="E152">
        <v>490</v>
      </c>
      <c r="F152" t="s">
        <v>115</v>
      </c>
      <c r="G152" s="2" t="s">
        <v>156</v>
      </c>
      <c r="H152">
        <v>8</v>
      </c>
      <c r="I152">
        <v>30.77</v>
      </c>
      <c r="J152" s="2" t="s">
        <v>170</v>
      </c>
      <c r="K152" s="2" t="s">
        <v>74</v>
      </c>
      <c r="M152" t="s">
        <v>575</v>
      </c>
      <c r="P152" s="19" t="s">
        <v>551</v>
      </c>
      <c r="Q152" s="19" t="s">
        <v>25</v>
      </c>
      <c r="S152" s="19" t="s">
        <v>138</v>
      </c>
      <c r="W152" s="20">
        <v>10</v>
      </c>
      <c r="X152" s="65" t="s">
        <v>549</v>
      </c>
      <c r="Z152" t="s">
        <v>307</v>
      </c>
      <c r="AB152" t="s">
        <v>550</v>
      </c>
      <c r="AC152" t="s">
        <v>548</v>
      </c>
      <c r="AD152" s="2" t="s">
        <v>552</v>
      </c>
    </row>
    <row r="153" spans="1:30" hidden="1" x14ac:dyDescent="0.25">
      <c r="A153" s="2">
        <v>7</v>
      </c>
      <c r="B153" t="s">
        <v>561</v>
      </c>
      <c r="C153">
        <v>20</v>
      </c>
      <c r="D153">
        <v>50</v>
      </c>
      <c r="E153">
        <v>100</v>
      </c>
      <c r="F153" t="s">
        <v>115</v>
      </c>
      <c r="G153" s="2" t="s">
        <v>156</v>
      </c>
      <c r="H153">
        <v>8</v>
      </c>
      <c r="I153">
        <v>6.28</v>
      </c>
      <c r="J153" s="2" t="s">
        <v>170</v>
      </c>
      <c r="K153" s="2" t="s">
        <v>74</v>
      </c>
      <c r="M153" t="s">
        <v>575</v>
      </c>
      <c r="P153" s="19" t="s">
        <v>551</v>
      </c>
      <c r="Q153" s="19" t="s">
        <v>25</v>
      </c>
      <c r="S153" s="19" t="s">
        <v>138</v>
      </c>
      <c r="W153" s="20">
        <v>10</v>
      </c>
      <c r="X153" s="65" t="s">
        <v>549</v>
      </c>
      <c r="Z153" t="s">
        <v>307</v>
      </c>
      <c r="AB153" t="s">
        <v>550</v>
      </c>
      <c r="AC153" t="s">
        <v>548</v>
      </c>
      <c r="AD153" s="2" t="s">
        <v>552</v>
      </c>
    </row>
    <row r="154" spans="1:30" hidden="1" x14ac:dyDescent="0.25">
      <c r="A154" s="2">
        <v>8</v>
      </c>
      <c r="B154" t="s">
        <v>563</v>
      </c>
      <c r="C154">
        <v>20</v>
      </c>
      <c r="D154">
        <v>50</v>
      </c>
      <c r="E154">
        <v>400</v>
      </c>
      <c r="F154" t="s">
        <v>115</v>
      </c>
      <c r="G154" s="2" t="s">
        <v>156</v>
      </c>
      <c r="H154">
        <v>8</v>
      </c>
      <c r="I154">
        <v>25.12</v>
      </c>
      <c r="J154" s="2" t="s">
        <v>170</v>
      </c>
      <c r="K154" s="2" t="s">
        <v>74</v>
      </c>
      <c r="M154" t="s">
        <v>575</v>
      </c>
      <c r="P154" s="19" t="s">
        <v>551</v>
      </c>
      <c r="Q154" s="19" t="s">
        <v>25</v>
      </c>
      <c r="S154" s="19" t="s">
        <v>138</v>
      </c>
      <c r="W154" s="20">
        <v>10</v>
      </c>
      <c r="X154" s="65" t="s">
        <v>549</v>
      </c>
      <c r="Z154" t="s">
        <v>307</v>
      </c>
      <c r="AB154" t="s">
        <v>550</v>
      </c>
      <c r="AC154" t="s">
        <v>548</v>
      </c>
      <c r="AD154" s="2" t="s">
        <v>552</v>
      </c>
    </row>
    <row r="155" spans="1:30" hidden="1" x14ac:dyDescent="0.25">
      <c r="A155" s="2">
        <v>9</v>
      </c>
      <c r="B155" t="s">
        <v>565</v>
      </c>
      <c r="C155">
        <v>30</v>
      </c>
      <c r="D155">
        <v>934</v>
      </c>
      <c r="E155">
        <v>1000</v>
      </c>
      <c r="F155" t="s">
        <v>566</v>
      </c>
      <c r="G155" s="2" t="s">
        <v>156</v>
      </c>
      <c r="H155">
        <v>2</v>
      </c>
      <c r="I155">
        <v>310.94</v>
      </c>
      <c r="J155" s="2" t="s">
        <v>170</v>
      </c>
      <c r="K155" s="2" t="s">
        <v>74</v>
      </c>
      <c r="M155" t="s">
        <v>575</v>
      </c>
      <c r="O155" t="s">
        <v>176</v>
      </c>
      <c r="P155" s="19" t="s">
        <v>551</v>
      </c>
      <c r="Q155" s="19" t="s">
        <v>26</v>
      </c>
      <c r="R155" s="19" t="s">
        <v>138</v>
      </c>
      <c r="W155" s="20">
        <v>10</v>
      </c>
      <c r="X155" s="65" t="s">
        <v>549</v>
      </c>
      <c r="Z155" t="s">
        <v>307</v>
      </c>
      <c r="AB155" t="s">
        <v>550</v>
      </c>
      <c r="AC155" t="s">
        <v>569</v>
      </c>
      <c r="AD155" s="2" t="s">
        <v>180</v>
      </c>
    </row>
    <row r="156" spans="1:30" hidden="1" x14ac:dyDescent="0.25">
      <c r="A156" s="2">
        <v>10</v>
      </c>
      <c r="B156" t="s">
        <v>570</v>
      </c>
      <c r="C156">
        <v>30</v>
      </c>
      <c r="D156">
        <v>934</v>
      </c>
      <c r="E156">
        <v>995</v>
      </c>
      <c r="F156" t="s">
        <v>566</v>
      </c>
      <c r="G156" s="2" t="s">
        <v>156</v>
      </c>
      <c r="H156">
        <v>2</v>
      </c>
      <c r="I156">
        <v>305.05</v>
      </c>
      <c r="J156" s="2" t="s">
        <v>170</v>
      </c>
      <c r="K156" s="2" t="s">
        <v>74</v>
      </c>
      <c r="M156" t="s">
        <v>575</v>
      </c>
      <c r="O156" t="s">
        <v>176</v>
      </c>
      <c r="P156" s="19" t="s">
        <v>551</v>
      </c>
      <c r="Q156" s="19" t="s">
        <v>26</v>
      </c>
      <c r="R156" s="19" t="s">
        <v>138</v>
      </c>
      <c r="W156" s="20">
        <v>10</v>
      </c>
      <c r="X156" s="65" t="s">
        <v>549</v>
      </c>
      <c r="Z156" t="s">
        <v>307</v>
      </c>
      <c r="AB156" t="s">
        <v>550</v>
      </c>
      <c r="AC156" t="s">
        <v>569</v>
      </c>
      <c r="AD156" s="2" t="s">
        <v>180</v>
      </c>
    </row>
    <row r="157" spans="1:30" hidden="1" x14ac:dyDescent="0.25">
      <c r="A157" s="2">
        <v>11</v>
      </c>
      <c r="B157" t="s">
        <v>572</v>
      </c>
      <c r="C157">
        <v>30</v>
      </c>
      <c r="D157">
        <v>811</v>
      </c>
      <c r="E157">
        <v>945</v>
      </c>
      <c r="F157" t="s">
        <v>566</v>
      </c>
      <c r="G157" s="2" t="s">
        <v>156</v>
      </c>
      <c r="H157">
        <v>4</v>
      </c>
      <c r="I157">
        <v>486.82</v>
      </c>
      <c r="J157" s="2" t="s">
        <v>170</v>
      </c>
      <c r="K157" s="2" t="s">
        <v>74</v>
      </c>
      <c r="M157" t="s">
        <v>575</v>
      </c>
      <c r="O157" t="s">
        <v>176</v>
      </c>
      <c r="P157" s="19" t="s">
        <v>551</v>
      </c>
      <c r="Q157" s="19" t="s">
        <v>26</v>
      </c>
      <c r="R157" s="19" t="s">
        <v>138</v>
      </c>
      <c r="W157" s="20">
        <v>10</v>
      </c>
      <c r="X157" s="65" t="s">
        <v>549</v>
      </c>
      <c r="Z157" t="s">
        <v>307</v>
      </c>
      <c r="AB157" t="s">
        <v>550</v>
      </c>
      <c r="AC157" t="s">
        <v>569</v>
      </c>
      <c r="AD157" s="2" t="s">
        <v>180</v>
      </c>
    </row>
    <row r="158" spans="1:30" hidden="1" x14ac:dyDescent="0.25">
      <c r="A158" s="2">
        <v>1</v>
      </c>
      <c r="B158" t="s">
        <v>577</v>
      </c>
      <c r="C158">
        <v>12</v>
      </c>
      <c r="D158">
        <v>275</v>
      </c>
      <c r="E158">
        <v>300</v>
      </c>
      <c r="F158" t="s">
        <v>273</v>
      </c>
      <c r="G158" s="2" t="s">
        <v>156</v>
      </c>
      <c r="H158">
        <v>25</v>
      </c>
      <c r="I158">
        <v>167.81</v>
      </c>
      <c r="J158" s="2" t="s">
        <v>170</v>
      </c>
      <c r="K158" s="2" t="s">
        <v>74</v>
      </c>
      <c r="M158" t="s">
        <v>617</v>
      </c>
      <c r="P158" s="19" t="s">
        <v>580</v>
      </c>
      <c r="Q158" s="19" t="s">
        <v>25</v>
      </c>
      <c r="S158" s="19" t="s">
        <v>138</v>
      </c>
      <c r="W158" s="20">
        <v>11</v>
      </c>
      <c r="X158" s="65" t="s">
        <v>549</v>
      </c>
      <c r="Z158" t="s">
        <v>307</v>
      </c>
      <c r="AB158" t="s">
        <v>178</v>
      </c>
      <c r="AC158" t="s">
        <v>579</v>
      </c>
      <c r="AD158" s="2" t="s">
        <v>506</v>
      </c>
    </row>
    <row r="159" spans="1:30" hidden="1" x14ac:dyDescent="0.25">
      <c r="A159" s="2">
        <v>2</v>
      </c>
      <c r="B159" t="s">
        <v>577</v>
      </c>
      <c r="C159">
        <v>12</v>
      </c>
      <c r="D159">
        <v>275</v>
      </c>
      <c r="E159">
        <v>300</v>
      </c>
      <c r="F159" t="s">
        <v>273</v>
      </c>
      <c r="G159" s="2" t="s">
        <v>156</v>
      </c>
      <c r="H159">
        <v>47</v>
      </c>
      <c r="I159">
        <v>315.48</v>
      </c>
      <c r="J159" s="2" t="s">
        <v>170</v>
      </c>
      <c r="K159" s="2" t="s">
        <v>74</v>
      </c>
      <c r="M159" t="s">
        <v>617</v>
      </c>
      <c r="P159" s="19" t="s">
        <v>580</v>
      </c>
      <c r="Q159" s="19" t="s">
        <v>25</v>
      </c>
      <c r="S159" s="19" t="s">
        <v>138</v>
      </c>
      <c r="W159" s="20">
        <v>11</v>
      </c>
      <c r="X159" s="65" t="s">
        <v>549</v>
      </c>
      <c r="Z159" t="s">
        <v>307</v>
      </c>
      <c r="AB159" t="s">
        <v>178</v>
      </c>
      <c r="AC159" t="s">
        <v>582</v>
      </c>
      <c r="AD159" s="2" t="s">
        <v>414</v>
      </c>
    </row>
    <row r="160" spans="1:30" hidden="1" x14ac:dyDescent="0.25">
      <c r="A160" s="2">
        <v>3</v>
      </c>
      <c r="B160" t="s">
        <v>577</v>
      </c>
      <c r="C160">
        <v>12</v>
      </c>
      <c r="D160">
        <v>275</v>
      </c>
      <c r="E160">
        <v>300</v>
      </c>
      <c r="F160" t="s">
        <v>172</v>
      </c>
      <c r="G160" s="2" t="s">
        <v>156</v>
      </c>
      <c r="H160">
        <v>8</v>
      </c>
      <c r="I160">
        <v>53.7</v>
      </c>
      <c r="J160" s="2" t="s">
        <v>170</v>
      </c>
      <c r="K160" s="2" t="s">
        <v>74</v>
      </c>
      <c r="M160" t="s">
        <v>617</v>
      </c>
      <c r="P160" s="19" t="s">
        <v>580</v>
      </c>
      <c r="Q160" s="19" t="s">
        <v>25</v>
      </c>
      <c r="S160" s="19" t="s">
        <v>138</v>
      </c>
      <c r="W160" s="20">
        <v>11</v>
      </c>
      <c r="X160" s="65" t="s">
        <v>549</v>
      </c>
      <c r="Z160" t="s">
        <v>307</v>
      </c>
      <c r="AB160" t="s">
        <v>178</v>
      </c>
      <c r="AC160" t="s">
        <v>584</v>
      </c>
      <c r="AD160" s="2" t="s">
        <v>340</v>
      </c>
    </row>
    <row r="161" spans="1:30" hidden="1" x14ac:dyDescent="0.25">
      <c r="A161" s="2">
        <v>4</v>
      </c>
      <c r="B161" t="s">
        <v>585</v>
      </c>
      <c r="C161">
        <v>12</v>
      </c>
      <c r="D161">
        <v>295</v>
      </c>
      <c r="E161">
        <v>300</v>
      </c>
      <c r="F161" t="s">
        <v>172</v>
      </c>
      <c r="G161" s="2" t="s">
        <v>156</v>
      </c>
      <c r="H161">
        <v>28</v>
      </c>
      <c r="I161">
        <v>196.38</v>
      </c>
      <c r="J161" s="2" t="s">
        <v>170</v>
      </c>
      <c r="K161" s="2" t="s">
        <v>74</v>
      </c>
      <c r="M161" t="s">
        <v>617</v>
      </c>
      <c r="P161" s="19" t="s">
        <v>580</v>
      </c>
      <c r="Q161" s="19" t="s">
        <v>25</v>
      </c>
      <c r="S161" s="19" t="s">
        <v>138</v>
      </c>
      <c r="W161" s="20">
        <v>11</v>
      </c>
      <c r="X161" s="65" t="s">
        <v>549</v>
      </c>
      <c r="Z161" t="s">
        <v>307</v>
      </c>
      <c r="AB161" t="s">
        <v>178</v>
      </c>
      <c r="AC161" t="s">
        <v>584</v>
      </c>
      <c r="AD161" s="2" t="s">
        <v>340</v>
      </c>
    </row>
    <row r="162" spans="1:30" hidden="1" x14ac:dyDescent="0.25">
      <c r="A162" s="2">
        <v>5</v>
      </c>
      <c r="B162" t="s">
        <v>586</v>
      </c>
      <c r="C162">
        <v>20</v>
      </c>
      <c r="D162">
        <v>30</v>
      </c>
      <c r="E162">
        <v>90</v>
      </c>
      <c r="F162" t="s">
        <v>172</v>
      </c>
      <c r="G162" s="2" t="s">
        <v>156</v>
      </c>
      <c r="H162">
        <v>4</v>
      </c>
      <c r="I162">
        <v>1.7</v>
      </c>
      <c r="J162" s="2" t="s">
        <v>170</v>
      </c>
      <c r="K162" s="2" t="s">
        <v>74</v>
      </c>
      <c r="M162" t="s">
        <v>617</v>
      </c>
      <c r="O162" t="s">
        <v>176</v>
      </c>
      <c r="P162" s="19" t="s">
        <v>580</v>
      </c>
      <c r="Q162" s="19" t="s">
        <v>26</v>
      </c>
      <c r="S162" s="19" t="s">
        <v>138</v>
      </c>
      <c r="W162" s="20">
        <v>11</v>
      </c>
      <c r="X162" s="65" t="s">
        <v>549</v>
      </c>
      <c r="Z162" t="s">
        <v>307</v>
      </c>
      <c r="AB162" t="s">
        <v>178</v>
      </c>
      <c r="AC162" t="s">
        <v>588</v>
      </c>
      <c r="AD162" s="2" t="s">
        <v>512</v>
      </c>
    </row>
    <row r="163" spans="1:30" hidden="1" x14ac:dyDescent="0.25">
      <c r="A163" s="2">
        <v>6</v>
      </c>
      <c r="B163" t="s">
        <v>589</v>
      </c>
      <c r="C163">
        <v>20</v>
      </c>
      <c r="D163">
        <v>30</v>
      </c>
      <c r="E163">
        <v>30</v>
      </c>
      <c r="F163" t="s">
        <v>172</v>
      </c>
      <c r="G163" s="2" t="s">
        <v>156</v>
      </c>
      <c r="H163">
        <v>8</v>
      </c>
      <c r="I163">
        <v>1.1299999999999999</v>
      </c>
      <c r="J163" s="2" t="s">
        <v>170</v>
      </c>
      <c r="K163" s="2" t="s">
        <v>74</v>
      </c>
      <c r="M163" t="s">
        <v>617</v>
      </c>
      <c r="O163" t="s">
        <v>176</v>
      </c>
      <c r="P163" s="19" t="s">
        <v>580</v>
      </c>
      <c r="Q163" s="19" t="s">
        <v>26</v>
      </c>
      <c r="S163" s="19" t="s">
        <v>138</v>
      </c>
      <c r="W163" s="20">
        <v>11</v>
      </c>
      <c r="X163" s="65" t="s">
        <v>549</v>
      </c>
      <c r="Z163" t="s">
        <v>307</v>
      </c>
      <c r="AB163" t="s">
        <v>178</v>
      </c>
      <c r="AC163" t="s">
        <v>588</v>
      </c>
      <c r="AD163" s="2" t="s">
        <v>512</v>
      </c>
    </row>
    <row r="164" spans="1:30" hidden="1" x14ac:dyDescent="0.25">
      <c r="A164" s="2">
        <v>7</v>
      </c>
      <c r="B164" t="s">
        <v>590</v>
      </c>
      <c r="C164">
        <v>20</v>
      </c>
      <c r="D164">
        <v>250</v>
      </c>
      <c r="E164">
        <v>2658</v>
      </c>
      <c r="F164" t="s">
        <v>172</v>
      </c>
      <c r="G164" s="2" t="s">
        <v>156</v>
      </c>
      <c r="H164">
        <v>3</v>
      </c>
      <c r="I164">
        <v>312.83999999999997</v>
      </c>
      <c r="J164" s="2" t="s">
        <v>170</v>
      </c>
      <c r="K164" s="2" t="s">
        <v>74</v>
      </c>
      <c r="M164" t="s">
        <v>617</v>
      </c>
      <c r="P164" s="19" t="s">
        <v>580</v>
      </c>
      <c r="Q164" s="19" t="s">
        <v>25</v>
      </c>
      <c r="S164" s="19" t="s">
        <v>138</v>
      </c>
      <c r="W164" s="20">
        <v>11</v>
      </c>
      <c r="X164" s="65" t="s">
        <v>549</v>
      </c>
      <c r="Z164" t="s">
        <v>307</v>
      </c>
      <c r="AB164" t="s">
        <v>178</v>
      </c>
      <c r="AC164" t="s">
        <v>588</v>
      </c>
      <c r="AD164" s="2" t="s">
        <v>512</v>
      </c>
    </row>
    <row r="165" spans="1:30" hidden="1" x14ac:dyDescent="0.25">
      <c r="A165" s="2">
        <v>8</v>
      </c>
      <c r="B165" t="s">
        <v>591</v>
      </c>
      <c r="C165">
        <v>20</v>
      </c>
      <c r="D165">
        <v>250</v>
      </c>
      <c r="E165">
        <v>2638</v>
      </c>
      <c r="F165" t="s">
        <v>172</v>
      </c>
      <c r="G165" s="2" t="s">
        <v>156</v>
      </c>
      <c r="H165">
        <v>10</v>
      </c>
      <c r="I165">
        <v>1034.96</v>
      </c>
      <c r="J165" s="2" t="s">
        <v>170</v>
      </c>
      <c r="K165" s="2" t="s">
        <v>74</v>
      </c>
      <c r="M165" t="s">
        <v>617</v>
      </c>
      <c r="P165" s="19" t="s">
        <v>580</v>
      </c>
      <c r="Q165" s="19" t="s">
        <v>25</v>
      </c>
      <c r="S165" s="19" t="s">
        <v>138</v>
      </c>
      <c r="W165" s="20">
        <v>11</v>
      </c>
      <c r="X165" s="65" t="s">
        <v>549</v>
      </c>
      <c r="Z165" t="s">
        <v>307</v>
      </c>
      <c r="AB165" t="s">
        <v>178</v>
      </c>
      <c r="AC165" t="s">
        <v>588</v>
      </c>
      <c r="AD165" s="2" t="s">
        <v>512</v>
      </c>
    </row>
    <row r="166" spans="1:30" hidden="1" x14ac:dyDescent="0.25">
      <c r="A166" s="2">
        <v>9</v>
      </c>
      <c r="B166" t="s">
        <v>592</v>
      </c>
      <c r="C166">
        <v>20</v>
      </c>
      <c r="D166">
        <v>250</v>
      </c>
      <c r="E166">
        <v>1218</v>
      </c>
      <c r="F166" t="s">
        <v>172</v>
      </c>
      <c r="G166" s="2" t="s">
        <v>156</v>
      </c>
      <c r="H166">
        <v>2</v>
      </c>
      <c r="I166">
        <v>95.53</v>
      </c>
      <c r="J166" s="2" t="s">
        <v>170</v>
      </c>
      <c r="K166" s="2" t="s">
        <v>74</v>
      </c>
      <c r="M166" t="s">
        <v>617</v>
      </c>
      <c r="P166" s="19" t="s">
        <v>580</v>
      </c>
      <c r="Q166" s="19" t="s">
        <v>25</v>
      </c>
      <c r="S166" s="19" t="s">
        <v>138</v>
      </c>
      <c r="W166" s="20">
        <v>11</v>
      </c>
      <c r="X166" s="65" t="s">
        <v>549</v>
      </c>
      <c r="Z166" t="s">
        <v>307</v>
      </c>
      <c r="AB166" t="s">
        <v>178</v>
      </c>
      <c r="AC166" t="s">
        <v>588</v>
      </c>
      <c r="AD166" s="2" t="s">
        <v>512</v>
      </c>
    </row>
    <row r="167" spans="1:30" hidden="1" x14ac:dyDescent="0.25">
      <c r="A167" s="2">
        <v>10</v>
      </c>
      <c r="B167" t="s">
        <v>590</v>
      </c>
      <c r="C167">
        <v>20</v>
      </c>
      <c r="D167">
        <v>250</v>
      </c>
      <c r="E167">
        <v>2658</v>
      </c>
      <c r="F167" t="s">
        <v>172</v>
      </c>
      <c r="G167" s="2" t="s">
        <v>156</v>
      </c>
      <c r="H167">
        <v>1</v>
      </c>
      <c r="I167">
        <v>104.28</v>
      </c>
      <c r="J167" s="2" t="s">
        <v>170</v>
      </c>
      <c r="K167" s="2" t="s">
        <v>74</v>
      </c>
      <c r="M167" t="s">
        <v>617</v>
      </c>
      <c r="P167" s="19" t="s">
        <v>580</v>
      </c>
      <c r="Q167" s="19" t="s">
        <v>25</v>
      </c>
      <c r="R167" s="19" t="s">
        <v>138</v>
      </c>
      <c r="W167" s="20">
        <v>11</v>
      </c>
      <c r="X167" s="65" t="s">
        <v>549</v>
      </c>
      <c r="Z167" t="s">
        <v>307</v>
      </c>
      <c r="AB167" t="s">
        <v>178</v>
      </c>
      <c r="AC167" t="s">
        <v>593</v>
      </c>
      <c r="AD167" s="2" t="s">
        <v>180</v>
      </c>
    </row>
    <row r="168" spans="1:30" hidden="1" x14ac:dyDescent="0.25">
      <c r="A168" s="2">
        <v>11</v>
      </c>
      <c r="B168" t="s">
        <v>594</v>
      </c>
      <c r="C168">
        <v>25</v>
      </c>
      <c r="D168">
        <v>65</v>
      </c>
      <c r="E168">
        <v>346</v>
      </c>
      <c r="F168" t="s">
        <v>172</v>
      </c>
      <c r="G168" s="2" t="s">
        <v>156</v>
      </c>
      <c r="H168">
        <v>2</v>
      </c>
      <c r="I168">
        <v>8.65</v>
      </c>
      <c r="J168" s="2" t="s">
        <v>170</v>
      </c>
      <c r="K168" s="2" t="s">
        <v>74</v>
      </c>
      <c r="M168" t="s">
        <v>617</v>
      </c>
      <c r="P168" s="19" t="s">
        <v>580</v>
      </c>
      <c r="Q168" s="19" t="s">
        <v>25</v>
      </c>
      <c r="S168" s="19" t="s">
        <v>138</v>
      </c>
      <c r="W168" s="20">
        <v>11</v>
      </c>
      <c r="X168" s="65" t="s">
        <v>549</v>
      </c>
      <c r="Z168" t="s">
        <v>307</v>
      </c>
      <c r="AB168" t="s">
        <v>178</v>
      </c>
      <c r="AC168" t="s">
        <v>595</v>
      </c>
      <c r="AD168" s="2" t="s">
        <v>516</v>
      </c>
    </row>
    <row r="169" spans="1:30" hidden="1" x14ac:dyDescent="0.25">
      <c r="A169" s="2">
        <v>12</v>
      </c>
      <c r="B169" t="s">
        <v>596</v>
      </c>
      <c r="C169">
        <v>25</v>
      </c>
      <c r="D169">
        <v>65</v>
      </c>
      <c r="E169">
        <v>188</v>
      </c>
      <c r="F169" t="s">
        <v>172</v>
      </c>
      <c r="G169" s="2" t="s">
        <v>156</v>
      </c>
      <c r="H169">
        <v>2</v>
      </c>
      <c r="I169">
        <v>4.62</v>
      </c>
      <c r="J169" s="2" t="s">
        <v>170</v>
      </c>
      <c r="K169" s="2" t="s">
        <v>74</v>
      </c>
      <c r="M169" t="s">
        <v>617</v>
      </c>
      <c r="P169" s="19" t="s">
        <v>580</v>
      </c>
      <c r="Q169" s="19" t="s">
        <v>25</v>
      </c>
      <c r="S169" s="19" t="s">
        <v>138</v>
      </c>
      <c r="W169" s="20">
        <v>11</v>
      </c>
      <c r="X169" s="65" t="s">
        <v>549</v>
      </c>
      <c r="Z169" t="s">
        <v>307</v>
      </c>
      <c r="AB169" t="s">
        <v>178</v>
      </c>
      <c r="AC169" t="s">
        <v>595</v>
      </c>
      <c r="AD169" s="2" t="s">
        <v>516</v>
      </c>
    </row>
    <row r="170" spans="1:30" hidden="1" x14ac:dyDescent="0.25">
      <c r="A170" s="2">
        <v>13</v>
      </c>
      <c r="B170" t="s">
        <v>597</v>
      </c>
      <c r="C170">
        <v>25</v>
      </c>
      <c r="D170">
        <v>65</v>
      </c>
      <c r="E170">
        <v>346</v>
      </c>
      <c r="F170" t="s">
        <v>172</v>
      </c>
      <c r="G170" s="2" t="s">
        <v>156</v>
      </c>
      <c r="H170">
        <v>2</v>
      </c>
      <c r="I170">
        <v>5.39</v>
      </c>
      <c r="J170" s="2" t="s">
        <v>170</v>
      </c>
      <c r="K170" s="2" t="s">
        <v>74</v>
      </c>
      <c r="M170" t="s">
        <v>617</v>
      </c>
      <c r="P170" s="19" t="s">
        <v>580</v>
      </c>
      <c r="Q170" s="19" t="s">
        <v>25</v>
      </c>
      <c r="S170" s="19" t="s">
        <v>138</v>
      </c>
      <c r="W170" s="20">
        <v>11</v>
      </c>
      <c r="X170" s="65" t="s">
        <v>549</v>
      </c>
      <c r="Z170" t="s">
        <v>307</v>
      </c>
      <c r="AB170" t="s">
        <v>178</v>
      </c>
      <c r="AC170" t="s">
        <v>595</v>
      </c>
      <c r="AD170" s="2" t="s">
        <v>516</v>
      </c>
    </row>
    <row r="171" spans="1:30" hidden="1" x14ac:dyDescent="0.25">
      <c r="A171" s="2">
        <v>14</v>
      </c>
      <c r="B171" t="s">
        <v>598</v>
      </c>
      <c r="C171">
        <v>32</v>
      </c>
      <c r="D171">
        <v>2660</v>
      </c>
      <c r="E171">
        <v>14134</v>
      </c>
      <c r="F171" t="s">
        <v>172</v>
      </c>
      <c r="G171" s="2" t="s">
        <v>156</v>
      </c>
      <c r="H171">
        <v>1</v>
      </c>
      <c r="I171">
        <v>9173.23</v>
      </c>
      <c r="J171" s="2" t="s">
        <v>170</v>
      </c>
      <c r="K171" s="2" t="s">
        <v>74</v>
      </c>
      <c r="M171" t="s">
        <v>617</v>
      </c>
      <c r="P171" s="19" t="s">
        <v>580</v>
      </c>
      <c r="Q171" s="19" t="s">
        <v>27</v>
      </c>
      <c r="R171" s="19" t="s">
        <v>138</v>
      </c>
      <c r="V171" s="19" t="s">
        <v>138</v>
      </c>
      <c r="W171" s="20">
        <v>11</v>
      </c>
      <c r="X171" s="65" t="s">
        <v>549</v>
      </c>
      <c r="Z171" t="s">
        <v>307</v>
      </c>
      <c r="AB171" t="s">
        <v>178</v>
      </c>
      <c r="AC171" t="s">
        <v>599</v>
      </c>
      <c r="AD171" s="2" t="s">
        <v>180</v>
      </c>
    </row>
    <row r="172" spans="1:30" hidden="1" x14ac:dyDescent="0.25">
      <c r="A172" s="2">
        <v>15</v>
      </c>
      <c r="B172" t="s">
        <v>600</v>
      </c>
      <c r="C172">
        <v>32</v>
      </c>
      <c r="D172">
        <v>2660</v>
      </c>
      <c r="E172">
        <v>13686</v>
      </c>
      <c r="F172" t="s">
        <v>172</v>
      </c>
      <c r="G172" s="2" t="s">
        <v>156</v>
      </c>
      <c r="H172">
        <v>1</v>
      </c>
      <c r="I172">
        <v>8877.4</v>
      </c>
      <c r="J172" s="2" t="s">
        <v>170</v>
      </c>
      <c r="K172" s="2" t="s">
        <v>74</v>
      </c>
      <c r="M172" t="s">
        <v>617</v>
      </c>
      <c r="P172" s="19" t="s">
        <v>580</v>
      </c>
      <c r="Q172" s="19" t="s">
        <v>27</v>
      </c>
      <c r="R172" s="19" t="s">
        <v>138</v>
      </c>
      <c r="V172" s="19" t="s">
        <v>138</v>
      </c>
      <c r="W172" s="20">
        <v>11</v>
      </c>
      <c r="X172" s="65" t="s">
        <v>549</v>
      </c>
      <c r="Z172" t="s">
        <v>307</v>
      </c>
      <c r="AB172" t="s">
        <v>178</v>
      </c>
      <c r="AC172" t="s">
        <v>601</v>
      </c>
      <c r="AD172" s="2" t="s">
        <v>180</v>
      </c>
    </row>
    <row r="173" spans="1:30" hidden="1" x14ac:dyDescent="0.25">
      <c r="A173" s="2">
        <v>16</v>
      </c>
      <c r="B173" t="s">
        <v>602</v>
      </c>
      <c r="C173">
        <v>40</v>
      </c>
      <c r="D173">
        <v>834</v>
      </c>
      <c r="E173">
        <v>2658</v>
      </c>
      <c r="F173" t="s">
        <v>273</v>
      </c>
      <c r="G173" s="2" t="s">
        <v>156</v>
      </c>
      <c r="H173">
        <v>2</v>
      </c>
      <c r="I173">
        <v>994.79</v>
      </c>
      <c r="J173" s="2" t="s">
        <v>170</v>
      </c>
      <c r="K173" s="2" t="s">
        <v>74</v>
      </c>
      <c r="M173" t="s">
        <v>617</v>
      </c>
      <c r="O173" t="s">
        <v>176</v>
      </c>
      <c r="P173" s="19" t="s">
        <v>580</v>
      </c>
      <c r="Q173" s="19" t="s">
        <v>26</v>
      </c>
      <c r="S173" s="19" t="s">
        <v>138</v>
      </c>
      <c r="W173" s="20">
        <v>11</v>
      </c>
      <c r="X173" s="65" t="s">
        <v>549</v>
      </c>
      <c r="Z173" t="s">
        <v>307</v>
      </c>
      <c r="AB173" t="s">
        <v>178</v>
      </c>
      <c r="AC173" t="s">
        <v>604</v>
      </c>
      <c r="AD173" s="2" t="s">
        <v>527</v>
      </c>
    </row>
    <row r="174" spans="1:30" hidden="1" x14ac:dyDescent="0.25">
      <c r="A174" s="2">
        <v>17</v>
      </c>
      <c r="B174" t="s">
        <v>605</v>
      </c>
      <c r="C174">
        <v>50</v>
      </c>
      <c r="D174">
        <v>964</v>
      </c>
      <c r="E174">
        <v>2638</v>
      </c>
      <c r="F174" t="s">
        <v>172</v>
      </c>
      <c r="G174" s="2" t="s">
        <v>156</v>
      </c>
      <c r="H174">
        <v>4</v>
      </c>
      <c r="I174">
        <v>2851.27</v>
      </c>
      <c r="J174" s="2" t="s">
        <v>170</v>
      </c>
      <c r="K174" s="2" t="s">
        <v>74</v>
      </c>
      <c r="M174" t="s">
        <v>617</v>
      </c>
      <c r="O174" t="s">
        <v>176</v>
      </c>
      <c r="P174" s="19" t="s">
        <v>580</v>
      </c>
      <c r="Q174" s="19" t="s">
        <v>26</v>
      </c>
      <c r="S174" s="19" t="s">
        <v>138</v>
      </c>
      <c r="W174" s="20">
        <v>11</v>
      </c>
      <c r="X174" s="65" t="s">
        <v>549</v>
      </c>
      <c r="Z174" t="s">
        <v>307</v>
      </c>
      <c r="AB174" t="s">
        <v>178</v>
      </c>
      <c r="AC174" t="s">
        <v>606</v>
      </c>
      <c r="AD174" s="2" t="s">
        <v>531</v>
      </c>
    </row>
    <row r="175" spans="1:30" hidden="1" x14ac:dyDescent="0.25">
      <c r="A175" s="2">
        <v>18</v>
      </c>
      <c r="B175" t="s">
        <v>607</v>
      </c>
      <c r="C175">
        <v>60</v>
      </c>
      <c r="D175">
        <v>1080</v>
      </c>
      <c r="E175">
        <v>2260</v>
      </c>
      <c r="F175" t="s">
        <v>172</v>
      </c>
      <c r="G175" s="2" t="s">
        <v>156</v>
      </c>
      <c r="H175">
        <v>2</v>
      </c>
      <c r="I175">
        <v>2299.63</v>
      </c>
      <c r="J175" s="2" t="s">
        <v>170</v>
      </c>
      <c r="K175" s="2" t="s">
        <v>74</v>
      </c>
      <c r="M175" t="s">
        <v>617</v>
      </c>
      <c r="P175" s="19" t="s">
        <v>580</v>
      </c>
      <c r="Q175" s="19" t="s">
        <v>27</v>
      </c>
      <c r="R175" s="19" t="s">
        <v>138</v>
      </c>
      <c r="V175" s="19" t="s">
        <v>138</v>
      </c>
      <c r="W175" s="20">
        <v>11</v>
      </c>
      <c r="X175" s="65" t="s">
        <v>549</v>
      </c>
      <c r="Z175" t="s">
        <v>307</v>
      </c>
      <c r="AB175" t="s">
        <v>178</v>
      </c>
      <c r="AC175" t="s">
        <v>608</v>
      </c>
      <c r="AD175" s="2" t="s">
        <v>180</v>
      </c>
    </row>
    <row r="176" spans="1:30" hidden="1" x14ac:dyDescent="0.25">
      <c r="A176" s="2">
        <v>19</v>
      </c>
      <c r="B176" t="s">
        <v>609</v>
      </c>
      <c r="C176">
        <v>60</v>
      </c>
      <c r="D176">
        <v>1080</v>
      </c>
      <c r="E176">
        <v>4909</v>
      </c>
      <c r="F176" t="s">
        <v>172</v>
      </c>
      <c r="G176" s="2" t="s">
        <v>156</v>
      </c>
      <c r="H176">
        <v>2</v>
      </c>
      <c r="I176">
        <v>4994.22</v>
      </c>
      <c r="J176" s="2" t="s">
        <v>170</v>
      </c>
      <c r="K176" s="2" t="s">
        <v>74</v>
      </c>
      <c r="M176" t="s">
        <v>617</v>
      </c>
      <c r="P176" s="19" t="s">
        <v>580</v>
      </c>
      <c r="Q176" s="19" t="s">
        <v>27</v>
      </c>
      <c r="R176" s="19" t="s">
        <v>138</v>
      </c>
      <c r="V176" s="19" t="s">
        <v>138</v>
      </c>
      <c r="W176" s="20">
        <v>11</v>
      </c>
      <c r="X176" s="65" t="s">
        <v>549</v>
      </c>
      <c r="Z176" t="s">
        <v>307</v>
      </c>
      <c r="AB176" t="s">
        <v>178</v>
      </c>
      <c r="AC176" t="s">
        <v>608</v>
      </c>
      <c r="AD176" s="2" t="s">
        <v>180</v>
      </c>
    </row>
    <row r="177" spans="1:30" hidden="1" x14ac:dyDescent="0.25">
      <c r="A177" s="2">
        <v>20</v>
      </c>
      <c r="B177" t="s">
        <v>611</v>
      </c>
      <c r="C177">
        <v>60</v>
      </c>
      <c r="D177">
        <v>1080</v>
      </c>
      <c r="E177">
        <v>2809</v>
      </c>
      <c r="F177" t="s">
        <v>172</v>
      </c>
      <c r="G177" s="2" t="s">
        <v>156</v>
      </c>
      <c r="H177">
        <v>2</v>
      </c>
      <c r="I177">
        <v>2857.76</v>
      </c>
      <c r="J177" s="2" t="s">
        <v>170</v>
      </c>
      <c r="K177" s="2" t="s">
        <v>74</v>
      </c>
      <c r="M177" t="s">
        <v>617</v>
      </c>
      <c r="P177" s="19" t="s">
        <v>580</v>
      </c>
      <c r="Q177" s="19" t="s">
        <v>27</v>
      </c>
      <c r="R177" s="19" t="s">
        <v>138</v>
      </c>
      <c r="V177" s="19" t="s">
        <v>138</v>
      </c>
      <c r="W177" s="20">
        <v>11</v>
      </c>
      <c r="X177" s="65" t="s">
        <v>549</v>
      </c>
      <c r="Z177" t="s">
        <v>307</v>
      </c>
      <c r="AB177" t="s">
        <v>178</v>
      </c>
      <c r="AC177" t="s">
        <v>608</v>
      </c>
      <c r="AD177" s="2" t="s">
        <v>180</v>
      </c>
    </row>
    <row r="178" spans="1:30" hidden="1" x14ac:dyDescent="0.25">
      <c r="A178" s="2">
        <v>21</v>
      </c>
      <c r="B178" t="s">
        <v>613</v>
      </c>
      <c r="C178">
        <v>80</v>
      </c>
      <c r="D178">
        <v>1200</v>
      </c>
      <c r="E178">
        <v>17998</v>
      </c>
      <c r="F178" t="s">
        <v>273</v>
      </c>
      <c r="G178" s="2" t="s">
        <v>156</v>
      </c>
      <c r="H178">
        <v>1</v>
      </c>
      <c r="I178">
        <v>13503.16</v>
      </c>
      <c r="J178" s="2" t="s">
        <v>170</v>
      </c>
      <c r="K178" s="2" t="s">
        <v>74</v>
      </c>
      <c r="M178" t="s">
        <v>617</v>
      </c>
      <c r="P178" s="19" t="s">
        <v>580</v>
      </c>
      <c r="Q178" s="19" t="s">
        <v>27</v>
      </c>
      <c r="R178" s="19" t="s">
        <v>138</v>
      </c>
      <c r="V178" s="19" t="s">
        <v>138</v>
      </c>
      <c r="W178" s="20">
        <v>11</v>
      </c>
      <c r="X178" s="65" t="s">
        <v>549</v>
      </c>
      <c r="Z178" t="s">
        <v>307</v>
      </c>
      <c r="AB178" t="s">
        <v>178</v>
      </c>
      <c r="AC178" t="s">
        <v>614</v>
      </c>
      <c r="AD178" s="2" t="s">
        <v>180</v>
      </c>
    </row>
    <row r="179" spans="1:30" hidden="1" x14ac:dyDescent="0.25">
      <c r="A179" s="2">
        <v>22</v>
      </c>
      <c r="B179" t="s">
        <v>613</v>
      </c>
      <c r="C179">
        <v>80</v>
      </c>
      <c r="D179">
        <v>1200</v>
      </c>
      <c r="E179">
        <v>17998</v>
      </c>
      <c r="F179" t="s">
        <v>273</v>
      </c>
      <c r="G179" s="2" t="s">
        <v>156</v>
      </c>
      <c r="H179">
        <v>1</v>
      </c>
      <c r="I179">
        <v>13503.16</v>
      </c>
      <c r="J179" s="2" t="s">
        <v>170</v>
      </c>
      <c r="K179" s="2" t="s">
        <v>74</v>
      </c>
      <c r="M179" t="s">
        <v>617</v>
      </c>
      <c r="P179" s="19" t="s">
        <v>580</v>
      </c>
      <c r="Q179" s="19" t="s">
        <v>27</v>
      </c>
      <c r="R179" s="19" t="s">
        <v>138</v>
      </c>
      <c r="V179" s="19" t="s">
        <v>138</v>
      </c>
      <c r="W179" s="20">
        <v>11</v>
      </c>
      <c r="X179" s="65" t="s">
        <v>549</v>
      </c>
      <c r="Z179" t="s">
        <v>307</v>
      </c>
      <c r="AB179" t="s">
        <v>178</v>
      </c>
      <c r="AC179" t="s">
        <v>615</v>
      </c>
      <c r="AD179" s="2" t="s">
        <v>180</v>
      </c>
    </row>
    <row r="180" spans="1:30" hidden="1" x14ac:dyDescent="0.25">
      <c r="A180" s="2">
        <v>1</v>
      </c>
      <c r="B180" t="s">
        <v>622</v>
      </c>
      <c r="C180">
        <v>12</v>
      </c>
      <c r="D180">
        <v>295</v>
      </c>
      <c r="E180">
        <v>300</v>
      </c>
      <c r="F180" t="s">
        <v>172</v>
      </c>
      <c r="G180" s="2" t="s">
        <v>156</v>
      </c>
      <c r="H180">
        <v>28</v>
      </c>
      <c r="I180">
        <v>196.38</v>
      </c>
      <c r="J180" s="2" t="s">
        <v>170</v>
      </c>
      <c r="K180" s="2" t="s">
        <v>74</v>
      </c>
      <c r="M180" t="s">
        <v>676</v>
      </c>
      <c r="P180" s="19" t="s">
        <v>625</v>
      </c>
      <c r="Q180" s="19" t="s">
        <v>25</v>
      </c>
      <c r="R180" s="19" t="s">
        <v>138</v>
      </c>
      <c r="W180" s="20">
        <v>12</v>
      </c>
      <c r="X180" s="65" t="s">
        <v>624</v>
      </c>
      <c r="Z180" t="s">
        <v>307</v>
      </c>
      <c r="AB180" t="s">
        <v>178</v>
      </c>
      <c r="AC180" t="s">
        <v>623</v>
      </c>
      <c r="AD180" s="2" t="s">
        <v>180</v>
      </c>
    </row>
    <row r="181" spans="1:30" hidden="1" x14ac:dyDescent="0.25">
      <c r="A181" s="2">
        <v>2</v>
      </c>
      <c r="B181" t="s">
        <v>626</v>
      </c>
      <c r="C181">
        <v>12</v>
      </c>
      <c r="D181">
        <v>275</v>
      </c>
      <c r="E181">
        <v>300</v>
      </c>
      <c r="F181" t="s">
        <v>172</v>
      </c>
      <c r="G181" s="2" t="s">
        <v>156</v>
      </c>
      <c r="H181">
        <v>77</v>
      </c>
      <c r="I181">
        <v>516.84</v>
      </c>
      <c r="J181" s="2" t="s">
        <v>170</v>
      </c>
      <c r="K181" s="2" t="s">
        <v>74</v>
      </c>
      <c r="M181" t="s">
        <v>676</v>
      </c>
      <c r="P181" s="19" t="s">
        <v>625</v>
      </c>
      <c r="Q181" s="19" t="s">
        <v>25</v>
      </c>
      <c r="R181" s="19" t="s">
        <v>138</v>
      </c>
      <c r="W181" s="20">
        <v>12</v>
      </c>
      <c r="X181" s="65" t="s">
        <v>624</v>
      </c>
      <c r="Z181" t="s">
        <v>307</v>
      </c>
      <c r="AB181" t="s">
        <v>178</v>
      </c>
      <c r="AC181" t="s">
        <v>623</v>
      </c>
      <c r="AD181" s="2" t="s">
        <v>180</v>
      </c>
    </row>
    <row r="182" spans="1:30" hidden="1" x14ac:dyDescent="0.25">
      <c r="A182" s="2">
        <v>3</v>
      </c>
      <c r="B182" t="s">
        <v>627</v>
      </c>
      <c r="C182">
        <v>12</v>
      </c>
      <c r="D182">
        <v>295</v>
      </c>
      <c r="E182">
        <v>300</v>
      </c>
      <c r="F182" t="s">
        <v>172</v>
      </c>
      <c r="G182" s="2" t="s">
        <v>156</v>
      </c>
      <c r="H182">
        <v>28</v>
      </c>
      <c r="I182">
        <v>196.38</v>
      </c>
      <c r="J182" s="2" t="s">
        <v>170</v>
      </c>
      <c r="K182" s="2" t="s">
        <v>74</v>
      </c>
      <c r="M182" t="s">
        <v>676</v>
      </c>
      <c r="P182" s="19" t="s">
        <v>625</v>
      </c>
      <c r="Q182" s="19" t="s">
        <v>25</v>
      </c>
      <c r="R182" s="19" t="s">
        <v>138</v>
      </c>
      <c r="W182" s="20">
        <v>12</v>
      </c>
      <c r="X182" s="65" t="s">
        <v>624</v>
      </c>
      <c r="Z182" t="s">
        <v>307</v>
      </c>
      <c r="AB182" t="s">
        <v>178</v>
      </c>
      <c r="AC182" t="s">
        <v>623</v>
      </c>
      <c r="AD182" s="2" t="s">
        <v>180</v>
      </c>
    </row>
    <row r="183" spans="1:30" hidden="1" x14ac:dyDescent="0.25">
      <c r="A183" s="2">
        <v>4</v>
      </c>
      <c r="B183" t="s">
        <v>628</v>
      </c>
      <c r="C183">
        <v>12</v>
      </c>
      <c r="D183">
        <v>75</v>
      </c>
      <c r="E183">
        <v>75</v>
      </c>
      <c r="F183" t="s">
        <v>172</v>
      </c>
      <c r="G183" s="2" t="s">
        <v>156</v>
      </c>
      <c r="H183">
        <v>4</v>
      </c>
      <c r="I183">
        <v>2.12</v>
      </c>
      <c r="J183" s="2" t="s">
        <v>170</v>
      </c>
      <c r="K183" s="2" t="s">
        <v>74</v>
      </c>
      <c r="M183" t="s">
        <v>676</v>
      </c>
      <c r="P183" s="19" t="s">
        <v>625</v>
      </c>
      <c r="Q183" s="19" t="s">
        <v>25</v>
      </c>
      <c r="R183" s="19" t="s">
        <v>138</v>
      </c>
      <c r="W183" s="20">
        <v>12</v>
      </c>
      <c r="X183" s="65" t="s">
        <v>624</v>
      </c>
      <c r="Z183" t="s">
        <v>307</v>
      </c>
      <c r="AB183" t="s">
        <v>178</v>
      </c>
      <c r="AC183" t="s">
        <v>623</v>
      </c>
      <c r="AD183" s="2" t="s">
        <v>180</v>
      </c>
    </row>
    <row r="184" spans="1:30" hidden="1" x14ac:dyDescent="0.25">
      <c r="A184" s="2">
        <v>5</v>
      </c>
      <c r="B184" t="s">
        <v>629</v>
      </c>
      <c r="C184">
        <v>12</v>
      </c>
      <c r="D184">
        <v>275</v>
      </c>
      <c r="E184">
        <v>300</v>
      </c>
      <c r="F184" t="s">
        <v>172</v>
      </c>
      <c r="G184" s="2" t="s">
        <v>156</v>
      </c>
      <c r="H184">
        <v>80</v>
      </c>
      <c r="I184">
        <v>536.98</v>
      </c>
      <c r="J184" s="2" t="s">
        <v>170</v>
      </c>
      <c r="K184" s="2" t="s">
        <v>74</v>
      </c>
      <c r="M184" t="s">
        <v>676</v>
      </c>
      <c r="P184" s="19" t="s">
        <v>625</v>
      </c>
      <c r="Q184" s="19" t="s">
        <v>25</v>
      </c>
      <c r="R184" s="19" t="s">
        <v>138</v>
      </c>
      <c r="W184" s="20">
        <v>12</v>
      </c>
      <c r="X184" s="65" t="s">
        <v>624</v>
      </c>
      <c r="Z184" t="s">
        <v>307</v>
      </c>
      <c r="AB184" t="s">
        <v>178</v>
      </c>
      <c r="AC184" t="s">
        <v>630</v>
      </c>
      <c r="AD184" s="2" t="s">
        <v>180</v>
      </c>
    </row>
    <row r="185" spans="1:30" hidden="1" x14ac:dyDescent="0.25">
      <c r="A185" s="2">
        <v>6</v>
      </c>
      <c r="B185" t="s">
        <v>626</v>
      </c>
      <c r="C185">
        <v>12</v>
      </c>
      <c r="D185">
        <v>275</v>
      </c>
      <c r="E185">
        <v>300</v>
      </c>
      <c r="F185" t="s">
        <v>172</v>
      </c>
      <c r="G185" s="2" t="s">
        <v>156</v>
      </c>
      <c r="H185">
        <v>3</v>
      </c>
      <c r="I185">
        <v>20.14</v>
      </c>
      <c r="J185" s="2" t="s">
        <v>170</v>
      </c>
      <c r="K185" s="2" t="s">
        <v>74</v>
      </c>
      <c r="M185" t="s">
        <v>676</v>
      </c>
      <c r="P185" s="19" t="s">
        <v>625</v>
      </c>
      <c r="Q185" s="19" t="s">
        <v>25</v>
      </c>
      <c r="R185" s="19" t="s">
        <v>138</v>
      </c>
      <c r="W185" s="20">
        <v>12</v>
      </c>
      <c r="X185" s="65" t="s">
        <v>624</v>
      </c>
      <c r="Z185" t="s">
        <v>307</v>
      </c>
      <c r="AB185" t="s">
        <v>178</v>
      </c>
      <c r="AC185" t="s">
        <v>630</v>
      </c>
      <c r="AD185" s="2" t="s">
        <v>180</v>
      </c>
    </row>
    <row r="186" spans="1:30" hidden="1" x14ac:dyDescent="0.25">
      <c r="A186" s="2">
        <v>7</v>
      </c>
      <c r="B186" t="s">
        <v>631</v>
      </c>
      <c r="C186">
        <v>20</v>
      </c>
      <c r="D186">
        <v>250</v>
      </c>
      <c r="E186">
        <v>2658</v>
      </c>
      <c r="F186" t="s">
        <v>172</v>
      </c>
      <c r="G186" s="2" t="s">
        <v>156</v>
      </c>
      <c r="H186">
        <v>4</v>
      </c>
      <c r="I186">
        <v>417.12</v>
      </c>
      <c r="J186" s="2" t="s">
        <v>170</v>
      </c>
      <c r="K186" s="2" t="s">
        <v>74</v>
      </c>
      <c r="M186" t="s">
        <v>676</v>
      </c>
      <c r="P186" s="19" t="s">
        <v>625</v>
      </c>
      <c r="Q186" s="19" t="s">
        <v>25</v>
      </c>
      <c r="S186" s="19" t="s">
        <v>138</v>
      </c>
      <c r="W186" s="20">
        <v>12</v>
      </c>
      <c r="X186" s="65" t="s">
        <v>624</v>
      </c>
      <c r="Z186" t="s">
        <v>307</v>
      </c>
      <c r="AB186" t="s">
        <v>178</v>
      </c>
      <c r="AC186" t="s">
        <v>632</v>
      </c>
      <c r="AD186" s="2" t="s">
        <v>593</v>
      </c>
    </row>
    <row r="187" spans="1:30" hidden="1" x14ac:dyDescent="0.25">
      <c r="A187" s="2">
        <v>8</v>
      </c>
      <c r="B187" t="s">
        <v>633</v>
      </c>
      <c r="C187">
        <v>20</v>
      </c>
      <c r="D187">
        <v>250</v>
      </c>
      <c r="E187">
        <v>2638</v>
      </c>
      <c r="F187" t="s">
        <v>172</v>
      </c>
      <c r="G187" s="2" t="s">
        <v>156</v>
      </c>
      <c r="H187">
        <v>10</v>
      </c>
      <c r="I187">
        <v>1034.96</v>
      </c>
      <c r="J187" s="2" t="s">
        <v>170</v>
      </c>
      <c r="K187" s="2" t="s">
        <v>74</v>
      </c>
      <c r="M187" t="s">
        <v>676</v>
      </c>
      <c r="P187" s="19" t="s">
        <v>625</v>
      </c>
      <c r="Q187" s="19" t="s">
        <v>25</v>
      </c>
      <c r="S187" s="19" t="s">
        <v>138</v>
      </c>
      <c r="W187" s="20">
        <v>12</v>
      </c>
      <c r="X187" s="65" t="s">
        <v>624</v>
      </c>
      <c r="Z187" t="s">
        <v>307</v>
      </c>
      <c r="AB187" t="s">
        <v>178</v>
      </c>
      <c r="AC187" t="s">
        <v>632</v>
      </c>
      <c r="AD187" s="2" t="s">
        <v>593</v>
      </c>
    </row>
    <row r="188" spans="1:30" hidden="1" x14ac:dyDescent="0.25">
      <c r="A188" s="2">
        <v>9</v>
      </c>
      <c r="B188" t="s">
        <v>634</v>
      </c>
      <c r="C188">
        <v>20</v>
      </c>
      <c r="D188">
        <v>250</v>
      </c>
      <c r="E188">
        <v>1218</v>
      </c>
      <c r="F188" t="s">
        <v>172</v>
      </c>
      <c r="G188" s="2" t="s">
        <v>156</v>
      </c>
      <c r="H188">
        <v>2</v>
      </c>
      <c r="I188">
        <v>95.53</v>
      </c>
      <c r="J188" s="2" t="s">
        <v>170</v>
      </c>
      <c r="K188" s="2" t="s">
        <v>74</v>
      </c>
      <c r="M188" t="s">
        <v>676</v>
      </c>
      <c r="P188" s="19" t="s">
        <v>625</v>
      </c>
      <c r="Q188" s="19" t="s">
        <v>25</v>
      </c>
      <c r="S188" s="19" t="s">
        <v>138</v>
      </c>
      <c r="W188" s="20">
        <v>12</v>
      </c>
      <c r="X188" s="65" t="s">
        <v>624</v>
      </c>
      <c r="Z188" t="s">
        <v>307</v>
      </c>
      <c r="AB188" t="s">
        <v>178</v>
      </c>
      <c r="AC188" t="s">
        <v>632</v>
      </c>
      <c r="AD188" s="2" t="s">
        <v>593</v>
      </c>
    </row>
    <row r="189" spans="1:30" hidden="1" x14ac:dyDescent="0.25">
      <c r="A189" s="2">
        <v>10</v>
      </c>
      <c r="B189" t="s">
        <v>635</v>
      </c>
      <c r="C189">
        <v>20</v>
      </c>
      <c r="D189">
        <v>30</v>
      </c>
      <c r="E189">
        <v>30</v>
      </c>
      <c r="F189" t="s">
        <v>172</v>
      </c>
      <c r="G189" s="2" t="s">
        <v>156</v>
      </c>
      <c r="H189">
        <v>8</v>
      </c>
      <c r="I189">
        <v>1.1299999999999999</v>
      </c>
      <c r="J189" s="2" t="s">
        <v>170</v>
      </c>
      <c r="K189" s="2" t="s">
        <v>74</v>
      </c>
      <c r="M189" t="s">
        <v>676</v>
      </c>
      <c r="O189" t="s">
        <v>176</v>
      </c>
      <c r="P189" s="19" t="s">
        <v>625</v>
      </c>
      <c r="Q189" s="19" t="s">
        <v>26</v>
      </c>
      <c r="S189" s="19" t="s">
        <v>138</v>
      </c>
      <c r="W189" s="20">
        <v>12</v>
      </c>
      <c r="X189" s="65" t="s">
        <v>624</v>
      </c>
      <c r="Z189" t="s">
        <v>307</v>
      </c>
      <c r="AB189" t="s">
        <v>178</v>
      </c>
      <c r="AC189" t="s">
        <v>632</v>
      </c>
      <c r="AD189" s="2" t="s">
        <v>593</v>
      </c>
    </row>
    <row r="190" spans="1:30" hidden="1" x14ac:dyDescent="0.25">
      <c r="A190" s="2">
        <v>11</v>
      </c>
      <c r="B190" t="s">
        <v>636</v>
      </c>
      <c r="C190">
        <v>20</v>
      </c>
      <c r="D190">
        <v>250</v>
      </c>
      <c r="E190">
        <v>2658</v>
      </c>
      <c r="F190" t="s">
        <v>172</v>
      </c>
      <c r="G190" s="2" t="s">
        <v>156</v>
      </c>
      <c r="H190">
        <v>4</v>
      </c>
      <c r="I190">
        <v>417.12</v>
      </c>
      <c r="J190" s="2" t="s">
        <v>170</v>
      </c>
      <c r="K190" s="2" t="s">
        <v>74</v>
      </c>
      <c r="M190" t="s">
        <v>676</v>
      </c>
      <c r="P190" s="19" t="s">
        <v>625</v>
      </c>
      <c r="Q190" s="19" t="s">
        <v>25</v>
      </c>
      <c r="S190" s="19" t="s">
        <v>138</v>
      </c>
      <c r="W190" s="20">
        <v>12</v>
      </c>
      <c r="X190" s="65" t="s">
        <v>624</v>
      </c>
      <c r="Z190" t="s">
        <v>307</v>
      </c>
      <c r="AB190" t="s">
        <v>178</v>
      </c>
      <c r="AC190" t="s">
        <v>632</v>
      </c>
      <c r="AD190" s="2" t="s">
        <v>593</v>
      </c>
    </row>
    <row r="191" spans="1:30" hidden="1" x14ac:dyDescent="0.25">
      <c r="A191" s="2">
        <v>12</v>
      </c>
      <c r="B191" t="s">
        <v>637</v>
      </c>
      <c r="C191">
        <v>20</v>
      </c>
      <c r="D191">
        <v>250</v>
      </c>
      <c r="E191">
        <v>2638</v>
      </c>
      <c r="F191" t="s">
        <v>172</v>
      </c>
      <c r="G191" s="2" t="s">
        <v>156</v>
      </c>
      <c r="H191">
        <v>10</v>
      </c>
      <c r="I191">
        <v>1034.96</v>
      </c>
      <c r="J191" s="2" t="s">
        <v>170</v>
      </c>
      <c r="K191" s="2" t="s">
        <v>74</v>
      </c>
      <c r="M191" t="s">
        <v>676</v>
      </c>
      <c r="P191" s="19" t="s">
        <v>625</v>
      </c>
      <c r="Q191" s="19" t="s">
        <v>25</v>
      </c>
      <c r="S191" s="19" t="s">
        <v>138</v>
      </c>
      <c r="W191" s="20">
        <v>12</v>
      </c>
      <c r="X191" s="65" t="s">
        <v>624</v>
      </c>
      <c r="Z191" t="s">
        <v>307</v>
      </c>
      <c r="AB191" t="s">
        <v>178</v>
      </c>
      <c r="AC191" t="s">
        <v>632</v>
      </c>
      <c r="AD191" s="2" t="s">
        <v>593</v>
      </c>
    </row>
    <row r="192" spans="1:30" hidden="1" x14ac:dyDescent="0.25">
      <c r="A192" s="2">
        <v>13</v>
      </c>
      <c r="B192" t="s">
        <v>638</v>
      </c>
      <c r="C192">
        <v>25</v>
      </c>
      <c r="D192">
        <v>65</v>
      </c>
      <c r="E192">
        <v>346</v>
      </c>
      <c r="F192" t="s">
        <v>172</v>
      </c>
      <c r="G192" s="2" t="s">
        <v>156</v>
      </c>
      <c r="H192">
        <v>2</v>
      </c>
      <c r="I192">
        <v>8.65</v>
      </c>
      <c r="J192" s="2" t="s">
        <v>170</v>
      </c>
      <c r="K192" s="2" t="s">
        <v>74</v>
      </c>
      <c r="M192" t="s">
        <v>676</v>
      </c>
      <c r="P192" s="19" t="s">
        <v>625</v>
      </c>
      <c r="Q192" s="19" t="s">
        <v>25</v>
      </c>
      <c r="S192" s="19" t="s">
        <v>138</v>
      </c>
      <c r="W192" s="20">
        <v>12</v>
      </c>
      <c r="X192" s="65" t="s">
        <v>624</v>
      </c>
      <c r="Z192" t="s">
        <v>307</v>
      </c>
      <c r="AB192" t="s">
        <v>178</v>
      </c>
      <c r="AC192" t="s">
        <v>639</v>
      </c>
      <c r="AD192" s="2" t="s">
        <v>595</v>
      </c>
    </row>
    <row r="193" spans="1:30" hidden="1" x14ac:dyDescent="0.25">
      <c r="A193" s="2">
        <v>14</v>
      </c>
      <c r="B193" t="s">
        <v>640</v>
      </c>
      <c r="C193">
        <v>25</v>
      </c>
      <c r="D193">
        <v>65</v>
      </c>
      <c r="E193">
        <v>188</v>
      </c>
      <c r="F193" t="s">
        <v>172</v>
      </c>
      <c r="G193" s="2" t="s">
        <v>156</v>
      </c>
      <c r="H193">
        <v>2</v>
      </c>
      <c r="I193">
        <v>4.62</v>
      </c>
      <c r="J193" s="2" t="s">
        <v>170</v>
      </c>
      <c r="K193" s="2" t="s">
        <v>74</v>
      </c>
      <c r="M193" t="s">
        <v>676</v>
      </c>
      <c r="P193" s="19" t="s">
        <v>625</v>
      </c>
      <c r="Q193" s="19" t="s">
        <v>25</v>
      </c>
      <c r="S193" s="19" t="s">
        <v>138</v>
      </c>
      <c r="W193" s="20">
        <v>12</v>
      </c>
      <c r="X193" s="65" t="s">
        <v>624</v>
      </c>
      <c r="Z193" t="s">
        <v>307</v>
      </c>
      <c r="AB193" t="s">
        <v>178</v>
      </c>
      <c r="AC193" t="s">
        <v>639</v>
      </c>
      <c r="AD193" s="2" t="s">
        <v>595</v>
      </c>
    </row>
    <row r="194" spans="1:30" hidden="1" x14ac:dyDescent="0.25">
      <c r="A194" s="2">
        <v>15</v>
      </c>
      <c r="B194" t="s">
        <v>641</v>
      </c>
      <c r="C194">
        <v>25</v>
      </c>
      <c r="D194">
        <v>65</v>
      </c>
      <c r="E194">
        <v>346</v>
      </c>
      <c r="F194" t="s">
        <v>172</v>
      </c>
      <c r="G194" s="2" t="s">
        <v>156</v>
      </c>
      <c r="H194">
        <v>2</v>
      </c>
      <c r="I194">
        <v>5.39</v>
      </c>
      <c r="J194" s="2" t="s">
        <v>170</v>
      </c>
      <c r="K194" s="2" t="s">
        <v>74</v>
      </c>
      <c r="M194" t="s">
        <v>676</v>
      </c>
      <c r="P194" s="19" t="s">
        <v>625</v>
      </c>
      <c r="Q194" s="19" t="s">
        <v>25</v>
      </c>
      <c r="S194" s="19" t="s">
        <v>138</v>
      </c>
      <c r="W194" s="20">
        <v>12</v>
      </c>
      <c r="X194" s="65" t="s">
        <v>624</v>
      </c>
      <c r="Z194" t="s">
        <v>307</v>
      </c>
      <c r="AB194" t="s">
        <v>178</v>
      </c>
      <c r="AC194" t="s">
        <v>639</v>
      </c>
      <c r="AD194" s="2" t="s">
        <v>595</v>
      </c>
    </row>
    <row r="195" spans="1:30" hidden="1" x14ac:dyDescent="0.25">
      <c r="A195" s="2">
        <v>16</v>
      </c>
      <c r="B195" t="s">
        <v>642</v>
      </c>
      <c r="C195">
        <v>25</v>
      </c>
      <c r="D195">
        <v>65</v>
      </c>
      <c r="E195">
        <v>346</v>
      </c>
      <c r="F195" t="s">
        <v>172</v>
      </c>
      <c r="G195" s="2" t="s">
        <v>156</v>
      </c>
      <c r="H195">
        <v>2</v>
      </c>
      <c r="I195">
        <v>8.65</v>
      </c>
      <c r="J195" s="2" t="s">
        <v>170</v>
      </c>
      <c r="K195" s="2" t="s">
        <v>74</v>
      </c>
      <c r="M195" t="s">
        <v>676</v>
      </c>
      <c r="P195" s="19" t="s">
        <v>625</v>
      </c>
      <c r="Q195" s="19" t="s">
        <v>25</v>
      </c>
      <c r="S195" s="19" t="s">
        <v>138</v>
      </c>
      <c r="W195" s="20">
        <v>12</v>
      </c>
      <c r="X195" s="65" t="s">
        <v>624</v>
      </c>
      <c r="Z195" t="s">
        <v>307</v>
      </c>
      <c r="AB195" t="s">
        <v>178</v>
      </c>
      <c r="AC195" t="s">
        <v>639</v>
      </c>
      <c r="AD195" s="2" t="s">
        <v>595</v>
      </c>
    </row>
    <row r="196" spans="1:30" hidden="1" x14ac:dyDescent="0.25">
      <c r="A196" s="2">
        <v>17</v>
      </c>
      <c r="B196" t="s">
        <v>643</v>
      </c>
      <c r="C196">
        <v>25</v>
      </c>
      <c r="D196">
        <v>65</v>
      </c>
      <c r="E196">
        <v>188</v>
      </c>
      <c r="F196" t="s">
        <v>172</v>
      </c>
      <c r="G196" s="2" t="s">
        <v>156</v>
      </c>
      <c r="H196">
        <v>2</v>
      </c>
      <c r="I196">
        <v>4.62</v>
      </c>
      <c r="J196" s="2" t="s">
        <v>170</v>
      </c>
      <c r="K196" s="2" t="s">
        <v>74</v>
      </c>
      <c r="M196" t="s">
        <v>676</v>
      </c>
      <c r="P196" s="19" t="s">
        <v>625</v>
      </c>
      <c r="Q196" s="19" t="s">
        <v>25</v>
      </c>
      <c r="S196" s="19" t="s">
        <v>138</v>
      </c>
      <c r="W196" s="20">
        <v>12</v>
      </c>
      <c r="X196" s="65" t="s">
        <v>624</v>
      </c>
      <c r="Z196" t="s">
        <v>307</v>
      </c>
      <c r="AB196" t="s">
        <v>178</v>
      </c>
      <c r="AC196" t="s">
        <v>639</v>
      </c>
      <c r="AD196" s="2" t="s">
        <v>595</v>
      </c>
    </row>
    <row r="197" spans="1:30" hidden="1" x14ac:dyDescent="0.25">
      <c r="A197" s="2">
        <v>18</v>
      </c>
      <c r="B197" t="s">
        <v>644</v>
      </c>
      <c r="C197">
        <v>25</v>
      </c>
      <c r="D197">
        <v>65</v>
      </c>
      <c r="E197">
        <v>346</v>
      </c>
      <c r="F197" t="s">
        <v>172</v>
      </c>
      <c r="G197" s="2" t="s">
        <v>156</v>
      </c>
      <c r="H197">
        <v>2</v>
      </c>
      <c r="I197">
        <v>5.39</v>
      </c>
      <c r="J197" s="2" t="s">
        <v>170</v>
      </c>
      <c r="K197" s="2" t="s">
        <v>74</v>
      </c>
      <c r="M197" t="s">
        <v>676</v>
      </c>
      <c r="P197" s="19" t="s">
        <v>625</v>
      </c>
      <c r="Q197" s="19" t="s">
        <v>25</v>
      </c>
      <c r="S197" s="19" t="s">
        <v>138</v>
      </c>
      <c r="W197" s="20">
        <v>12</v>
      </c>
      <c r="X197" s="65" t="s">
        <v>624</v>
      </c>
      <c r="Z197" t="s">
        <v>307</v>
      </c>
      <c r="AB197" t="s">
        <v>178</v>
      </c>
      <c r="AC197" t="s">
        <v>639</v>
      </c>
      <c r="AD197" s="2" t="s">
        <v>595</v>
      </c>
    </row>
    <row r="198" spans="1:30" hidden="1" x14ac:dyDescent="0.25">
      <c r="A198" s="2">
        <v>19</v>
      </c>
      <c r="B198" t="s">
        <v>645</v>
      </c>
      <c r="C198">
        <v>25</v>
      </c>
      <c r="D198">
        <v>330</v>
      </c>
      <c r="E198">
        <v>1218</v>
      </c>
      <c r="F198" t="s">
        <v>172</v>
      </c>
      <c r="G198" s="2" t="s">
        <v>156</v>
      </c>
      <c r="H198">
        <v>2</v>
      </c>
      <c r="I198">
        <v>157.69</v>
      </c>
      <c r="J198" s="2" t="s">
        <v>170</v>
      </c>
      <c r="K198" s="2" t="s">
        <v>74</v>
      </c>
      <c r="M198" t="s">
        <v>676</v>
      </c>
      <c r="P198" s="19" t="s">
        <v>625</v>
      </c>
      <c r="Q198" s="19" t="s">
        <v>25</v>
      </c>
      <c r="S198" s="19" t="s">
        <v>138</v>
      </c>
      <c r="W198" s="20">
        <v>12</v>
      </c>
      <c r="X198" s="65" t="s">
        <v>624</v>
      </c>
      <c r="Z198" t="s">
        <v>307</v>
      </c>
      <c r="AB198" t="s">
        <v>178</v>
      </c>
      <c r="AC198" t="s">
        <v>639</v>
      </c>
      <c r="AD198" s="2" t="s">
        <v>595</v>
      </c>
    </row>
    <row r="199" spans="1:30" hidden="1" x14ac:dyDescent="0.25">
      <c r="A199" s="2">
        <v>20</v>
      </c>
      <c r="B199" t="s">
        <v>646</v>
      </c>
      <c r="C199">
        <v>32</v>
      </c>
      <c r="D199">
        <v>2660</v>
      </c>
      <c r="E199">
        <v>14134</v>
      </c>
      <c r="F199" t="s">
        <v>172</v>
      </c>
      <c r="G199" s="2" t="s">
        <v>156</v>
      </c>
      <c r="H199">
        <v>1</v>
      </c>
      <c r="I199">
        <v>9173.23</v>
      </c>
      <c r="J199" s="2" t="s">
        <v>170</v>
      </c>
      <c r="K199" s="2" t="s">
        <v>74</v>
      </c>
      <c r="M199" t="s">
        <v>676</v>
      </c>
      <c r="P199" s="19" t="s">
        <v>625</v>
      </c>
      <c r="Q199" s="19" t="s">
        <v>27</v>
      </c>
      <c r="R199" s="19" t="s">
        <v>138</v>
      </c>
      <c r="V199" s="19" t="s">
        <v>138</v>
      </c>
      <c r="W199" s="20">
        <v>12</v>
      </c>
      <c r="X199" s="65" t="s">
        <v>624</v>
      </c>
      <c r="Z199" t="s">
        <v>307</v>
      </c>
      <c r="AB199" t="s">
        <v>178</v>
      </c>
      <c r="AC199" t="s">
        <v>647</v>
      </c>
      <c r="AD199" s="2" t="s">
        <v>180</v>
      </c>
    </row>
    <row r="200" spans="1:30" hidden="1" x14ac:dyDescent="0.25">
      <c r="A200" s="2">
        <v>21</v>
      </c>
      <c r="B200" t="s">
        <v>648</v>
      </c>
      <c r="C200">
        <v>32</v>
      </c>
      <c r="D200">
        <v>2660</v>
      </c>
      <c r="E200">
        <v>14134</v>
      </c>
      <c r="F200" t="s">
        <v>172</v>
      </c>
      <c r="G200" s="2" t="s">
        <v>156</v>
      </c>
      <c r="H200">
        <v>1</v>
      </c>
      <c r="I200">
        <v>9173.23</v>
      </c>
      <c r="J200" s="2" t="s">
        <v>170</v>
      </c>
      <c r="K200" s="2" t="s">
        <v>74</v>
      </c>
      <c r="M200" t="s">
        <v>676</v>
      </c>
      <c r="P200" s="19" t="s">
        <v>625</v>
      </c>
      <c r="Q200" s="19" t="s">
        <v>27</v>
      </c>
      <c r="R200" s="19" t="s">
        <v>138</v>
      </c>
      <c r="V200" s="19" t="s">
        <v>138</v>
      </c>
      <c r="W200" s="20">
        <v>12</v>
      </c>
      <c r="X200" s="65" t="s">
        <v>624</v>
      </c>
      <c r="Z200" t="s">
        <v>307</v>
      </c>
      <c r="AB200" t="s">
        <v>178</v>
      </c>
      <c r="AC200" t="s">
        <v>649</v>
      </c>
      <c r="AD200" s="2" t="s">
        <v>180</v>
      </c>
    </row>
    <row r="201" spans="1:30" hidden="1" x14ac:dyDescent="0.25">
      <c r="A201" s="2">
        <v>22</v>
      </c>
      <c r="B201" t="s">
        <v>650</v>
      </c>
      <c r="C201">
        <v>32</v>
      </c>
      <c r="D201">
        <v>2660</v>
      </c>
      <c r="E201">
        <v>13686</v>
      </c>
      <c r="F201" t="s">
        <v>172</v>
      </c>
      <c r="G201" s="2" t="s">
        <v>156</v>
      </c>
      <c r="H201">
        <v>1</v>
      </c>
      <c r="I201">
        <v>8877.4</v>
      </c>
      <c r="J201" s="2" t="s">
        <v>170</v>
      </c>
      <c r="K201" s="2" t="s">
        <v>74</v>
      </c>
      <c r="M201" t="s">
        <v>676</v>
      </c>
      <c r="P201" s="19" t="s">
        <v>625</v>
      </c>
      <c r="Q201" s="19" t="s">
        <v>27</v>
      </c>
      <c r="R201" s="19" t="s">
        <v>138</v>
      </c>
      <c r="V201" s="19" t="s">
        <v>138</v>
      </c>
      <c r="W201" s="20">
        <v>12</v>
      </c>
      <c r="X201" s="65" t="s">
        <v>624</v>
      </c>
      <c r="Z201" t="s">
        <v>307</v>
      </c>
      <c r="AB201" t="s">
        <v>178</v>
      </c>
      <c r="AC201" t="s">
        <v>651</v>
      </c>
      <c r="AD201" s="2" t="s">
        <v>180</v>
      </c>
    </row>
    <row r="202" spans="1:30" hidden="1" x14ac:dyDescent="0.25">
      <c r="A202" s="2">
        <v>23</v>
      </c>
      <c r="B202" t="s">
        <v>652</v>
      </c>
      <c r="C202">
        <v>32</v>
      </c>
      <c r="D202">
        <v>2660</v>
      </c>
      <c r="E202">
        <v>13686</v>
      </c>
      <c r="F202" t="s">
        <v>172</v>
      </c>
      <c r="G202" s="2" t="s">
        <v>156</v>
      </c>
      <c r="H202">
        <v>1</v>
      </c>
      <c r="I202">
        <v>8877.4</v>
      </c>
      <c r="J202" s="2" t="s">
        <v>170</v>
      </c>
      <c r="K202" s="2" t="s">
        <v>74</v>
      </c>
      <c r="M202" t="s">
        <v>676</v>
      </c>
      <c r="P202" s="19" t="s">
        <v>625</v>
      </c>
      <c r="Q202" s="19" t="s">
        <v>27</v>
      </c>
      <c r="R202" s="19" t="s">
        <v>138</v>
      </c>
      <c r="V202" s="19" t="s">
        <v>138</v>
      </c>
      <c r="W202" s="20">
        <v>12</v>
      </c>
      <c r="X202" s="65" t="s">
        <v>624</v>
      </c>
      <c r="Z202" t="s">
        <v>307</v>
      </c>
      <c r="AB202" t="s">
        <v>178</v>
      </c>
      <c r="AC202" t="s">
        <v>653</v>
      </c>
      <c r="AD202" s="2" t="s">
        <v>180</v>
      </c>
    </row>
    <row r="203" spans="1:30" hidden="1" x14ac:dyDescent="0.25">
      <c r="A203" s="2">
        <v>24</v>
      </c>
      <c r="B203" t="s">
        <v>654</v>
      </c>
      <c r="C203">
        <v>40</v>
      </c>
      <c r="D203">
        <v>834</v>
      </c>
      <c r="E203">
        <v>2658</v>
      </c>
      <c r="F203" t="s">
        <v>273</v>
      </c>
      <c r="G203" s="2" t="s">
        <v>156</v>
      </c>
      <c r="H203">
        <v>1</v>
      </c>
      <c r="I203">
        <v>497.4</v>
      </c>
      <c r="J203" s="2" t="s">
        <v>170</v>
      </c>
      <c r="K203" s="2" t="s">
        <v>74</v>
      </c>
      <c r="M203" t="s">
        <v>676</v>
      </c>
      <c r="O203" t="s">
        <v>176</v>
      </c>
      <c r="P203" s="19" t="s">
        <v>625</v>
      </c>
      <c r="Q203" s="19" t="s">
        <v>26</v>
      </c>
      <c r="S203" s="19" t="s">
        <v>138</v>
      </c>
      <c r="W203" s="20">
        <v>12</v>
      </c>
      <c r="X203" s="65" t="s">
        <v>624</v>
      </c>
      <c r="Z203" t="s">
        <v>307</v>
      </c>
      <c r="AB203" t="s">
        <v>178</v>
      </c>
      <c r="AC203" t="s">
        <v>655</v>
      </c>
      <c r="AD203" s="2" t="s">
        <v>604</v>
      </c>
    </row>
    <row r="204" spans="1:30" hidden="1" x14ac:dyDescent="0.25">
      <c r="A204" s="2">
        <v>25</v>
      </c>
      <c r="B204" t="s">
        <v>654</v>
      </c>
      <c r="C204">
        <v>40</v>
      </c>
      <c r="D204">
        <v>834</v>
      </c>
      <c r="E204">
        <v>2658</v>
      </c>
      <c r="F204" t="s">
        <v>273</v>
      </c>
      <c r="G204" s="2" t="s">
        <v>156</v>
      </c>
      <c r="H204">
        <v>3</v>
      </c>
      <c r="I204">
        <v>1492.19</v>
      </c>
      <c r="J204" s="2" t="s">
        <v>170</v>
      </c>
      <c r="K204" s="2" t="s">
        <v>74</v>
      </c>
      <c r="M204" t="s">
        <v>676</v>
      </c>
      <c r="O204" t="s">
        <v>176</v>
      </c>
      <c r="P204" s="19" t="s">
        <v>625</v>
      </c>
      <c r="Q204" s="19" t="s">
        <v>26</v>
      </c>
      <c r="R204" s="19" t="s">
        <v>138</v>
      </c>
      <c r="W204" s="20">
        <v>12</v>
      </c>
      <c r="X204" s="65" t="s">
        <v>624</v>
      </c>
      <c r="Z204" t="s">
        <v>307</v>
      </c>
      <c r="AB204" t="s">
        <v>178</v>
      </c>
      <c r="AC204" t="s">
        <v>656</v>
      </c>
      <c r="AD204" s="2" t="s">
        <v>180</v>
      </c>
    </row>
    <row r="205" spans="1:30" hidden="1" x14ac:dyDescent="0.25">
      <c r="A205" s="2">
        <v>26</v>
      </c>
      <c r="B205" t="s">
        <v>657</v>
      </c>
      <c r="C205">
        <v>40</v>
      </c>
      <c r="D205">
        <v>834</v>
      </c>
      <c r="E205">
        <v>2658</v>
      </c>
      <c r="F205" t="s">
        <v>273</v>
      </c>
      <c r="G205" s="2" t="s">
        <v>156</v>
      </c>
      <c r="H205">
        <v>4</v>
      </c>
      <c r="I205">
        <v>1989.59</v>
      </c>
      <c r="J205" s="2" t="s">
        <v>170</v>
      </c>
      <c r="K205" s="2" t="s">
        <v>74</v>
      </c>
      <c r="M205" t="s">
        <v>676</v>
      </c>
      <c r="O205" t="s">
        <v>176</v>
      </c>
      <c r="P205" s="19" t="s">
        <v>625</v>
      </c>
      <c r="Q205" s="19" t="s">
        <v>26</v>
      </c>
      <c r="R205" s="19" t="s">
        <v>138</v>
      </c>
      <c r="W205" s="20">
        <v>12</v>
      </c>
      <c r="X205" s="65" t="s">
        <v>624</v>
      </c>
      <c r="Z205" t="s">
        <v>307</v>
      </c>
      <c r="AB205" t="s">
        <v>178</v>
      </c>
      <c r="AC205" t="s">
        <v>656</v>
      </c>
      <c r="AD205" s="2" t="s">
        <v>180</v>
      </c>
    </row>
    <row r="206" spans="1:30" hidden="1" x14ac:dyDescent="0.25">
      <c r="A206" s="2">
        <v>27</v>
      </c>
      <c r="B206" t="s">
        <v>658</v>
      </c>
      <c r="C206">
        <v>50</v>
      </c>
      <c r="D206">
        <v>964</v>
      </c>
      <c r="E206">
        <v>2638</v>
      </c>
      <c r="F206" t="s">
        <v>172</v>
      </c>
      <c r="G206" s="2" t="s">
        <v>156</v>
      </c>
      <c r="H206">
        <v>4</v>
      </c>
      <c r="I206">
        <v>2851.27</v>
      </c>
      <c r="J206" s="2" t="s">
        <v>170</v>
      </c>
      <c r="K206" s="2" t="s">
        <v>74</v>
      </c>
      <c r="M206" t="s">
        <v>676</v>
      </c>
      <c r="O206" t="s">
        <v>176</v>
      </c>
      <c r="P206" s="19" t="s">
        <v>625</v>
      </c>
      <c r="Q206" s="19" t="s">
        <v>26</v>
      </c>
      <c r="S206" s="19" t="s">
        <v>138</v>
      </c>
      <c r="W206" s="20">
        <v>12</v>
      </c>
      <c r="X206" s="65" t="s">
        <v>624</v>
      </c>
      <c r="Z206" t="s">
        <v>307</v>
      </c>
      <c r="AB206" t="s">
        <v>178</v>
      </c>
      <c r="AC206" t="s">
        <v>659</v>
      </c>
      <c r="AD206" s="2" t="s">
        <v>606</v>
      </c>
    </row>
    <row r="207" spans="1:30" hidden="1" x14ac:dyDescent="0.25">
      <c r="A207" s="2">
        <v>28</v>
      </c>
      <c r="B207" t="s">
        <v>660</v>
      </c>
      <c r="C207">
        <v>50</v>
      </c>
      <c r="D207">
        <v>964</v>
      </c>
      <c r="E207">
        <v>2638</v>
      </c>
      <c r="F207" t="s">
        <v>172</v>
      </c>
      <c r="G207" s="2" t="s">
        <v>156</v>
      </c>
      <c r="H207">
        <v>1</v>
      </c>
      <c r="I207">
        <v>712.82</v>
      </c>
      <c r="J207" s="2" t="s">
        <v>170</v>
      </c>
      <c r="K207" s="2" t="s">
        <v>74</v>
      </c>
      <c r="M207" t="s">
        <v>676</v>
      </c>
      <c r="O207" t="s">
        <v>176</v>
      </c>
      <c r="P207" s="19" t="s">
        <v>625</v>
      </c>
      <c r="Q207" s="19" t="s">
        <v>26</v>
      </c>
      <c r="S207" s="19" t="s">
        <v>138</v>
      </c>
      <c r="W207" s="20">
        <v>12</v>
      </c>
      <c r="X207" s="65" t="s">
        <v>624</v>
      </c>
      <c r="Z207" t="s">
        <v>307</v>
      </c>
      <c r="AB207" t="s">
        <v>178</v>
      </c>
      <c r="AC207" t="s">
        <v>659</v>
      </c>
      <c r="AD207" s="2" t="s">
        <v>606</v>
      </c>
    </row>
    <row r="208" spans="1:30" hidden="1" x14ac:dyDescent="0.25">
      <c r="A208" s="2">
        <v>29</v>
      </c>
      <c r="B208" s="86" t="s">
        <v>660</v>
      </c>
      <c r="C208" s="86">
        <v>50</v>
      </c>
      <c r="D208" s="86">
        <v>964</v>
      </c>
      <c r="E208" s="86">
        <v>2638</v>
      </c>
      <c r="F208" s="86" t="s">
        <v>172</v>
      </c>
      <c r="G208" s="86" t="s">
        <v>156</v>
      </c>
      <c r="H208" s="86">
        <v>3</v>
      </c>
      <c r="I208" s="86">
        <v>2138.4499999999998</v>
      </c>
      <c r="J208" s="86" t="s">
        <v>170</v>
      </c>
      <c r="K208" s="86" t="s">
        <v>74</v>
      </c>
      <c r="L208" s="86"/>
      <c r="M208" s="86" t="s">
        <v>676</v>
      </c>
      <c r="N208" s="86"/>
      <c r="O208" s="89" t="s">
        <v>176</v>
      </c>
      <c r="P208" s="89" t="s">
        <v>625</v>
      </c>
      <c r="Q208" s="89" t="s">
        <v>26</v>
      </c>
      <c r="R208" s="89"/>
      <c r="S208" s="89" t="s">
        <v>138</v>
      </c>
      <c r="T208" s="89"/>
      <c r="U208" s="89"/>
      <c r="V208" s="89"/>
      <c r="W208" s="89">
        <v>12</v>
      </c>
      <c r="X208" s="90" t="s">
        <v>744</v>
      </c>
      <c r="Y208" s="86"/>
      <c r="Z208" s="86" t="s">
        <v>434</v>
      </c>
      <c r="AA208" s="86"/>
      <c r="AB208" s="86" t="s">
        <v>178</v>
      </c>
      <c r="AC208" s="86" t="s">
        <v>661</v>
      </c>
      <c r="AD208" s="86" t="s">
        <v>502</v>
      </c>
    </row>
    <row r="209" spans="1:30" hidden="1" x14ac:dyDescent="0.25">
      <c r="A209" s="2">
        <v>30</v>
      </c>
      <c r="B209" t="s">
        <v>662</v>
      </c>
      <c r="C209">
        <v>60</v>
      </c>
      <c r="D209">
        <v>1080</v>
      </c>
      <c r="E209">
        <v>2260</v>
      </c>
      <c r="F209" t="s">
        <v>172</v>
      </c>
      <c r="G209" s="2" t="s">
        <v>156</v>
      </c>
      <c r="H209">
        <v>2</v>
      </c>
      <c r="I209">
        <v>2299.63</v>
      </c>
      <c r="J209" s="2" t="s">
        <v>170</v>
      </c>
      <c r="K209" s="2" t="s">
        <v>74</v>
      </c>
      <c r="M209" t="s">
        <v>676</v>
      </c>
      <c r="P209" s="19" t="s">
        <v>625</v>
      </c>
      <c r="Q209" s="19" t="s">
        <v>27</v>
      </c>
      <c r="R209" s="19" t="s">
        <v>138</v>
      </c>
      <c r="V209" s="19" t="s">
        <v>138</v>
      </c>
      <c r="W209" s="20">
        <v>12</v>
      </c>
      <c r="X209" s="65" t="s">
        <v>624</v>
      </c>
      <c r="Z209" t="s">
        <v>307</v>
      </c>
      <c r="AB209" t="s">
        <v>178</v>
      </c>
      <c r="AC209" t="s">
        <v>663</v>
      </c>
      <c r="AD209" s="2" t="s">
        <v>180</v>
      </c>
    </row>
    <row r="210" spans="1:30" hidden="1" x14ac:dyDescent="0.25">
      <c r="A210" s="2">
        <v>31</v>
      </c>
      <c r="B210" t="s">
        <v>664</v>
      </c>
      <c r="C210">
        <v>60</v>
      </c>
      <c r="D210">
        <v>1080</v>
      </c>
      <c r="E210">
        <v>4909</v>
      </c>
      <c r="F210" t="s">
        <v>172</v>
      </c>
      <c r="G210" s="2" t="s">
        <v>156</v>
      </c>
      <c r="H210">
        <v>2</v>
      </c>
      <c r="I210">
        <v>4994.22</v>
      </c>
      <c r="J210" s="2" t="s">
        <v>170</v>
      </c>
      <c r="K210" s="2" t="s">
        <v>74</v>
      </c>
      <c r="M210" t="s">
        <v>676</v>
      </c>
      <c r="P210" s="19" t="s">
        <v>625</v>
      </c>
      <c r="Q210" s="19" t="s">
        <v>27</v>
      </c>
      <c r="R210" s="19" t="s">
        <v>138</v>
      </c>
      <c r="V210" s="19" t="s">
        <v>138</v>
      </c>
      <c r="W210" s="20">
        <v>12</v>
      </c>
      <c r="X210" s="65" t="s">
        <v>624</v>
      </c>
      <c r="Z210" t="s">
        <v>307</v>
      </c>
      <c r="AB210" t="s">
        <v>178</v>
      </c>
      <c r="AC210" t="s">
        <v>663</v>
      </c>
      <c r="AD210" s="2" t="s">
        <v>180</v>
      </c>
    </row>
    <row r="211" spans="1:30" hidden="1" x14ac:dyDescent="0.25">
      <c r="A211" s="2">
        <v>32</v>
      </c>
      <c r="B211" t="s">
        <v>665</v>
      </c>
      <c r="C211">
        <v>60</v>
      </c>
      <c r="D211">
        <v>1080</v>
      </c>
      <c r="E211">
        <v>2809</v>
      </c>
      <c r="F211" t="s">
        <v>172</v>
      </c>
      <c r="G211" s="2" t="s">
        <v>156</v>
      </c>
      <c r="H211">
        <v>2</v>
      </c>
      <c r="I211">
        <v>2857.76</v>
      </c>
      <c r="J211" s="2" t="s">
        <v>170</v>
      </c>
      <c r="K211" s="2" t="s">
        <v>74</v>
      </c>
      <c r="M211" t="s">
        <v>676</v>
      </c>
      <c r="P211" s="19" t="s">
        <v>625</v>
      </c>
      <c r="Q211" s="19" t="s">
        <v>27</v>
      </c>
      <c r="R211" s="19" t="s">
        <v>138</v>
      </c>
      <c r="V211" s="19" t="s">
        <v>138</v>
      </c>
      <c r="W211" s="20">
        <v>12</v>
      </c>
      <c r="X211" s="65" t="s">
        <v>624</v>
      </c>
      <c r="Z211" t="s">
        <v>307</v>
      </c>
      <c r="AB211" t="s">
        <v>178</v>
      </c>
      <c r="AC211" t="s">
        <v>663</v>
      </c>
      <c r="AD211" s="2" t="s">
        <v>180</v>
      </c>
    </row>
    <row r="212" spans="1:30" hidden="1" x14ac:dyDescent="0.25">
      <c r="A212" s="2">
        <v>33</v>
      </c>
      <c r="B212" t="s">
        <v>666</v>
      </c>
      <c r="C212">
        <v>60</v>
      </c>
      <c r="D212">
        <v>1080</v>
      </c>
      <c r="E212">
        <v>2260</v>
      </c>
      <c r="F212" t="s">
        <v>172</v>
      </c>
      <c r="G212" s="2" t="s">
        <v>156</v>
      </c>
      <c r="H212">
        <v>2</v>
      </c>
      <c r="I212">
        <v>2299.63</v>
      </c>
      <c r="J212" s="2" t="s">
        <v>170</v>
      </c>
      <c r="K212" s="2" t="s">
        <v>74</v>
      </c>
      <c r="M212" t="s">
        <v>676</v>
      </c>
      <c r="P212" s="19" t="s">
        <v>625</v>
      </c>
      <c r="Q212" s="19" t="s">
        <v>27</v>
      </c>
      <c r="R212" s="19" t="s">
        <v>138</v>
      </c>
      <c r="V212" s="19" t="s">
        <v>138</v>
      </c>
      <c r="W212" s="20">
        <v>12</v>
      </c>
      <c r="X212" s="65" t="s">
        <v>624</v>
      </c>
      <c r="Z212" t="s">
        <v>307</v>
      </c>
      <c r="AB212" t="s">
        <v>178</v>
      </c>
      <c r="AC212" t="s">
        <v>667</v>
      </c>
      <c r="AD212" s="2" t="s">
        <v>180</v>
      </c>
    </row>
    <row r="213" spans="1:30" hidden="1" x14ac:dyDescent="0.25">
      <c r="A213" s="2">
        <v>34</v>
      </c>
      <c r="B213" t="s">
        <v>668</v>
      </c>
      <c r="C213">
        <v>60</v>
      </c>
      <c r="D213">
        <v>1080</v>
      </c>
      <c r="E213">
        <v>4909</v>
      </c>
      <c r="F213" t="s">
        <v>172</v>
      </c>
      <c r="G213" s="2" t="s">
        <v>156</v>
      </c>
      <c r="H213">
        <v>2</v>
      </c>
      <c r="I213">
        <v>4994.22</v>
      </c>
      <c r="J213" s="2" t="s">
        <v>170</v>
      </c>
      <c r="K213" s="2" t="s">
        <v>74</v>
      </c>
      <c r="M213" t="s">
        <v>676</v>
      </c>
      <c r="P213" s="19" t="s">
        <v>625</v>
      </c>
      <c r="Q213" s="19" t="s">
        <v>27</v>
      </c>
      <c r="R213" s="19" t="s">
        <v>138</v>
      </c>
      <c r="V213" s="19" t="s">
        <v>138</v>
      </c>
      <c r="W213" s="20">
        <v>12</v>
      </c>
      <c r="X213" s="65" t="s">
        <v>624</v>
      </c>
      <c r="Z213" t="s">
        <v>307</v>
      </c>
      <c r="AB213" t="s">
        <v>178</v>
      </c>
      <c r="AC213" t="s">
        <v>667</v>
      </c>
      <c r="AD213" s="2" t="s">
        <v>180</v>
      </c>
    </row>
    <row r="214" spans="1:30" hidden="1" x14ac:dyDescent="0.25">
      <c r="A214" s="2">
        <v>35</v>
      </c>
      <c r="B214" t="s">
        <v>669</v>
      </c>
      <c r="C214">
        <v>60</v>
      </c>
      <c r="D214">
        <v>1080</v>
      </c>
      <c r="E214">
        <v>2809</v>
      </c>
      <c r="F214" t="s">
        <v>172</v>
      </c>
      <c r="G214" s="2" t="s">
        <v>156</v>
      </c>
      <c r="H214">
        <v>2</v>
      </c>
      <c r="I214">
        <v>2857.76</v>
      </c>
      <c r="J214" s="2" t="s">
        <v>170</v>
      </c>
      <c r="K214" s="2" t="s">
        <v>74</v>
      </c>
      <c r="M214" t="s">
        <v>676</v>
      </c>
      <c r="P214" s="19" t="s">
        <v>625</v>
      </c>
      <c r="Q214" s="19" t="s">
        <v>27</v>
      </c>
      <c r="R214" s="19" t="s">
        <v>138</v>
      </c>
      <c r="V214" s="19" t="s">
        <v>138</v>
      </c>
      <c r="W214" s="20">
        <v>12</v>
      </c>
      <c r="X214" s="65" t="s">
        <v>624</v>
      </c>
      <c r="Z214" t="s">
        <v>307</v>
      </c>
      <c r="AB214" t="s">
        <v>178</v>
      </c>
      <c r="AC214" t="s">
        <v>667</v>
      </c>
      <c r="AD214" s="2" t="s">
        <v>180</v>
      </c>
    </row>
    <row r="215" spans="1:30" hidden="1" x14ac:dyDescent="0.25">
      <c r="A215" s="2">
        <v>36</v>
      </c>
      <c r="B215" t="s">
        <v>670</v>
      </c>
      <c r="C215">
        <v>80</v>
      </c>
      <c r="D215">
        <v>1200</v>
      </c>
      <c r="E215">
        <v>17998</v>
      </c>
      <c r="F215" t="s">
        <v>273</v>
      </c>
      <c r="G215" s="2" t="s">
        <v>156</v>
      </c>
      <c r="H215">
        <v>1</v>
      </c>
      <c r="I215">
        <v>13503.16</v>
      </c>
      <c r="J215" s="2" t="s">
        <v>170</v>
      </c>
      <c r="K215" s="2" t="s">
        <v>74</v>
      </c>
      <c r="M215" t="s">
        <v>676</v>
      </c>
      <c r="P215" s="19" t="s">
        <v>625</v>
      </c>
      <c r="Q215" s="19" t="s">
        <v>27</v>
      </c>
      <c r="R215" s="19" t="s">
        <v>138</v>
      </c>
      <c r="V215" s="19" t="s">
        <v>138</v>
      </c>
      <c r="W215" s="20">
        <v>12</v>
      </c>
      <c r="X215" s="65" t="s">
        <v>624</v>
      </c>
      <c r="Z215" t="s">
        <v>307</v>
      </c>
      <c r="AB215" t="s">
        <v>178</v>
      </c>
      <c r="AC215" t="s">
        <v>671</v>
      </c>
      <c r="AD215" s="2" t="s">
        <v>180</v>
      </c>
    </row>
    <row r="216" spans="1:30" hidden="1" x14ac:dyDescent="0.25">
      <c r="A216" s="2">
        <v>37</v>
      </c>
      <c r="B216" t="s">
        <v>670</v>
      </c>
      <c r="C216">
        <v>80</v>
      </c>
      <c r="D216">
        <v>1200</v>
      </c>
      <c r="E216">
        <v>17998</v>
      </c>
      <c r="F216" t="s">
        <v>273</v>
      </c>
      <c r="G216" s="2" t="s">
        <v>156</v>
      </c>
      <c r="H216">
        <v>1</v>
      </c>
      <c r="I216">
        <v>13503.16</v>
      </c>
      <c r="J216" s="2" t="s">
        <v>170</v>
      </c>
      <c r="K216" s="2" t="s">
        <v>74</v>
      </c>
      <c r="M216" t="s">
        <v>676</v>
      </c>
      <c r="P216" s="19" t="s">
        <v>625</v>
      </c>
      <c r="Q216" s="19" t="s">
        <v>27</v>
      </c>
      <c r="R216" s="19" t="s">
        <v>138</v>
      </c>
      <c r="V216" s="19" t="s">
        <v>138</v>
      </c>
      <c r="W216" s="20">
        <v>12</v>
      </c>
      <c r="X216" s="65" t="s">
        <v>624</v>
      </c>
      <c r="Z216" t="s">
        <v>307</v>
      </c>
      <c r="AB216" t="s">
        <v>178</v>
      </c>
      <c r="AC216" t="s">
        <v>672</v>
      </c>
      <c r="AD216" s="2" t="s">
        <v>180</v>
      </c>
    </row>
    <row r="217" spans="1:30" hidden="1" x14ac:dyDescent="0.25">
      <c r="A217" s="2">
        <v>38</v>
      </c>
      <c r="B217" t="s">
        <v>673</v>
      </c>
      <c r="C217">
        <v>80</v>
      </c>
      <c r="D217">
        <v>1200</v>
      </c>
      <c r="E217">
        <v>17998</v>
      </c>
      <c r="F217" t="s">
        <v>273</v>
      </c>
      <c r="G217" s="2" t="s">
        <v>156</v>
      </c>
      <c r="H217">
        <v>1</v>
      </c>
      <c r="I217">
        <v>13503.16</v>
      </c>
      <c r="J217" s="2" t="s">
        <v>170</v>
      </c>
      <c r="K217" s="2" t="s">
        <v>74</v>
      </c>
      <c r="M217" t="s">
        <v>676</v>
      </c>
      <c r="P217" s="19" t="s">
        <v>625</v>
      </c>
      <c r="Q217" s="19" t="s">
        <v>27</v>
      </c>
      <c r="R217" s="19" t="s">
        <v>138</v>
      </c>
      <c r="V217" s="19" t="s">
        <v>138</v>
      </c>
      <c r="W217" s="20">
        <v>12</v>
      </c>
      <c r="X217" s="65" t="s">
        <v>624</v>
      </c>
      <c r="Z217" t="s">
        <v>307</v>
      </c>
      <c r="AB217" t="s">
        <v>178</v>
      </c>
      <c r="AC217" t="s">
        <v>674</v>
      </c>
      <c r="AD217" s="2" t="s">
        <v>180</v>
      </c>
    </row>
    <row r="218" spans="1:30" hidden="1" x14ac:dyDescent="0.25">
      <c r="A218" s="2">
        <v>39</v>
      </c>
      <c r="B218" t="s">
        <v>673</v>
      </c>
      <c r="C218">
        <v>80</v>
      </c>
      <c r="D218">
        <v>1200</v>
      </c>
      <c r="E218">
        <v>17998</v>
      </c>
      <c r="F218" t="s">
        <v>273</v>
      </c>
      <c r="G218" s="2" t="s">
        <v>156</v>
      </c>
      <c r="H218">
        <v>1</v>
      </c>
      <c r="I218">
        <v>13503.16</v>
      </c>
      <c r="J218" s="2" t="s">
        <v>170</v>
      </c>
      <c r="K218" s="2" t="s">
        <v>74</v>
      </c>
      <c r="M218" t="s">
        <v>676</v>
      </c>
      <c r="P218" s="19" t="s">
        <v>625</v>
      </c>
      <c r="Q218" s="19" t="s">
        <v>27</v>
      </c>
      <c r="R218" s="19" t="s">
        <v>138</v>
      </c>
      <c r="V218" s="19" t="s">
        <v>138</v>
      </c>
      <c r="W218" s="20">
        <v>12</v>
      </c>
      <c r="X218" s="65" t="s">
        <v>624</v>
      </c>
      <c r="Z218" t="s">
        <v>307</v>
      </c>
      <c r="AB218" t="s">
        <v>178</v>
      </c>
      <c r="AC218" t="s">
        <v>675</v>
      </c>
      <c r="AD218" s="2" t="s">
        <v>180</v>
      </c>
    </row>
    <row r="219" spans="1:30" hidden="1" x14ac:dyDescent="0.25">
      <c r="A219" s="2">
        <v>1</v>
      </c>
      <c r="B219" t="s">
        <v>677</v>
      </c>
      <c r="C219">
        <v>10</v>
      </c>
      <c r="D219">
        <v>30</v>
      </c>
      <c r="E219">
        <v>50</v>
      </c>
      <c r="F219" t="s">
        <v>172</v>
      </c>
      <c r="G219" s="2" t="s">
        <v>156</v>
      </c>
      <c r="H219">
        <v>36</v>
      </c>
      <c r="I219">
        <v>4.0199999999999996</v>
      </c>
      <c r="J219" s="2" t="s">
        <v>170</v>
      </c>
      <c r="K219" s="2" t="s">
        <v>74</v>
      </c>
      <c r="M219" t="s">
        <v>739</v>
      </c>
      <c r="O219" t="s">
        <v>176</v>
      </c>
      <c r="P219" s="19" t="s">
        <v>179</v>
      </c>
      <c r="Q219" s="19" t="s">
        <v>26</v>
      </c>
      <c r="R219" s="19" t="s">
        <v>138</v>
      </c>
      <c r="W219" s="20">
        <v>13</v>
      </c>
      <c r="X219" s="65" t="s">
        <v>679</v>
      </c>
      <c r="Z219" t="s">
        <v>307</v>
      </c>
      <c r="AB219" t="s">
        <v>178</v>
      </c>
      <c r="AC219" t="s">
        <v>678</v>
      </c>
      <c r="AD219" s="2" t="s">
        <v>180</v>
      </c>
    </row>
    <row r="220" spans="1:30" hidden="1" x14ac:dyDescent="0.25">
      <c r="A220" s="2">
        <v>2</v>
      </c>
      <c r="B220" t="s">
        <v>680</v>
      </c>
      <c r="C220">
        <v>12</v>
      </c>
      <c r="D220">
        <v>275</v>
      </c>
      <c r="E220">
        <v>300</v>
      </c>
      <c r="F220" t="s">
        <v>172</v>
      </c>
      <c r="G220" s="2" t="s">
        <v>156</v>
      </c>
      <c r="H220">
        <v>50</v>
      </c>
      <c r="I220">
        <v>335.61</v>
      </c>
      <c r="J220" s="2" t="s">
        <v>170</v>
      </c>
      <c r="K220" s="2" t="s">
        <v>74</v>
      </c>
      <c r="M220" t="s">
        <v>739</v>
      </c>
      <c r="P220" s="19" t="s">
        <v>179</v>
      </c>
      <c r="Q220" s="19" t="s">
        <v>25</v>
      </c>
      <c r="S220" s="19" t="s">
        <v>138</v>
      </c>
      <c r="W220" s="20">
        <v>13</v>
      </c>
      <c r="X220" s="65" t="s">
        <v>679</v>
      </c>
      <c r="Z220" t="s">
        <v>307</v>
      </c>
      <c r="AB220" t="s">
        <v>178</v>
      </c>
      <c r="AC220" t="s">
        <v>682</v>
      </c>
      <c r="AD220" s="2" t="s">
        <v>630</v>
      </c>
    </row>
    <row r="221" spans="1:30" hidden="1" x14ac:dyDescent="0.25">
      <c r="A221" s="2">
        <v>3</v>
      </c>
      <c r="B221" t="s">
        <v>683</v>
      </c>
      <c r="C221">
        <v>12</v>
      </c>
      <c r="D221">
        <v>295</v>
      </c>
      <c r="E221">
        <v>300</v>
      </c>
      <c r="F221" t="s">
        <v>172</v>
      </c>
      <c r="G221" s="2" t="s">
        <v>156</v>
      </c>
      <c r="H221">
        <v>28</v>
      </c>
      <c r="I221">
        <v>196.38</v>
      </c>
      <c r="J221" s="2" t="s">
        <v>170</v>
      </c>
      <c r="K221" s="2" t="s">
        <v>74</v>
      </c>
      <c r="M221" t="s">
        <v>739</v>
      </c>
      <c r="P221" s="19" t="s">
        <v>179</v>
      </c>
      <c r="Q221" s="19" t="s">
        <v>25</v>
      </c>
      <c r="R221" s="19" t="s">
        <v>138</v>
      </c>
      <c r="W221" s="20">
        <v>13</v>
      </c>
      <c r="X221" s="65" t="s">
        <v>679</v>
      </c>
      <c r="Z221" t="s">
        <v>307</v>
      </c>
      <c r="AB221" t="s">
        <v>178</v>
      </c>
      <c r="AC221" t="s">
        <v>684</v>
      </c>
      <c r="AD221" s="2" t="s">
        <v>180</v>
      </c>
    </row>
    <row r="222" spans="1:30" hidden="1" x14ac:dyDescent="0.25">
      <c r="A222" s="2">
        <v>4</v>
      </c>
      <c r="B222" t="s">
        <v>685</v>
      </c>
      <c r="C222">
        <v>12</v>
      </c>
      <c r="D222">
        <v>75</v>
      </c>
      <c r="E222">
        <v>75</v>
      </c>
      <c r="F222" t="s">
        <v>172</v>
      </c>
      <c r="G222" s="2" t="s">
        <v>156</v>
      </c>
      <c r="H222">
        <v>4</v>
      </c>
      <c r="I222">
        <v>2.12</v>
      </c>
      <c r="J222" s="2" t="s">
        <v>170</v>
      </c>
      <c r="K222" s="2" t="s">
        <v>74</v>
      </c>
      <c r="M222" t="s">
        <v>739</v>
      </c>
      <c r="P222" s="19" t="s">
        <v>179</v>
      </c>
      <c r="Q222" s="19" t="s">
        <v>25</v>
      </c>
      <c r="R222" s="19" t="s">
        <v>138</v>
      </c>
      <c r="W222" s="20">
        <v>13</v>
      </c>
      <c r="X222" s="65" t="s">
        <v>679</v>
      </c>
      <c r="Z222" t="s">
        <v>307</v>
      </c>
      <c r="AB222" t="s">
        <v>178</v>
      </c>
      <c r="AC222" t="s">
        <v>684</v>
      </c>
      <c r="AD222" s="2" t="s">
        <v>180</v>
      </c>
    </row>
    <row r="223" spans="1:30" hidden="1" x14ac:dyDescent="0.25">
      <c r="A223" s="2">
        <v>5</v>
      </c>
      <c r="B223" t="s">
        <v>686</v>
      </c>
      <c r="C223">
        <v>12</v>
      </c>
      <c r="D223">
        <v>275</v>
      </c>
      <c r="E223">
        <v>300</v>
      </c>
      <c r="F223" t="s">
        <v>172</v>
      </c>
      <c r="G223" s="2" t="s">
        <v>156</v>
      </c>
      <c r="H223">
        <v>77</v>
      </c>
      <c r="I223">
        <v>516.84</v>
      </c>
      <c r="J223" s="2" t="s">
        <v>170</v>
      </c>
      <c r="K223" s="2" t="s">
        <v>74</v>
      </c>
      <c r="M223" t="s">
        <v>739</v>
      </c>
      <c r="P223" s="19" t="s">
        <v>179</v>
      </c>
      <c r="Q223" s="19" t="s">
        <v>25</v>
      </c>
      <c r="R223" s="19" t="s">
        <v>138</v>
      </c>
      <c r="W223" s="20">
        <v>13</v>
      </c>
      <c r="X223" s="65" t="s">
        <v>679</v>
      </c>
      <c r="Z223" t="s">
        <v>307</v>
      </c>
      <c r="AB223" t="s">
        <v>178</v>
      </c>
      <c r="AC223" t="s">
        <v>684</v>
      </c>
      <c r="AD223" s="2" t="s">
        <v>180</v>
      </c>
    </row>
    <row r="224" spans="1:30" hidden="1" x14ac:dyDescent="0.25">
      <c r="A224" s="2">
        <v>6</v>
      </c>
      <c r="B224" t="s">
        <v>687</v>
      </c>
      <c r="C224">
        <v>12</v>
      </c>
      <c r="D224">
        <v>295</v>
      </c>
      <c r="E224">
        <v>300</v>
      </c>
      <c r="F224" t="s">
        <v>172</v>
      </c>
      <c r="G224" s="2" t="s">
        <v>156</v>
      </c>
      <c r="H224">
        <v>28</v>
      </c>
      <c r="I224">
        <v>196.38</v>
      </c>
      <c r="J224" s="2" t="s">
        <v>170</v>
      </c>
      <c r="K224" s="2" t="s">
        <v>74</v>
      </c>
      <c r="M224" t="s">
        <v>739</v>
      </c>
      <c r="P224" s="19" t="s">
        <v>179</v>
      </c>
      <c r="Q224" s="19" t="s">
        <v>25</v>
      </c>
      <c r="R224" s="19" t="s">
        <v>138</v>
      </c>
      <c r="W224" s="20">
        <v>13</v>
      </c>
      <c r="X224" s="65" t="s">
        <v>679</v>
      </c>
      <c r="Z224" t="s">
        <v>307</v>
      </c>
      <c r="AB224" t="s">
        <v>178</v>
      </c>
      <c r="AC224" t="s">
        <v>684</v>
      </c>
      <c r="AD224" s="2" t="s">
        <v>180</v>
      </c>
    </row>
    <row r="225" spans="1:30" hidden="1" x14ac:dyDescent="0.25">
      <c r="A225" s="2">
        <v>7</v>
      </c>
      <c r="B225" t="s">
        <v>688</v>
      </c>
      <c r="C225">
        <v>12</v>
      </c>
      <c r="D225">
        <v>75</v>
      </c>
      <c r="E225">
        <v>75</v>
      </c>
      <c r="F225" t="s">
        <v>172</v>
      </c>
      <c r="G225" s="2" t="s">
        <v>156</v>
      </c>
      <c r="H225">
        <v>4</v>
      </c>
      <c r="I225">
        <v>2.12</v>
      </c>
      <c r="J225" s="2" t="s">
        <v>170</v>
      </c>
      <c r="K225" s="2" t="s">
        <v>74</v>
      </c>
      <c r="M225" t="s">
        <v>739</v>
      </c>
      <c r="P225" s="19" t="s">
        <v>179</v>
      </c>
      <c r="Q225" s="19" t="s">
        <v>25</v>
      </c>
      <c r="R225" s="19" t="s">
        <v>138</v>
      </c>
      <c r="W225" s="20">
        <v>13</v>
      </c>
      <c r="X225" s="65" t="s">
        <v>679</v>
      </c>
      <c r="Z225" t="s">
        <v>307</v>
      </c>
      <c r="AB225" t="s">
        <v>178</v>
      </c>
      <c r="AC225" t="s">
        <v>684</v>
      </c>
      <c r="AD225" s="2" t="s">
        <v>180</v>
      </c>
    </row>
    <row r="226" spans="1:30" hidden="1" x14ac:dyDescent="0.25">
      <c r="A226" s="2">
        <v>8</v>
      </c>
      <c r="B226" t="s">
        <v>680</v>
      </c>
      <c r="C226">
        <v>12</v>
      </c>
      <c r="D226">
        <v>275</v>
      </c>
      <c r="E226">
        <v>300</v>
      </c>
      <c r="F226" t="s">
        <v>172</v>
      </c>
      <c r="G226" s="2" t="s">
        <v>156</v>
      </c>
      <c r="H226">
        <v>30</v>
      </c>
      <c r="I226">
        <v>201.37</v>
      </c>
      <c r="J226" s="2" t="s">
        <v>170</v>
      </c>
      <c r="K226" s="2" t="s">
        <v>74</v>
      </c>
      <c r="M226" t="s">
        <v>739</v>
      </c>
      <c r="P226" s="19" t="s">
        <v>179</v>
      </c>
      <c r="Q226" s="19" t="s">
        <v>25</v>
      </c>
      <c r="R226" s="19" t="s">
        <v>138</v>
      </c>
      <c r="W226" s="20">
        <v>13</v>
      </c>
      <c r="X226" s="65" t="s">
        <v>679</v>
      </c>
      <c r="Z226" t="s">
        <v>307</v>
      </c>
      <c r="AB226" t="s">
        <v>178</v>
      </c>
      <c r="AC226" t="s">
        <v>689</v>
      </c>
      <c r="AD226" s="2" t="s">
        <v>180</v>
      </c>
    </row>
    <row r="227" spans="1:30" hidden="1" x14ac:dyDescent="0.25">
      <c r="A227" s="2">
        <v>9</v>
      </c>
      <c r="B227" t="s">
        <v>690</v>
      </c>
      <c r="C227">
        <v>20</v>
      </c>
      <c r="D227">
        <v>30</v>
      </c>
      <c r="E227">
        <v>30</v>
      </c>
      <c r="F227" t="s">
        <v>172</v>
      </c>
      <c r="G227" s="2" t="s">
        <v>156</v>
      </c>
      <c r="H227">
        <v>8</v>
      </c>
      <c r="I227">
        <v>1.1299999999999999</v>
      </c>
      <c r="J227" s="2" t="s">
        <v>170</v>
      </c>
      <c r="K227" s="2" t="s">
        <v>74</v>
      </c>
      <c r="M227" t="s">
        <v>739</v>
      </c>
      <c r="O227" t="s">
        <v>176</v>
      </c>
      <c r="P227" s="19" t="s">
        <v>179</v>
      </c>
      <c r="Q227" s="19" t="s">
        <v>26</v>
      </c>
      <c r="S227" s="19" t="s">
        <v>138</v>
      </c>
      <c r="W227" s="20">
        <v>13</v>
      </c>
      <c r="X227" s="65" t="s">
        <v>679</v>
      </c>
      <c r="Z227" t="s">
        <v>307</v>
      </c>
      <c r="AB227" t="s">
        <v>178</v>
      </c>
      <c r="AC227" t="s">
        <v>692</v>
      </c>
      <c r="AD227" s="2" t="s">
        <v>632</v>
      </c>
    </row>
    <row r="228" spans="1:30" hidden="1" x14ac:dyDescent="0.25">
      <c r="A228" s="2">
        <v>10</v>
      </c>
      <c r="B228" t="s">
        <v>693</v>
      </c>
      <c r="C228">
        <v>20</v>
      </c>
      <c r="D228">
        <v>250</v>
      </c>
      <c r="E228">
        <v>2638</v>
      </c>
      <c r="F228" t="s">
        <v>172</v>
      </c>
      <c r="G228" s="2" t="s">
        <v>156</v>
      </c>
      <c r="H228">
        <v>10</v>
      </c>
      <c r="I228">
        <v>1034.96</v>
      </c>
      <c r="J228" s="2" t="s">
        <v>170</v>
      </c>
      <c r="K228" s="2" t="s">
        <v>74</v>
      </c>
      <c r="M228" t="s">
        <v>739</v>
      </c>
      <c r="P228" s="19" t="s">
        <v>179</v>
      </c>
      <c r="Q228" s="19" t="s">
        <v>25</v>
      </c>
      <c r="S228" s="19" t="s">
        <v>138</v>
      </c>
      <c r="W228" s="20">
        <v>13</v>
      </c>
      <c r="X228" s="65" t="s">
        <v>679</v>
      </c>
      <c r="Z228" t="s">
        <v>307</v>
      </c>
      <c r="AB228" t="s">
        <v>178</v>
      </c>
      <c r="AC228" t="s">
        <v>692</v>
      </c>
      <c r="AD228" s="2" t="s">
        <v>632</v>
      </c>
    </row>
    <row r="229" spans="1:30" hidden="1" x14ac:dyDescent="0.25">
      <c r="A229" s="2">
        <v>11</v>
      </c>
      <c r="B229" t="s">
        <v>694</v>
      </c>
      <c r="C229">
        <v>20</v>
      </c>
      <c r="D229">
        <v>250</v>
      </c>
      <c r="E229">
        <v>1218</v>
      </c>
      <c r="F229" t="s">
        <v>172</v>
      </c>
      <c r="G229" s="2" t="s">
        <v>156</v>
      </c>
      <c r="H229">
        <v>2</v>
      </c>
      <c r="I229">
        <v>95.53</v>
      </c>
      <c r="J229" s="2" t="s">
        <v>170</v>
      </c>
      <c r="K229" s="2" t="s">
        <v>74</v>
      </c>
      <c r="M229" t="s">
        <v>739</v>
      </c>
      <c r="P229" s="19" t="s">
        <v>179</v>
      </c>
      <c r="Q229" s="19" t="s">
        <v>25</v>
      </c>
      <c r="S229" s="19" t="s">
        <v>138</v>
      </c>
      <c r="W229" s="20">
        <v>13</v>
      </c>
      <c r="X229" s="65" t="s">
        <v>679</v>
      </c>
      <c r="Z229" t="s">
        <v>307</v>
      </c>
      <c r="AB229" t="s">
        <v>178</v>
      </c>
      <c r="AC229" t="s">
        <v>692</v>
      </c>
      <c r="AD229" s="2" t="s">
        <v>632</v>
      </c>
    </row>
    <row r="230" spans="1:30" hidden="1" x14ac:dyDescent="0.25">
      <c r="A230" s="2">
        <v>12</v>
      </c>
      <c r="B230" t="s">
        <v>695</v>
      </c>
      <c r="C230">
        <v>20</v>
      </c>
      <c r="D230">
        <v>30</v>
      </c>
      <c r="E230">
        <v>90</v>
      </c>
      <c r="F230" t="s">
        <v>172</v>
      </c>
      <c r="G230" s="2" t="s">
        <v>156</v>
      </c>
      <c r="H230">
        <v>4</v>
      </c>
      <c r="I230">
        <v>1.7</v>
      </c>
      <c r="J230" s="2" t="s">
        <v>170</v>
      </c>
      <c r="K230" s="2" t="s">
        <v>74</v>
      </c>
      <c r="M230" t="s">
        <v>739</v>
      </c>
      <c r="O230" t="s">
        <v>176</v>
      </c>
      <c r="P230" s="19" t="s">
        <v>179</v>
      </c>
      <c r="Q230" s="19" t="s">
        <v>26</v>
      </c>
      <c r="S230" s="19" t="s">
        <v>138</v>
      </c>
      <c r="W230" s="20">
        <v>13</v>
      </c>
      <c r="X230" s="65" t="s">
        <v>679</v>
      </c>
      <c r="Z230" t="s">
        <v>307</v>
      </c>
      <c r="AB230" t="s">
        <v>178</v>
      </c>
      <c r="AC230" t="s">
        <v>692</v>
      </c>
      <c r="AD230" s="2" t="s">
        <v>632</v>
      </c>
    </row>
    <row r="231" spans="1:30" hidden="1" x14ac:dyDescent="0.25">
      <c r="A231" s="2">
        <v>13</v>
      </c>
      <c r="B231" t="s">
        <v>696</v>
      </c>
      <c r="C231">
        <v>20</v>
      </c>
      <c r="D231">
        <v>250</v>
      </c>
      <c r="E231">
        <v>2658</v>
      </c>
      <c r="F231" t="s">
        <v>172</v>
      </c>
      <c r="G231" s="2" t="s">
        <v>156</v>
      </c>
      <c r="H231">
        <v>4</v>
      </c>
      <c r="I231">
        <v>417.12</v>
      </c>
      <c r="J231" s="2" t="s">
        <v>170</v>
      </c>
      <c r="K231" s="2" t="s">
        <v>74</v>
      </c>
      <c r="M231" t="s">
        <v>739</v>
      </c>
      <c r="P231" s="19" t="s">
        <v>179</v>
      </c>
      <c r="Q231" s="19" t="s">
        <v>25</v>
      </c>
      <c r="R231" s="19" t="s">
        <v>138</v>
      </c>
      <c r="W231" s="20">
        <v>13</v>
      </c>
      <c r="X231" s="65" t="s">
        <v>679</v>
      </c>
      <c r="Z231" t="s">
        <v>307</v>
      </c>
      <c r="AB231" t="s">
        <v>178</v>
      </c>
      <c r="AC231" t="s">
        <v>697</v>
      </c>
      <c r="AD231" s="2" t="s">
        <v>180</v>
      </c>
    </row>
    <row r="232" spans="1:30" hidden="1" x14ac:dyDescent="0.25">
      <c r="A232" s="2">
        <v>14</v>
      </c>
      <c r="B232" t="s">
        <v>698</v>
      </c>
      <c r="C232">
        <v>20</v>
      </c>
      <c r="D232">
        <v>250</v>
      </c>
      <c r="E232">
        <v>2658</v>
      </c>
      <c r="F232" t="s">
        <v>172</v>
      </c>
      <c r="G232" s="2" t="s">
        <v>156</v>
      </c>
      <c r="H232">
        <v>4</v>
      </c>
      <c r="I232">
        <v>417.12</v>
      </c>
      <c r="J232" s="2" t="s">
        <v>170</v>
      </c>
      <c r="K232" s="2" t="s">
        <v>74</v>
      </c>
      <c r="M232" t="s">
        <v>739</v>
      </c>
      <c r="P232" s="19" t="s">
        <v>179</v>
      </c>
      <c r="Q232" s="19" t="s">
        <v>25</v>
      </c>
      <c r="R232" s="19" t="s">
        <v>138</v>
      </c>
      <c r="W232" s="20">
        <v>13</v>
      </c>
      <c r="X232" s="65" t="s">
        <v>679</v>
      </c>
      <c r="Z232" t="s">
        <v>307</v>
      </c>
      <c r="AB232" t="s">
        <v>178</v>
      </c>
      <c r="AC232" t="s">
        <v>697</v>
      </c>
      <c r="AD232" s="2" t="s">
        <v>180</v>
      </c>
    </row>
    <row r="233" spans="1:30" hidden="1" x14ac:dyDescent="0.25">
      <c r="A233" s="2">
        <v>15</v>
      </c>
      <c r="B233" t="s">
        <v>699</v>
      </c>
      <c r="C233">
        <v>20</v>
      </c>
      <c r="D233">
        <v>250</v>
      </c>
      <c r="E233">
        <v>2638</v>
      </c>
      <c r="F233" t="s">
        <v>172</v>
      </c>
      <c r="G233" s="2" t="s">
        <v>156</v>
      </c>
      <c r="H233">
        <v>10</v>
      </c>
      <c r="I233">
        <v>1034.96</v>
      </c>
      <c r="J233" s="2" t="s">
        <v>170</v>
      </c>
      <c r="K233" s="2" t="s">
        <v>74</v>
      </c>
      <c r="M233" t="s">
        <v>739</v>
      </c>
      <c r="P233" s="19" t="s">
        <v>179</v>
      </c>
      <c r="Q233" s="19" t="s">
        <v>25</v>
      </c>
      <c r="R233" s="19" t="s">
        <v>138</v>
      </c>
      <c r="W233" s="20">
        <v>13</v>
      </c>
      <c r="X233" s="65" t="s">
        <v>679</v>
      </c>
      <c r="Z233" t="s">
        <v>307</v>
      </c>
      <c r="AB233" t="s">
        <v>178</v>
      </c>
      <c r="AC233" t="s">
        <v>697</v>
      </c>
      <c r="AD233" s="2" t="s">
        <v>180</v>
      </c>
    </row>
    <row r="234" spans="1:30" hidden="1" x14ac:dyDescent="0.25">
      <c r="A234" s="2">
        <v>16</v>
      </c>
      <c r="B234" t="s">
        <v>700</v>
      </c>
      <c r="C234">
        <v>20</v>
      </c>
      <c r="D234">
        <v>250</v>
      </c>
      <c r="E234">
        <v>1218</v>
      </c>
      <c r="F234" t="s">
        <v>172</v>
      </c>
      <c r="G234" s="2" t="s">
        <v>156</v>
      </c>
      <c r="H234">
        <v>4</v>
      </c>
      <c r="I234">
        <v>191.07</v>
      </c>
      <c r="J234" s="2" t="s">
        <v>170</v>
      </c>
      <c r="K234" s="2" t="s">
        <v>74</v>
      </c>
      <c r="M234" t="s">
        <v>739</v>
      </c>
      <c r="P234" s="19" t="s">
        <v>179</v>
      </c>
      <c r="Q234" s="19" t="s">
        <v>25</v>
      </c>
      <c r="R234" s="19" t="s">
        <v>138</v>
      </c>
      <c r="W234" s="20">
        <v>13</v>
      </c>
      <c r="X234" s="65" t="s">
        <v>679</v>
      </c>
      <c r="Z234" t="s">
        <v>307</v>
      </c>
      <c r="AB234" t="s">
        <v>178</v>
      </c>
      <c r="AC234" t="s">
        <v>697</v>
      </c>
      <c r="AD234" s="2" t="s">
        <v>180</v>
      </c>
    </row>
    <row r="235" spans="1:30" hidden="1" x14ac:dyDescent="0.25">
      <c r="A235" s="2">
        <v>17</v>
      </c>
      <c r="B235" t="s">
        <v>701</v>
      </c>
      <c r="C235">
        <v>25</v>
      </c>
      <c r="D235">
        <v>65</v>
      </c>
      <c r="E235">
        <v>346</v>
      </c>
      <c r="F235" t="s">
        <v>172</v>
      </c>
      <c r="G235" s="2" t="s">
        <v>156</v>
      </c>
      <c r="H235">
        <v>2</v>
      </c>
      <c r="I235">
        <v>8.65</v>
      </c>
      <c r="J235" s="2" t="s">
        <v>170</v>
      </c>
      <c r="K235" s="2" t="s">
        <v>74</v>
      </c>
      <c r="M235" t="s">
        <v>739</v>
      </c>
      <c r="P235" s="19" t="s">
        <v>179</v>
      </c>
      <c r="Q235" s="19" t="s">
        <v>25</v>
      </c>
      <c r="S235" s="19" t="s">
        <v>138</v>
      </c>
      <c r="W235" s="20">
        <v>13</v>
      </c>
      <c r="X235" s="65" t="s">
        <v>679</v>
      </c>
      <c r="Z235" t="s">
        <v>307</v>
      </c>
      <c r="AB235" t="s">
        <v>178</v>
      </c>
      <c r="AC235" t="s">
        <v>702</v>
      </c>
      <c r="AD235" s="2" t="s">
        <v>639</v>
      </c>
    </row>
    <row r="236" spans="1:30" hidden="1" x14ac:dyDescent="0.25">
      <c r="A236" s="2">
        <v>18</v>
      </c>
      <c r="B236" t="s">
        <v>703</v>
      </c>
      <c r="C236">
        <v>25</v>
      </c>
      <c r="D236">
        <v>65</v>
      </c>
      <c r="E236">
        <v>188</v>
      </c>
      <c r="F236" t="s">
        <v>172</v>
      </c>
      <c r="G236" s="2" t="s">
        <v>156</v>
      </c>
      <c r="H236">
        <v>2</v>
      </c>
      <c r="I236">
        <v>4.62</v>
      </c>
      <c r="J236" s="2" t="s">
        <v>170</v>
      </c>
      <c r="K236" s="2" t="s">
        <v>74</v>
      </c>
      <c r="M236" t="s">
        <v>739</v>
      </c>
      <c r="P236" s="19" t="s">
        <v>179</v>
      </c>
      <c r="Q236" s="19" t="s">
        <v>25</v>
      </c>
      <c r="S236" s="19" t="s">
        <v>138</v>
      </c>
      <c r="W236" s="20">
        <v>13</v>
      </c>
      <c r="X236" s="65" t="s">
        <v>679</v>
      </c>
      <c r="Z236" t="s">
        <v>307</v>
      </c>
      <c r="AB236" t="s">
        <v>178</v>
      </c>
      <c r="AC236" t="s">
        <v>702</v>
      </c>
      <c r="AD236" s="2" t="s">
        <v>639</v>
      </c>
    </row>
    <row r="237" spans="1:30" hidden="1" x14ac:dyDescent="0.25">
      <c r="A237" s="2">
        <v>19</v>
      </c>
      <c r="B237" t="s">
        <v>704</v>
      </c>
      <c r="C237">
        <v>25</v>
      </c>
      <c r="D237">
        <v>65</v>
      </c>
      <c r="E237">
        <v>346</v>
      </c>
      <c r="F237" t="s">
        <v>172</v>
      </c>
      <c r="G237" s="2" t="s">
        <v>156</v>
      </c>
      <c r="H237">
        <v>2</v>
      </c>
      <c r="I237">
        <v>5.39</v>
      </c>
      <c r="J237" s="2" t="s">
        <v>170</v>
      </c>
      <c r="K237" s="2" t="s">
        <v>74</v>
      </c>
      <c r="M237" t="s">
        <v>739</v>
      </c>
      <c r="P237" s="19" t="s">
        <v>179</v>
      </c>
      <c r="Q237" s="19" t="s">
        <v>25</v>
      </c>
      <c r="S237" s="19" t="s">
        <v>138</v>
      </c>
      <c r="W237" s="20">
        <v>13</v>
      </c>
      <c r="X237" s="65" t="s">
        <v>679</v>
      </c>
      <c r="Z237" t="s">
        <v>307</v>
      </c>
      <c r="AB237" t="s">
        <v>178</v>
      </c>
      <c r="AC237" t="s">
        <v>702</v>
      </c>
      <c r="AD237" s="2" t="s">
        <v>639</v>
      </c>
    </row>
    <row r="238" spans="1:30" hidden="1" x14ac:dyDescent="0.25">
      <c r="A238" s="2">
        <v>20</v>
      </c>
      <c r="B238" t="s">
        <v>705</v>
      </c>
      <c r="C238">
        <v>25</v>
      </c>
      <c r="D238">
        <v>330</v>
      </c>
      <c r="E238">
        <v>1218</v>
      </c>
      <c r="F238" t="s">
        <v>172</v>
      </c>
      <c r="G238" s="2" t="s">
        <v>156</v>
      </c>
      <c r="H238">
        <v>2</v>
      </c>
      <c r="I238">
        <v>157.69</v>
      </c>
      <c r="J238" s="2" t="s">
        <v>170</v>
      </c>
      <c r="K238" s="2" t="s">
        <v>74</v>
      </c>
      <c r="M238" t="s">
        <v>739</v>
      </c>
      <c r="P238" s="19" t="s">
        <v>179</v>
      </c>
      <c r="Q238" s="19" t="s">
        <v>25</v>
      </c>
      <c r="S238" s="19" t="s">
        <v>138</v>
      </c>
      <c r="W238" s="20">
        <v>13</v>
      </c>
      <c r="X238" s="65" t="s">
        <v>679</v>
      </c>
      <c r="Z238" t="s">
        <v>307</v>
      </c>
      <c r="AB238" t="s">
        <v>178</v>
      </c>
      <c r="AC238" t="s">
        <v>702</v>
      </c>
      <c r="AD238" s="2" t="s">
        <v>639</v>
      </c>
    </row>
    <row r="239" spans="1:30" hidden="1" x14ac:dyDescent="0.25">
      <c r="A239" s="2">
        <v>21</v>
      </c>
      <c r="B239" t="s">
        <v>706</v>
      </c>
      <c r="C239">
        <v>25</v>
      </c>
      <c r="D239">
        <v>65</v>
      </c>
      <c r="E239">
        <v>346</v>
      </c>
      <c r="F239" t="s">
        <v>172</v>
      </c>
      <c r="G239" s="2" t="s">
        <v>156</v>
      </c>
      <c r="H239">
        <v>2</v>
      </c>
      <c r="I239">
        <v>8.65</v>
      </c>
      <c r="J239" s="2" t="s">
        <v>170</v>
      </c>
      <c r="K239" s="2" t="s">
        <v>74</v>
      </c>
      <c r="M239" t="s">
        <v>739</v>
      </c>
      <c r="P239" s="19" t="s">
        <v>179</v>
      </c>
      <c r="Q239" s="19" t="s">
        <v>25</v>
      </c>
      <c r="S239" s="19" t="s">
        <v>138</v>
      </c>
      <c r="W239" s="20">
        <v>13</v>
      </c>
      <c r="X239" s="65" t="s">
        <v>679</v>
      </c>
      <c r="Z239" t="s">
        <v>307</v>
      </c>
      <c r="AB239" t="s">
        <v>178</v>
      </c>
      <c r="AC239" t="s">
        <v>702</v>
      </c>
      <c r="AD239" s="2" t="s">
        <v>639</v>
      </c>
    </row>
    <row r="240" spans="1:30" hidden="1" x14ac:dyDescent="0.25">
      <c r="A240" s="2">
        <v>22</v>
      </c>
      <c r="B240" t="s">
        <v>707</v>
      </c>
      <c r="C240">
        <v>25</v>
      </c>
      <c r="D240">
        <v>65</v>
      </c>
      <c r="E240">
        <v>188</v>
      </c>
      <c r="F240" t="s">
        <v>172</v>
      </c>
      <c r="G240" s="2" t="s">
        <v>156</v>
      </c>
      <c r="H240">
        <v>2</v>
      </c>
      <c r="I240">
        <v>4.62</v>
      </c>
      <c r="J240" s="2" t="s">
        <v>170</v>
      </c>
      <c r="K240" s="2" t="s">
        <v>74</v>
      </c>
      <c r="M240" t="s">
        <v>739</v>
      </c>
      <c r="P240" s="19" t="s">
        <v>179</v>
      </c>
      <c r="Q240" s="19" t="s">
        <v>25</v>
      </c>
      <c r="S240" s="19" t="s">
        <v>138</v>
      </c>
      <c r="W240" s="20">
        <v>13</v>
      </c>
      <c r="X240" s="65" t="s">
        <v>679</v>
      </c>
      <c r="Z240" t="s">
        <v>307</v>
      </c>
      <c r="AB240" t="s">
        <v>178</v>
      </c>
      <c r="AC240" t="s">
        <v>702</v>
      </c>
      <c r="AD240" s="2" t="s">
        <v>639</v>
      </c>
    </row>
    <row r="241" spans="1:30" hidden="1" x14ac:dyDescent="0.25">
      <c r="A241" s="2">
        <v>23</v>
      </c>
      <c r="B241" t="s">
        <v>708</v>
      </c>
      <c r="C241">
        <v>25</v>
      </c>
      <c r="D241">
        <v>65</v>
      </c>
      <c r="E241">
        <v>346</v>
      </c>
      <c r="F241" t="s">
        <v>172</v>
      </c>
      <c r="G241" s="2" t="s">
        <v>156</v>
      </c>
      <c r="H241">
        <v>2</v>
      </c>
      <c r="I241">
        <v>5.39</v>
      </c>
      <c r="J241" s="2" t="s">
        <v>170</v>
      </c>
      <c r="K241" s="2" t="s">
        <v>74</v>
      </c>
      <c r="M241" t="s">
        <v>739</v>
      </c>
      <c r="P241" s="19" t="s">
        <v>179</v>
      </c>
      <c r="Q241" s="19" t="s">
        <v>25</v>
      </c>
      <c r="S241" s="19" t="s">
        <v>138</v>
      </c>
      <c r="W241" s="20">
        <v>13</v>
      </c>
      <c r="X241" s="65" t="s">
        <v>679</v>
      </c>
      <c r="Z241" t="s">
        <v>307</v>
      </c>
      <c r="AB241" t="s">
        <v>178</v>
      </c>
      <c r="AC241" t="s">
        <v>702</v>
      </c>
      <c r="AD241" s="2" t="s">
        <v>639</v>
      </c>
    </row>
    <row r="242" spans="1:30" hidden="1" x14ac:dyDescent="0.25">
      <c r="A242" s="2">
        <v>24</v>
      </c>
      <c r="B242" t="s">
        <v>709</v>
      </c>
      <c r="C242">
        <v>25</v>
      </c>
      <c r="D242">
        <v>330</v>
      </c>
      <c r="E242">
        <v>1218</v>
      </c>
      <c r="F242" t="s">
        <v>172</v>
      </c>
      <c r="G242" s="2" t="s">
        <v>156</v>
      </c>
      <c r="H242">
        <v>2</v>
      </c>
      <c r="I242">
        <v>157.69</v>
      </c>
      <c r="J242" s="2" t="s">
        <v>170</v>
      </c>
      <c r="K242" s="2" t="s">
        <v>74</v>
      </c>
      <c r="M242" t="s">
        <v>739</v>
      </c>
      <c r="P242" s="19" t="s">
        <v>179</v>
      </c>
      <c r="Q242" s="19" t="s">
        <v>25</v>
      </c>
      <c r="S242" s="19" t="s">
        <v>138</v>
      </c>
      <c r="W242" s="20">
        <v>13</v>
      </c>
      <c r="X242" s="65" t="s">
        <v>679</v>
      </c>
      <c r="Z242" t="s">
        <v>307</v>
      </c>
      <c r="AB242" t="s">
        <v>178</v>
      </c>
      <c r="AC242" t="s">
        <v>702</v>
      </c>
      <c r="AD242" s="2" t="s">
        <v>639</v>
      </c>
    </row>
    <row r="243" spans="1:30" hidden="1" x14ac:dyDescent="0.25">
      <c r="A243" s="2">
        <v>25</v>
      </c>
      <c r="B243" t="s">
        <v>709</v>
      </c>
      <c r="C243">
        <v>25</v>
      </c>
      <c r="D243">
        <v>330</v>
      </c>
      <c r="E243">
        <v>1218</v>
      </c>
      <c r="F243" t="s">
        <v>172</v>
      </c>
      <c r="G243" s="2" t="s">
        <v>156</v>
      </c>
      <c r="H243">
        <v>2</v>
      </c>
      <c r="I243">
        <v>157.69</v>
      </c>
      <c r="J243" s="2" t="s">
        <v>170</v>
      </c>
      <c r="K243" s="2" t="s">
        <v>74</v>
      </c>
      <c r="M243" t="s">
        <v>739</v>
      </c>
      <c r="P243" s="19" t="s">
        <v>179</v>
      </c>
      <c r="Q243" s="19" t="s">
        <v>25</v>
      </c>
      <c r="R243" s="19" t="s">
        <v>138</v>
      </c>
      <c r="W243" s="20">
        <v>13</v>
      </c>
      <c r="X243" s="65" t="s">
        <v>679</v>
      </c>
      <c r="Z243" t="s">
        <v>307</v>
      </c>
      <c r="AB243" t="s">
        <v>178</v>
      </c>
      <c r="AC243" t="s">
        <v>710</v>
      </c>
      <c r="AD243" s="2" t="s">
        <v>180</v>
      </c>
    </row>
    <row r="244" spans="1:30" hidden="1" x14ac:dyDescent="0.25">
      <c r="A244" s="2">
        <v>26</v>
      </c>
      <c r="B244" t="s">
        <v>711</v>
      </c>
      <c r="C244">
        <v>32</v>
      </c>
      <c r="D244">
        <v>2660</v>
      </c>
      <c r="E244">
        <v>14134</v>
      </c>
      <c r="F244" t="s">
        <v>172</v>
      </c>
      <c r="G244" s="2" t="s">
        <v>156</v>
      </c>
      <c r="H244">
        <v>1</v>
      </c>
      <c r="I244">
        <v>9173.23</v>
      </c>
      <c r="J244" s="2" t="s">
        <v>170</v>
      </c>
      <c r="K244" s="2" t="s">
        <v>74</v>
      </c>
      <c r="M244" t="s">
        <v>739</v>
      </c>
      <c r="P244" s="19" t="s">
        <v>179</v>
      </c>
      <c r="Q244" s="19" t="s">
        <v>27</v>
      </c>
      <c r="R244" s="19" t="s">
        <v>138</v>
      </c>
      <c r="V244" s="19" t="s">
        <v>138</v>
      </c>
      <c r="W244" s="20">
        <v>13</v>
      </c>
      <c r="X244" s="65" t="s">
        <v>679</v>
      </c>
      <c r="Z244" t="s">
        <v>307</v>
      </c>
      <c r="AB244" t="s">
        <v>178</v>
      </c>
      <c r="AC244" t="s">
        <v>712</v>
      </c>
      <c r="AD244" s="2" t="s">
        <v>180</v>
      </c>
    </row>
    <row r="245" spans="1:30" hidden="1" x14ac:dyDescent="0.25">
      <c r="A245" s="2">
        <v>27</v>
      </c>
      <c r="B245" t="s">
        <v>713</v>
      </c>
      <c r="C245">
        <v>32</v>
      </c>
      <c r="D245">
        <v>2660</v>
      </c>
      <c r="E245">
        <v>14134</v>
      </c>
      <c r="F245" t="s">
        <v>172</v>
      </c>
      <c r="G245" s="2" t="s">
        <v>156</v>
      </c>
      <c r="H245">
        <v>1</v>
      </c>
      <c r="I245">
        <v>9173.23</v>
      </c>
      <c r="J245" s="2" t="s">
        <v>170</v>
      </c>
      <c r="K245" s="2" t="s">
        <v>74</v>
      </c>
      <c r="M245" t="s">
        <v>739</v>
      </c>
      <c r="P245" s="19" t="s">
        <v>179</v>
      </c>
      <c r="Q245" s="19" t="s">
        <v>27</v>
      </c>
      <c r="R245" s="19" t="s">
        <v>138</v>
      </c>
      <c r="V245" s="19" t="s">
        <v>138</v>
      </c>
      <c r="W245" s="20">
        <v>13</v>
      </c>
      <c r="X245" s="65" t="s">
        <v>679</v>
      </c>
      <c r="Z245" t="s">
        <v>307</v>
      </c>
      <c r="AB245" t="s">
        <v>178</v>
      </c>
      <c r="AC245" t="s">
        <v>714</v>
      </c>
      <c r="AD245" s="2" t="s">
        <v>180</v>
      </c>
    </row>
    <row r="246" spans="1:30" hidden="1" x14ac:dyDescent="0.25">
      <c r="A246" s="2">
        <v>28</v>
      </c>
      <c r="B246" t="s">
        <v>715</v>
      </c>
      <c r="C246">
        <v>32</v>
      </c>
      <c r="D246">
        <v>2660</v>
      </c>
      <c r="E246">
        <v>13686</v>
      </c>
      <c r="F246" t="s">
        <v>172</v>
      </c>
      <c r="G246" s="2" t="s">
        <v>156</v>
      </c>
      <c r="H246">
        <v>1</v>
      </c>
      <c r="I246">
        <v>8877.4</v>
      </c>
      <c r="J246" s="2" t="s">
        <v>170</v>
      </c>
      <c r="K246" s="2" t="s">
        <v>74</v>
      </c>
      <c r="M246" t="s">
        <v>739</v>
      </c>
      <c r="P246" s="19" t="s">
        <v>179</v>
      </c>
      <c r="Q246" s="19" t="s">
        <v>27</v>
      </c>
      <c r="R246" s="19" t="s">
        <v>138</v>
      </c>
      <c r="V246" s="19" t="s">
        <v>138</v>
      </c>
      <c r="W246" s="20">
        <v>13</v>
      </c>
      <c r="X246" s="65" t="s">
        <v>679</v>
      </c>
      <c r="Z246" t="s">
        <v>307</v>
      </c>
      <c r="AB246" t="s">
        <v>178</v>
      </c>
      <c r="AC246" t="s">
        <v>716</v>
      </c>
      <c r="AD246" s="2" t="s">
        <v>180</v>
      </c>
    </row>
    <row r="247" spans="1:30" hidden="1" x14ac:dyDescent="0.25">
      <c r="A247" s="2">
        <v>29</v>
      </c>
      <c r="B247" t="s">
        <v>717</v>
      </c>
      <c r="C247">
        <v>32</v>
      </c>
      <c r="D247">
        <v>2660</v>
      </c>
      <c r="E247">
        <v>13686</v>
      </c>
      <c r="F247" t="s">
        <v>172</v>
      </c>
      <c r="G247" s="2" t="s">
        <v>156</v>
      </c>
      <c r="H247">
        <v>1</v>
      </c>
      <c r="I247">
        <v>8877.4</v>
      </c>
      <c r="J247" s="2" t="s">
        <v>170</v>
      </c>
      <c r="K247" s="2" t="s">
        <v>74</v>
      </c>
      <c r="M247" t="s">
        <v>739</v>
      </c>
      <c r="P247" s="19" t="s">
        <v>179</v>
      </c>
      <c r="Q247" s="19" t="s">
        <v>27</v>
      </c>
      <c r="R247" s="19" t="s">
        <v>138</v>
      </c>
      <c r="V247" s="19" t="s">
        <v>138</v>
      </c>
      <c r="W247" s="20">
        <v>13</v>
      </c>
      <c r="X247" s="65" t="s">
        <v>679</v>
      </c>
      <c r="Z247" t="s">
        <v>307</v>
      </c>
      <c r="AB247" t="s">
        <v>178</v>
      </c>
      <c r="AC247" t="s">
        <v>718</v>
      </c>
      <c r="AD247" s="2" t="s">
        <v>180</v>
      </c>
    </row>
    <row r="248" spans="1:30" hidden="1" x14ac:dyDescent="0.25">
      <c r="A248" s="2">
        <v>30</v>
      </c>
      <c r="B248" t="s">
        <v>719</v>
      </c>
      <c r="C248">
        <v>40</v>
      </c>
      <c r="D248">
        <v>834</v>
      </c>
      <c r="E248">
        <v>2658</v>
      </c>
      <c r="F248" t="s">
        <v>273</v>
      </c>
      <c r="G248" s="2" t="s">
        <v>156</v>
      </c>
      <c r="H248">
        <v>2</v>
      </c>
      <c r="I248">
        <v>994.79</v>
      </c>
      <c r="J248" s="2" t="s">
        <v>170</v>
      </c>
      <c r="K248" s="2" t="s">
        <v>74</v>
      </c>
      <c r="M248" t="s">
        <v>739</v>
      </c>
      <c r="O248" t="s">
        <v>176</v>
      </c>
      <c r="P248" s="19" t="s">
        <v>179</v>
      </c>
      <c r="Q248" s="19" t="s">
        <v>26</v>
      </c>
      <c r="S248" s="19" t="s">
        <v>138</v>
      </c>
      <c r="W248" s="20">
        <v>13</v>
      </c>
      <c r="X248" s="65" t="s">
        <v>679</v>
      </c>
      <c r="Z248" t="s">
        <v>307</v>
      </c>
      <c r="AB248" t="s">
        <v>178</v>
      </c>
      <c r="AC248" t="s">
        <v>721</v>
      </c>
      <c r="AD248" s="2" t="s">
        <v>656</v>
      </c>
    </row>
    <row r="249" spans="1:30" hidden="1" x14ac:dyDescent="0.25">
      <c r="A249" s="2">
        <v>31</v>
      </c>
      <c r="B249" t="s">
        <v>719</v>
      </c>
      <c r="C249">
        <v>40</v>
      </c>
      <c r="D249">
        <v>834</v>
      </c>
      <c r="E249">
        <v>2658</v>
      </c>
      <c r="F249" t="s">
        <v>273</v>
      </c>
      <c r="G249" s="2" t="s">
        <v>156</v>
      </c>
      <c r="H249">
        <v>2</v>
      </c>
      <c r="I249">
        <v>994.79</v>
      </c>
      <c r="J249" s="2" t="s">
        <v>170</v>
      </c>
      <c r="K249" s="2" t="s">
        <v>74</v>
      </c>
      <c r="M249" t="s">
        <v>739</v>
      </c>
      <c r="O249" t="s">
        <v>176</v>
      </c>
      <c r="P249" s="19" t="s">
        <v>179</v>
      </c>
      <c r="Q249" s="19" t="s">
        <v>26</v>
      </c>
      <c r="R249" s="19" t="s">
        <v>138</v>
      </c>
      <c r="W249" s="20">
        <v>13</v>
      </c>
      <c r="X249" s="65" t="s">
        <v>679</v>
      </c>
      <c r="Z249" t="s">
        <v>307</v>
      </c>
      <c r="AB249" t="s">
        <v>178</v>
      </c>
      <c r="AC249" t="s">
        <v>722</v>
      </c>
      <c r="AD249" s="2" t="s">
        <v>180</v>
      </c>
    </row>
    <row r="250" spans="1:30" hidden="1" x14ac:dyDescent="0.25">
      <c r="A250" s="2">
        <v>32</v>
      </c>
      <c r="B250" s="86" t="s">
        <v>723</v>
      </c>
      <c r="C250" s="86">
        <v>50</v>
      </c>
      <c r="D250" s="86">
        <v>964</v>
      </c>
      <c r="E250" s="86">
        <v>2638</v>
      </c>
      <c r="F250" s="86" t="s">
        <v>172</v>
      </c>
      <c r="G250" s="86" t="s">
        <v>156</v>
      </c>
      <c r="H250" s="86">
        <v>4</v>
      </c>
      <c r="I250" s="86">
        <v>2851.27</v>
      </c>
      <c r="J250" s="86" t="s">
        <v>170</v>
      </c>
      <c r="K250" s="86" t="s">
        <v>74</v>
      </c>
      <c r="L250" s="86"/>
      <c r="M250" s="86" t="s">
        <v>739</v>
      </c>
      <c r="N250" s="86"/>
      <c r="O250" s="89"/>
      <c r="P250" s="89" t="s">
        <v>179</v>
      </c>
      <c r="Q250" s="89" t="s">
        <v>26</v>
      </c>
      <c r="R250" s="89"/>
      <c r="S250" s="89" t="s">
        <v>138</v>
      </c>
      <c r="T250" s="89"/>
      <c r="U250" s="89"/>
      <c r="V250" s="89"/>
      <c r="W250" s="89">
        <v>13</v>
      </c>
      <c r="X250" s="90" t="s">
        <v>744</v>
      </c>
      <c r="Y250" s="86"/>
      <c r="Z250" s="86" t="s">
        <v>434</v>
      </c>
      <c r="AA250" s="86"/>
      <c r="AB250" s="86" t="s">
        <v>178</v>
      </c>
      <c r="AC250" s="86" t="s">
        <v>724</v>
      </c>
      <c r="AD250" s="86" t="s">
        <v>661</v>
      </c>
    </row>
    <row r="251" spans="1:30" hidden="1" x14ac:dyDescent="0.25">
      <c r="A251" s="2">
        <v>33</v>
      </c>
      <c r="B251" t="s">
        <v>725</v>
      </c>
      <c r="C251">
        <v>60</v>
      </c>
      <c r="D251">
        <v>1080</v>
      </c>
      <c r="E251">
        <v>2260</v>
      </c>
      <c r="F251" t="s">
        <v>172</v>
      </c>
      <c r="G251" s="2" t="s">
        <v>156</v>
      </c>
      <c r="H251">
        <v>2</v>
      </c>
      <c r="I251">
        <v>2299.63</v>
      </c>
      <c r="J251" s="2" t="s">
        <v>170</v>
      </c>
      <c r="K251" s="2" t="s">
        <v>74</v>
      </c>
      <c r="M251" t="s">
        <v>739</v>
      </c>
      <c r="P251" s="19" t="s">
        <v>179</v>
      </c>
      <c r="Q251" s="19" t="s">
        <v>27</v>
      </c>
      <c r="R251" s="19" t="s">
        <v>138</v>
      </c>
      <c r="V251" s="19" t="s">
        <v>138</v>
      </c>
      <c r="W251" s="20">
        <v>13</v>
      </c>
      <c r="X251" s="65" t="s">
        <v>679</v>
      </c>
      <c r="Z251" t="s">
        <v>307</v>
      </c>
      <c r="AB251" t="s">
        <v>178</v>
      </c>
      <c r="AC251" t="s">
        <v>726</v>
      </c>
      <c r="AD251" s="2" t="s">
        <v>180</v>
      </c>
    </row>
    <row r="252" spans="1:30" hidden="1" x14ac:dyDescent="0.25">
      <c r="A252" s="2">
        <v>34</v>
      </c>
      <c r="B252" t="s">
        <v>727</v>
      </c>
      <c r="C252">
        <v>60</v>
      </c>
      <c r="D252">
        <v>1080</v>
      </c>
      <c r="E252">
        <v>4909</v>
      </c>
      <c r="F252" t="s">
        <v>172</v>
      </c>
      <c r="G252" s="2" t="s">
        <v>156</v>
      </c>
      <c r="H252">
        <v>2</v>
      </c>
      <c r="I252">
        <v>4994.22</v>
      </c>
      <c r="J252" s="2" t="s">
        <v>170</v>
      </c>
      <c r="K252" s="2" t="s">
        <v>74</v>
      </c>
      <c r="M252" t="s">
        <v>739</v>
      </c>
      <c r="P252" s="19" t="s">
        <v>179</v>
      </c>
      <c r="Q252" s="19" t="s">
        <v>27</v>
      </c>
      <c r="R252" s="19" t="s">
        <v>138</v>
      </c>
      <c r="V252" s="19" t="s">
        <v>138</v>
      </c>
      <c r="W252" s="20">
        <v>13</v>
      </c>
      <c r="X252" s="65" t="s">
        <v>679</v>
      </c>
      <c r="Z252" t="s">
        <v>307</v>
      </c>
      <c r="AB252" t="s">
        <v>178</v>
      </c>
      <c r="AC252" t="s">
        <v>726</v>
      </c>
      <c r="AD252" s="2" t="s">
        <v>180</v>
      </c>
    </row>
    <row r="253" spans="1:30" hidden="1" x14ac:dyDescent="0.25">
      <c r="A253" s="2">
        <v>35</v>
      </c>
      <c r="B253" t="s">
        <v>728</v>
      </c>
      <c r="C253">
        <v>60</v>
      </c>
      <c r="D253">
        <v>1080</v>
      </c>
      <c r="E253">
        <v>2809</v>
      </c>
      <c r="F253" t="s">
        <v>172</v>
      </c>
      <c r="G253" s="2" t="s">
        <v>156</v>
      </c>
      <c r="H253">
        <v>2</v>
      </c>
      <c r="I253">
        <v>2857.76</v>
      </c>
      <c r="J253" s="2" t="s">
        <v>170</v>
      </c>
      <c r="K253" s="2" t="s">
        <v>74</v>
      </c>
      <c r="M253" t="s">
        <v>739</v>
      </c>
      <c r="P253" s="19" t="s">
        <v>179</v>
      </c>
      <c r="Q253" s="19" t="s">
        <v>27</v>
      </c>
      <c r="R253" s="19" t="s">
        <v>138</v>
      </c>
      <c r="V253" s="19" t="s">
        <v>138</v>
      </c>
      <c r="W253" s="20">
        <v>13</v>
      </c>
      <c r="X253" s="65" t="s">
        <v>679</v>
      </c>
      <c r="Z253" t="s">
        <v>307</v>
      </c>
      <c r="AB253" t="s">
        <v>178</v>
      </c>
      <c r="AC253" t="s">
        <v>726</v>
      </c>
      <c r="AD253" s="2" t="s">
        <v>180</v>
      </c>
    </row>
    <row r="254" spans="1:30" hidden="1" x14ac:dyDescent="0.25">
      <c r="A254" s="2">
        <v>36</v>
      </c>
      <c r="B254" t="s">
        <v>729</v>
      </c>
      <c r="C254">
        <v>60</v>
      </c>
      <c r="D254">
        <v>1080</v>
      </c>
      <c r="E254">
        <v>2260</v>
      </c>
      <c r="F254" t="s">
        <v>172</v>
      </c>
      <c r="G254" s="2" t="s">
        <v>156</v>
      </c>
      <c r="H254">
        <v>2</v>
      </c>
      <c r="I254">
        <v>2299.63</v>
      </c>
      <c r="J254" s="2" t="s">
        <v>170</v>
      </c>
      <c r="K254" s="2" t="s">
        <v>74</v>
      </c>
      <c r="M254" t="s">
        <v>739</v>
      </c>
      <c r="P254" s="19" t="s">
        <v>179</v>
      </c>
      <c r="Q254" s="19" t="s">
        <v>27</v>
      </c>
      <c r="R254" s="19" t="s">
        <v>138</v>
      </c>
      <c r="V254" s="19" t="s">
        <v>138</v>
      </c>
      <c r="W254" s="20">
        <v>13</v>
      </c>
      <c r="X254" s="65" t="s">
        <v>679</v>
      </c>
      <c r="Z254" t="s">
        <v>307</v>
      </c>
      <c r="AB254" t="s">
        <v>178</v>
      </c>
      <c r="AC254" t="s">
        <v>730</v>
      </c>
      <c r="AD254" s="2" t="s">
        <v>180</v>
      </c>
    </row>
    <row r="255" spans="1:30" hidden="1" x14ac:dyDescent="0.25">
      <c r="A255" s="2">
        <v>37</v>
      </c>
      <c r="B255" t="s">
        <v>731</v>
      </c>
      <c r="C255">
        <v>60</v>
      </c>
      <c r="D255">
        <v>1080</v>
      </c>
      <c r="E255">
        <v>4909</v>
      </c>
      <c r="F255" t="s">
        <v>172</v>
      </c>
      <c r="G255" s="2" t="s">
        <v>156</v>
      </c>
      <c r="H255">
        <v>2</v>
      </c>
      <c r="I255">
        <v>4994.22</v>
      </c>
      <c r="J255" s="2" t="s">
        <v>170</v>
      </c>
      <c r="K255" s="2" t="s">
        <v>74</v>
      </c>
      <c r="M255" t="s">
        <v>739</v>
      </c>
      <c r="P255" s="19" t="s">
        <v>179</v>
      </c>
      <c r="Q255" s="19" t="s">
        <v>27</v>
      </c>
      <c r="R255" s="19" t="s">
        <v>138</v>
      </c>
      <c r="V255" s="19" t="s">
        <v>138</v>
      </c>
      <c r="W255" s="20">
        <v>13</v>
      </c>
      <c r="X255" s="65" t="s">
        <v>679</v>
      </c>
      <c r="Z255" t="s">
        <v>307</v>
      </c>
      <c r="AB255" t="s">
        <v>178</v>
      </c>
      <c r="AC255" t="s">
        <v>730</v>
      </c>
      <c r="AD255" s="2" t="s">
        <v>180</v>
      </c>
    </row>
    <row r="256" spans="1:30" hidden="1" x14ac:dyDescent="0.25">
      <c r="A256" s="2">
        <v>38</v>
      </c>
      <c r="B256" t="s">
        <v>732</v>
      </c>
      <c r="C256">
        <v>60</v>
      </c>
      <c r="D256">
        <v>1080</v>
      </c>
      <c r="E256">
        <v>2809</v>
      </c>
      <c r="F256" t="s">
        <v>172</v>
      </c>
      <c r="G256" s="2" t="s">
        <v>156</v>
      </c>
      <c r="H256">
        <v>2</v>
      </c>
      <c r="I256">
        <v>2857.76</v>
      </c>
      <c r="J256" s="2" t="s">
        <v>170</v>
      </c>
      <c r="K256" s="2" t="s">
        <v>74</v>
      </c>
      <c r="M256" t="s">
        <v>739</v>
      </c>
      <c r="P256" s="19" t="s">
        <v>179</v>
      </c>
      <c r="Q256" s="19" t="s">
        <v>27</v>
      </c>
      <c r="R256" s="19" t="s">
        <v>138</v>
      </c>
      <c r="V256" s="19" t="s">
        <v>138</v>
      </c>
      <c r="W256" s="20">
        <v>13</v>
      </c>
      <c r="X256" s="65" t="s">
        <v>679</v>
      </c>
      <c r="Z256" t="s">
        <v>307</v>
      </c>
      <c r="AB256" t="s">
        <v>178</v>
      </c>
      <c r="AC256" t="s">
        <v>730</v>
      </c>
      <c r="AD256" s="2" t="s">
        <v>180</v>
      </c>
    </row>
    <row r="257" spans="1:30" hidden="1" x14ac:dyDescent="0.25">
      <c r="A257" s="2">
        <v>39</v>
      </c>
      <c r="B257" t="s">
        <v>733</v>
      </c>
      <c r="C257">
        <v>80</v>
      </c>
      <c r="D257">
        <v>1200</v>
      </c>
      <c r="E257">
        <v>17998</v>
      </c>
      <c r="F257" t="s">
        <v>273</v>
      </c>
      <c r="G257" s="2" t="s">
        <v>156</v>
      </c>
      <c r="H257">
        <v>1</v>
      </c>
      <c r="I257">
        <v>13503.16</v>
      </c>
      <c r="J257" s="2" t="s">
        <v>170</v>
      </c>
      <c r="K257" s="2" t="s">
        <v>74</v>
      </c>
      <c r="M257" t="s">
        <v>739</v>
      </c>
      <c r="P257" s="19" t="s">
        <v>179</v>
      </c>
      <c r="Q257" s="19" t="s">
        <v>27</v>
      </c>
      <c r="R257" s="19" t="s">
        <v>138</v>
      </c>
      <c r="V257" s="19" t="s">
        <v>138</v>
      </c>
      <c r="W257" s="20">
        <v>13</v>
      </c>
      <c r="X257" s="65" t="s">
        <v>679</v>
      </c>
      <c r="Z257" t="s">
        <v>307</v>
      </c>
      <c r="AB257" t="s">
        <v>178</v>
      </c>
      <c r="AC257" t="s">
        <v>734</v>
      </c>
      <c r="AD257" s="2" t="s">
        <v>180</v>
      </c>
    </row>
    <row r="258" spans="1:30" hidden="1" x14ac:dyDescent="0.25">
      <c r="A258" s="2">
        <v>40</v>
      </c>
      <c r="B258" t="s">
        <v>733</v>
      </c>
      <c r="C258">
        <v>80</v>
      </c>
      <c r="D258">
        <v>1200</v>
      </c>
      <c r="E258">
        <v>17998</v>
      </c>
      <c r="F258" t="s">
        <v>273</v>
      </c>
      <c r="G258" s="2" t="s">
        <v>156</v>
      </c>
      <c r="H258">
        <v>1</v>
      </c>
      <c r="I258">
        <v>13503.16</v>
      </c>
      <c r="J258" s="2" t="s">
        <v>170</v>
      </c>
      <c r="K258" s="2" t="s">
        <v>74</v>
      </c>
      <c r="M258" t="s">
        <v>739</v>
      </c>
      <c r="P258" s="19" t="s">
        <v>179</v>
      </c>
      <c r="Q258" s="19" t="s">
        <v>27</v>
      </c>
      <c r="R258" s="19" t="s">
        <v>138</v>
      </c>
      <c r="V258" s="19" t="s">
        <v>138</v>
      </c>
      <c r="W258" s="20">
        <v>13</v>
      </c>
      <c r="X258" s="65" t="s">
        <v>679</v>
      </c>
      <c r="Z258" t="s">
        <v>307</v>
      </c>
      <c r="AB258" t="s">
        <v>178</v>
      </c>
      <c r="AC258" t="s">
        <v>735</v>
      </c>
      <c r="AD258" s="2" t="s">
        <v>180</v>
      </c>
    </row>
    <row r="259" spans="1:30" hidden="1" x14ac:dyDescent="0.25">
      <c r="A259" s="2">
        <v>41</v>
      </c>
      <c r="B259" t="s">
        <v>736</v>
      </c>
      <c r="C259">
        <v>80</v>
      </c>
      <c r="D259">
        <v>1200</v>
      </c>
      <c r="E259">
        <v>17998</v>
      </c>
      <c r="F259" t="s">
        <v>273</v>
      </c>
      <c r="G259" s="2" t="s">
        <v>156</v>
      </c>
      <c r="H259">
        <v>1</v>
      </c>
      <c r="I259">
        <v>13503.16</v>
      </c>
      <c r="J259" s="2" t="s">
        <v>170</v>
      </c>
      <c r="K259" s="2" t="s">
        <v>74</v>
      </c>
      <c r="M259" t="s">
        <v>739</v>
      </c>
      <c r="P259" s="19" t="s">
        <v>179</v>
      </c>
      <c r="Q259" s="19" t="s">
        <v>27</v>
      </c>
      <c r="R259" s="19" t="s">
        <v>138</v>
      </c>
      <c r="V259" s="19" t="s">
        <v>138</v>
      </c>
      <c r="W259" s="20">
        <v>13</v>
      </c>
      <c r="X259" s="65" t="s">
        <v>679</v>
      </c>
      <c r="Z259" t="s">
        <v>307</v>
      </c>
      <c r="AB259" t="s">
        <v>178</v>
      </c>
      <c r="AC259" t="s">
        <v>737</v>
      </c>
      <c r="AD259" s="2" t="s">
        <v>180</v>
      </c>
    </row>
    <row r="260" spans="1:30" hidden="1" x14ac:dyDescent="0.25">
      <c r="A260" s="2">
        <v>42</v>
      </c>
      <c r="B260" t="s">
        <v>736</v>
      </c>
      <c r="C260">
        <v>80</v>
      </c>
      <c r="D260">
        <v>1200</v>
      </c>
      <c r="E260">
        <v>17998</v>
      </c>
      <c r="F260" t="s">
        <v>273</v>
      </c>
      <c r="G260" s="2" t="s">
        <v>156</v>
      </c>
      <c r="H260">
        <v>1</v>
      </c>
      <c r="I260">
        <v>13503.16</v>
      </c>
      <c r="J260" s="2" t="s">
        <v>170</v>
      </c>
      <c r="K260" s="2" t="s">
        <v>74</v>
      </c>
      <c r="M260" t="s">
        <v>739</v>
      </c>
      <c r="P260" s="19" t="s">
        <v>179</v>
      </c>
      <c r="Q260" s="19" t="s">
        <v>27</v>
      </c>
      <c r="R260" s="19" t="s">
        <v>138</v>
      </c>
      <c r="V260" s="19" t="s">
        <v>138</v>
      </c>
      <c r="W260" s="20">
        <v>13</v>
      </c>
      <c r="X260" s="65" t="s">
        <v>679</v>
      </c>
      <c r="Z260" t="s">
        <v>307</v>
      </c>
      <c r="AB260" t="s">
        <v>178</v>
      </c>
      <c r="AC260" t="s">
        <v>738</v>
      </c>
      <c r="AD260" s="2" t="s">
        <v>180</v>
      </c>
    </row>
    <row r="261" spans="1:30" hidden="1" x14ac:dyDescent="0.25">
      <c r="A261" s="2">
        <v>1</v>
      </c>
      <c r="B261" t="s">
        <v>748</v>
      </c>
      <c r="C261">
        <v>12</v>
      </c>
      <c r="D261">
        <v>50</v>
      </c>
      <c r="E261">
        <v>100</v>
      </c>
      <c r="F261" t="s">
        <v>126</v>
      </c>
      <c r="G261" s="2" t="s">
        <v>156</v>
      </c>
      <c r="H261">
        <v>60</v>
      </c>
      <c r="I261">
        <v>28.26</v>
      </c>
      <c r="J261" s="2" t="s">
        <v>170</v>
      </c>
      <c r="K261" s="2" t="s">
        <v>74</v>
      </c>
      <c r="M261" t="s">
        <v>755</v>
      </c>
      <c r="P261" s="19" t="s">
        <v>747</v>
      </c>
      <c r="Q261" s="19" t="s">
        <v>25</v>
      </c>
      <c r="S261" s="19" t="s">
        <v>138</v>
      </c>
      <c r="V261" s="19" t="s">
        <v>138</v>
      </c>
      <c r="W261" s="20">
        <v>14</v>
      </c>
      <c r="X261" s="65" t="s">
        <v>758</v>
      </c>
      <c r="Z261" t="s">
        <v>22</v>
      </c>
      <c r="AB261" t="s">
        <v>178</v>
      </c>
      <c r="AC261" t="s">
        <v>757</v>
      </c>
      <c r="AD261" s="2" t="s">
        <v>759</v>
      </c>
    </row>
    <row r="262" spans="1:30" hidden="1" x14ac:dyDescent="0.25">
      <c r="A262" s="2">
        <v>2</v>
      </c>
      <c r="B262" t="s">
        <v>746</v>
      </c>
      <c r="C262">
        <v>12</v>
      </c>
      <c r="D262">
        <v>150</v>
      </c>
      <c r="E262">
        <v>350</v>
      </c>
      <c r="F262" t="s">
        <v>126</v>
      </c>
      <c r="G262" s="2" t="s">
        <v>156</v>
      </c>
      <c r="H262">
        <v>60</v>
      </c>
      <c r="I262">
        <v>296.73</v>
      </c>
      <c r="J262" s="2" t="s">
        <v>170</v>
      </c>
      <c r="K262" s="2" t="s">
        <v>74</v>
      </c>
      <c r="M262" t="s">
        <v>755</v>
      </c>
      <c r="P262" s="19" t="s">
        <v>747</v>
      </c>
      <c r="Q262" s="19" t="s">
        <v>25</v>
      </c>
      <c r="S262" s="19" t="s">
        <v>138</v>
      </c>
      <c r="V262" s="19" t="s">
        <v>138</v>
      </c>
      <c r="W262" s="20">
        <v>14</v>
      </c>
      <c r="X262" s="65" t="s">
        <v>758</v>
      </c>
      <c r="Z262" t="s">
        <v>22</v>
      </c>
      <c r="AB262" t="s">
        <v>178</v>
      </c>
      <c r="AC262" t="s">
        <v>757</v>
      </c>
      <c r="AD262" s="2" t="s">
        <v>759</v>
      </c>
    </row>
    <row r="263" spans="1:30" hidden="1" x14ac:dyDescent="0.25">
      <c r="A263" s="2">
        <v>3</v>
      </c>
      <c r="B263" t="s">
        <v>750</v>
      </c>
      <c r="C263">
        <v>16</v>
      </c>
      <c r="D263">
        <v>200</v>
      </c>
      <c r="E263">
        <v>650</v>
      </c>
      <c r="F263" t="s">
        <v>141</v>
      </c>
      <c r="G263" s="2" t="s">
        <v>156</v>
      </c>
      <c r="H263">
        <v>10</v>
      </c>
      <c r="I263">
        <v>163.28</v>
      </c>
      <c r="J263" s="2" t="s">
        <v>170</v>
      </c>
      <c r="K263" s="2" t="s">
        <v>74</v>
      </c>
      <c r="M263" t="s">
        <v>755</v>
      </c>
      <c r="P263" s="19" t="s">
        <v>747</v>
      </c>
      <c r="Q263" s="19" t="s">
        <v>25</v>
      </c>
      <c r="S263" s="19" t="s">
        <v>138</v>
      </c>
      <c r="V263" s="19" t="s">
        <v>138</v>
      </c>
      <c r="W263" s="20">
        <v>14</v>
      </c>
      <c r="X263" s="65" t="s">
        <v>758</v>
      </c>
      <c r="Z263" t="s">
        <v>307</v>
      </c>
      <c r="AB263" t="s">
        <v>178</v>
      </c>
      <c r="AC263" t="s">
        <v>760</v>
      </c>
      <c r="AD263" s="2" t="s">
        <v>753</v>
      </c>
    </row>
    <row r="264" spans="1:30" hidden="1" x14ac:dyDescent="0.25">
      <c r="A264" s="2">
        <v>4</v>
      </c>
      <c r="B264" t="s">
        <v>754</v>
      </c>
      <c r="C264">
        <v>16</v>
      </c>
      <c r="D264">
        <v>50</v>
      </c>
      <c r="E264">
        <v>100</v>
      </c>
      <c r="F264" t="s">
        <v>141</v>
      </c>
      <c r="G264" s="2" t="s">
        <v>156</v>
      </c>
      <c r="H264">
        <v>10</v>
      </c>
      <c r="I264">
        <v>6.28</v>
      </c>
      <c r="J264" s="2" t="s">
        <v>170</v>
      </c>
      <c r="K264" s="2" t="s">
        <v>74</v>
      </c>
      <c r="M264" t="s">
        <v>755</v>
      </c>
      <c r="P264" s="19" t="s">
        <v>747</v>
      </c>
      <c r="Q264" s="19" t="s">
        <v>25</v>
      </c>
      <c r="S264" s="19" t="s">
        <v>138</v>
      </c>
      <c r="V264" s="19" t="s">
        <v>138</v>
      </c>
      <c r="W264" s="20">
        <v>14</v>
      </c>
      <c r="X264" s="65" t="s">
        <v>758</v>
      </c>
      <c r="Z264" t="s">
        <v>307</v>
      </c>
      <c r="AB264" t="s">
        <v>178</v>
      </c>
      <c r="AC264" t="s">
        <v>760</v>
      </c>
      <c r="AD264" s="2" t="s">
        <v>753</v>
      </c>
    </row>
    <row r="265" spans="1:30" hidden="1" x14ac:dyDescent="0.25">
      <c r="A265" s="2">
        <v>1</v>
      </c>
      <c r="B265" t="s">
        <v>762</v>
      </c>
      <c r="C265">
        <v>20</v>
      </c>
      <c r="D265">
        <v>170</v>
      </c>
      <c r="E265">
        <v>2562</v>
      </c>
      <c r="F265" t="s">
        <v>134</v>
      </c>
      <c r="G265" s="2" t="s">
        <v>156</v>
      </c>
      <c r="H265">
        <v>2</v>
      </c>
      <c r="I265">
        <v>134.25</v>
      </c>
      <c r="J265" s="2" t="s">
        <v>170</v>
      </c>
      <c r="K265" s="2" t="s">
        <v>74</v>
      </c>
      <c r="M265" t="s">
        <v>797</v>
      </c>
      <c r="O265" t="s">
        <v>176</v>
      </c>
      <c r="P265" s="19" t="s">
        <v>767</v>
      </c>
      <c r="Q265" s="19" t="s">
        <v>26</v>
      </c>
      <c r="S265" s="19" t="s">
        <v>138</v>
      </c>
      <c r="W265" s="20">
        <v>15</v>
      </c>
      <c r="X265" s="65" t="s">
        <v>766</v>
      </c>
      <c r="Z265" t="s">
        <v>307</v>
      </c>
      <c r="AB265" t="s">
        <v>178</v>
      </c>
      <c r="AC265" t="s">
        <v>765</v>
      </c>
      <c r="AD265" s="2" t="s">
        <v>768</v>
      </c>
    </row>
    <row r="266" spans="1:30" hidden="1" x14ac:dyDescent="0.25">
      <c r="A266" s="2">
        <v>2</v>
      </c>
      <c r="B266" t="s">
        <v>769</v>
      </c>
      <c r="C266">
        <v>20</v>
      </c>
      <c r="D266">
        <v>170</v>
      </c>
      <c r="E266">
        <v>2562</v>
      </c>
      <c r="F266" t="s">
        <v>134</v>
      </c>
      <c r="G266" s="2" t="s">
        <v>156</v>
      </c>
      <c r="H266">
        <v>8</v>
      </c>
      <c r="I266">
        <v>536.99</v>
      </c>
      <c r="J266" s="2" t="s">
        <v>170</v>
      </c>
      <c r="K266" s="2" t="s">
        <v>74</v>
      </c>
      <c r="M266" t="s">
        <v>797</v>
      </c>
      <c r="O266" t="s">
        <v>176</v>
      </c>
      <c r="P266" s="19" t="s">
        <v>767</v>
      </c>
      <c r="Q266" s="19" t="s">
        <v>26</v>
      </c>
      <c r="S266" s="19" t="s">
        <v>138</v>
      </c>
      <c r="W266" s="20">
        <v>15</v>
      </c>
      <c r="X266" s="65" t="s">
        <v>766</v>
      </c>
      <c r="Z266" t="s">
        <v>307</v>
      </c>
      <c r="AB266" t="s">
        <v>178</v>
      </c>
      <c r="AC266" t="s">
        <v>765</v>
      </c>
      <c r="AD266" s="2" t="s">
        <v>768</v>
      </c>
    </row>
    <row r="267" spans="1:30" hidden="1" x14ac:dyDescent="0.25">
      <c r="A267" s="2">
        <v>3</v>
      </c>
      <c r="B267" t="s">
        <v>762</v>
      </c>
      <c r="C267">
        <v>20</v>
      </c>
      <c r="D267">
        <v>170</v>
      </c>
      <c r="E267">
        <v>2562</v>
      </c>
      <c r="F267" t="s">
        <v>115</v>
      </c>
      <c r="G267" s="2" t="s">
        <v>156</v>
      </c>
      <c r="H267">
        <v>6</v>
      </c>
      <c r="I267">
        <v>402.74</v>
      </c>
      <c r="J267" s="2" t="s">
        <v>170</v>
      </c>
      <c r="K267" s="2" t="s">
        <v>74</v>
      </c>
      <c r="M267" t="s">
        <v>797</v>
      </c>
      <c r="O267" t="s">
        <v>176</v>
      </c>
      <c r="P267" s="19" t="s">
        <v>767</v>
      </c>
      <c r="Q267" s="19" t="s">
        <v>26</v>
      </c>
      <c r="S267" s="19" t="s">
        <v>138</v>
      </c>
      <c r="W267" s="20">
        <v>15</v>
      </c>
      <c r="X267" s="65" t="s">
        <v>766</v>
      </c>
      <c r="Z267" t="s">
        <v>307</v>
      </c>
      <c r="AB267" t="s">
        <v>178</v>
      </c>
      <c r="AC267" t="s">
        <v>771</v>
      </c>
      <c r="AD267" s="2" t="s">
        <v>772</v>
      </c>
    </row>
    <row r="268" spans="1:30" hidden="1" x14ac:dyDescent="0.25">
      <c r="A268" s="2">
        <v>4</v>
      </c>
      <c r="B268" t="s">
        <v>773</v>
      </c>
      <c r="C268">
        <v>20</v>
      </c>
      <c r="D268">
        <v>170</v>
      </c>
      <c r="E268">
        <v>982</v>
      </c>
      <c r="F268" t="s">
        <v>115</v>
      </c>
      <c r="G268" s="2" t="s">
        <v>156</v>
      </c>
      <c r="H268">
        <v>8</v>
      </c>
      <c r="I268">
        <v>202.34</v>
      </c>
      <c r="J268" s="2" t="s">
        <v>170</v>
      </c>
      <c r="K268" s="2" t="s">
        <v>74</v>
      </c>
      <c r="M268" t="s">
        <v>797</v>
      </c>
      <c r="O268" t="s">
        <v>176</v>
      </c>
      <c r="P268" s="19" t="s">
        <v>767</v>
      </c>
      <c r="Q268" s="19" t="s">
        <v>26</v>
      </c>
      <c r="S268" s="19" t="s">
        <v>138</v>
      </c>
      <c r="W268" s="20">
        <v>15</v>
      </c>
      <c r="X268" s="65" t="s">
        <v>766</v>
      </c>
      <c r="Z268" t="s">
        <v>307</v>
      </c>
      <c r="AB268" t="s">
        <v>178</v>
      </c>
      <c r="AC268" t="s">
        <v>776</v>
      </c>
      <c r="AD268" s="2" t="s">
        <v>777</v>
      </c>
    </row>
    <row r="269" spans="1:30" hidden="1" x14ac:dyDescent="0.25">
      <c r="A269" s="2">
        <v>5</v>
      </c>
      <c r="B269" t="s">
        <v>778</v>
      </c>
      <c r="C269">
        <v>20</v>
      </c>
      <c r="D269">
        <v>170</v>
      </c>
      <c r="E269">
        <v>982</v>
      </c>
      <c r="F269" t="s">
        <v>115</v>
      </c>
      <c r="G269" s="2" t="s">
        <v>156</v>
      </c>
      <c r="H269">
        <v>4</v>
      </c>
      <c r="I269">
        <v>101.09</v>
      </c>
      <c r="J269" s="2" t="s">
        <v>170</v>
      </c>
      <c r="K269" s="2" t="s">
        <v>74</v>
      </c>
      <c r="M269" t="s">
        <v>797</v>
      </c>
      <c r="O269" t="s">
        <v>176</v>
      </c>
      <c r="P269" s="19" t="s">
        <v>767</v>
      </c>
      <c r="Q269" s="19" t="s">
        <v>26</v>
      </c>
      <c r="S269" s="19" t="s">
        <v>138</v>
      </c>
      <c r="W269" s="20">
        <v>15</v>
      </c>
      <c r="X269" s="65" t="s">
        <v>766</v>
      </c>
      <c r="Z269" t="s">
        <v>307</v>
      </c>
      <c r="AB269" t="s">
        <v>178</v>
      </c>
      <c r="AC269" t="s">
        <v>776</v>
      </c>
      <c r="AD269" s="2" t="s">
        <v>777</v>
      </c>
    </row>
    <row r="270" spans="1:30" hidden="1" x14ac:dyDescent="0.25">
      <c r="A270" s="2">
        <v>6</v>
      </c>
      <c r="B270" t="s">
        <v>778</v>
      </c>
      <c r="C270">
        <v>20</v>
      </c>
      <c r="D270">
        <v>170</v>
      </c>
      <c r="E270">
        <v>982</v>
      </c>
      <c r="F270" t="s">
        <v>779</v>
      </c>
      <c r="G270" s="2" t="s">
        <v>156</v>
      </c>
      <c r="H270">
        <v>4</v>
      </c>
      <c r="I270">
        <v>101.09</v>
      </c>
      <c r="J270" s="2" t="s">
        <v>170</v>
      </c>
      <c r="K270" s="2" t="s">
        <v>74</v>
      </c>
      <c r="M270" t="s">
        <v>797</v>
      </c>
      <c r="O270" t="s">
        <v>176</v>
      </c>
      <c r="P270" s="19" t="s">
        <v>767</v>
      </c>
      <c r="Q270" s="19" t="s">
        <v>26</v>
      </c>
      <c r="S270" s="19" t="s">
        <v>138</v>
      </c>
      <c r="W270" s="20">
        <v>15</v>
      </c>
      <c r="X270" s="65" t="s">
        <v>766</v>
      </c>
      <c r="Z270" t="s">
        <v>307</v>
      </c>
      <c r="AB270" t="s">
        <v>178</v>
      </c>
      <c r="AC270" t="s">
        <v>781</v>
      </c>
      <c r="AD270" s="2" t="s">
        <v>782</v>
      </c>
    </row>
    <row r="271" spans="1:30" hidden="1" x14ac:dyDescent="0.25">
      <c r="A271" s="2">
        <v>7</v>
      </c>
      <c r="B271" t="s">
        <v>783</v>
      </c>
      <c r="C271">
        <v>30</v>
      </c>
      <c r="D271">
        <v>432</v>
      </c>
      <c r="E271">
        <v>461</v>
      </c>
      <c r="F271" t="s">
        <v>115</v>
      </c>
      <c r="G271" s="2" t="s">
        <v>156</v>
      </c>
      <c r="H271">
        <v>2</v>
      </c>
      <c r="I271">
        <v>69.34</v>
      </c>
      <c r="J271" s="2" t="s">
        <v>170</v>
      </c>
      <c r="K271" s="2" t="s">
        <v>74</v>
      </c>
      <c r="M271" t="s">
        <v>797</v>
      </c>
      <c r="O271" t="s">
        <v>176</v>
      </c>
      <c r="P271" s="19" t="s">
        <v>767</v>
      </c>
      <c r="Q271" s="19" t="s">
        <v>26</v>
      </c>
      <c r="S271" s="19" t="s">
        <v>138</v>
      </c>
      <c r="W271" s="20">
        <v>15</v>
      </c>
      <c r="X271" s="65" t="s">
        <v>766</v>
      </c>
      <c r="Z271" t="s">
        <v>307</v>
      </c>
      <c r="AB271" t="s">
        <v>178</v>
      </c>
      <c r="AC271" t="s">
        <v>786</v>
      </c>
      <c r="AD271" s="2" t="s">
        <v>787</v>
      </c>
    </row>
    <row r="272" spans="1:30" hidden="1" x14ac:dyDescent="0.25">
      <c r="A272" s="2">
        <v>8</v>
      </c>
      <c r="B272" t="s">
        <v>788</v>
      </c>
      <c r="C272">
        <v>30</v>
      </c>
      <c r="D272">
        <v>420</v>
      </c>
      <c r="E272">
        <v>432</v>
      </c>
      <c r="F272" t="s">
        <v>115</v>
      </c>
      <c r="G272" s="2" t="s">
        <v>156</v>
      </c>
      <c r="H272">
        <v>2</v>
      </c>
      <c r="I272">
        <v>65.290000000000006</v>
      </c>
      <c r="J272" s="2" t="s">
        <v>170</v>
      </c>
      <c r="K272" s="2" t="s">
        <v>74</v>
      </c>
      <c r="M272" t="s">
        <v>797</v>
      </c>
      <c r="O272" t="s">
        <v>176</v>
      </c>
      <c r="P272" s="19" t="s">
        <v>767</v>
      </c>
      <c r="Q272" s="19" t="s">
        <v>26</v>
      </c>
      <c r="S272" s="19" t="s">
        <v>138</v>
      </c>
      <c r="W272" s="20">
        <v>15</v>
      </c>
      <c r="X272" s="65" t="s">
        <v>766</v>
      </c>
      <c r="Z272" t="s">
        <v>307</v>
      </c>
      <c r="AB272" t="s">
        <v>178</v>
      </c>
      <c r="AC272" t="s">
        <v>786</v>
      </c>
      <c r="AD272" s="2" t="s">
        <v>787</v>
      </c>
    </row>
    <row r="273" spans="1:30" hidden="1" x14ac:dyDescent="0.25">
      <c r="A273" s="2">
        <v>9</v>
      </c>
      <c r="B273" t="s">
        <v>790</v>
      </c>
      <c r="C273">
        <v>30</v>
      </c>
      <c r="D273">
        <v>432</v>
      </c>
      <c r="E273">
        <v>461</v>
      </c>
      <c r="F273" t="s">
        <v>115</v>
      </c>
      <c r="G273" s="2" t="s">
        <v>156</v>
      </c>
      <c r="H273">
        <v>2</v>
      </c>
      <c r="I273">
        <v>74.05</v>
      </c>
      <c r="J273" s="2" t="s">
        <v>170</v>
      </c>
      <c r="K273" s="2" t="s">
        <v>74</v>
      </c>
      <c r="M273" t="s">
        <v>797</v>
      </c>
      <c r="O273" t="s">
        <v>176</v>
      </c>
      <c r="P273" s="19" t="s">
        <v>767</v>
      </c>
      <c r="Q273" s="19" t="s">
        <v>26</v>
      </c>
      <c r="S273" s="19" t="s">
        <v>138</v>
      </c>
      <c r="W273" s="20">
        <v>15</v>
      </c>
      <c r="X273" s="65" t="s">
        <v>766</v>
      </c>
      <c r="Z273" t="s">
        <v>307</v>
      </c>
      <c r="AB273" t="s">
        <v>178</v>
      </c>
      <c r="AC273" t="s">
        <v>786</v>
      </c>
      <c r="AD273" s="2" t="s">
        <v>787</v>
      </c>
    </row>
    <row r="274" spans="1:30" hidden="1" x14ac:dyDescent="0.25">
      <c r="A274" s="2">
        <v>10</v>
      </c>
      <c r="B274" t="s">
        <v>791</v>
      </c>
      <c r="C274">
        <v>30</v>
      </c>
      <c r="D274">
        <v>420</v>
      </c>
      <c r="E274">
        <v>432</v>
      </c>
      <c r="F274" t="s">
        <v>115</v>
      </c>
      <c r="G274" s="2" t="s">
        <v>156</v>
      </c>
      <c r="H274">
        <v>2</v>
      </c>
      <c r="I274">
        <v>69.569999999999993</v>
      </c>
      <c r="J274" s="2" t="s">
        <v>170</v>
      </c>
      <c r="K274" s="2" t="s">
        <v>74</v>
      </c>
      <c r="M274" t="s">
        <v>797</v>
      </c>
      <c r="O274" t="s">
        <v>176</v>
      </c>
      <c r="P274" s="19" t="s">
        <v>767</v>
      </c>
      <c r="Q274" s="19" t="s">
        <v>26</v>
      </c>
      <c r="S274" s="19" t="s">
        <v>138</v>
      </c>
      <c r="W274" s="20">
        <v>15</v>
      </c>
      <c r="X274" s="65" t="s">
        <v>766</v>
      </c>
      <c r="Z274" t="s">
        <v>307</v>
      </c>
      <c r="AB274" t="s">
        <v>178</v>
      </c>
      <c r="AC274" t="s">
        <v>786</v>
      </c>
      <c r="AD274" s="2" t="s">
        <v>787</v>
      </c>
    </row>
    <row r="275" spans="1:30" hidden="1" x14ac:dyDescent="0.25">
      <c r="A275" s="2">
        <v>11</v>
      </c>
      <c r="B275" t="s">
        <v>792</v>
      </c>
      <c r="C275">
        <v>30</v>
      </c>
      <c r="D275">
        <v>420</v>
      </c>
      <c r="E275">
        <v>432</v>
      </c>
      <c r="F275" t="s">
        <v>115</v>
      </c>
      <c r="G275" s="2" t="s">
        <v>156</v>
      </c>
      <c r="H275">
        <v>2</v>
      </c>
      <c r="I275">
        <v>72.23</v>
      </c>
      <c r="J275" s="2" t="s">
        <v>170</v>
      </c>
      <c r="K275" s="2" t="s">
        <v>74</v>
      </c>
      <c r="M275" t="s">
        <v>797</v>
      </c>
      <c r="O275" t="s">
        <v>176</v>
      </c>
      <c r="P275" s="19" t="s">
        <v>767</v>
      </c>
      <c r="Q275" s="19" t="s">
        <v>26</v>
      </c>
      <c r="S275" s="19" t="s">
        <v>138</v>
      </c>
      <c r="W275" s="20">
        <v>15</v>
      </c>
      <c r="X275" s="65" t="s">
        <v>766</v>
      </c>
      <c r="Z275" t="s">
        <v>307</v>
      </c>
      <c r="AB275" t="s">
        <v>178</v>
      </c>
      <c r="AC275" t="s">
        <v>786</v>
      </c>
      <c r="AD275" s="2" t="s">
        <v>787</v>
      </c>
    </row>
    <row r="276" spans="1:30" hidden="1" x14ac:dyDescent="0.25">
      <c r="A276" s="2">
        <v>12</v>
      </c>
      <c r="B276" t="s">
        <v>793</v>
      </c>
      <c r="C276">
        <v>30</v>
      </c>
      <c r="D276">
        <v>432</v>
      </c>
      <c r="E276">
        <v>461</v>
      </c>
      <c r="F276" t="s">
        <v>115</v>
      </c>
      <c r="G276" s="2" t="s">
        <v>156</v>
      </c>
      <c r="H276">
        <v>2</v>
      </c>
      <c r="I276">
        <v>77.34</v>
      </c>
      <c r="J276" s="2" t="s">
        <v>170</v>
      </c>
      <c r="K276" s="2" t="s">
        <v>74</v>
      </c>
      <c r="M276" t="s">
        <v>797</v>
      </c>
      <c r="O276" t="s">
        <v>176</v>
      </c>
      <c r="P276" s="19" t="s">
        <v>767</v>
      </c>
      <c r="Q276" s="19" t="s">
        <v>26</v>
      </c>
      <c r="S276" s="19" t="s">
        <v>138</v>
      </c>
      <c r="W276" s="20">
        <v>15</v>
      </c>
      <c r="X276" s="65" t="s">
        <v>766</v>
      </c>
      <c r="Z276" t="s">
        <v>307</v>
      </c>
      <c r="AB276" t="s">
        <v>178</v>
      </c>
      <c r="AC276" t="s">
        <v>786</v>
      </c>
      <c r="AD276" s="2" t="s">
        <v>787</v>
      </c>
    </row>
    <row r="277" spans="1:30" hidden="1" x14ac:dyDescent="0.25">
      <c r="A277" s="2">
        <v>13</v>
      </c>
      <c r="B277" t="s">
        <v>794</v>
      </c>
      <c r="C277">
        <v>30</v>
      </c>
      <c r="D277">
        <v>432</v>
      </c>
      <c r="E277">
        <v>461</v>
      </c>
      <c r="F277" t="s">
        <v>115</v>
      </c>
      <c r="G277" s="2" t="s">
        <v>156</v>
      </c>
      <c r="H277">
        <v>2</v>
      </c>
      <c r="I277">
        <v>77.34</v>
      </c>
      <c r="J277" s="2" t="s">
        <v>170</v>
      </c>
      <c r="K277" s="2" t="s">
        <v>74</v>
      </c>
      <c r="M277" t="s">
        <v>797</v>
      </c>
      <c r="O277" t="s">
        <v>176</v>
      </c>
      <c r="P277" s="19" t="s">
        <v>767</v>
      </c>
      <c r="Q277" s="19" t="s">
        <v>26</v>
      </c>
      <c r="S277" s="19" t="s">
        <v>138</v>
      </c>
      <c r="W277" s="20">
        <v>15</v>
      </c>
      <c r="X277" s="65" t="s">
        <v>766</v>
      </c>
      <c r="Z277" t="s">
        <v>307</v>
      </c>
      <c r="AB277" t="s">
        <v>178</v>
      </c>
      <c r="AC277" t="s">
        <v>786</v>
      </c>
      <c r="AD277" s="2" t="s">
        <v>787</v>
      </c>
    </row>
    <row r="278" spans="1:30" hidden="1" x14ac:dyDescent="0.25">
      <c r="A278" s="2">
        <v>14</v>
      </c>
      <c r="B278" t="s">
        <v>795</v>
      </c>
      <c r="C278">
        <v>30</v>
      </c>
      <c r="D278">
        <v>420</v>
      </c>
      <c r="E278">
        <v>432</v>
      </c>
      <c r="F278" t="s">
        <v>115</v>
      </c>
      <c r="G278" s="2" t="s">
        <v>156</v>
      </c>
      <c r="H278">
        <v>2</v>
      </c>
      <c r="I278">
        <v>72.569999999999993</v>
      </c>
      <c r="J278" s="2" t="s">
        <v>170</v>
      </c>
      <c r="K278" s="2" t="s">
        <v>74</v>
      </c>
      <c r="M278" t="s">
        <v>797</v>
      </c>
      <c r="O278" t="s">
        <v>176</v>
      </c>
      <c r="P278" s="19" t="s">
        <v>767</v>
      </c>
      <c r="Q278" s="19" t="s">
        <v>26</v>
      </c>
      <c r="S278" s="19" t="s">
        <v>138</v>
      </c>
      <c r="W278" s="20">
        <v>15</v>
      </c>
      <c r="X278" s="65" t="s">
        <v>766</v>
      </c>
      <c r="Z278" t="s">
        <v>307</v>
      </c>
      <c r="AB278" t="s">
        <v>178</v>
      </c>
      <c r="AC278" t="s">
        <v>786</v>
      </c>
      <c r="AD278" s="2" t="s">
        <v>787</v>
      </c>
    </row>
    <row r="279" spans="1:30" hidden="1" x14ac:dyDescent="0.25">
      <c r="A279" s="2">
        <v>1</v>
      </c>
      <c r="B279" t="s">
        <v>802</v>
      </c>
      <c r="C279">
        <v>12</v>
      </c>
      <c r="D279">
        <v>135</v>
      </c>
      <c r="E279">
        <v>488</v>
      </c>
      <c r="F279" t="s">
        <v>172</v>
      </c>
      <c r="G279" s="2" t="s">
        <v>156</v>
      </c>
      <c r="H279">
        <v>1</v>
      </c>
      <c r="I279">
        <v>6.19</v>
      </c>
      <c r="J279" s="2" t="s">
        <v>170</v>
      </c>
      <c r="K279" s="2" t="s">
        <v>74</v>
      </c>
      <c r="M279" t="s">
        <v>1132</v>
      </c>
      <c r="P279" s="19" t="s">
        <v>807</v>
      </c>
      <c r="Q279" s="19" t="s">
        <v>25</v>
      </c>
      <c r="S279" s="19" t="s">
        <v>138</v>
      </c>
      <c r="W279" s="20">
        <v>16</v>
      </c>
      <c r="X279" s="65" t="s">
        <v>806</v>
      </c>
      <c r="Z279" t="s">
        <v>22</v>
      </c>
      <c r="AB279" t="s">
        <v>178</v>
      </c>
      <c r="AC279" t="s">
        <v>805</v>
      </c>
      <c r="AD279" s="2" t="s">
        <v>329</v>
      </c>
    </row>
    <row r="280" spans="1:30" hidden="1" x14ac:dyDescent="0.25">
      <c r="A280" s="2">
        <v>2</v>
      </c>
      <c r="B280" t="s">
        <v>808</v>
      </c>
      <c r="C280">
        <v>12</v>
      </c>
      <c r="D280">
        <v>135</v>
      </c>
      <c r="E280">
        <v>488</v>
      </c>
      <c r="F280" t="s">
        <v>172</v>
      </c>
      <c r="G280" s="2" t="s">
        <v>156</v>
      </c>
      <c r="H280">
        <v>2</v>
      </c>
      <c r="I280">
        <v>12.38</v>
      </c>
      <c r="J280" s="2" t="s">
        <v>170</v>
      </c>
      <c r="K280" s="2" t="s">
        <v>74</v>
      </c>
      <c r="M280" t="s">
        <v>1132</v>
      </c>
      <c r="P280" s="19" t="s">
        <v>807</v>
      </c>
      <c r="Q280" s="19" t="s">
        <v>25</v>
      </c>
      <c r="S280" s="19" t="s">
        <v>138</v>
      </c>
      <c r="W280" s="20">
        <v>16</v>
      </c>
      <c r="X280" s="65" t="s">
        <v>806</v>
      </c>
      <c r="Z280" t="s">
        <v>22</v>
      </c>
      <c r="AB280" t="s">
        <v>178</v>
      </c>
      <c r="AC280" t="s">
        <v>805</v>
      </c>
      <c r="AD280" s="2" t="s">
        <v>329</v>
      </c>
    </row>
    <row r="281" spans="1:30" hidden="1" x14ac:dyDescent="0.25">
      <c r="A281" s="2">
        <v>3</v>
      </c>
      <c r="B281" t="s">
        <v>809</v>
      </c>
      <c r="C281">
        <v>12</v>
      </c>
      <c r="D281">
        <v>135</v>
      </c>
      <c r="E281">
        <v>488</v>
      </c>
      <c r="F281" t="s">
        <v>172</v>
      </c>
      <c r="G281" s="2" t="s">
        <v>156</v>
      </c>
      <c r="H281">
        <v>2</v>
      </c>
      <c r="I281">
        <v>12.38</v>
      </c>
      <c r="J281" s="2" t="s">
        <v>170</v>
      </c>
      <c r="K281" s="2" t="s">
        <v>74</v>
      </c>
      <c r="M281" t="s">
        <v>1132</v>
      </c>
      <c r="P281" s="19" t="s">
        <v>807</v>
      </c>
      <c r="Q281" s="19" t="s">
        <v>25</v>
      </c>
      <c r="S281" s="19" t="s">
        <v>138</v>
      </c>
      <c r="W281" s="20">
        <v>16</v>
      </c>
      <c r="X281" s="65" t="s">
        <v>806</v>
      </c>
      <c r="Z281" t="s">
        <v>22</v>
      </c>
      <c r="AB281" t="s">
        <v>178</v>
      </c>
      <c r="AC281" t="s">
        <v>805</v>
      </c>
      <c r="AD281" s="2" t="s">
        <v>329</v>
      </c>
    </row>
    <row r="282" spans="1:30" hidden="1" x14ac:dyDescent="0.25">
      <c r="A282" s="2">
        <v>4</v>
      </c>
      <c r="B282" t="s">
        <v>810</v>
      </c>
      <c r="C282">
        <v>12</v>
      </c>
      <c r="D282">
        <v>135</v>
      </c>
      <c r="E282">
        <v>488</v>
      </c>
      <c r="F282" t="s">
        <v>172</v>
      </c>
      <c r="G282" s="2" t="s">
        <v>156</v>
      </c>
      <c r="H282">
        <v>1</v>
      </c>
      <c r="I282">
        <v>6.19</v>
      </c>
      <c r="J282" s="2" t="s">
        <v>170</v>
      </c>
      <c r="K282" s="2" t="s">
        <v>74</v>
      </c>
      <c r="M282" t="s">
        <v>1132</v>
      </c>
      <c r="P282" s="19" t="s">
        <v>807</v>
      </c>
      <c r="Q282" s="19" t="s">
        <v>25</v>
      </c>
      <c r="S282" s="19" t="s">
        <v>138</v>
      </c>
      <c r="W282" s="20">
        <v>16</v>
      </c>
      <c r="X282" s="65" t="s">
        <v>806</v>
      </c>
      <c r="Z282" t="s">
        <v>22</v>
      </c>
      <c r="AB282" t="s">
        <v>178</v>
      </c>
      <c r="AC282" t="s">
        <v>805</v>
      </c>
      <c r="AD282" s="2" t="s">
        <v>329</v>
      </c>
    </row>
    <row r="283" spans="1:30" hidden="1" x14ac:dyDescent="0.25">
      <c r="A283" s="2">
        <v>5</v>
      </c>
      <c r="B283" t="s">
        <v>811</v>
      </c>
      <c r="C283">
        <v>12</v>
      </c>
      <c r="D283">
        <v>490</v>
      </c>
      <c r="E283">
        <v>6464</v>
      </c>
      <c r="F283" t="s">
        <v>172</v>
      </c>
      <c r="G283" s="2" t="s">
        <v>156</v>
      </c>
      <c r="H283">
        <v>1</v>
      </c>
      <c r="I283">
        <v>298.16000000000003</v>
      </c>
      <c r="J283" s="2" t="s">
        <v>170</v>
      </c>
      <c r="K283" s="2" t="s">
        <v>74</v>
      </c>
      <c r="M283" t="s">
        <v>1132</v>
      </c>
      <c r="P283" s="19" t="s">
        <v>807</v>
      </c>
      <c r="Q283" s="19" t="s">
        <v>27</v>
      </c>
      <c r="S283" s="19" t="s">
        <v>138</v>
      </c>
      <c r="W283" s="20">
        <v>16</v>
      </c>
      <c r="X283" s="65" t="s">
        <v>806</v>
      </c>
      <c r="Z283" t="s">
        <v>22</v>
      </c>
      <c r="AB283" t="s">
        <v>178</v>
      </c>
      <c r="AC283" t="s">
        <v>805</v>
      </c>
      <c r="AD283" s="2" t="s">
        <v>329</v>
      </c>
    </row>
    <row r="284" spans="1:30" hidden="1" x14ac:dyDescent="0.25">
      <c r="A284" s="2">
        <v>6</v>
      </c>
      <c r="B284" t="s">
        <v>813</v>
      </c>
      <c r="C284">
        <v>12</v>
      </c>
      <c r="D284">
        <v>1460</v>
      </c>
      <c r="E284">
        <v>6688</v>
      </c>
      <c r="F284" t="s">
        <v>172</v>
      </c>
      <c r="G284" s="2" t="s">
        <v>156</v>
      </c>
      <c r="H284">
        <v>1</v>
      </c>
      <c r="I284">
        <v>917.29</v>
      </c>
      <c r="J284" s="2" t="s">
        <v>170</v>
      </c>
      <c r="K284" s="2" t="s">
        <v>74</v>
      </c>
      <c r="M284" t="s">
        <v>1132</v>
      </c>
      <c r="P284" s="19" t="s">
        <v>807</v>
      </c>
      <c r="Q284" s="19" t="s">
        <v>27</v>
      </c>
      <c r="S284" s="19" t="s">
        <v>138</v>
      </c>
      <c r="V284" s="19" t="s">
        <v>138</v>
      </c>
      <c r="W284" s="20">
        <v>16</v>
      </c>
      <c r="X284" s="65" t="s">
        <v>806</v>
      </c>
      <c r="Z284" t="s">
        <v>22</v>
      </c>
      <c r="AB284" t="s">
        <v>178</v>
      </c>
      <c r="AC284" t="s">
        <v>805</v>
      </c>
      <c r="AD284" s="2" t="s">
        <v>329</v>
      </c>
    </row>
    <row r="285" spans="1:30" hidden="1" x14ac:dyDescent="0.25">
      <c r="A285" s="2">
        <v>7</v>
      </c>
      <c r="B285" t="s">
        <v>815</v>
      </c>
      <c r="C285">
        <v>12</v>
      </c>
      <c r="D285">
        <v>135</v>
      </c>
      <c r="E285">
        <v>488</v>
      </c>
      <c r="F285" t="s">
        <v>172</v>
      </c>
      <c r="G285" s="2" t="s">
        <v>156</v>
      </c>
      <c r="H285">
        <v>4</v>
      </c>
      <c r="I285">
        <v>24.76</v>
      </c>
      <c r="J285" s="2" t="s">
        <v>170</v>
      </c>
      <c r="K285" s="2" t="s">
        <v>74</v>
      </c>
      <c r="M285" t="s">
        <v>1132</v>
      </c>
      <c r="P285" s="19" t="s">
        <v>807</v>
      </c>
      <c r="Q285" s="19" t="s">
        <v>25</v>
      </c>
      <c r="S285" s="19" t="s">
        <v>138</v>
      </c>
      <c r="W285" s="20">
        <v>16</v>
      </c>
      <c r="X285" s="65" t="s">
        <v>806</v>
      </c>
      <c r="Z285" t="s">
        <v>22</v>
      </c>
      <c r="AB285" t="s">
        <v>178</v>
      </c>
      <c r="AC285" t="s">
        <v>816</v>
      </c>
      <c r="AD285" s="2" t="s">
        <v>335</v>
      </c>
    </row>
    <row r="286" spans="1:30" hidden="1" x14ac:dyDescent="0.25">
      <c r="A286" s="2">
        <v>8</v>
      </c>
      <c r="B286" t="s">
        <v>817</v>
      </c>
      <c r="C286">
        <v>12</v>
      </c>
      <c r="D286">
        <v>135</v>
      </c>
      <c r="E286">
        <v>488</v>
      </c>
      <c r="F286" t="s">
        <v>172</v>
      </c>
      <c r="G286" s="2" t="s">
        <v>156</v>
      </c>
      <c r="H286">
        <v>2</v>
      </c>
      <c r="I286">
        <v>12.38</v>
      </c>
      <c r="J286" s="2" t="s">
        <v>170</v>
      </c>
      <c r="K286" s="2" t="s">
        <v>74</v>
      </c>
      <c r="M286" t="s">
        <v>1132</v>
      </c>
      <c r="P286" s="19" t="s">
        <v>807</v>
      </c>
      <c r="Q286" s="19" t="s">
        <v>25</v>
      </c>
      <c r="S286" s="19" t="s">
        <v>138</v>
      </c>
      <c r="W286" s="20">
        <v>16</v>
      </c>
      <c r="X286" s="65" t="s">
        <v>806</v>
      </c>
      <c r="Z286" t="s">
        <v>22</v>
      </c>
      <c r="AB286" t="s">
        <v>178</v>
      </c>
      <c r="AC286" t="s">
        <v>816</v>
      </c>
      <c r="AD286" s="2" t="s">
        <v>335</v>
      </c>
    </row>
    <row r="287" spans="1:30" hidden="1" x14ac:dyDescent="0.25">
      <c r="A287" s="2">
        <v>9</v>
      </c>
      <c r="B287" t="s">
        <v>818</v>
      </c>
      <c r="C287">
        <v>12</v>
      </c>
      <c r="D287">
        <v>490</v>
      </c>
      <c r="E287">
        <v>6464</v>
      </c>
      <c r="F287" t="s">
        <v>172</v>
      </c>
      <c r="G287" s="2" t="s">
        <v>156</v>
      </c>
      <c r="H287">
        <v>1</v>
      </c>
      <c r="I287">
        <v>298.16000000000003</v>
      </c>
      <c r="J287" s="2" t="s">
        <v>170</v>
      </c>
      <c r="K287" s="2" t="s">
        <v>74</v>
      </c>
      <c r="M287" t="s">
        <v>1132</v>
      </c>
      <c r="P287" s="19" t="s">
        <v>807</v>
      </c>
      <c r="Q287" s="19" t="s">
        <v>27</v>
      </c>
      <c r="S287" s="19" t="s">
        <v>138</v>
      </c>
      <c r="W287" s="20">
        <v>16</v>
      </c>
      <c r="X287" s="65" t="s">
        <v>806</v>
      </c>
      <c r="Z287" t="s">
        <v>22</v>
      </c>
      <c r="AB287" t="s">
        <v>178</v>
      </c>
      <c r="AC287" t="s">
        <v>816</v>
      </c>
      <c r="AD287" s="2" t="s">
        <v>335</v>
      </c>
    </row>
    <row r="288" spans="1:30" hidden="1" x14ac:dyDescent="0.25">
      <c r="A288" s="2">
        <v>10</v>
      </c>
      <c r="B288" t="s">
        <v>819</v>
      </c>
      <c r="C288">
        <v>12</v>
      </c>
      <c r="D288">
        <v>1460</v>
      </c>
      <c r="E288">
        <v>6688</v>
      </c>
      <c r="F288" t="s">
        <v>172</v>
      </c>
      <c r="G288" s="2" t="s">
        <v>156</v>
      </c>
      <c r="H288">
        <v>1</v>
      </c>
      <c r="I288">
        <v>917.29</v>
      </c>
      <c r="J288" s="2" t="s">
        <v>170</v>
      </c>
      <c r="K288" s="2" t="s">
        <v>74</v>
      </c>
      <c r="M288" t="s">
        <v>1132</v>
      </c>
      <c r="P288" s="19" t="s">
        <v>807</v>
      </c>
      <c r="Q288" s="19" t="s">
        <v>27</v>
      </c>
      <c r="S288" s="19" t="s">
        <v>138</v>
      </c>
      <c r="V288" s="19" t="s">
        <v>138</v>
      </c>
      <c r="W288" s="20">
        <v>16</v>
      </c>
      <c r="X288" s="65" t="s">
        <v>806</v>
      </c>
      <c r="Z288" t="s">
        <v>22</v>
      </c>
      <c r="AB288" t="s">
        <v>178</v>
      </c>
      <c r="AC288" t="s">
        <v>816</v>
      </c>
      <c r="AD288" s="2" t="s">
        <v>335</v>
      </c>
    </row>
    <row r="289" spans="1:30" hidden="1" x14ac:dyDescent="0.25">
      <c r="A289" s="2">
        <v>11</v>
      </c>
      <c r="B289" t="s">
        <v>820</v>
      </c>
      <c r="C289">
        <v>12</v>
      </c>
      <c r="D289">
        <v>135</v>
      </c>
      <c r="E289">
        <v>488</v>
      </c>
      <c r="F289" t="s">
        <v>172</v>
      </c>
      <c r="G289" s="2" t="s">
        <v>156</v>
      </c>
      <c r="H289">
        <v>4</v>
      </c>
      <c r="I289">
        <v>24.76</v>
      </c>
      <c r="J289" s="2" t="s">
        <v>170</v>
      </c>
      <c r="K289" s="2" t="s">
        <v>74</v>
      </c>
      <c r="M289" t="s">
        <v>1132</v>
      </c>
      <c r="P289" s="19" t="s">
        <v>807</v>
      </c>
      <c r="Q289" s="19" t="s">
        <v>25</v>
      </c>
      <c r="R289" s="19" t="s">
        <v>138</v>
      </c>
      <c r="W289" s="20">
        <v>16</v>
      </c>
      <c r="X289" s="65" t="s">
        <v>806</v>
      </c>
      <c r="Z289" t="s">
        <v>22</v>
      </c>
      <c r="AB289" t="s">
        <v>178</v>
      </c>
      <c r="AC289" t="s">
        <v>821</v>
      </c>
      <c r="AD289" s="2" t="s">
        <v>180</v>
      </c>
    </row>
    <row r="290" spans="1:30" hidden="1" x14ac:dyDescent="0.25">
      <c r="A290" s="2">
        <v>12</v>
      </c>
      <c r="B290" t="s">
        <v>822</v>
      </c>
      <c r="C290">
        <v>12</v>
      </c>
      <c r="D290">
        <v>135</v>
      </c>
      <c r="E290">
        <v>488</v>
      </c>
      <c r="F290" t="s">
        <v>172</v>
      </c>
      <c r="G290" s="2" t="s">
        <v>156</v>
      </c>
      <c r="H290">
        <v>4</v>
      </c>
      <c r="I290">
        <v>24.76</v>
      </c>
      <c r="J290" s="2" t="s">
        <v>170</v>
      </c>
      <c r="K290" s="2" t="s">
        <v>74</v>
      </c>
      <c r="M290" t="s">
        <v>1132</v>
      </c>
      <c r="P290" s="19" t="s">
        <v>807</v>
      </c>
      <c r="Q290" s="19" t="s">
        <v>25</v>
      </c>
      <c r="R290" s="19" t="s">
        <v>138</v>
      </c>
      <c r="W290" s="20">
        <v>16</v>
      </c>
      <c r="X290" s="65" t="s">
        <v>806</v>
      </c>
      <c r="Z290" t="s">
        <v>22</v>
      </c>
      <c r="AB290" t="s">
        <v>178</v>
      </c>
      <c r="AC290" t="s">
        <v>821</v>
      </c>
      <c r="AD290" s="2" t="s">
        <v>180</v>
      </c>
    </row>
    <row r="291" spans="1:30" hidden="1" x14ac:dyDescent="0.25">
      <c r="A291" s="2">
        <v>13</v>
      </c>
      <c r="B291" t="s">
        <v>823</v>
      </c>
      <c r="C291">
        <v>12</v>
      </c>
      <c r="D291">
        <v>135</v>
      </c>
      <c r="E291">
        <v>488</v>
      </c>
      <c r="F291" t="s">
        <v>172</v>
      </c>
      <c r="G291" s="2" t="s">
        <v>156</v>
      </c>
      <c r="H291">
        <v>6</v>
      </c>
      <c r="I291">
        <v>37.14</v>
      </c>
      <c r="J291" s="2" t="s">
        <v>170</v>
      </c>
      <c r="K291" s="2" t="s">
        <v>74</v>
      </c>
      <c r="M291" t="s">
        <v>1132</v>
      </c>
      <c r="P291" s="19" t="s">
        <v>807</v>
      </c>
      <c r="Q291" s="19" t="s">
        <v>25</v>
      </c>
      <c r="R291" s="19" t="s">
        <v>138</v>
      </c>
      <c r="W291" s="20">
        <v>16</v>
      </c>
      <c r="X291" s="65" t="s">
        <v>806</v>
      </c>
      <c r="Z291" t="s">
        <v>22</v>
      </c>
      <c r="AB291" t="s">
        <v>178</v>
      </c>
      <c r="AC291" t="s">
        <v>821</v>
      </c>
      <c r="AD291" s="2" t="s">
        <v>180</v>
      </c>
    </row>
    <row r="292" spans="1:30" hidden="1" x14ac:dyDescent="0.25">
      <c r="A292" s="2">
        <v>14</v>
      </c>
      <c r="B292" t="s">
        <v>824</v>
      </c>
      <c r="C292">
        <v>12</v>
      </c>
      <c r="D292">
        <v>135</v>
      </c>
      <c r="E292">
        <v>488</v>
      </c>
      <c r="F292" t="s">
        <v>172</v>
      </c>
      <c r="G292" s="2" t="s">
        <v>156</v>
      </c>
      <c r="H292">
        <v>12</v>
      </c>
      <c r="I292">
        <v>74.28</v>
      </c>
      <c r="J292" s="2" t="s">
        <v>170</v>
      </c>
      <c r="K292" s="2" t="s">
        <v>74</v>
      </c>
      <c r="M292" t="s">
        <v>1132</v>
      </c>
      <c r="P292" s="19" t="s">
        <v>807</v>
      </c>
      <c r="Q292" s="19" t="s">
        <v>25</v>
      </c>
      <c r="R292" s="19" t="s">
        <v>138</v>
      </c>
      <c r="W292" s="20">
        <v>16</v>
      </c>
      <c r="X292" s="65" t="s">
        <v>806</v>
      </c>
      <c r="Z292" t="s">
        <v>22</v>
      </c>
      <c r="AB292" t="s">
        <v>178</v>
      </c>
      <c r="AC292" t="s">
        <v>821</v>
      </c>
      <c r="AD292" s="2" t="s">
        <v>180</v>
      </c>
    </row>
    <row r="293" spans="1:30" hidden="1" x14ac:dyDescent="0.25">
      <c r="A293" s="2">
        <v>15</v>
      </c>
      <c r="B293" t="s">
        <v>825</v>
      </c>
      <c r="C293">
        <v>12</v>
      </c>
      <c r="D293">
        <v>135</v>
      </c>
      <c r="E293">
        <v>488</v>
      </c>
      <c r="F293" t="s">
        <v>172</v>
      </c>
      <c r="G293" s="2" t="s">
        <v>156</v>
      </c>
      <c r="H293">
        <v>17</v>
      </c>
      <c r="I293">
        <v>105.23</v>
      </c>
      <c r="J293" s="2" t="s">
        <v>170</v>
      </c>
      <c r="K293" s="2" t="s">
        <v>74</v>
      </c>
      <c r="M293" t="s">
        <v>1132</v>
      </c>
      <c r="P293" s="19" t="s">
        <v>807</v>
      </c>
      <c r="Q293" s="19" t="s">
        <v>25</v>
      </c>
      <c r="R293" s="19" t="s">
        <v>138</v>
      </c>
      <c r="W293" s="20">
        <v>16</v>
      </c>
      <c r="X293" s="65" t="s">
        <v>806</v>
      </c>
      <c r="Z293" t="s">
        <v>22</v>
      </c>
      <c r="AB293" t="s">
        <v>178</v>
      </c>
      <c r="AC293" t="s">
        <v>821</v>
      </c>
      <c r="AD293" s="2" t="s">
        <v>180</v>
      </c>
    </row>
    <row r="294" spans="1:30" hidden="1" x14ac:dyDescent="0.25">
      <c r="A294" s="2">
        <v>16</v>
      </c>
      <c r="B294" t="s">
        <v>826</v>
      </c>
      <c r="C294">
        <v>12</v>
      </c>
      <c r="D294">
        <v>135</v>
      </c>
      <c r="E294">
        <v>488</v>
      </c>
      <c r="F294" t="s">
        <v>172</v>
      </c>
      <c r="G294" s="2" t="s">
        <v>156</v>
      </c>
      <c r="H294">
        <v>17</v>
      </c>
      <c r="I294">
        <v>105.23</v>
      </c>
      <c r="J294" s="2" t="s">
        <v>170</v>
      </c>
      <c r="K294" s="2" t="s">
        <v>74</v>
      </c>
      <c r="M294" t="s">
        <v>1132</v>
      </c>
      <c r="P294" s="19" t="s">
        <v>807</v>
      </c>
      <c r="Q294" s="19" t="s">
        <v>25</v>
      </c>
      <c r="R294" s="19" t="s">
        <v>138</v>
      </c>
      <c r="W294" s="20">
        <v>16</v>
      </c>
      <c r="X294" s="65" t="s">
        <v>806</v>
      </c>
      <c r="Z294" t="s">
        <v>22</v>
      </c>
      <c r="AB294" t="s">
        <v>178</v>
      </c>
      <c r="AC294" t="s">
        <v>821</v>
      </c>
      <c r="AD294" s="2" t="s">
        <v>180</v>
      </c>
    </row>
    <row r="295" spans="1:30" hidden="1" x14ac:dyDescent="0.25">
      <c r="A295" s="2">
        <v>17</v>
      </c>
      <c r="B295" t="s">
        <v>827</v>
      </c>
      <c r="C295">
        <v>12</v>
      </c>
      <c r="D295">
        <v>490</v>
      </c>
      <c r="E295">
        <v>9980</v>
      </c>
      <c r="F295" t="s">
        <v>172</v>
      </c>
      <c r="G295" s="2" t="s">
        <v>156</v>
      </c>
      <c r="H295">
        <v>1</v>
      </c>
      <c r="I295">
        <v>460.46</v>
      </c>
      <c r="J295" s="2" t="s">
        <v>170</v>
      </c>
      <c r="K295" s="2" t="s">
        <v>74</v>
      </c>
      <c r="M295" t="s">
        <v>1132</v>
      </c>
      <c r="P295" s="19" t="s">
        <v>807</v>
      </c>
      <c r="Q295" s="19" t="s">
        <v>27</v>
      </c>
      <c r="R295" s="19" t="s">
        <v>138</v>
      </c>
      <c r="W295" s="20">
        <v>16</v>
      </c>
      <c r="X295" s="65" t="s">
        <v>806</v>
      </c>
      <c r="Z295" t="s">
        <v>22</v>
      </c>
      <c r="AB295" t="s">
        <v>178</v>
      </c>
      <c r="AC295" t="s">
        <v>821</v>
      </c>
      <c r="AD295" s="2" t="s">
        <v>180</v>
      </c>
    </row>
    <row r="296" spans="1:30" hidden="1" x14ac:dyDescent="0.25">
      <c r="A296" s="2">
        <v>18</v>
      </c>
      <c r="B296" t="s">
        <v>829</v>
      </c>
      <c r="C296">
        <v>12</v>
      </c>
      <c r="D296">
        <v>135</v>
      </c>
      <c r="E296">
        <v>488</v>
      </c>
      <c r="F296" t="s">
        <v>172</v>
      </c>
      <c r="G296" s="2" t="s">
        <v>156</v>
      </c>
      <c r="H296">
        <v>2</v>
      </c>
      <c r="I296">
        <v>12.38</v>
      </c>
      <c r="J296" s="2" t="s">
        <v>170</v>
      </c>
      <c r="K296" s="2" t="s">
        <v>74</v>
      </c>
      <c r="M296" t="s">
        <v>1132</v>
      </c>
      <c r="P296" s="19" t="s">
        <v>807</v>
      </c>
      <c r="Q296" s="19" t="s">
        <v>25</v>
      </c>
      <c r="R296" s="19" t="s">
        <v>138</v>
      </c>
      <c r="W296" s="20">
        <v>16</v>
      </c>
      <c r="X296" s="65" t="s">
        <v>806</v>
      </c>
      <c r="Z296" t="s">
        <v>22</v>
      </c>
      <c r="AB296" t="s">
        <v>178</v>
      </c>
      <c r="AC296" t="s">
        <v>821</v>
      </c>
      <c r="AD296" s="2" t="s">
        <v>180</v>
      </c>
    </row>
    <row r="297" spans="1:30" hidden="1" x14ac:dyDescent="0.25">
      <c r="A297" s="2">
        <v>19</v>
      </c>
      <c r="B297" t="s">
        <v>830</v>
      </c>
      <c r="C297">
        <v>12</v>
      </c>
      <c r="D297">
        <v>135</v>
      </c>
      <c r="E297">
        <v>488</v>
      </c>
      <c r="F297" t="s">
        <v>172</v>
      </c>
      <c r="G297" s="2" t="s">
        <v>156</v>
      </c>
      <c r="H297">
        <v>4</v>
      </c>
      <c r="I297">
        <v>24.76</v>
      </c>
      <c r="J297" s="2" t="s">
        <v>170</v>
      </c>
      <c r="K297" s="2" t="s">
        <v>74</v>
      </c>
      <c r="M297" t="s">
        <v>1132</v>
      </c>
      <c r="P297" s="19" t="s">
        <v>807</v>
      </c>
      <c r="Q297" s="19" t="s">
        <v>25</v>
      </c>
      <c r="R297" s="19" t="s">
        <v>138</v>
      </c>
      <c r="W297" s="20">
        <v>16</v>
      </c>
      <c r="X297" s="65" t="s">
        <v>806</v>
      </c>
      <c r="Z297" t="s">
        <v>22</v>
      </c>
      <c r="AB297" t="s">
        <v>178</v>
      </c>
      <c r="AC297" t="s">
        <v>821</v>
      </c>
      <c r="AD297" s="2" t="s">
        <v>180</v>
      </c>
    </row>
    <row r="298" spans="1:30" hidden="1" x14ac:dyDescent="0.25">
      <c r="A298" s="2">
        <v>20</v>
      </c>
      <c r="B298" t="s">
        <v>831</v>
      </c>
      <c r="C298">
        <v>12</v>
      </c>
      <c r="D298">
        <v>135</v>
      </c>
      <c r="E298">
        <v>488</v>
      </c>
      <c r="F298" t="s">
        <v>172</v>
      </c>
      <c r="G298" s="2" t="s">
        <v>156</v>
      </c>
      <c r="H298">
        <v>4</v>
      </c>
      <c r="I298">
        <v>24.76</v>
      </c>
      <c r="J298" s="2" t="s">
        <v>170</v>
      </c>
      <c r="K298" s="2" t="s">
        <v>74</v>
      </c>
      <c r="M298" t="s">
        <v>1132</v>
      </c>
      <c r="P298" s="19" t="s">
        <v>807</v>
      </c>
      <c r="Q298" s="19" t="s">
        <v>25</v>
      </c>
      <c r="R298" s="19" t="s">
        <v>138</v>
      </c>
      <c r="W298" s="20">
        <v>16</v>
      </c>
      <c r="X298" s="65" t="s">
        <v>806</v>
      </c>
      <c r="Z298" t="s">
        <v>22</v>
      </c>
      <c r="AB298" t="s">
        <v>178</v>
      </c>
      <c r="AC298" t="s">
        <v>821</v>
      </c>
      <c r="AD298" s="2" t="s">
        <v>180</v>
      </c>
    </row>
    <row r="299" spans="1:30" hidden="1" x14ac:dyDescent="0.25">
      <c r="A299" s="2">
        <v>21</v>
      </c>
      <c r="B299" t="s">
        <v>832</v>
      </c>
      <c r="C299">
        <v>12</v>
      </c>
      <c r="D299">
        <v>135</v>
      </c>
      <c r="E299">
        <v>488</v>
      </c>
      <c r="F299" t="s">
        <v>172</v>
      </c>
      <c r="G299" s="2" t="s">
        <v>156</v>
      </c>
      <c r="H299">
        <v>4</v>
      </c>
      <c r="I299">
        <v>24.76</v>
      </c>
      <c r="J299" s="2" t="s">
        <v>170</v>
      </c>
      <c r="K299" s="2" t="s">
        <v>74</v>
      </c>
      <c r="M299" t="s">
        <v>1132</v>
      </c>
      <c r="P299" s="19" t="s">
        <v>807</v>
      </c>
      <c r="Q299" s="19" t="s">
        <v>25</v>
      </c>
      <c r="R299" s="19" t="s">
        <v>138</v>
      </c>
      <c r="W299" s="20">
        <v>16</v>
      </c>
      <c r="X299" s="65" t="s">
        <v>806</v>
      </c>
      <c r="Z299" t="s">
        <v>22</v>
      </c>
      <c r="AB299" t="s">
        <v>178</v>
      </c>
      <c r="AC299" t="s">
        <v>821</v>
      </c>
      <c r="AD299" s="2" t="s">
        <v>180</v>
      </c>
    </row>
    <row r="300" spans="1:30" hidden="1" x14ac:dyDescent="0.25">
      <c r="A300" s="2">
        <v>22</v>
      </c>
      <c r="B300" t="s">
        <v>833</v>
      </c>
      <c r="C300">
        <v>12</v>
      </c>
      <c r="D300">
        <v>135</v>
      </c>
      <c r="E300">
        <v>488</v>
      </c>
      <c r="F300" t="s">
        <v>172</v>
      </c>
      <c r="G300" s="2" t="s">
        <v>156</v>
      </c>
      <c r="H300">
        <v>4</v>
      </c>
      <c r="I300">
        <v>24.76</v>
      </c>
      <c r="J300" s="2" t="s">
        <v>170</v>
      </c>
      <c r="K300" s="2" t="s">
        <v>74</v>
      </c>
      <c r="M300" t="s">
        <v>1132</v>
      </c>
      <c r="P300" s="19" t="s">
        <v>807</v>
      </c>
      <c r="Q300" s="19" t="s">
        <v>25</v>
      </c>
      <c r="R300" s="19" t="s">
        <v>138</v>
      </c>
      <c r="W300" s="20">
        <v>16</v>
      </c>
      <c r="X300" s="65" t="s">
        <v>806</v>
      </c>
      <c r="Z300" t="s">
        <v>22</v>
      </c>
      <c r="AB300" t="s">
        <v>178</v>
      </c>
      <c r="AC300" t="s">
        <v>821</v>
      </c>
      <c r="AD300" s="2" t="s">
        <v>180</v>
      </c>
    </row>
    <row r="301" spans="1:30" hidden="1" x14ac:dyDescent="0.25">
      <c r="A301" s="2">
        <v>23</v>
      </c>
      <c r="B301" t="s">
        <v>834</v>
      </c>
      <c r="C301">
        <v>12</v>
      </c>
      <c r="D301">
        <v>1460</v>
      </c>
      <c r="E301">
        <v>9068</v>
      </c>
      <c r="F301" t="s">
        <v>172</v>
      </c>
      <c r="G301" s="2" t="s">
        <v>156</v>
      </c>
      <c r="H301">
        <v>1</v>
      </c>
      <c r="I301">
        <v>1240.54</v>
      </c>
      <c r="J301" s="2" t="s">
        <v>170</v>
      </c>
      <c r="K301" s="2" t="s">
        <v>74</v>
      </c>
      <c r="M301" t="s">
        <v>1132</v>
      </c>
      <c r="P301" s="19" t="s">
        <v>807</v>
      </c>
      <c r="Q301" s="19" t="s">
        <v>27</v>
      </c>
      <c r="R301" s="19" t="s">
        <v>138</v>
      </c>
      <c r="W301" s="20">
        <v>16</v>
      </c>
      <c r="X301" s="65" t="s">
        <v>806</v>
      </c>
      <c r="Z301" t="s">
        <v>22</v>
      </c>
      <c r="AB301" t="s">
        <v>178</v>
      </c>
      <c r="AC301" t="s">
        <v>821</v>
      </c>
      <c r="AD301" s="2" t="s">
        <v>180</v>
      </c>
    </row>
    <row r="302" spans="1:30" hidden="1" x14ac:dyDescent="0.25">
      <c r="A302" s="2">
        <v>24</v>
      </c>
      <c r="B302" t="s">
        <v>836</v>
      </c>
      <c r="C302">
        <v>12</v>
      </c>
      <c r="D302">
        <v>135</v>
      </c>
      <c r="E302">
        <v>488</v>
      </c>
      <c r="F302" t="s">
        <v>172</v>
      </c>
      <c r="G302" s="2" t="s">
        <v>156</v>
      </c>
      <c r="H302">
        <v>12</v>
      </c>
      <c r="I302">
        <v>74.28</v>
      </c>
      <c r="J302" s="2" t="s">
        <v>170</v>
      </c>
      <c r="K302" s="2" t="s">
        <v>74</v>
      </c>
      <c r="M302" t="s">
        <v>1132</v>
      </c>
      <c r="P302" s="19" t="s">
        <v>807</v>
      </c>
      <c r="Q302" s="19" t="s">
        <v>25</v>
      </c>
      <c r="R302" s="19" t="s">
        <v>138</v>
      </c>
      <c r="W302" s="20">
        <v>16</v>
      </c>
      <c r="X302" s="65" t="s">
        <v>806</v>
      </c>
      <c r="Z302" t="s">
        <v>22</v>
      </c>
      <c r="AB302" t="s">
        <v>178</v>
      </c>
      <c r="AC302" t="s">
        <v>837</v>
      </c>
      <c r="AD302" s="2" t="s">
        <v>180</v>
      </c>
    </row>
    <row r="303" spans="1:30" hidden="1" x14ac:dyDescent="0.25">
      <c r="A303" s="2">
        <v>25</v>
      </c>
      <c r="B303" t="s">
        <v>823</v>
      </c>
      <c r="C303">
        <v>12</v>
      </c>
      <c r="D303">
        <v>135</v>
      </c>
      <c r="E303">
        <v>488</v>
      </c>
      <c r="F303" t="s">
        <v>172</v>
      </c>
      <c r="G303" s="2" t="s">
        <v>156</v>
      </c>
      <c r="H303">
        <v>6</v>
      </c>
      <c r="I303">
        <v>37.14</v>
      </c>
      <c r="J303" s="2" t="s">
        <v>170</v>
      </c>
      <c r="K303" s="2" t="s">
        <v>74</v>
      </c>
      <c r="M303" t="s">
        <v>1132</v>
      </c>
      <c r="P303" s="19" t="s">
        <v>807</v>
      </c>
      <c r="Q303" s="19" t="s">
        <v>25</v>
      </c>
      <c r="R303" s="19" t="s">
        <v>138</v>
      </c>
      <c r="W303" s="20">
        <v>16</v>
      </c>
      <c r="X303" s="65" t="s">
        <v>806</v>
      </c>
      <c r="Z303" t="s">
        <v>22</v>
      </c>
      <c r="AB303" t="s">
        <v>178</v>
      </c>
      <c r="AC303" t="s">
        <v>837</v>
      </c>
      <c r="AD303" s="2" t="s">
        <v>180</v>
      </c>
    </row>
    <row r="304" spans="1:30" hidden="1" x14ac:dyDescent="0.25">
      <c r="A304" s="2">
        <v>26</v>
      </c>
      <c r="B304" t="s">
        <v>838</v>
      </c>
      <c r="C304">
        <v>12</v>
      </c>
      <c r="D304">
        <v>120</v>
      </c>
      <c r="E304">
        <v>129</v>
      </c>
      <c r="F304" t="s">
        <v>172</v>
      </c>
      <c r="G304" s="2" t="s">
        <v>156</v>
      </c>
      <c r="H304">
        <v>24</v>
      </c>
      <c r="I304">
        <v>31.78</v>
      </c>
      <c r="J304" s="2" t="s">
        <v>170</v>
      </c>
      <c r="K304" s="2" t="s">
        <v>74</v>
      </c>
      <c r="M304" t="s">
        <v>1132</v>
      </c>
      <c r="P304" s="19" t="s">
        <v>807</v>
      </c>
      <c r="Q304" s="19" t="s">
        <v>25</v>
      </c>
      <c r="R304" s="19" t="s">
        <v>138</v>
      </c>
      <c r="W304" s="20">
        <v>16</v>
      </c>
      <c r="X304" s="65" t="s">
        <v>806</v>
      </c>
      <c r="Z304" t="s">
        <v>22</v>
      </c>
      <c r="AB304" t="s">
        <v>178</v>
      </c>
      <c r="AC304" t="s">
        <v>837</v>
      </c>
      <c r="AD304" s="2" t="s">
        <v>180</v>
      </c>
    </row>
    <row r="305" spans="1:30" hidden="1" x14ac:dyDescent="0.25">
      <c r="A305" s="2">
        <v>27</v>
      </c>
      <c r="B305" t="s">
        <v>840</v>
      </c>
      <c r="C305">
        <v>12</v>
      </c>
      <c r="D305">
        <v>120</v>
      </c>
      <c r="E305">
        <v>129</v>
      </c>
      <c r="F305" t="s">
        <v>172</v>
      </c>
      <c r="G305" s="2" t="s">
        <v>156</v>
      </c>
      <c r="H305">
        <v>24</v>
      </c>
      <c r="I305">
        <v>31.78</v>
      </c>
      <c r="J305" s="2" t="s">
        <v>170</v>
      </c>
      <c r="K305" s="2" t="s">
        <v>74</v>
      </c>
      <c r="M305" t="s">
        <v>1132</v>
      </c>
      <c r="P305" s="19" t="s">
        <v>807</v>
      </c>
      <c r="Q305" s="19" t="s">
        <v>25</v>
      </c>
      <c r="R305" s="19" t="s">
        <v>138</v>
      </c>
      <c r="W305" s="20">
        <v>16</v>
      </c>
      <c r="X305" s="65" t="s">
        <v>806</v>
      </c>
      <c r="Z305" t="s">
        <v>22</v>
      </c>
      <c r="AB305" t="s">
        <v>178</v>
      </c>
      <c r="AC305" t="s">
        <v>837</v>
      </c>
      <c r="AD305" s="2" t="s">
        <v>180</v>
      </c>
    </row>
    <row r="306" spans="1:30" hidden="1" x14ac:dyDescent="0.25">
      <c r="A306" s="2">
        <v>28</v>
      </c>
      <c r="B306" t="s">
        <v>841</v>
      </c>
      <c r="C306">
        <v>12</v>
      </c>
      <c r="D306">
        <v>120</v>
      </c>
      <c r="E306">
        <v>129</v>
      </c>
      <c r="F306" t="s">
        <v>172</v>
      </c>
      <c r="G306" s="2" t="s">
        <v>156</v>
      </c>
      <c r="H306">
        <v>24</v>
      </c>
      <c r="I306">
        <v>31.78</v>
      </c>
      <c r="J306" s="2" t="s">
        <v>170</v>
      </c>
      <c r="K306" s="2" t="s">
        <v>74</v>
      </c>
      <c r="M306" t="s">
        <v>1132</v>
      </c>
      <c r="P306" s="19" t="s">
        <v>807</v>
      </c>
      <c r="Q306" s="19" t="s">
        <v>25</v>
      </c>
      <c r="R306" s="19" t="s">
        <v>138</v>
      </c>
      <c r="W306" s="20">
        <v>16</v>
      </c>
      <c r="X306" s="65" t="s">
        <v>806</v>
      </c>
      <c r="Z306" t="s">
        <v>22</v>
      </c>
      <c r="AB306" t="s">
        <v>178</v>
      </c>
      <c r="AC306" t="s">
        <v>837</v>
      </c>
      <c r="AD306" s="2" t="s">
        <v>180</v>
      </c>
    </row>
    <row r="307" spans="1:30" hidden="1" x14ac:dyDescent="0.25">
      <c r="A307" s="2">
        <v>29</v>
      </c>
      <c r="B307" t="s">
        <v>842</v>
      </c>
      <c r="C307">
        <v>12</v>
      </c>
      <c r="D307">
        <v>120</v>
      </c>
      <c r="E307">
        <v>129</v>
      </c>
      <c r="F307" t="s">
        <v>172</v>
      </c>
      <c r="G307" s="2" t="s">
        <v>156</v>
      </c>
      <c r="H307">
        <v>24</v>
      </c>
      <c r="I307">
        <v>31.78</v>
      </c>
      <c r="J307" s="2" t="s">
        <v>170</v>
      </c>
      <c r="K307" s="2" t="s">
        <v>74</v>
      </c>
      <c r="M307" t="s">
        <v>1132</v>
      </c>
      <c r="P307" s="19" t="s">
        <v>807</v>
      </c>
      <c r="Q307" s="19" t="s">
        <v>25</v>
      </c>
      <c r="R307" s="19" t="s">
        <v>138</v>
      </c>
      <c r="W307" s="20">
        <v>16</v>
      </c>
      <c r="X307" s="65" t="s">
        <v>806</v>
      </c>
      <c r="Z307" t="s">
        <v>22</v>
      </c>
      <c r="AB307" t="s">
        <v>178</v>
      </c>
      <c r="AC307" t="s">
        <v>837</v>
      </c>
      <c r="AD307" s="2" t="s">
        <v>180</v>
      </c>
    </row>
    <row r="308" spans="1:30" hidden="1" x14ac:dyDescent="0.25">
      <c r="A308" s="2">
        <v>30</v>
      </c>
      <c r="B308" t="s">
        <v>843</v>
      </c>
      <c r="C308">
        <v>12</v>
      </c>
      <c r="D308">
        <v>120</v>
      </c>
      <c r="E308">
        <v>129</v>
      </c>
      <c r="F308" t="s">
        <v>172</v>
      </c>
      <c r="G308" s="2" t="s">
        <v>156</v>
      </c>
      <c r="H308">
        <v>24</v>
      </c>
      <c r="I308">
        <v>31.78</v>
      </c>
      <c r="J308" s="2" t="s">
        <v>170</v>
      </c>
      <c r="K308" s="2" t="s">
        <v>74</v>
      </c>
      <c r="M308" t="s">
        <v>1132</v>
      </c>
      <c r="P308" s="19" t="s">
        <v>807</v>
      </c>
      <c r="Q308" s="19" t="s">
        <v>25</v>
      </c>
      <c r="R308" s="19" t="s">
        <v>138</v>
      </c>
      <c r="W308" s="20">
        <v>16</v>
      </c>
      <c r="X308" s="65" t="s">
        <v>806</v>
      </c>
      <c r="Z308" t="s">
        <v>22</v>
      </c>
      <c r="AB308" t="s">
        <v>178</v>
      </c>
      <c r="AC308" t="s">
        <v>837</v>
      </c>
      <c r="AD308" s="2" t="s">
        <v>180</v>
      </c>
    </row>
    <row r="309" spans="1:30" hidden="1" x14ac:dyDescent="0.25">
      <c r="A309" s="2">
        <v>31</v>
      </c>
      <c r="B309" t="s">
        <v>844</v>
      </c>
      <c r="C309">
        <v>12</v>
      </c>
      <c r="D309">
        <v>120</v>
      </c>
      <c r="E309">
        <v>129</v>
      </c>
      <c r="F309" t="s">
        <v>172</v>
      </c>
      <c r="G309" s="2" t="s">
        <v>156</v>
      </c>
      <c r="H309">
        <v>24</v>
      </c>
      <c r="I309">
        <v>31.78</v>
      </c>
      <c r="J309" s="2" t="s">
        <v>170</v>
      </c>
      <c r="K309" s="2" t="s">
        <v>74</v>
      </c>
      <c r="M309" t="s">
        <v>1132</v>
      </c>
      <c r="P309" s="19" t="s">
        <v>807</v>
      </c>
      <c r="Q309" s="19" t="s">
        <v>25</v>
      </c>
      <c r="R309" s="19" t="s">
        <v>138</v>
      </c>
      <c r="W309" s="20">
        <v>16</v>
      </c>
      <c r="X309" s="65" t="s">
        <v>806</v>
      </c>
      <c r="Z309" t="s">
        <v>22</v>
      </c>
      <c r="AB309" t="s">
        <v>178</v>
      </c>
      <c r="AC309" t="s">
        <v>837</v>
      </c>
      <c r="AD309" s="2" t="s">
        <v>180</v>
      </c>
    </row>
    <row r="310" spans="1:30" hidden="1" x14ac:dyDescent="0.25">
      <c r="A310" s="2">
        <v>32</v>
      </c>
      <c r="B310" t="s">
        <v>845</v>
      </c>
      <c r="C310">
        <v>12</v>
      </c>
      <c r="D310">
        <v>120</v>
      </c>
      <c r="E310">
        <v>129</v>
      </c>
      <c r="F310" t="s">
        <v>172</v>
      </c>
      <c r="G310" s="2" t="s">
        <v>156</v>
      </c>
      <c r="H310">
        <v>24</v>
      </c>
      <c r="I310">
        <v>31.78</v>
      </c>
      <c r="J310" s="2" t="s">
        <v>170</v>
      </c>
      <c r="K310" s="2" t="s">
        <v>74</v>
      </c>
      <c r="M310" t="s">
        <v>1132</v>
      </c>
      <c r="P310" s="19" t="s">
        <v>807</v>
      </c>
      <c r="Q310" s="19" t="s">
        <v>25</v>
      </c>
      <c r="R310" s="19" t="s">
        <v>138</v>
      </c>
      <c r="W310" s="20">
        <v>16</v>
      </c>
      <c r="X310" s="65" t="s">
        <v>806</v>
      </c>
      <c r="Z310" t="s">
        <v>22</v>
      </c>
      <c r="AB310" t="s">
        <v>178</v>
      </c>
      <c r="AC310" t="s">
        <v>837</v>
      </c>
      <c r="AD310" s="2" t="s">
        <v>180</v>
      </c>
    </row>
    <row r="311" spans="1:30" hidden="1" x14ac:dyDescent="0.25">
      <c r="A311" s="2">
        <v>33</v>
      </c>
      <c r="B311" t="s">
        <v>846</v>
      </c>
      <c r="C311">
        <v>12</v>
      </c>
      <c r="D311">
        <v>120</v>
      </c>
      <c r="E311">
        <v>129</v>
      </c>
      <c r="F311" t="s">
        <v>172</v>
      </c>
      <c r="G311" s="2" t="s">
        <v>156</v>
      </c>
      <c r="H311">
        <v>24</v>
      </c>
      <c r="I311">
        <v>31.78</v>
      </c>
      <c r="J311" s="2" t="s">
        <v>170</v>
      </c>
      <c r="K311" s="2" t="s">
        <v>74</v>
      </c>
      <c r="M311" t="s">
        <v>1132</v>
      </c>
      <c r="P311" s="19" t="s">
        <v>807</v>
      </c>
      <c r="Q311" s="19" t="s">
        <v>25</v>
      </c>
      <c r="R311" s="19" t="s">
        <v>138</v>
      </c>
      <c r="W311" s="20">
        <v>16</v>
      </c>
      <c r="X311" s="65" t="s">
        <v>806</v>
      </c>
      <c r="Z311" t="s">
        <v>22</v>
      </c>
      <c r="AB311" t="s">
        <v>178</v>
      </c>
      <c r="AC311" t="s">
        <v>837</v>
      </c>
      <c r="AD311" s="2" t="s">
        <v>180</v>
      </c>
    </row>
    <row r="312" spans="1:30" hidden="1" x14ac:dyDescent="0.25">
      <c r="A312" s="2">
        <v>34</v>
      </c>
      <c r="B312" t="s">
        <v>847</v>
      </c>
      <c r="C312">
        <v>12</v>
      </c>
      <c r="D312">
        <v>120</v>
      </c>
      <c r="E312">
        <v>129</v>
      </c>
      <c r="F312" t="s">
        <v>172</v>
      </c>
      <c r="G312" s="2" t="s">
        <v>156</v>
      </c>
      <c r="H312">
        <v>24</v>
      </c>
      <c r="I312">
        <v>31.78</v>
      </c>
      <c r="J312" s="2" t="s">
        <v>170</v>
      </c>
      <c r="K312" s="2" t="s">
        <v>74</v>
      </c>
      <c r="M312" t="s">
        <v>1132</v>
      </c>
      <c r="P312" s="19" t="s">
        <v>807</v>
      </c>
      <c r="Q312" s="19" t="s">
        <v>25</v>
      </c>
      <c r="R312" s="19" t="s">
        <v>138</v>
      </c>
      <c r="W312" s="20">
        <v>16</v>
      </c>
      <c r="X312" s="65" t="s">
        <v>806</v>
      </c>
      <c r="Z312" t="s">
        <v>22</v>
      </c>
      <c r="AB312" t="s">
        <v>178</v>
      </c>
      <c r="AC312" t="s">
        <v>837</v>
      </c>
      <c r="AD312" s="2" t="s">
        <v>180</v>
      </c>
    </row>
    <row r="313" spans="1:30" hidden="1" x14ac:dyDescent="0.25">
      <c r="A313" s="2">
        <v>35</v>
      </c>
      <c r="B313" t="s">
        <v>848</v>
      </c>
      <c r="C313">
        <v>12</v>
      </c>
      <c r="D313">
        <v>120</v>
      </c>
      <c r="E313">
        <v>129</v>
      </c>
      <c r="F313" t="s">
        <v>172</v>
      </c>
      <c r="G313" s="2" t="s">
        <v>156</v>
      </c>
      <c r="H313">
        <v>24</v>
      </c>
      <c r="I313">
        <v>31.78</v>
      </c>
      <c r="J313" s="2" t="s">
        <v>170</v>
      </c>
      <c r="K313" s="2" t="s">
        <v>74</v>
      </c>
      <c r="M313" t="s">
        <v>1132</v>
      </c>
      <c r="P313" s="19" t="s">
        <v>807</v>
      </c>
      <c r="Q313" s="19" t="s">
        <v>25</v>
      </c>
      <c r="R313" s="19" t="s">
        <v>138</v>
      </c>
      <c r="W313" s="20">
        <v>16</v>
      </c>
      <c r="X313" s="65" t="s">
        <v>806</v>
      </c>
      <c r="Z313" t="s">
        <v>22</v>
      </c>
      <c r="AB313" t="s">
        <v>178</v>
      </c>
      <c r="AC313" t="s">
        <v>837</v>
      </c>
      <c r="AD313" s="2" t="s">
        <v>180</v>
      </c>
    </row>
    <row r="314" spans="1:30" hidden="1" x14ac:dyDescent="0.25">
      <c r="A314" s="2">
        <v>36</v>
      </c>
      <c r="B314" t="s">
        <v>849</v>
      </c>
      <c r="C314">
        <v>12</v>
      </c>
      <c r="D314">
        <v>120</v>
      </c>
      <c r="E314">
        <v>129</v>
      </c>
      <c r="F314" t="s">
        <v>172</v>
      </c>
      <c r="G314" s="2" t="s">
        <v>156</v>
      </c>
      <c r="H314">
        <v>2</v>
      </c>
      <c r="I314">
        <v>2.65</v>
      </c>
      <c r="J314" s="2" t="s">
        <v>170</v>
      </c>
      <c r="K314" s="2" t="s">
        <v>74</v>
      </c>
      <c r="M314" t="s">
        <v>1132</v>
      </c>
      <c r="P314" s="19" t="s">
        <v>807</v>
      </c>
      <c r="Q314" s="19" t="s">
        <v>25</v>
      </c>
      <c r="R314" s="19" t="s">
        <v>138</v>
      </c>
      <c r="W314" s="20">
        <v>16</v>
      </c>
      <c r="X314" s="65" t="s">
        <v>806</v>
      </c>
      <c r="Z314" t="s">
        <v>22</v>
      </c>
      <c r="AB314" t="s">
        <v>178</v>
      </c>
      <c r="AC314" t="s">
        <v>837</v>
      </c>
      <c r="AD314" s="2" t="s">
        <v>180</v>
      </c>
    </row>
    <row r="315" spans="1:30" hidden="1" x14ac:dyDescent="0.25">
      <c r="A315" s="2">
        <v>37</v>
      </c>
      <c r="B315" t="s">
        <v>850</v>
      </c>
      <c r="C315">
        <v>12</v>
      </c>
      <c r="D315">
        <v>490</v>
      </c>
      <c r="E315">
        <v>9980</v>
      </c>
      <c r="F315" t="s">
        <v>172</v>
      </c>
      <c r="G315" s="2" t="s">
        <v>156</v>
      </c>
      <c r="H315">
        <v>1</v>
      </c>
      <c r="I315">
        <v>460.46</v>
      </c>
      <c r="J315" s="2" t="s">
        <v>170</v>
      </c>
      <c r="K315" s="2" t="s">
        <v>74</v>
      </c>
      <c r="M315" t="s">
        <v>1132</v>
      </c>
      <c r="P315" s="19" t="s">
        <v>807</v>
      </c>
      <c r="Q315" s="19" t="s">
        <v>27</v>
      </c>
      <c r="R315" s="19" t="s">
        <v>138</v>
      </c>
      <c r="W315" s="20">
        <v>16</v>
      </c>
      <c r="X315" s="65" t="s">
        <v>806</v>
      </c>
      <c r="Z315" t="s">
        <v>22</v>
      </c>
      <c r="AB315" t="s">
        <v>178</v>
      </c>
      <c r="AC315" t="s">
        <v>837</v>
      </c>
      <c r="AD315" s="2" t="s">
        <v>180</v>
      </c>
    </row>
    <row r="316" spans="1:30" hidden="1" x14ac:dyDescent="0.25">
      <c r="A316" s="2">
        <v>38</v>
      </c>
      <c r="B316" t="s">
        <v>851</v>
      </c>
      <c r="C316">
        <v>12</v>
      </c>
      <c r="D316">
        <v>120</v>
      </c>
      <c r="E316">
        <v>129</v>
      </c>
      <c r="F316" t="s">
        <v>172</v>
      </c>
      <c r="G316" s="2" t="s">
        <v>156</v>
      </c>
      <c r="H316">
        <v>18</v>
      </c>
      <c r="I316">
        <v>23.83</v>
      </c>
      <c r="J316" s="2" t="s">
        <v>170</v>
      </c>
      <c r="K316" s="2" t="s">
        <v>74</v>
      </c>
      <c r="M316" t="s">
        <v>1132</v>
      </c>
      <c r="P316" s="19" t="s">
        <v>807</v>
      </c>
      <c r="Q316" s="19" t="s">
        <v>25</v>
      </c>
      <c r="R316" s="19" t="s">
        <v>138</v>
      </c>
      <c r="W316" s="20">
        <v>16</v>
      </c>
      <c r="X316" s="65" t="s">
        <v>806</v>
      </c>
      <c r="Z316" t="s">
        <v>22</v>
      </c>
      <c r="AB316" t="s">
        <v>178</v>
      </c>
      <c r="AC316" t="s">
        <v>837</v>
      </c>
      <c r="AD316" s="2" t="s">
        <v>180</v>
      </c>
    </row>
    <row r="317" spans="1:30" hidden="1" x14ac:dyDescent="0.25">
      <c r="A317" s="2">
        <v>39</v>
      </c>
      <c r="B317" t="s">
        <v>852</v>
      </c>
      <c r="C317">
        <v>12</v>
      </c>
      <c r="D317">
        <v>120</v>
      </c>
      <c r="E317">
        <v>129</v>
      </c>
      <c r="F317" t="s">
        <v>172</v>
      </c>
      <c r="G317" s="2" t="s">
        <v>156</v>
      </c>
      <c r="H317">
        <v>18</v>
      </c>
      <c r="I317">
        <v>23.83</v>
      </c>
      <c r="J317" s="2" t="s">
        <v>170</v>
      </c>
      <c r="K317" s="2" t="s">
        <v>74</v>
      </c>
      <c r="M317" t="s">
        <v>1132</v>
      </c>
      <c r="P317" s="19" t="s">
        <v>807</v>
      </c>
      <c r="Q317" s="19" t="s">
        <v>25</v>
      </c>
      <c r="R317" s="19" t="s">
        <v>138</v>
      </c>
      <c r="W317" s="20">
        <v>16</v>
      </c>
      <c r="X317" s="65" t="s">
        <v>806</v>
      </c>
      <c r="Z317" t="s">
        <v>22</v>
      </c>
      <c r="AB317" t="s">
        <v>178</v>
      </c>
      <c r="AC317" t="s">
        <v>837</v>
      </c>
      <c r="AD317" s="2" t="s">
        <v>180</v>
      </c>
    </row>
    <row r="318" spans="1:30" hidden="1" x14ac:dyDescent="0.25">
      <c r="A318" s="2">
        <v>40</v>
      </c>
      <c r="B318" t="s">
        <v>853</v>
      </c>
      <c r="C318">
        <v>12</v>
      </c>
      <c r="D318">
        <v>120</v>
      </c>
      <c r="E318">
        <v>129</v>
      </c>
      <c r="F318" t="s">
        <v>172</v>
      </c>
      <c r="G318" s="2" t="s">
        <v>156</v>
      </c>
      <c r="H318">
        <v>18</v>
      </c>
      <c r="I318">
        <v>23.83</v>
      </c>
      <c r="J318" s="2" t="s">
        <v>170</v>
      </c>
      <c r="K318" s="2" t="s">
        <v>74</v>
      </c>
      <c r="M318" t="s">
        <v>1132</v>
      </c>
      <c r="P318" s="19" t="s">
        <v>807</v>
      </c>
      <c r="Q318" s="19" t="s">
        <v>25</v>
      </c>
      <c r="R318" s="19" t="s">
        <v>138</v>
      </c>
      <c r="W318" s="20">
        <v>16</v>
      </c>
      <c r="X318" s="65" t="s">
        <v>806</v>
      </c>
      <c r="Z318" t="s">
        <v>22</v>
      </c>
      <c r="AB318" t="s">
        <v>178</v>
      </c>
      <c r="AC318" t="s">
        <v>837</v>
      </c>
      <c r="AD318" s="2" t="s">
        <v>180</v>
      </c>
    </row>
    <row r="319" spans="1:30" hidden="1" x14ac:dyDescent="0.25">
      <c r="A319" s="2">
        <v>41</v>
      </c>
      <c r="B319" t="s">
        <v>854</v>
      </c>
      <c r="C319">
        <v>12</v>
      </c>
      <c r="D319">
        <v>1460</v>
      </c>
      <c r="E319">
        <v>9068</v>
      </c>
      <c r="F319" t="s">
        <v>172</v>
      </c>
      <c r="G319" s="2" t="s">
        <v>156</v>
      </c>
      <c r="H319">
        <v>1</v>
      </c>
      <c r="I319">
        <v>1240.54</v>
      </c>
      <c r="J319" s="2" t="s">
        <v>170</v>
      </c>
      <c r="K319" s="2" t="s">
        <v>74</v>
      </c>
      <c r="M319" t="s">
        <v>1132</v>
      </c>
      <c r="P319" s="19" t="s">
        <v>807</v>
      </c>
      <c r="Q319" s="19" t="s">
        <v>27</v>
      </c>
      <c r="R319" s="19" t="s">
        <v>138</v>
      </c>
      <c r="W319" s="20">
        <v>16</v>
      </c>
      <c r="X319" s="65" t="s">
        <v>806</v>
      </c>
      <c r="Z319" t="s">
        <v>22</v>
      </c>
      <c r="AB319" t="s">
        <v>178</v>
      </c>
      <c r="AC319" t="s">
        <v>837</v>
      </c>
      <c r="AD319" s="2" t="s">
        <v>180</v>
      </c>
    </row>
    <row r="320" spans="1:30" hidden="1" x14ac:dyDescent="0.25">
      <c r="A320" s="2">
        <v>42</v>
      </c>
      <c r="B320" t="s">
        <v>855</v>
      </c>
      <c r="C320">
        <v>12</v>
      </c>
      <c r="D320">
        <v>490</v>
      </c>
      <c r="E320">
        <v>9980</v>
      </c>
      <c r="F320" t="s">
        <v>172</v>
      </c>
      <c r="G320" s="2" t="s">
        <v>156</v>
      </c>
      <c r="H320">
        <v>1</v>
      </c>
      <c r="I320">
        <v>460.46</v>
      </c>
      <c r="J320" s="2" t="s">
        <v>170</v>
      </c>
      <c r="K320" s="2" t="s">
        <v>74</v>
      </c>
      <c r="M320" t="s">
        <v>1132</v>
      </c>
      <c r="P320" s="19" t="s">
        <v>807</v>
      </c>
      <c r="Q320" s="19" t="s">
        <v>27</v>
      </c>
      <c r="R320" s="19" t="s">
        <v>138</v>
      </c>
      <c r="W320" s="20">
        <v>16</v>
      </c>
      <c r="X320" s="65" t="s">
        <v>806</v>
      </c>
      <c r="Z320" t="s">
        <v>22</v>
      </c>
      <c r="AB320" t="s">
        <v>178</v>
      </c>
      <c r="AC320" t="s">
        <v>856</v>
      </c>
      <c r="AD320" s="2" t="s">
        <v>180</v>
      </c>
    </row>
    <row r="321" spans="1:30" hidden="1" x14ac:dyDescent="0.25">
      <c r="A321" s="2">
        <v>43</v>
      </c>
      <c r="B321" t="s">
        <v>849</v>
      </c>
      <c r="C321">
        <v>12</v>
      </c>
      <c r="D321">
        <v>120</v>
      </c>
      <c r="E321">
        <v>129</v>
      </c>
      <c r="F321" t="s">
        <v>172</v>
      </c>
      <c r="G321" s="2" t="s">
        <v>156</v>
      </c>
      <c r="H321">
        <v>1</v>
      </c>
      <c r="I321">
        <v>1.32</v>
      </c>
      <c r="J321" s="2" t="s">
        <v>170</v>
      </c>
      <c r="K321" s="2" t="s">
        <v>74</v>
      </c>
      <c r="M321" t="s">
        <v>1132</v>
      </c>
      <c r="P321" s="19" t="s">
        <v>807</v>
      </c>
      <c r="Q321" s="19" t="s">
        <v>25</v>
      </c>
      <c r="R321" s="19" t="s">
        <v>138</v>
      </c>
      <c r="W321" s="20">
        <v>16</v>
      </c>
      <c r="X321" s="65" t="s">
        <v>806</v>
      </c>
      <c r="Z321" t="s">
        <v>22</v>
      </c>
      <c r="AB321" t="s">
        <v>178</v>
      </c>
      <c r="AC321" t="s">
        <v>856</v>
      </c>
      <c r="AD321" s="2" t="s">
        <v>180</v>
      </c>
    </row>
    <row r="322" spans="1:30" hidden="1" x14ac:dyDescent="0.25">
      <c r="A322" s="2">
        <v>44</v>
      </c>
      <c r="B322" t="s">
        <v>857</v>
      </c>
      <c r="C322">
        <v>12</v>
      </c>
      <c r="D322">
        <v>490</v>
      </c>
      <c r="E322">
        <v>6464</v>
      </c>
      <c r="F322" t="s">
        <v>172</v>
      </c>
      <c r="G322" s="2" t="s">
        <v>156</v>
      </c>
      <c r="H322">
        <v>1</v>
      </c>
      <c r="I322">
        <v>298.26</v>
      </c>
      <c r="J322" s="2" t="s">
        <v>170</v>
      </c>
      <c r="K322" s="2" t="s">
        <v>74</v>
      </c>
      <c r="M322" t="s">
        <v>1132</v>
      </c>
      <c r="P322" s="19" t="s">
        <v>807</v>
      </c>
      <c r="Q322" s="19" t="s">
        <v>27</v>
      </c>
      <c r="R322" s="19" t="s">
        <v>138</v>
      </c>
      <c r="W322" s="20">
        <v>16</v>
      </c>
      <c r="X322" s="65" t="s">
        <v>806</v>
      </c>
      <c r="Z322" t="s">
        <v>22</v>
      </c>
      <c r="AB322" t="s">
        <v>178</v>
      </c>
      <c r="AC322" t="s">
        <v>856</v>
      </c>
      <c r="AD322" s="2" t="s">
        <v>180</v>
      </c>
    </row>
    <row r="323" spans="1:30" hidden="1" x14ac:dyDescent="0.25">
      <c r="A323" s="2">
        <v>45</v>
      </c>
      <c r="B323" t="s">
        <v>858</v>
      </c>
      <c r="C323">
        <v>12</v>
      </c>
      <c r="D323">
        <v>490</v>
      </c>
      <c r="E323">
        <v>9980</v>
      </c>
      <c r="F323" t="s">
        <v>172</v>
      </c>
      <c r="G323" s="2" t="s">
        <v>156</v>
      </c>
      <c r="H323">
        <v>1</v>
      </c>
      <c r="I323">
        <v>460.46</v>
      </c>
      <c r="J323" s="2" t="s">
        <v>170</v>
      </c>
      <c r="K323" s="2" t="s">
        <v>74</v>
      </c>
      <c r="M323" t="s">
        <v>1132</v>
      </c>
      <c r="P323" s="19" t="s">
        <v>807</v>
      </c>
      <c r="Q323" s="19" t="s">
        <v>27</v>
      </c>
      <c r="R323" s="19" t="s">
        <v>138</v>
      </c>
      <c r="W323" s="20">
        <v>16</v>
      </c>
      <c r="X323" s="65" t="s">
        <v>806</v>
      </c>
      <c r="Z323" t="s">
        <v>22</v>
      </c>
      <c r="AB323" t="s">
        <v>178</v>
      </c>
      <c r="AC323" t="s">
        <v>856</v>
      </c>
      <c r="AD323" s="2" t="s">
        <v>180</v>
      </c>
    </row>
    <row r="324" spans="1:30" hidden="1" x14ac:dyDescent="0.25">
      <c r="A324" s="2">
        <v>46</v>
      </c>
      <c r="B324" t="s">
        <v>859</v>
      </c>
      <c r="C324">
        <v>12</v>
      </c>
      <c r="D324">
        <v>490</v>
      </c>
      <c r="E324">
        <v>9980</v>
      </c>
      <c r="F324" t="s">
        <v>172</v>
      </c>
      <c r="G324" s="2" t="s">
        <v>156</v>
      </c>
      <c r="H324">
        <v>1</v>
      </c>
      <c r="I324">
        <v>460.46</v>
      </c>
      <c r="J324" s="2" t="s">
        <v>170</v>
      </c>
      <c r="K324" s="2" t="s">
        <v>74</v>
      </c>
      <c r="M324" t="s">
        <v>1132</v>
      </c>
      <c r="P324" s="19" t="s">
        <v>807</v>
      </c>
      <c r="Q324" s="19" t="s">
        <v>27</v>
      </c>
      <c r="R324" s="19" t="s">
        <v>138</v>
      </c>
      <c r="W324" s="20">
        <v>16</v>
      </c>
      <c r="X324" s="65" t="s">
        <v>806</v>
      </c>
      <c r="Z324" t="s">
        <v>22</v>
      </c>
      <c r="AB324" t="s">
        <v>178</v>
      </c>
      <c r="AC324" t="s">
        <v>856</v>
      </c>
      <c r="AD324" s="2" t="s">
        <v>180</v>
      </c>
    </row>
    <row r="325" spans="1:30" hidden="1" x14ac:dyDescent="0.25">
      <c r="A325" s="2">
        <v>47</v>
      </c>
      <c r="B325" t="s">
        <v>860</v>
      </c>
      <c r="C325">
        <v>12</v>
      </c>
      <c r="D325">
        <v>135</v>
      </c>
      <c r="E325">
        <v>488</v>
      </c>
      <c r="F325" t="s">
        <v>172</v>
      </c>
      <c r="G325" s="2" t="s">
        <v>156</v>
      </c>
      <c r="H325">
        <v>12</v>
      </c>
      <c r="I325">
        <v>74.28</v>
      </c>
      <c r="J325" s="2" t="s">
        <v>170</v>
      </c>
      <c r="K325" s="2" t="s">
        <v>74</v>
      </c>
      <c r="M325" t="s">
        <v>1132</v>
      </c>
      <c r="P325" s="19" t="s">
        <v>807</v>
      </c>
      <c r="Q325" s="19" t="s">
        <v>25</v>
      </c>
      <c r="R325" s="19" t="s">
        <v>138</v>
      </c>
      <c r="W325" s="20">
        <v>16</v>
      </c>
      <c r="X325" s="65" t="s">
        <v>806</v>
      </c>
      <c r="Z325" t="s">
        <v>22</v>
      </c>
      <c r="AB325" t="s">
        <v>178</v>
      </c>
      <c r="AC325" t="s">
        <v>856</v>
      </c>
      <c r="AD325" s="2" t="s">
        <v>180</v>
      </c>
    </row>
    <row r="326" spans="1:30" hidden="1" x14ac:dyDescent="0.25">
      <c r="A326" s="2">
        <v>48</v>
      </c>
      <c r="B326" t="s">
        <v>861</v>
      </c>
      <c r="C326">
        <v>12</v>
      </c>
      <c r="D326">
        <v>135</v>
      </c>
      <c r="E326">
        <v>488</v>
      </c>
      <c r="F326" t="s">
        <v>172</v>
      </c>
      <c r="G326" s="2" t="s">
        <v>156</v>
      </c>
      <c r="H326">
        <v>14</v>
      </c>
      <c r="I326">
        <v>86.66</v>
      </c>
      <c r="J326" s="2" t="s">
        <v>170</v>
      </c>
      <c r="K326" s="2" t="s">
        <v>74</v>
      </c>
      <c r="M326" t="s">
        <v>1132</v>
      </c>
      <c r="P326" s="19" t="s">
        <v>807</v>
      </c>
      <c r="Q326" s="19" t="s">
        <v>25</v>
      </c>
      <c r="R326" s="19" t="s">
        <v>138</v>
      </c>
      <c r="W326" s="20">
        <v>16</v>
      </c>
      <c r="X326" s="65" t="s">
        <v>806</v>
      </c>
      <c r="Z326" t="s">
        <v>22</v>
      </c>
      <c r="AB326" t="s">
        <v>178</v>
      </c>
      <c r="AC326" t="s">
        <v>856</v>
      </c>
      <c r="AD326" s="2" t="s">
        <v>180</v>
      </c>
    </row>
    <row r="327" spans="1:30" hidden="1" x14ac:dyDescent="0.25">
      <c r="A327" s="2">
        <v>49</v>
      </c>
      <c r="B327" t="s">
        <v>862</v>
      </c>
      <c r="C327">
        <v>12</v>
      </c>
      <c r="D327">
        <v>135</v>
      </c>
      <c r="E327">
        <v>488</v>
      </c>
      <c r="F327" t="s">
        <v>172</v>
      </c>
      <c r="G327" s="2" t="s">
        <v>156</v>
      </c>
      <c r="H327">
        <v>2</v>
      </c>
      <c r="I327">
        <v>12.38</v>
      </c>
      <c r="J327" s="2" t="s">
        <v>170</v>
      </c>
      <c r="K327" s="2" t="s">
        <v>74</v>
      </c>
      <c r="M327" t="s">
        <v>1132</v>
      </c>
      <c r="P327" s="19" t="s">
        <v>807</v>
      </c>
      <c r="Q327" s="19" t="s">
        <v>25</v>
      </c>
      <c r="R327" s="19" t="s">
        <v>138</v>
      </c>
      <c r="W327" s="20">
        <v>16</v>
      </c>
      <c r="X327" s="65" t="s">
        <v>806</v>
      </c>
      <c r="Z327" t="s">
        <v>22</v>
      </c>
      <c r="AB327" t="s">
        <v>178</v>
      </c>
      <c r="AC327" t="s">
        <v>856</v>
      </c>
      <c r="AD327" s="2" t="s">
        <v>180</v>
      </c>
    </row>
    <row r="328" spans="1:30" hidden="1" x14ac:dyDescent="0.25">
      <c r="A328" s="2">
        <v>50</v>
      </c>
      <c r="B328" t="s">
        <v>863</v>
      </c>
      <c r="C328">
        <v>12</v>
      </c>
      <c r="D328">
        <v>135</v>
      </c>
      <c r="E328">
        <v>488</v>
      </c>
      <c r="F328" t="s">
        <v>172</v>
      </c>
      <c r="G328" s="2" t="s">
        <v>156</v>
      </c>
      <c r="H328">
        <v>4</v>
      </c>
      <c r="I328">
        <v>24.76</v>
      </c>
      <c r="J328" s="2" t="s">
        <v>170</v>
      </c>
      <c r="K328" s="2" t="s">
        <v>74</v>
      </c>
      <c r="M328" t="s">
        <v>1132</v>
      </c>
      <c r="P328" s="19" t="s">
        <v>807</v>
      </c>
      <c r="Q328" s="19" t="s">
        <v>25</v>
      </c>
      <c r="R328" s="19" t="s">
        <v>138</v>
      </c>
      <c r="W328" s="20">
        <v>16</v>
      </c>
      <c r="X328" s="65" t="s">
        <v>806</v>
      </c>
      <c r="Z328" t="s">
        <v>22</v>
      </c>
      <c r="AB328" t="s">
        <v>178</v>
      </c>
      <c r="AC328" t="s">
        <v>856</v>
      </c>
      <c r="AD328" s="2" t="s">
        <v>180</v>
      </c>
    </row>
    <row r="329" spans="1:30" hidden="1" x14ac:dyDescent="0.25">
      <c r="A329" s="2">
        <v>51</v>
      </c>
      <c r="B329" t="s">
        <v>864</v>
      </c>
      <c r="C329">
        <v>12</v>
      </c>
      <c r="D329">
        <v>135</v>
      </c>
      <c r="E329">
        <v>488</v>
      </c>
      <c r="F329" t="s">
        <v>172</v>
      </c>
      <c r="G329" s="2" t="s">
        <v>156</v>
      </c>
      <c r="H329">
        <v>4</v>
      </c>
      <c r="I329">
        <v>24.76</v>
      </c>
      <c r="J329" s="2" t="s">
        <v>170</v>
      </c>
      <c r="K329" s="2" t="s">
        <v>74</v>
      </c>
      <c r="M329" t="s">
        <v>1132</v>
      </c>
      <c r="P329" s="19" t="s">
        <v>807</v>
      </c>
      <c r="Q329" s="19" t="s">
        <v>25</v>
      </c>
      <c r="R329" s="19" t="s">
        <v>138</v>
      </c>
      <c r="W329" s="20">
        <v>16</v>
      </c>
      <c r="X329" s="65" t="s">
        <v>806</v>
      </c>
      <c r="Z329" t="s">
        <v>22</v>
      </c>
      <c r="AB329" t="s">
        <v>178</v>
      </c>
      <c r="AC329" t="s">
        <v>856</v>
      </c>
      <c r="AD329" s="2" t="s">
        <v>180</v>
      </c>
    </row>
    <row r="330" spans="1:30" hidden="1" x14ac:dyDescent="0.25">
      <c r="A330" s="2">
        <v>52</v>
      </c>
      <c r="B330" t="s">
        <v>865</v>
      </c>
      <c r="C330">
        <v>12</v>
      </c>
      <c r="D330">
        <v>135</v>
      </c>
      <c r="E330">
        <v>488</v>
      </c>
      <c r="F330" t="s">
        <v>172</v>
      </c>
      <c r="G330" s="2" t="s">
        <v>156</v>
      </c>
      <c r="H330">
        <v>4</v>
      </c>
      <c r="I330">
        <v>24.76</v>
      </c>
      <c r="J330" s="2" t="s">
        <v>170</v>
      </c>
      <c r="K330" s="2" t="s">
        <v>74</v>
      </c>
      <c r="M330" t="s">
        <v>1132</v>
      </c>
      <c r="P330" s="19" t="s">
        <v>807</v>
      </c>
      <c r="Q330" s="19" t="s">
        <v>25</v>
      </c>
      <c r="R330" s="19" t="s">
        <v>138</v>
      </c>
      <c r="W330" s="20">
        <v>16</v>
      </c>
      <c r="X330" s="65" t="s">
        <v>806</v>
      </c>
      <c r="Z330" t="s">
        <v>22</v>
      </c>
      <c r="AB330" t="s">
        <v>178</v>
      </c>
      <c r="AC330" t="s">
        <v>856</v>
      </c>
      <c r="AD330" s="2" t="s">
        <v>180</v>
      </c>
    </row>
    <row r="331" spans="1:30" hidden="1" x14ac:dyDescent="0.25">
      <c r="A331" s="2">
        <v>53</v>
      </c>
      <c r="B331" t="s">
        <v>866</v>
      </c>
      <c r="C331">
        <v>12</v>
      </c>
      <c r="D331">
        <v>135</v>
      </c>
      <c r="E331">
        <v>488</v>
      </c>
      <c r="F331" t="s">
        <v>172</v>
      </c>
      <c r="G331" s="2" t="s">
        <v>156</v>
      </c>
      <c r="H331">
        <v>4</v>
      </c>
      <c r="I331">
        <v>24.76</v>
      </c>
      <c r="J331" s="2" t="s">
        <v>170</v>
      </c>
      <c r="K331" s="2" t="s">
        <v>74</v>
      </c>
      <c r="M331" t="s">
        <v>1132</v>
      </c>
      <c r="P331" s="19" t="s">
        <v>807</v>
      </c>
      <c r="Q331" s="19" t="s">
        <v>25</v>
      </c>
      <c r="R331" s="19" t="s">
        <v>138</v>
      </c>
      <c r="W331" s="20">
        <v>16</v>
      </c>
      <c r="X331" s="65" t="s">
        <v>806</v>
      </c>
      <c r="Z331" t="s">
        <v>22</v>
      </c>
      <c r="AB331" t="s">
        <v>178</v>
      </c>
      <c r="AC331" t="s">
        <v>856</v>
      </c>
      <c r="AD331" s="2" t="s">
        <v>180</v>
      </c>
    </row>
    <row r="332" spans="1:30" hidden="1" x14ac:dyDescent="0.25">
      <c r="A332" s="2">
        <v>54</v>
      </c>
      <c r="B332" t="s">
        <v>867</v>
      </c>
      <c r="C332">
        <v>12</v>
      </c>
      <c r="D332">
        <v>135</v>
      </c>
      <c r="E332">
        <v>488</v>
      </c>
      <c r="F332" t="s">
        <v>172</v>
      </c>
      <c r="G332" s="2" t="s">
        <v>156</v>
      </c>
      <c r="H332">
        <v>4</v>
      </c>
      <c r="I332">
        <v>24.76</v>
      </c>
      <c r="J332" s="2" t="s">
        <v>170</v>
      </c>
      <c r="K332" s="2" t="s">
        <v>74</v>
      </c>
      <c r="M332" t="s">
        <v>1132</v>
      </c>
      <c r="P332" s="19" t="s">
        <v>807</v>
      </c>
      <c r="Q332" s="19" t="s">
        <v>25</v>
      </c>
      <c r="R332" s="19" t="s">
        <v>138</v>
      </c>
      <c r="W332" s="20">
        <v>16</v>
      </c>
      <c r="X332" s="65" t="s">
        <v>806</v>
      </c>
      <c r="Z332" t="s">
        <v>22</v>
      </c>
      <c r="AB332" t="s">
        <v>178</v>
      </c>
      <c r="AC332" t="s">
        <v>856</v>
      </c>
      <c r="AD332" s="2" t="s">
        <v>180</v>
      </c>
    </row>
    <row r="333" spans="1:30" hidden="1" x14ac:dyDescent="0.25">
      <c r="A333" s="2">
        <v>55</v>
      </c>
      <c r="B333" t="s">
        <v>868</v>
      </c>
      <c r="C333">
        <v>12</v>
      </c>
      <c r="D333">
        <v>490</v>
      </c>
      <c r="E333">
        <v>1514</v>
      </c>
      <c r="F333" t="s">
        <v>172</v>
      </c>
      <c r="G333" s="2" t="s">
        <v>156</v>
      </c>
      <c r="H333">
        <v>1</v>
      </c>
      <c r="I333">
        <v>69.78</v>
      </c>
      <c r="J333" s="2" t="s">
        <v>170</v>
      </c>
      <c r="K333" s="2" t="s">
        <v>74</v>
      </c>
      <c r="M333" t="s">
        <v>1132</v>
      </c>
      <c r="P333" s="19" t="s">
        <v>807</v>
      </c>
      <c r="Q333" s="19" t="s">
        <v>27</v>
      </c>
      <c r="R333" s="19" t="s">
        <v>138</v>
      </c>
      <c r="W333" s="20">
        <v>16</v>
      </c>
      <c r="X333" s="65" t="s">
        <v>806</v>
      </c>
      <c r="Z333" t="s">
        <v>22</v>
      </c>
      <c r="AB333" t="s">
        <v>178</v>
      </c>
      <c r="AC333" t="s">
        <v>856</v>
      </c>
      <c r="AD333" s="2" t="s">
        <v>180</v>
      </c>
    </row>
    <row r="334" spans="1:30" hidden="1" x14ac:dyDescent="0.25">
      <c r="A334" s="2">
        <v>56</v>
      </c>
      <c r="B334" t="s">
        <v>870</v>
      </c>
      <c r="C334">
        <v>12</v>
      </c>
      <c r="D334">
        <v>135</v>
      </c>
      <c r="E334">
        <v>488</v>
      </c>
      <c r="F334" t="s">
        <v>172</v>
      </c>
      <c r="G334" s="2" t="s">
        <v>156</v>
      </c>
      <c r="H334">
        <v>4</v>
      </c>
      <c r="I334">
        <v>24.76</v>
      </c>
      <c r="J334" s="2" t="s">
        <v>170</v>
      </c>
      <c r="K334" s="2" t="s">
        <v>74</v>
      </c>
      <c r="M334" t="s">
        <v>1132</v>
      </c>
      <c r="P334" s="19" t="s">
        <v>807</v>
      </c>
      <c r="Q334" s="19" t="s">
        <v>25</v>
      </c>
      <c r="R334" s="19" t="s">
        <v>138</v>
      </c>
      <c r="W334" s="20">
        <v>16</v>
      </c>
      <c r="X334" s="65" t="s">
        <v>806</v>
      </c>
      <c r="Z334" t="s">
        <v>22</v>
      </c>
      <c r="AB334" t="s">
        <v>178</v>
      </c>
      <c r="AC334" t="s">
        <v>856</v>
      </c>
      <c r="AD334" s="2" t="s">
        <v>180</v>
      </c>
    </row>
    <row r="335" spans="1:30" hidden="1" x14ac:dyDescent="0.25">
      <c r="A335" s="2">
        <v>57</v>
      </c>
      <c r="B335" t="s">
        <v>871</v>
      </c>
      <c r="C335">
        <v>12</v>
      </c>
      <c r="D335">
        <v>135</v>
      </c>
      <c r="E335">
        <v>488</v>
      </c>
      <c r="F335" t="s">
        <v>172</v>
      </c>
      <c r="G335" s="2" t="s">
        <v>156</v>
      </c>
      <c r="H335">
        <v>4</v>
      </c>
      <c r="I335">
        <v>24.76</v>
      </c>
      <c r="J335" s="2" t="s">
        <v>170</v>
      </c>
      <c r="K335" s="2" t="s">
        <v>74</v>
      </c>
      <c r="M335" t="s">
        <v>1132</v>
      </c>
      <c r="P335" s="19" t="s">
        <v>807</v>
      </c>
      <c r="Q335" s="19" t="s">
        <v>25</v>
      </c>
      <c r="R335" s="19" t="s">
        <v>138</v>
      </c>
      <c r="W335" s="20">
        <v>16</v>
      </c>
      <c r="X335" s="65" t="s">
        <v>806</v>
      </c>
      <c r="Z335" t="s">
        <v>22</v>
      </c>
      <c r="AB335" t="s">
        <v>178</v>
      </c>
      <c r="AC335" t="s">
        <v>856</v>
      </c>
      <c r="AD335" s="2" t="s">
        <v>180</v>
      </c>
    </row>
    <row r="336" spans="1:30" hidden="1" x14ac:dyDescent="0.25">
      <c r="A336" s="2">
        <v>58</v>
      </c>
      <c r="B336" t="s">
        <v>872</v>
      </c>
      <c r="C336">
        <v>12</v>
      </c>
      <c r="D336">
        <v>120</v>
      </c>
      <c r="E336">
        <v>129</v>
      </c>
      <c r="F336" t="s">
        <v>172</v>
      </c>
      <c r="G336" s="2" t="s">
        <v>156</v>
      </c>
      <c r="H336">
        <v>1</v>
      </c>
      <c r="I336">
        <v>1.32</v>
      </c>
      <c r="J336" s="2" t="s">
        <v>170</v>
      </c>
      <c r="K336" s="2" t="s">
        <v>74</v>
      </c>
      <c r="M336" t="s">
        <v>1132</v>
      </c>
      <c r="P336" s="19" t="s">
        <v>807</v>
      </c>
      <c r="Q336" s="19" t="s">
        <v>25</v>
      </c>
      <c r="R336" s="19" t="s">
        <v>138</v>
      </c>
      <c r="W336" s="20">
        <v>16</v>
      </c>
      <c r="X336" s="65" t="s">
        <v>806</v>
      </c>
      <c r="Z336" t="s">
        <v>22</v>
      </c>
      <c r="AB336" t="s">
        <v>178</v>
      </c>
      <c r="AC336" t="s">
        <v>856</v>
      </c>
      <c r="AD336" s="2" t="s">
        <v>180</v>
      </c>
    </row>
    <row r="337" spans="1:30" hidden="1" x14ac:dyDescent="0.25">
      <c r="A337" s="2">
        <v>59</v>
      </c>
      <c r="B337" t="s">
        <v>873</v>
      </c>
      <c r="C337">
        <v>12</v>
      </c>
      <c r="D337">
        <v>100</v>
      </c>
      <c r="E337">
        <v>150</v>
      </c>
      <c r="F337" t="s">
        <v>172</v>
      </c>
      <c r="G337" s="2" t="s">
        <v>156</v>
      </c>
      <c r="H337">
        <v>1</v>
      </c>
      <c r="I337">
        <v>1.41</v>
      </c>
      <c r="J337" s="2" t="s">
        <v>170</v>
      </c>
      <c r="K337" s="2" t="s">
        <v>74</v>
      </c>
      <c r="M337" t="s">
        <v>1132</v>
      </c>
      <c r="P337" s="19" t="s">
        <v>807</v>
      </c>
      <c r="Q337" s="19" t="s">
        <v>25</v>
      </c>
      <c r="R337" s="19" t="s">
        <v>138</v>
      </c>
      <c r="W337" s="20">
        <v>16</v>
      </c>
      <c r="X337" s="65" t="s">
        <v>806</v>
      </c>
      <c r="Z337" t="s">
        <v>22</v>
      </c>
      <c r="AB337" t="s">
        <v>178</v>
      </c>
      <c r="AC337" t="s">
        <v>856</v>
      </c>
      <c r="AD337" s="2" t="s">
        <v>180</v>
      </c>
    </row>
    <row r="338" spans="1:30" hidden="1" x14ac:dyDescent="0.25">
      <c r="A338" s="2">
        <v>60</v>
      </c>
      <c r="B338" t="s">
        <v>875</v>
      </c>
      <c r="C338">
        <v>12</v>
      </c>
      <c r="D338">
        <v>490</v>
      </c>
      <c r="E338">
        <v>1514</v>
      </c>
      <c r="F338" t="s">
        <v>172</v>
      </c>
      <c r="G338" s="2" t="s">
        <v>156</v>
      </c>
      <c r="H338">
        <v>1</v>
      </c>
      <c r="I338">
        <v>69.78</v>
      </c>
      <c r="J338" s="2" t="s">
        <v>170</v>
      </c>
      <c r="K338" s="2" t="s">
        <v>74</v>
      </c>
      <c r="M338" t="s">
        <v>1132</v>
      </c>
      <c r="P338" s="19" t="s">
        <v>807</v>
      </c>
      <c r="Q338" s="19" t="s">
        <v>27</v>
      </c>
      <c r="R338" s="19" t="s">
        <v>138</v>
      </c>
      <c r="W338" s="20">
        <v>16</v>
      </c>
      <c r="X338" s="65" t="s">
        <v>806</v>
      </c>
      <c r="Z338" t="s">
        <v>22</v>
      </c>
      <c r="AB338" t="s">
        <v>178</v>
      </c>
      <c r="AC338" t="s">
        <v>856</v>
      </c>
      <c r="AD338" s="2" t="s">
        <v>180</v>
      </c>
    </row>
    <row r="339" spans="1:30" hidden="1" x14ac:dyDescent="0.25">
      <c r="A339" s="2">
        <v>61</v>
      </c>
      <c r="B339" t="s">
        <v>876</v>
      </c>
      <c r="C339">
        <v>12</v>
      </c>
      <c r="D339">
        <v>130</v>
      </c>
      <c r="E339">
        <v>1458</v>
      </c>
      <c r="F339" t="s">
        <v>172</v>
      </c>
      <c r="G339" s="2" t="s">
        <v>156</v>
      </c>
      <c r="H339">
        <v>1</v>
      </c>
      <c r="I339">
        <v>17.84</v>
      </c>
      <c r="J339" s="2" t="s">
        <v>170</v>
      </c>
      <c r="K339" s="2" t="s">
        <v>74</v>
      </c>
      <c r="M339" t="s">
        <v>1132</v>
      </c>
      <c r="P339" s="19" t="s">
        <v>807</v>
      </c>
      <c r="Q339" s="19" t="s">
        <v>25</v>
      </c>
      <c r="R339" s="19" t="s">
        <v>138</v>
      </c>
      <c r="W339" s="20">
        <v>16</v>
      </c>
      <c r="X339" s="65" t="s">
        <v>806</v>
      </c>
      <c r="Z339" t="s">
        <v>22</v>
      </c>
      <c r="AB339" t="s">
        <v>178</v>
      </c>
      <c r="AC339" t="s">
        <v>856</v>
      </c>
      <c r="AD339" s="2" t="s">
        <v>180</v>
      </c>
    </row>
    <row r="340" spans="1:30" hidden="1" x14ac:dyDescent="0.25">
      <c r="A340" s="2">
        <v>62</v>
      </c>
      <c r="B340" t="s">
        <v>878</v>
      </c>
      <c r="C340">
        <v>12</v>
      </c>
      <c r="D340">
        <v>130</v>
      </c>
      <c r="E340">
        <v>263</v>
      </c>
      <c r="F340" t="s">
        <v>172</v>
      </c>
      <c r="G340" s="2" t="s">
        <v>156</v>
      </c>
      <c r="H340">
        <v>1</v>
      </c>
      <c r="I340">
        <v>3.21</v>
      </c>
      <c r="J340" s="2" t="s">
        <v>170</v>
      </c>
      <c r="K340" s="2" t="s">
        <v>74</v>
      </c>
      <c r="M340" t="s">
        <v>1132</v>
      </c>
      <c r="P340" s="19" t="s">
        <v>807</v>
      </c>
      <c r="Q340" s="19" t="s">
        <v>25</v>
      </c>
      <c r="R340" s="19" t="s">
        <v>138</v>
      </c>
      <c r="W340" s="20">
        <v>16</v>
      </c>
      <c r="X340" s="65" t="s">
        <v>806</v>
      </c>
      <c r="Z340" t="s">
        <v>22</v>
      </c>
      <c r="AB340" t="s">
        <v>178</v>
      </c>
      <c r="AC340" t="s">
        <v>856</v>
      </c>
      <c r="AD340" s="2" t="s">
        <v>180</v>
      </c>
    </row>
    <row r="341" spans="1:30" hidden="1" x14ac:dyDescent="0.25">
      <c r="A341" s="2">
        <v>63</v>
      </c>
      <c r="B341" t="s">
        <v>880</v>
      </c>
      <c r="C341">
        <v>12</v>
      </c>
      <c r="D341">
        <v>130</v>
      </c>
      <c r="E341">
        <v>1458</v>
      </c>
      <c r="F341" t="s">
        <v>172</v>
      </c>
      <c r="G341" s="2" t="s">
        <v>156</v>
      </c>
      <c r="H341">
        <v>1</v>
      </c>
      <c r="I341">
        <v>17.84</v>
      </c>
      <c r="J341" s="2" t="s">
        <v>170</v>
      </c>
      <c r="K341" s="2" t="s">
        <v>74</v>
      </c>
      <c r="M341" t="s">
        <v>1132</v>
      </c>
      <c r="P341" s="19" t="s">
        <v>807</v>
      </c>
      <c r="Q341" s="19" t="s">
        <v>25</v>
      </c>
      <c r="R341" s="19" t="s">
        <v>138</v>
      </c>
      <c r="W341" s="20">
        <v>16</v>
      </c>
      <c r="X341" s="65" t="s">
        <v>806</v>
      </c>
      <c r="Z341" t="s">
        <v>22</v>
      </c>
      <c r="AB341" t="s">
        <v>178</v>
      </c>
      <c r="AC341" t="s">
        <v>856</v>
      </c>
      <c r="AD341" s="2" t="s">
        <v>180</v>
      </c>
    </row>
    <row r="342" spans="1:30" hidden="1" x14ac:dyDescent="0.25">
      <c r="A342" s="2">
        <v>64</v>
      </c>
      <c r="B342" t="s">
        <v>881</v>
      </c>
      <c r="C342">
        <v>12</v>
      </c>
      <c r="D342">
        <v>130</v>
      </c>
      <c r="E342">
        <v>263</v>
      </c>
      <c r="F342" t="s">
        <v>172</v>
      </c>
      <c r="G342" s="2" t="s">
        <v>156</v>
      </c>
      <c r="H342">
        <v>1</v>
      </c>
      <c r="I342">
        <v>3.21</v>
      </c>
      <c r="J342" s="2" t="s">
        <v>170</v>
      </c>
      <c r="K342" s="2" t="s">
        <v>74</v>
      </c>
      <c r="M342" t="s">
        <v>1132</v>
      </c>
      <c r="P342" s="19" t="s">
        <v>807</v>
      </c>
      <c r="Q342" s="19" t="s">
        <v>25</v>
      </c>
      <c r="R342" s="19" t="s">
        <v>138</v>
      </c>
      <c r="W342" s="20">
        <v>16</v>
      </c>
      <c r="X342" s="65" t="s">
        <v>806</v>
      </c>
      <c r="Z342" t="s">
        <v>22</v>
      </c>
      <c r="AB342" t="s">
        <v>178</v>
      </c>
      <c r="AC342" t="s">
        <v>856</v>
      </c>
      <c r="AD342" s="2" t="s">
        <v>180</v>
      </c>
    </row>
    <row r="343" spans="1:30" hidden="1" x14ac:dyDescent="0.25">
      <c r="A343" s="2">
        <v>65</v>
      </c>
      <c r="B343" t="s">
        <v>882</v>
      </c>
      <c r="C343">
        <v>12</v>
      </c>
      <c r="D343">
        <v>135</v>
      </c>
      <c r="E343">
        <v>488</v>
      </c>
      <c r="F343" t="s">
        <v>172</v>
      </c>
      <c r="G343" s="2" t="s">
        <v>156</v>
      </c>
      <c r="H343">
        <v>4</v>
      </c>
      <c r="I343">
        <v>24.76</v>
      </c>
      <c r="J343" s="2" t="s">
        <v>170</v>
      </c>
      <c r="K343" s="2" t="s">
        <v>74</v>
      </c>
      <c r="M343" t="s">
        <v>1132</v>
      </c>
      <c r="P343" s="19" t="s">
        <v>807</v>
      </c>
      <c r="Q343" s="19" t="s">
        <v>25</v>
      </c>
      <c r="R343" s="19" t="s">
        <v>138</v>
      </c>
      <c r="W343" s="20">
        <v>16</v>
      </c>
      <c r="X343" s="65" t="s">
        <v>806</v>
      </c>
      <c r="Z343" t="s">
        <v>22</v>
      </c>
      <c r="AB343" t="s">
        <v>178</v>
      </c>
      <c r="AC343" t="s">
        <v>883</v>
      </c>
      <c r="AD343" s="2" t="s">
        <v>180</v>
      </c>
    </row>
    <row r="344" spans="1:30" hidden="1" x14ac:dyDescent="0.25">
      <c r="A344" s="2">
        <v>66</v>
      </c>
      <c r="B344" t="s">
        <v>884</v>
      </c>
      <c r="C344">
        <v>12</v>
      </c>
      <c r="D344">
        <v>490</v>
      </c>
      <c r="E344">
        <v>1514</v>
      </c>
      <c r="F344" t="s">
        <v>172</v>
      </c>
      <c r="G344" s="2" t="s">
        <v>156</v>
      </c>
      <c r="H344">
        <v>1</v>
      </c>
      <c r="I344">
        <v>69.78</v>
      </c>
      <c r="J344" s="2" t="s">
        <v>170</v>
      </c>
      <c r="K344" s="2" t="s">
        <v>74</v>
      </c>
      <c r="M344" t="s">
        <v>1132</v>
      </c>
      <c r="P344" s="19" t="s">
        <v>807</v>
      </c>
      <c r="Q344" s="19" t="s">
        <v>27</v>
      </c>
      <c r="R344" s="19" t="s">
        <v>138</v>
      </c>
      <c r="W344" s="20">
        <v>16</v>
      </c>
      <c r="X344" s="65" t="s">
        <v>806</v>
      </c>
      <c r="Z344" t="s">
        <v>22</v>
      </c>
      <c r="AB344" t="s">
        <v>178</v>
      </c>
      <c r="AC344" t="s">
        <v>883</v>
      </c>
      <c r="AD344" s="2" t="s">
        <v>180</v>
      </c>
    </row>
    <row r="345" spans="1:30" hidden="1" x14ac:dyDescent="0.25">
      <c r="A345" s="2">
        <v>67</v>
      </c>
      <c r="B345" t="s">
        <v>885</v>
      </c>
      <c r="C345">
        <v>12</v>
      </c>
      <c r="D345">
        <v>490</v>
      </c>
      <c r="E345">
        <v>6464</v>
      </c>
      <c r="F345" t="s">
        <v>172</v>
      </c>
      <c r="G345" s="2" t="s">
        <v>156</v>
      </c>
      <c r="H345">
        <v>1</v>
      </c>
      <c r="I345">
        <v>298.16000000000003</v>
      </c>
      <c r="J345" s="2" t="s">
        <v>170</v>
      </c>
      <c r="K345" s="2" t="s">
        <v>74</v>
      </c>
      <c r="M345" t="s">
        <v>1132</v>
      </c>
      <c r="P345" s="19" t="s">
        <v>807</v>
      </c>
      <c r="Q345" s="19" t="s">
        <v>27</v>
      </c>
      <c r="R345" s="19" t="s">
        <v>138</v>
      </c>
      <c r="W345" s="20">
        <v>16</v>
      </c>
      <c r="X345" s="65" t="s">
        <v>806</v>
      </c>
      <c r="Z345" t="s">
        <v>22</v>
      </c>
      <c r="AB345" t="s">
        <v>178</v>
      </c>
      <c r="AC345" t="s">
        <v>883</v>
      </c>
      <c r="AD345" s="2" t="s">
        <v>180</v>
      </c>
    </row>
    <row r="346" spans="1:30" hidden="1" x14ac:dyDescent="0.25">
      <c r="A346" s="2">
        <v>68</v>
      </c>
      <c r="B346" t="s">
        <v>836</v>
      </c>
      <c r="C346">
        <v>12</v>
      </c>
      <c r="D346">
        <v>135</v>
      </c>
      <c r="E346">
        <v>488</v>
      </c>
      <c r="F346" t="s">
        <v>172</v>
      </c>
      <c r="G346" s="2" t="s">
        <v>156</v>
      </c>
      <c r="H346">
        <v>6</v>
      </c>
      <c r="I346">
        <v>37.14</v>
      </c>
      <c r="J346" s="2" t="s">
        <v>170</v>
      </c>
      <c r="K346" s="2" t="s">
        <v>74</v>
      </c>
      <c r="M346" t="s">
        <v>1132</v>
      </c>
      <c r="P346" s="19" t="s">
        <v>807</v>
      </c>
      <c r="Q346" s="19" t="s">
        <v>25</v>
      </c>
      <c r="R346" s="19" t="s">
        <v>138</v>
      </c>
      <c r="W346" s="20">
        <v>16</v>
      </c>
      <c r="X346" s="65" t="s">
        <v>806</v>
      </c>
      <c r="Z346" t="s">
        <v>22</v>
      </c>
      <c r="AB346" t="s">
        <v>178</v>
      </c>
      <c r="AC346" t="s">
        <v>883</v>
      </c>
      <c r="AD346" s="2" t="s">
        <v>180</v>
      </c>
    </row>
    <row r="347" spans="1:30" hidden="1" x14ac:dyDescent="0.25">
      <c r="A347" s="2">
        <v>69</v>
      </c>
      <c r="B347" t="s">
        <v>886</v>
      </c>
      <c r="C347">
        <v>12</v>
      </c>
      <c r="D347">
        <v>490</v>
      </c>
      <c r="E347">
        <v>1514</v>
      </c>
      <c r="F347" t="s">
        <v>172</v>
      </c>
      <c r="G347" s="2" t="s">
        <v>156</v>
      </c>
      <c r="H347">
        <v>1</v>
      </c>
      <c r="I347">
        <v>69.78</v>
      </c>
      <c r="J347" s="2" t="s">
        <v>170</v>
      </c>
      <c r="K347" s="2" t="s">
        <v>74</v>
      </c>
      <c r="M347" t="s">
        <v>1132</v>
      </c>
      <c r="P347" s="19" t="s">
        <v>807</v>
      </c>
      <c r="Q347" s="19" t="s">
        <v>27</v>
      </c>
      <c r="R347" s="19" t="s">
        <v>138</v>
      </c>
      <c r="W347" s="20">
        <v>16</v>
      </c>
      <c r="X347" s="65" t="s">
        <v>806</v>
      </c>
      <c r="Z347" t="s">
        <v>22</v>
      </c>
      <c r="AB347" t="s">
        <v>178</v>
      </c>
      <c r="AC347" t="s">
        <v>883</v>
      </c>
      <c r="AD347" s="2" t="s">
        <v>180</v>
      </c>
    </row>
    <row r="348" spans="1:30" hidden="1" x14ac:dyDescent="0.25">
      <c r="A348" s="2">
        <v>70</v>
      </c>
      <c r="B348" t="s">
        <v>887</v>
      </c>
      <c r="C348">
        <v>12</v>
      </c>
      <c r="D348">
        <v>490</v>
      </c>
      <c r="E348">
        <v>6464</v>
      </c>
      <c r="F348" t="s">
        <v>172</v>
      </c>
      <c r="G348" s="2" t="s">
        <v>156</v>
      </c>
      <c r="H348">
        <v>1</v>
      </c>
      <c r="I348">
        <v>298.26</v>
      </c>
      <c r="J348" s="2" t="s">
        <v>170</v>
      </c>
      <c r="K348" s="2" t="s">
        <v>74</v>
      </c>
      <c r="M348" t="s">
        <v>1132</v>
      </c>
      <c r="P348" s="19" t="s">
        <v>807</v>
      </c>
      <c r="Q348" s="19" t="s">
        <v>27</v>
      </c>
      <c r="R348" s="19" t="s">
        <v>138</v>
      </c>
      <c r="W348" s="20">
        <v>16</v>
      </c>
      <c r="X348" s="65" t="s">
        <v>806</v>
      </c>
      <c r="Z348" t="s">
        <v>22</v>
      </c>
      <c r="AB348" t="s">
        <v>178</v>
      </c>
      <c r="AC348" t="s">
        <v>883</v>
      </c>
      <c r="AD348" s="2" t="s">
        <v>180</v>
      </c>
    </row>
    <row r="349" spans="1:30" hidden="1" x14ac:dyDescent="0.25">
      <c r="A349" s="2">
        <v>71</v>
      </c>
      <c r="B349" t="s">
        <v>888</v>
      </c>
      <c r="C349">
        <v>12</v>
      </c>
      <c r="D349">
        <v>490</v>
      </c>
      <c r="E349">
        <v>6464</v>
      </c>
      <c r="F349" t="s">
        <v>172</v>
      </c>
      <c r="G349" s="2" t="s">
        <v>156</v>
      </c>
      <c r="H349">
        <v>1</v>
      </c>
      <c r="I349">
        <v>298.26</v>
      </c>
      <c r="J349" s="2" t="s">
        <v>170</v>
      </c>
      <c r="K349" s="2" t="s">
        <v>74</v>
      </c>
      <c r="M349" t="s">
        <v>1132</v>
      </c>
      <c r="P349" s="19" t="s">
        <v>807</v>
      </c>
      <c r="Q349" s="19" t="s">
        <v>27</v>
      </c>
      <c r="R349" s="19" t="s">
        <v>138</v>
      </c>
      <c r="W349" s="20">
        <v>16</v>
      </c>
      <c r="X349" s="65" t="s">
        <v>806</v>
      </c>
      <c r="Z349" t="s">
        <v>22</v>
      </c>
      <c r="AB349" t="s">
        <v>178</v>
      </c>
      <c r="AC349" t="s">
        <v>883</v>
      </c>
      <c r="AD349" s="2" t="s">
        <v>180</v>
      </c>
    </row>
    <row r="350" spans="1:30" hidden="1" x14ac:dyDescent="0.25">
      <c r="A350" s="2">
        <v>72</v>
      </c>
      <c r="B350" t="s">
        <v>849</v>
      </c>
      <c r="C350">
        <v>12</v>
      </c>
      <c r="D350">
        <v>120</v>
      </c>
      <c r="E350">
        <v>129</v>
      </c>
      <c r="F350" t="s">
        <v>172</v>
      </c>
      <c r="G350" s="2" t="s">
        <v>156</v>
      </c>
      <c r="H350">
        <v>3</v>
      </c>
      <c r="I350">
        <v>3.97</v>
      </c>
      <c r="J350" s="2" t="s">
        <v>170</v>
      </c>
      <c r="K350" s="2" t="s">
        <v>74</v>
      </c>
      <c r="M350" t="s">
        <v>1132</v>
      </c>
      <c r="P350" s="19" t="s">
        <v>807</v>
      </c>
      <c r="Q350" s="19" t="s">
        <v>25</v>
      </c>
      <c r="R350" s="19" t="s">
        <v>138</v>
      </c>
      <c r="W350" s="20">
        <v>16</v>
      </c>
      <c r="X350" s="65" t="s">
        <v>806</v>
      </c>
      <c r="Z350" t="s">
        <v>22</v>
      </c>
      <c r="AB350" t="s">
        <v>178</v>
      </c>
      <c r="AC350" t="s">
        <v>883</v>
      </c>
      <c r="AD350" s="2" t="s">
        <v>180</v>
      </c>
    </row>
    <row r="351" spans="1:30" hidden="1" x14ac:dyDescent="0.25">
      <c r="A351" s="2">
        <v>73</v>
      </c>
      <c r="B351" t="s">
        <v>889</v>
      </c>
      <c r="C351">
        <v>12</v>
      </c>
      <c r="D351">
        <v>135</v>
      </c>
      <c r="E351">
        <v>488</v>
      </c>
      <c r="F351" t="s">
        <v>172</v>
      </c>
      <c r="G351" s="2" t="s">
        <v>156</v>
      </c>
      <c r="H351">
        <v>4</v>
      </c>
      <c r="I351">
        <v>24.76</v>
      </c>
      <c r="J351" s="2" t="s">
        <v>170</v>
      </c>
      <c r="K351" s="2" t="s">
        <v>74</v>
      </c>
      <c r="M351" t="s">
        <v>1132</v>
      </c>
      <c r="P351" s="19" t="s">
        <v>807</v>
      </c>
      <c r="Q351" s="19" t="s">
        <v>25</v>
      </c>
      <c r="R351" s="19" t="s">
        <v>138</v>
      </c>
      <c r="W351" s="20">
        <v>16</v>
      </c>
      <c r="X351" s="65" t="s">
        <v>806</v>
      </c>
      <c r="Z351" t="s">
        <v>22</v>
      </c>
      <c r="AB351" t="s">
        <v>178</v>
      </c>
      <c r="AC351" t="s">
        <v>883</v>
      </c>
      <c r="AD351" s="2" t="s">
        <v>180</v>
      </c>
    </row>
    <row r="352" spans="1:30" hidden="1" x14ac:dyDescent="0.25">
      <c r="A352" s="2">
        <v>74</v>
      </c>
      <c r="B352" t="s">
        <v>890</v>
      </c>
      <c r="C352">
        <v>12</v>
      </c>
      <c r="D352">
        <v>135</v>
      </c>
      <c r="E352">
        <v>488</v>
      </c>
      <c r="F352" t="s">
        <v>172</v>
      </c>
      <c r="G352" s="2" t="s">
        <v>156</v>
      </c>
      <c r="H352">
        <v>4</v>
      </c>
      <c r="I352">
        <v>24.76</v>
      </c>
      <c r="J352" s="2" t="s">
        <v>170</v>
      </c>
      <c r="K352" s="2" t="s">
        <v>74</v>
      </c>
      <c r="M352" t="s">
        <v>1132</v>
      </c>
      <c r="P352" s="19" t="s">
        <v>807</v>
      </c>
      <c r="Q352" s="19" t="s">
        <v>25</v>
      </c>
      <c r="R352" s="19" t="s">
        <v>138</v>
      </c>
      <c r="W352" s="20">
        <v>16</v>
      </c>
      <c r="X352" s="65" t="s">
        <v>806</v>
      </c>
      <c r="Z352" t="s">
        <v>22</v>
      </c>
      <c r="AB352" t="s">
        <v>178</v>
      </c>
      <c r="AC352" t="s">
        <v>883</v>
      </c>
      <c r="AD352" s="2" t="s">
        <v>180</v>
      </c>
    </row>
    <row r="353" spans="1:30" hidden="1" x14ac:dyDescent="0.25">
      <c r="A353" s="2">
        <v>75</v>
      </c>
      <c r="B353" t="s">
        <v>829</v>
      </c>
      <c r="C353">
        <v>12</v>
      </c>
      <c r="D353">
        <v>135</v>
      </c>
      <c r="E353">
        <v>488</v>
      </c>
      <c r="F353" t="s">
        <v>172</v>
      </c>
      <c r="G353" s="2" t="s">
        <v>156</v>
      </c>
      <c r="H353">
        <v>2</v>
      </c>
      <c r="I353">
        <v>12.38</v>
      </c>
      <c r="J353" s="2" t="s">
        <v>170</v>
      </c>
      <c r="K353" s="2" t="s">
        <v>74</v>
      </c>
      <c r="M353" t="s">
        <v>1132</v>
      </c>
      <c r="P353" s="19" t="s">
        <v>807</v>
      </c>
      <c r="Q353" s="19" t="s">
        <v>25</v>
      </c>
      <c r="R353" s="19" t="s">
        <v>138</v>
      </c>
      <c r="W353" s="20">
        <v>16</v>
      </c>
      <c r="X353" s="65" t="s">
        <v>806</v>
      </c>
      <c r="Z353" t="s">
        <v>22</v>
      </c>
      <c r="AB353" t="s">
        <v>178</v>
      </c>
      <c r="AC353" t="s">
        <v>883</v>
      </c>
      <c r="AD353" s="2" t="s">
        <v>180</v>
      </c>
    </row>
    <row r="354" spans="1:30" hidden="1" x14ac:dyDescent="0.25">
      <c r="A354" s="2">
        <v>76</v>
      </c>
      <c r="B354" t="s">
        <v>891</v>
      </c>
      <c r="C354">
        <v>12</v>
      </c>
      <c r="D354">
        <v>490</v>
      </c>
      <c r="E354">
        <v>6464</v>
      </c>
      <c r="F354" t="s">
        <v>172</v>
      </c>
      <c r="G354" s="2" t="s">
        <v>156</v>
      </c>
      <c r="H354">
        <v>1</v>
      </c>
      <c r="I354">
        <v>298.16000000000003</v>
      </c>
      <c r="J354" s="2" t="s">
        <v>170</v>
      </c>
      <c r="K354" s="2" t="s">
        <v>74</v>
      </c>
      <c r="M354" t="s">
        <v>1132</v>
      </c>
      <c r="P354" s="19" t="s">
        <v>807</v>
      </c>
      <c r="Q354" s="19" t="s">
        <v>27</v>
      </c>
      <c r="R354" s="19" t="s">
        <v>138</v>
      </c>
      <c r="W354" s="20">
        <v>16</v>
      </c>
      <c r="X354" s="65" t="s">
        <v>806</v>
      </c>
      <c r="Z354" t="s">
        <v>22</v>
      </c>
      <c r="AB354" t="s">
        <v>178</v>
      </c>
      <c r="AC354" t="s">
        <v>883</v>
      </c>
      <c r="AD354" s="2" t="s">
        <v>180</v>
      </c>
    </row>
    <row r="355" spans="1:30" hidden="1" x14ac:dyDescent="0.25">
      <c r="A355" s="2">
        <v>77</v>
      </c>
      <c r="B355" t="s">
        <v>892</v>
      </c>
      <c r="C355">
        <v>12</v>
      </c>
      <c r="D355">
        <v>135</v>
      </c>
      <c r="E355">
        <v>488</v>
      </c>
      <c r="F355" t="s">
        <v>172</v>
      </c>
      <c r="G355" s="2" t="s">
        <v>156</v>
      </c>
      <c r="H355">
        <v>7</v>
      </c>
      <c r="I355">
        <v>43.33</v>
      </c>
      <c r="J355" s="2" t="s">
        <v>170</v>
      </c>
      <c r="K355" s="2" t="s">
        <v>74</v>
      </c>
      <c r="M355" t="s">
        <v>1132</v>
      </c>
      <c r="P355" s="19" t="s">
        <v>807</v>
      </c>
      <c r="Q355" s="19" t="s">
        <v>25</v>
      </c>
      <c r="R355" s="19" t="s">
        <v>138</v>
      </c>
      <c r="W355" s="20">
        <v>16</v>
      </c>
      <c r="X355" s="65" t="s">
        <v>806</v>
      </c>
      <c r="Z355" t="s">
        <v>22</v>
      </c>
      <c r="AB355" t="s">
        <v>178</v>
      </c>
      <c r="AC355" t="s">
        <v>883</v>
      </c>
      <c r="AD355" s="2" t="s">
        <v>180</v>
      </c>
    </row>
    <row r="356" spans="1:30" hidden="1" x14ac:dyDescent="0.25">
      <c r="A356" s="2">
        <v>78</v>
      </c>
      <c r="B356" t="s">
        <v>893</v>
      </c>
      <c r="C356">
        <v>12</v>
      </c>
      <c r="D356">
        <v>135</v>
      </c>
      <c r="E356">
        <v>488</v>
      </c>
      <c r="F356" t="s">
        <v>172</v>
      </c>
      <c r="G356" s="2" t="s">
        <v>156</v>
      </c>
      <c r="H356">
        <v>8</v>
      </c>
      <c r="I356">
        <v>49.52</v>
      </c>
      <c r="J356" s="2" t="s">
        <v>170</v>
      </c>
      <c r="K356" s="2" t="s">
        <v>74</v>
      </c>
      <c r="M356" t="s">
        <v>1132</v>
      </c>
      <c r="P356" s="19" t="s">
        <v>807</v>
      </c>
      <c r="Q356" s="19" t="s">
        <v>25</v>
      </c>
      <c r="R356" s="19" t="s">
        <v>138</v>
      </c>
      <c r="W356" s="20">
        <v>16</v>
      </c>
      <c r="X356" s="65" t="s">
        <v>806</v>
      </c>
      <c r="Z356" t="s">
        <v>22</v>
      </c>
      <c r="AB356" t="s">
        <v>178</v>
      </c>
      <c r="AC356" t="s">
        <v>883</v>
      </c>
      <c r="AD356" s="2" t="s">
        <v>180</v>
      </c>
    </row>
    <row r="357" spans="1:30" hidden="1" x14ac:dyDescent="0.25">
      <c r="A357" s="2">
        <v>79</v>
      </c>
      <c r="B357" t="s">
        <v>894</v>
      </c>
      <c r="C357">
        <v>12</v>
      </c>
      <c r="D357">
        <v>135</v>
      </c>
      <c r="E357">
        <v>488</v>
      </c>
      <c r="F357" t="s">
        <v>172</v>
      </c>
      <c r="G357" s="2" t="s">
        <v>156</v>
      </c>
      <c r="H357">
        <v>17</v>
      </c>
      <c r="I357">
        <v>105.23</v>
      </c>
      <c r="J357" s="2" t="s">
        <v>170</v>
      </c>
      <c r="K357" s="2" t="s">
        <v>74</v>
      </c>
      <c r="M357" t="s">
        <v>1132</v>
      </c>
      <c r="P357" s="19" t="s">
        <v>807</v>
      </c>
      <c r="Q357" s="19" t="s">
        <v>25</v>
      </c>
      <c r="R357" s="19" t="s">
        <v>138</v>
      </c>
      <c r="W357" s="20">
        <v>16</v>
      </c>
      <c r="X357" s="65" t="s">
        <v>806</v>
      </c>
      <c r="Z357" t="s">
        <v>22</v>
      </c>
      <c r="AB357" t="s">
        <v>178</v>
      </c>
      <c r="AC357" t="s">
        <v>883</v>
      </c>
      <c r="AD357" s="2" t="s">
        <v>180</v>
      </c>
    </row>
    <row r="358" spans="1:30" hidden="1" x14ac:dyDescent="0.25">
      <c r="A358" s="2">
        <v>80</v>
      </c>
      <c r="B358" t="s">
        <v>895</v>
      </c>
      <c r="C358">
        <v>12</v>
      </c>
      <c r="D358">
        <v>135</v>
      </c>
      <c r="E358">
        <v>488</v>
      </c>
      <c r="F358" t="s">
        <v>172</v>
      </c>
      <c r="G358" s="2" t="s">
        <v>156</v>
      </c>
      <c r="H358">
        <v>17</v>
      </c>
      <c r="I358">
        <v>105.23</v>
      </c>
      <c r="J358" s="2" t="s">
        <v>170</v>
      </c>
      <c r="K358" s="2" t="s">
        <v>74</v>
      </c>
      <c r="M358" t="s">
        <v>1132</v>
      </c>
      <c r="P358" s="19" t="s">
        <v>807</v>
      </c>
      <c r="Q358" s="19" t="s">
        <v>25</v>
      </c>
      <c r="R358" s="19" t="s">
        <v>138</v>
      </c>
      <c r="W358" s="20">
        <v>16</v>
      </c>
      <c r="X358" s="65" t="s">
        <v>806</v>
      </c>
      <c r="Z358" t="s">
        <v>22</v>
      </c>
      <c r="AB358" t="s">
        <v>178</v>
      </c>
      <c r="AC358" t="s">
        <v>883</v>
      </c>
      <c r="AD358" s="2" t="s">
        <v>180</v>
      </c>
    </row>
    <row r="359" spans="1:30" hidden="1" x14ac:dyDescent="0.25">
      <c r="A359" s="2">
        <v>81</v>
      </c>
      <c r="B359" t="s">
        <v>896</v>
      </c>
      <c r="C359">
        <v>12</v>
      </c>
      <c r="D359">
        <v>135</v>
      </c>
      <c r="E359">
        <v>488</v>
      </c>
      <c r="F359" t="s">
        <v>172</v>
      </c>
      <c r="G359" s="2" t="s">
        <v>156</v>
      </c>
      <c r="H359">
        <v>1</v>
      </c>
      <c r="I359">
        <v>6.19</v>
      </c>
      <c r="J359" s="2" t="s">
        <v>170</v>
      </c>
      <c r="K359" s="2" t="s">
        <v>74</v>
      </c>
      <c r="M359" t="s">
        <v>1132</v>
      </c>
      <c r="P359" s="19" t="s">
        <v>807</v>
      </c>
      <c r="Q359" s="19" t="s">
        <v>25</v>
      </c>
      <c r="R359" s="19" t="s">
        <v>138</v>
      </c>
      <c r="W359" s="20">
        <v>16</v>
      </c>
      <c r="X359" s="65" t="s">
        <v>806</v>
      </c>
      <c r="Z359" t="s">
        <v>22</v>
      </c>
      <c r="AB359" t="s">
        <v>178</v>
      </c>
      <c r="AC359" t="s">
        <v>883</v>
      </c>
      <c r="AD359" s="2" t="s">
        <v>180</v>
      </c>
    </row>
    <row r="360" spans="1:30" hidden="1" x14ac:dyDescent="0.25">
      <c r="A360" s="2">
        <v>82</v>
      </c>
      <c r="B360" t="s">
        <v>860</v>
      </c>
      <c r="C360">
        <v>12</v>
      </c>
      <c r="D360">
        <v>135</v>
      </c>
      <c r="E360">
        <v>488</v>
      </c>
      <c r="F360" t="s">
        <v>172</v>
      </c>
      <c r="G360" s="2" t="s">
        <v>156</v>
      </c>
      <c r="H360">
        <v>4</v>
      </c>
      <c r="I360">
        <v>24.76</v>
      </c>
      <c r="J360" s="2" t="s">
        <v>170</v>
      </c>
      <c r="K360" s="2" t="s">
        <v>74</v>
      </c>
      <c r="M360" t="s">
        <v>1132</v>
      </c>
      <c r="P360" s="19" t="s">
        <v>807</v>
      </c>
      <c r="Q360" s="19" t="s">
        <v>25</v>
      </c>
      <c r="R360" s="19" t="s">
        <v>138</v>
      </c>
      <c r="W360" s="20">
        <v>16</v>
      </c>
      <c r="X360" s="65" t="s">
        <v>806</v>
      </c>
      <c r="Z360" t="s">
        <v>22</v>
      </c>
      <c r="AB360" t="s">
        <v>178</v>
      </c>
      <c r="AC360" t="s">
        <v>883</v>
      </c>
      <c r="AD360" s="2" t="s">
        <v>180</v>
      </c>
    </row>
    <row r="361" spans="1:30" hidden="1" x14ac:dyDescent="0.25">
      <c r="A361" s="2">
        <v>83</v>
      </c>
      <c r="B361" t="s">
        <v>897</v>
      </c>
      <c r="C361">
        <v>12</v>
      </c>
      <c r="D361">
        <v>490</v>
      </c>
      <c r="E361">
        <v>1514</v>
      </c>
      <c r="F361" t="s">
        <v>172</v>
      </c>
      <c r="G361" s="2" t="s">
        <v>156</v>
      </c>
      <c r="H361">
        <v>1</v>
      </c>
      <c r="I361">
        <v>69.78</v>
      </c>
      <c r="J361" s="2" t="s">
        <v>170</v>
      </c>
      <c r="K361" s="2" t="s">
        <v>74</v>
      </c>
      <c r="M361" t="s">
        <v>1132</v>
      </c>
      <c r="P361" s="19" t="s">
        <v>807</v>
      </c>
      <c r="Q361" s="19" t="s">
        <v>27</v>
      </c>
      <c r="R361" s="19" t="s">
        <v>138</v>
      </c>
      <c r="W361" s="20">
        <v>16</v>
      </c>
      <c r="X361" s="65" t="s">
        <v>806</v>
      </c>
      <c r="Z361" t="s">
        <v>22</v>
      </c>
      <c r="AB361" t="s">
        <v>178</v>
      </c>
      <c r="AC361" t="s">
        <v>883</v>
      </c>
      <c r="AD361" s="2" t="s">
        <v>180</v>
      </c>
    </row>
    <row r="362" spans="1:30" hidden="1" x14ac:dyDescent="0.25">
      <c r="A362" s="2">
        <v>84</v>
      </c>
      <c r="B362" t="s">
        <v>898</v>
      </c>
      <c r="C362">
        <v>12</v>
      </c>
      <c r="D362">
        <v>490</v>
      </c>
      <c r="E362">
        <v>1514</v>
      </c>
      <c r="F362" t="s">
        <v>172</v>
      </c>
      <c r="G362" s="2" t="s">
        <v>156</v>
      </c>
      <c r="H362">
        <v>1</v>
      </c>
      <c r="I362">
        <v>69.78</v>
      </c>
      <c r="J362" s="2" t="s">
        <v>170</v>
      </c>
      <c r="K362" s="2" t="s">
        <v>74</v>
      </c>
      <c r="M362" t="s">
        <v>1132</v>
      </c>
      <c r="P362" s="19" t="s">
        <v>807</v>
      </c>
      <c r="Q362" s="19" t="s">
        <v>27</v>
      </c>
      <c r="R362" s="19" t="s">
        <v>138</v>
      </c>
      <c r="W362" s="20">
        <v>16</v>
      </c>
      <c r="X362" s="65" t="s">
        <v>806</v>
      </c>
      <c r="Z362" t="s">
        <v>22</v>
      </c>
      <c r="AB362" t="s">
        <v>178</v>
      </c>
      <c r="AC362" t="s">
        <v>883</v>
      </c>
      <c r="AD362" s="2" t="s">
        <v>180</v>
      </c>
    </row>
    <row r="363" spans="1:30" hidden="1" x14ac:dyDescent="0.25">
      <c r="A363" s="2">
        <v>85</v>
      </c>
      <c r="B363" t="s">
        <v>899</v>
      </c>
      <c r="C363">
        <v>12</v>
      </c>
      <c r="D363">
        <v>490</v>
      </c>
      <c r="E363">
        <v>1514</v>
      </c>
      <c r="F363" t="s">
        <v>172</v>
      </c>
      <c r="G363" s="2" t="s">
        <v>156</v>
      </c>
      <c r="H363">
        <v>1</v>
      </c>
      <c r="I363">
        <v>69.78</v>
      </c>
      <c r="J363" s="2" t="s">
        <v>170</v>
      </c>
      <c r="K363" s="2" t="s">
        <v>74</v>
      </c>
      <c r="M363" t="s">
        <v>1132</v>
      </c>
      <c r="P363" s="19" t="s">
        <v>807</v>
      </c>
      <c r="Q363" s="19" t="s">
        <v>27</v>
      </c>
      <c r="R363" s="19" t="s">
        <v>138</v>
      </c>
      <c r="W363" s="20">
        <v>16</v>
      </c>
      <c r="X363" s="65" t="s">
        <v>806</v>
      </c>
      <c r="Z363" t="s">
        <v>22</v>
      </c>
      <c r="AB363" t="s">
        <v>178</v>
      </c>
      <c r="AC363" t="s">
        <v>883</v>
      </c>
      <c r="AD363" s="2" t="s">
        <v>180</v>
      </c>
    </row>
    <row r="364" spans="1:30" hidden="1" x14ac:dyDescent="0.25">
      <c r="A364" s="2">
        <v>86</v>
      </c>
      <c r="B364" t="s">
        <v>900</v>
      </c>
      <c r="C364">
        <v>12</v>
      </c>
      <c r="D364">
        <v>490</v>
      </c>
      <c r="E364">
        <v>1514</v>
      </c>
      <c r="F364" t="s">
        <v>172</v>
      </c>
      <c r="G364" s="2" t="s">
        <v>156</v>
      </c>
      <c r="H364">
        <v>1</v>
      </c>
      <c r="I364">
        <v>69.78</v>
      </c>
      <c r="J364" s="2" t="s">
        <v>170</v>
      </c>
      <c r="K364" s="2" t="s">
        <v>74</v>
      </c>
      <c r="M364" t="s">
        <v>1132</v>
      </c>
      <c r="P364" s="19" t="s">
        <v>807</v>
      </c>
      <c r="Q364" s="19" t="s">
        <v>27</v>
      </c>
      <c r="R364" s="19" t="s">
        <v>138</v>
      </c>
      <c r="W364" s="20">
        <v>16</v>
      </c>
      <c r="X364" s="65" t="s">
        <v>806</v>
      </c>
      <c r="Z364" t="s">
        <v>22</v>
      </c>
      <c r="AB364" t="s">
        <v>178</v>
      </c>
      <c r="AC364" t="s">
        <v>883</v>
      </c>
      <c r="AD364" s="2" t="s">
        <v>180</v>
      </c>
    </row>
    <row r="365" spans="1:30" hidden="1" x14ac:dyDescent="0.25">
      <c r="A365" s="2">
        <v>87</v>
      </c>
      <c r="B365" t="s">
        <v>901</v>
      </c>
      <c r="C365">
        <v>12</v>
      </c>
      <c r="D365">
        <v>490</v>
      </c>
      <c r="E365">
        <v>1514</v>
      </c>
      <c r="F365" t="s">
        <v>172</v>
      </c>
      <c r="G365" s="2" t="s">
        <v>156</v>
      </c>
      <c r="H365">
        <v>1</v>
      </c>
      <c r="I365">
        <v>69.78</v>
      </c>
      <c r="J365" s="2" t="s">
        <v>170</v>
      </c>
      <c r="K365" s="2" t="s">
        <v>74</v>
      </c>
      <c r="M365" t="s">
        <v>1132</v>
      </c>
      <c r="P365" s="19" t="s">
        <v>807</v>
      </c>
      <c r="Q365" s="19" t="s">
        <v>27</v>
      </c>
      <c r="R365" s="19" t="s">
        <v>138</v>
      </c>
      <c r="W365" s="20">
        <v>16</v>
      </c>
      <c r="X365" s="65" t="s">
        <v>806</v>
      </c>
      <c r="Z365" t="s">
        <v>22</v>
      </c>
      <c r="AB365" t="s">
        <v>178</v>
      </c>
      <c r="AC365" t="s">
        <v>883</v>
      </c>
      <c r="AD365" s="2" t="s">
        <v>180</v>
      </c>
    </row>
    <row r="366" spans="1:30" hidden="1" x14ac:dyDescent="0.25">
      <c r="A366" s="2">
        <v>88</v>
      </c>
      <c r="B366" t="s">
        <v>902</v>
      </c>
      <c r="C366">
        <v>12</v>
      </c>
      <c r="D366">
        <v>490</v>
      </c>
      <c r="E366">
        <v>1514</v>
      </c>
      <c r="F366" t="s">
        <v>172</v>
      </c>
      <c r="G366" s="2" t="s">
        <v>156</v>
      </c>
      <c r="H366">
        <v>1</v>
      </c>
      <c r="I366">
        <v>69.78</v>
      </c>
      <c r="J366" s="2" t="s">
        <v>170</v>
      </c>
      <c r="K366" s="2" t="s">
        <v>74</v>
      </c>
      <c r="M366" t="s">
        <v>1132</v>
      </c>
      <c r="P366" s="19" t="s">
        <v>807</v>
      </c>
      <c r="Q366" s="19" t="s">
        <v>27</v>
      </c>
      <c r="R366" s="19" t="s">
        <v>138</v>
      </c>
      <c r="W366" s="20">
        <v>16</v>
      </c>
      <c r="X366" s="65" t="s">
        <v>806</v>
      </c>
      <c r="Z366" t="s">
        <v>22</v>
      </c>
      <c r="AB366" t="s">
        <v>178</v>
      </c>
      <c r="AC366" t="s">
        <v>883</v>
      </c>
      <c r="AD366" s="2" t="s">
        <v>180</v>
      </c>
    </row>
    <row r="367" spans="1:30" hidden="1" x14ac:dyDescent="0.25">
      <c r="A367" s="2">
        <v>89</v>
      </c>
      <c r="B367" t="s">
        <v>815</v>
      </c>
      <c r="C367">
        <v>12</v>
      </c>
      <c r="D367">
        <v>135</v>
      </c>
      <c r="E367">
        <v>488</v>
      </c>
      <c r="F367" t="s">
        <v>172</v>
      </c>
      <c r="G367" s="2" t="s">
        <v>156</v>
      </c>
      <c r="H367">
        <v>6</v>
      </c>
      <c r="I367">
        <v>37.14</v>
      </c>
      <c r="J367" s="2" t="s">
        <v>170</v>
      </c>
      <c r="K367" s="2" t="s">
        <v>74</v>
      </c>
      <c r="M367" t="s">
        <v>1132</v>
      </c>
      <c r="P367" s="19" t="s">
        <v>807</v>
      </c>
      <c r="Q367" s="19" t="s">
        <v>25</v>
      </c>
      <c r="R367" s="19" t="s">
        <v>138</v>
      </c>
      <c r="W367" s="20">
        <v>16</v>
      </c>
      <c r="X367" s="65" t="s">
        <v>806</v>
      </c>
      <c r="Z367" t="s">
        <v>22</v>
      </c>
      <c r="AB367" t="s">
        <v>178</v>
      </c>
      <c r="AC367" t="s">
        <v>903</v>
      </c>
      <c r="AD367" s="2" t="s">
        <v>180</v>
      </c>
    </row>
    <row r="368" spans="1:30" hidden="1" x14ac:dyDescent="0.25">
      <c r="A368" s="2">
        <v>90</v>
      </c>
      <c r="B368" t="s">
        <v>817</v>
      </c>
      <c r="C368">
        <v>12</v>
      </c>
      <c r="D368">
        <v>135</v>
      </c>
      <c r="E368">
        <v>488</v>
      </c>
      <c r="F368" t="s">
        <v>172</v>
      </c>
      <c r="G368" s="2" t="s">
        <v>156</v>
      </c>
      <c r="H368">
        <v>4</v>
      </c>
      <c r="I368">
        <v>24.76</v>
      </c>
      <c r="J368" s="2" t="s">
        <v>170</v>
      </c>
      <c r="K368" s="2" t="s">
        <v>74</v>
      </c>
      <c r="M368" t="s">
        <v>1132</v>
      </c>
      <c r="P368" s="19" t="s">
        <v>807</v>
      </c>
      <c r="Q368" s="19" t="s">
        <v>25</v>
      </c>
      <c r="R368" s="19" t="s">
        <v>138</v>
      </c>
      <c r="W368" s="20">
        <v>16</v>
      </c>
      <c r="X368" s="65" t="s">
        <v>806</v>
      </c>
      <c r="Z368" t="s">
        <v>22</v>
      </c>
      <c r="AB368" t="s">
        <v>178</v>
      </c>
      <c r="AC368" t="s">
        <v>903</v>
      </c>
      <c r="AD368" s="2" t="s">
        <v>180</v>
      </c>
    </row>
    <row r="369" spans="1:30" hidden="1" x14ac:dyDescent="0.25">
      <c r="A369" s="2">
        <v>91</v>
      </c>
      <c r="B369" t="s">
        <v>802</v>
      </c>
      <c r="C369">
        <v>12</v>
      </c>
      <c r="D369">
        <v>135</v>
      </c>
      <c r="E369">
        <v>488</v>
      </c>
      <c r="F369" t="s">
        <v>172</v>
      </c>
      <c r="G369" s="2" t="s">
        <v>156</v>
      </c>
      <c r="H369">
        <v>5</v>
      </c>
      <c r="I369">
        <v>30.95</v>
      </c>
      <c r="J369" s="2" t="s">
        <v>170</v>
      </c>
      <c r="K369" s="2" t="s">
        <v>74</v>
      </c>
      <c r="M369" t="s">
        <v>1132</v>
      </c>
      <c r="P369" s="19" t="s">
        <v>807</v>
      </c>
      <c r="Q369" s="19" t="s">
        <v>25</v>
      </c>
      <c r="R369" s="19" t="s">
        <v>138</v>
      </c>
      <c r="W369" s="20">
        <v>16</v>
      </c>
      <c r="X369" s="65" t="s">
        <v>806</v>
      </c>
      <c r="Z369" t="s">
        <v>22</v>
      </c>
      <c r="AB369" t="s">
        <v>178</v>
      </c>
      <c r="AC369" t="s">
        <v>903</v>
      </c>
      <c r="AD369" s="2" t="s">
        <v>180</v>
      </c>
    </row>
    <row r="370" spans="1:30" hidden="1" x14ac:dyDescent="0.25">
      <c r="A370" s="2">
        <v>92</v>
      </c>
      <c r="B370" t="s">
        <v>808</v>
      </c>
      <c r="C370">
        <v>12</v>
      </c>
      <c r="D370">
        <v>135</v>
      </c>
      <c r="E370">
        <v>488</v>
      </c>
      <c r="F370" t="s">
        <v>172</v>
      </c>
      <c r="G370" s="2" t="s">
        <v>156</v>
      </c>
      <c r="H370">
        <v>2</v>
      </c>
      <c r="I370">
        <v>12.38</v>
      </c>
      <c r="J370" s="2" t="s">
        <v>170</v>
      </c>
      <c r="K370" s="2" t="s">
        <v>74</v>
      </c>
      <c r="M370" t="s">
        <v>1132</v>
      </c>
      <c r="P370" s="19" t="s">
        <v>807</v>
      </c>
      <c r="Q370" s="19" t="s">
        <v>25</v>
      </c>
      <c r="R370" s="19" t="s">
        <v>138</v>
      </c>
      <c r="W370" s="20">
        <v>16</v>
      </c>
      <c r="X370" s="65" t="s">
        <v>806</v>
      </c>
      <c r="Z370" t="s">
        <v>22</v>
      </c>
      <c r="AB370" t="s">
        <v>178</v>
      </c>
      <c r="AC370" t="s">
        <v>903</v>
      </c>
      <c r="AD370" s="2" t="s">
        <v>180</v>
      </c>
    </row>
    <row r="371" spans="1:30" hidden="1" x14ac:dyDescent="0.25">
      <c r="A371" s="2">
        <v>93</v>
      </c>
      <c r="B371" t="s">
        <v>904</v>
      </c>
      <c r="C371">
        <v>12</v>
      </c>
      <c r="D371">
        <v>490</v>
      </c>
      <c r="E371">
        <v>6464</v>
      </c>
      <c r="F371" t="s">
        <v>172</v>
      </c>
      <c r="G371" s="2" t="s">
        <v>156</v>
      </c>
      <c r="H371">
        <v>1</v>
      </c>
      <c r="I371">
        <v>298.16000000000003</v>
      </c>
      <c r="J371" s="2" t="s">
        <v>170</v>
      </c>
      <c r="K371" s="2" t="s">
        <v>74</v>
      </c>
      <c r="M371" t="s">
        <v>1132</v>
      </c>
      <c r="P371" s="19" t="s">
        <v>807</v>
      </c>
      <c r="Q371" s="19" t="s">
        <v>27</v>
      </c>
      <c r="R371" s="19" t="s">
        <v>138</v>
      </c>
      <c r="W371" s="20">
        <v>16</v>
      </c>
      <c r="X371" s="65" t="s">
        <v>806</v>
      </c>
      <c r="Z371" t="s">
        <v>22</v>
      </c>
      <c r="AB371" t="s">
        <v>178</v>
      </c>
      <c r="AC371" t="s">
        <v>903</v>
      </c>
      <c r="AD371" s="2" t="s">
        <v>180</v>
      </c>
    </row>
    <row r="372" spans="1:30" hidden="1" x14ac:dyDescent="0.25">
      <c r="A372" s="2">
        <v>94</v>
      </c>
      <c r="B372" t="s">
        <v>810</v>
      </c>
      <c r="C372">
        <v>12</v>
      </c>
      <c r="D372">
        <v>135</v>
      </c>
      <c r="E372">
        <v>488</v>
      </c>
      <c r="F372" t="s">
        <v>172</v>
      </c>
      <c r="G372" s="2" t="s">
        <v>156</v>
      </c>
      <c r="H372">
        <v>10</v>
      </c>
      <c r="I372">
        <v>61.9</v>
      </c>
      <c r="J372" s="2" t="s">
        <v>170</v>
      </c>
      <c r="K372" s="2" t="s">
        <v>74</v>
      </c>
      <c r="M372" t="s">
        <v>1132</v>
      </c>
      <c r="P372" s="19" t="s">
        <v>807</v>
      </c>
      <c r="Q372" s="19" t="s">
        <v>25</v>
      </c>
      <c r="R372" s="19" t="s">
        <v>138</v>
      </c>
      <c r="W372" s="20">
        <v>16</v>
      </c>
      <c r="X372" s="65" t="s">
        <v>806</v>
      </c>
      <c r="Z372" t="s">
        <v>22</v>
      </c>
      <c r="AB372" t="s">
        <v>178</v>
      </c>
      <c r="AC372" t="s">
        <v>903</v>
      </c>
      <c r="AD372" s="2" t="s">
        <v>180</v>
      </c>
    </row>
    <row r="373" spans="1:30" hidden="1" x14ac:dyDescent="0.25">
      <c r="A373" s="2">
        <v>95</v>
      </c>
      <c r="B373" t="s">
        <v>905</v>
      </c>
      <c r="C373">
        <v>12</v>
      </c>
      <c r="D373">
        <v>490</v>
      </c>
      <c r="E373">
        <v>6464</v>
      </c>
      <c r="F373" t="s">
        <v>172</v>
      </c>
      <c r="G373" s="2" t="s">
        <v>156</v>
      </c>
      <c r="H373">
        <v>1</v>
      </c>
      <c r="I373">
        <v>298.16000000000003</v>
      </c>
      <c r="J373" s="2" t="s">
        <v>170</v>
      </c>
      <c r="K373" s="2" t="s">
        <v>74</v>
      </c>
      <c r="M373" t="s">
        <v>1132</v>
      </c>
      <c r="P373" s="19" t="s">
        <v>807</v>
      </c>
      <c r="Q373" s="19" t="s">
        <v>27</v>
      </c>
      <c r="R373" s="19" t="s">
        <v>138</v>
      </c>
      <c r="W373" s="20">
        <v>16</v>
      </c>
      <c r="X373" s="65" t="s">
        <v>806</v>
      </c>
      <c r="Z373" t="s">
        <v>22</v>
      </c>
      <c r="AB373" t="s">
        <v>178</v>
      </c>
      <c r="AC373" t="s">
        <v>903</v>
      </c>
      <c r="AD373" s="2" t="s">
        <v>180</v>
      </c>
    </row>
    <row r="374" spans="1:30" hidden="1" x14ac:dyDescent="0.25">
      <c r="A374" s="2">
        <v>96</v>
      </c>
      <c r="B374" t="s">
        <v>906</v>
      </c>
      <c r="C374">
        <v>12</v>
      </c>
      <c r="D374">
        <v>135</v>
      </c>
      <c r="E374">
        <v>488</v>
      </c>
      <c r="F374" t="s">
        <v>172</v>
      </c>
      <c r="G374" s="2" t="s">
        <v>156</v>
      </c>
      <c r="H374">
        <v>12</v>
      </c>
      <c r="I374">
        <v>74.28</v>
      </c>
      <c r="J374" s="2" t="s">
        <v>170</v>
      </c>
      <c r="K374" s="2" t="s">
        <v>74</v>
      </c>
      <c r="M374" t="s">
        <v>1132</v>
      </c>
      <c r="P374" s="19" t="s">
        <v>807</v>
      </c>
      <c r="Q374" s="19" t="s">
        <v>25</v>
      </c>
      <c r="R374" s="19" t="s">
        <v>138</v>
      </c>
      <c r="W374" s="20">
        <v>16</v>
      </c>
      <c r="X374" s="65" t="s">
        <v>806</v>
      </c>
      <c r="Z374" t="s">
        <v>22</v>
      </c>
      <c r="AB374" t="s">
        <v>178</v>
      </c>
      <c r="AC374" t="s">
        <v>903</v>
      </c>
      <c r="AD374" s="2" t="s">
        <v>180</v>
      </c>
    </row>
    <row r="375" spans="1:30" hidden="1" x14ac:dyDescent="0.25">
      <c r="A375" s="2">
        <v>97</v>
      </c>
      <c r="B375" t="s">
        <v>907</v>
      </c>
      <c r="C375">
        <v>12</v>
      </c>
      <c r="D375">
        <v>490</v>
      </c>
      <c r="E375">
        <v>6464</v>
      </c>
      <c r="F375" t="s">
        <v>172</v>
      </c>
      <c r="G375" s="2" t="s">
        <v>156</v>
      </c>
      <c r="H375">
        <v>1</v>
      </c>
      <c r="I375">
        <v>298.16000000000003</v>
      </c>
      <c r="J375" s="2" t="s">
        <v>170</v>
      </c>
      <c r="K375" s="2" t="s">
        <v>74</v>
      </c>
      <c r="M375" t="s">
        <v>1132</v>
      </c>
      <c r="P375" s="19" t="s">
        <v>807</v>
      </c>
      <c r="Q375" s="19" t="s">
        <v>27</v>
      </c>
      <c r="R375" s="19" t="s">
        <v>138</v>
      </c>
      <c r="W375" s="20">
        <v>16</v>
      </c>
      <c r="X375" s="65" t="s">
        <v>806</v>
      </c>
      <c r="Z375" t="s">
        <v>22</v>
      </c>
      <c r="AB375" t="s">
        <v>178</v>
      </c>
      <c r="AC375" t="s">
        <v>903</v>
      </c>
      <c r="AD375" s="2" t="s">
        <v>180</v>
      </c>
    </row>
    <row r="376" spans="1:30" hidden="1" x14ac:dyDescent="0.25">
      <c r="A376" s="2">
        <v>98</v>
      </c>
      <c r="B376" t="s">
        <v>908</v>
      </c>
      <c r="C376">
        <v>12</v>
      </c>
      <c r="D376">
        <v>135</v>
      </c>
      <c r="E376">
        <v>488</v>
      </c>
      <c r="F376" t="s">
        <v>172</v>
      </c>
      <c r="G376" s="2" t="s">
        <v>156</v>
      </c>
      <c r="H376">
        <v>12</v>
      </c>
      <c r="I376">
        <v>74.28</v>
      </c>
      <c r="J376" s="2" t="s">
        <v>170</v>
      </c>
      <c r="K376" s="2" t="s">
        <v>74</v>
      </c>
      <c r="M376" t="s">
        <v>1132</v>
      </c>
      <c r="P376" s="19" t="s">
        <v>807</v>
      </c>
      <c r="Q376" s="19" t="s">
        <v>25</v>
      </c>
      <c r="R376" s="19" t="s">
        <v>138</v>
      </c>
      <c r="W376" s="20">
        <v>16</v>
      </c>
      <c r="X376" s="65" t="s">
        <v>806</v>
      </c>
      <c r="Z376" t="s">
        <v>22</v>
      </c>
      <c r="AB376" t="s">
        <v>178</v>
      </c>
      <c r="AC376" t="s">
        <v>903</v>
      </c>
      <c r="AD376" s="2" t="s">
        <v>180</v>
      </c>
    </row>
    <row r="377" spans="1:30" hidden="1" x14ac:dyDescent="0.25">
      <c r="A377" s="2">
        <v>99</v>
      </c>
      <c r="B377" t="s">
        <v>909</v>
      </c>
      <c r="C377">
        <v>12</v>
      </c>
      <c r="D377">
        <v>490</v>
      </c>
      <c r="E377">
        <v>6464</v>
      </c>
      <c r="F377" t="s">
        <v>172</v>
      </c>
      <c r="G377" s="2" t="s">
        <v>156</v>
      </c>
      <c r="H377">
        <v>1</v>
      </c>
      <c r="I377">
        <v>298.16000000000003</v>
      </c>
      <c r="J377" s="2" t="s">
        <v>170</v>
      </c>
      <c r="K377" s="2" t="s">
        <v>74</v>
      </c>
      <c r="M377" t="s">
        <v>1132</v>
      </c>
      <c r="P377" s="19" t="s">
        <v>807</v>
      </c>
      <c r="Q377" s="19" t="s">
        <v>27</v>
      </c>
      <c r="R377" s="19" t="s">
        <v>138</v>
      </c>
      <c r="W377" s="20">
        <v>16</v>
      </c>
      <c r="X377" s="65" t="s">
        <v>806</v>
      </c>
      <c r="Z377" t="s">
        <v>22</v>
      </c>
      <c r="AB377" t="s">
        <v>178</v>
      </c>
      <c r="AC377" t="s">
        <v>903</v>
      </c>
      <c r="AD377" s="2" t="s">
        <v>180</v>
      </c>
    </row>
    <row r="378" spans="1:30" hidden="1" x14ac:dyDescent="0.25">
      <c r="A378" s="2">
        <v>100</v>
      </c>
      <c r="B378" t="s">
        <v>892</v>
      </c>
      <c r="C378">
        <v>12</v>
      </c>
      <c r="D378">
        <v>135</v>
      </c>
      <c r="E378">
        <v>488</v>
      </c>
      <c r="F378" t="s">
        <v>172</v>
      </c>
      <c r="G378" s="2" t="s">
        <v>156</v>
      </c>
      <c r="H378">
        <v>5</v>
      </c>
      <c r="I378">
        <v>30.95</v>
      </c>
      <c r="J378" s="2" t="s">
        <v>170</v>
      </c>
      <c r="K378" s="2" t="s">
        <v>74</v>
      </c>
      <c r="M378" t="s">
        <v>1132</v>
      </c>
      <c r="P378" s="19" t="s">
        <v>807</v>
      </c>
      <c r="Q378" s="19" t="s">
        <v>25</v>
      </c>
      <c r="R378" s="19" t="s">
        <v>138</v>
      </c>
      <c r="W378" s="20">
        <v>16</v>
      </c>
      <c r="X378" s="65" t="s">
        <v>806</v>
      </c>
      <c r="Z378" t="s">
        <v>22</v>
      </c>
      <c r="AB378" t="s">
        <v>178</v>
      </c>
      <c r="AC378" t="s">
        <v>903</v>
      </c>
      <c r="AD378" s="2" t="s">
        <v>180</v>
      </c>
    </row>
    <row r="379" spans="1:30" hidden="1" x14ac:dyDescent="0.25">
      <c r="A379" s="2">
        <v>101</v>
      </c>
      <c r="B379" t="s">
        <v>893</v>
      </c>
      <c r="C379">
        <v>12</v>
      </c>
      <c r="D379">
        <v>135</v>
      </c>
      <c r="E379">
        <v>488</v>
      </c>
      <c r="F379" t="s">
        <v>172</v>
      </c>
      <c r="G379" s="2" t="s">
        <v>156</v>
      </c>
      <c r="H379">
        <v>1</v>
      </c>
      <c r="I379">
        <v>6.19</v>
      </c>
      <c r="J379" s="2" t="s">
        <v>170</v>
      </c>
      <c r="K379" s="2" t="s">
        <v>74</v>
      </c>
      <c r="M379" t="s">
        <v>1132</v>
      </c>
      <c r="P379" s="19" t="s">
        <v>807</v>
      </c>
      <c r="Q379" s="19" t="s">
        <v>25</v>
      </c>
      <c r="R379" s="19" t="s">
        <v>138</v>
      </c>
      <c r="W379" s="20">
        <v>16</v>
      </c>
      <c r="X379" s="65" t="s">
        <v>806</v>
      </c>
      <c r="Z379" t="s">
        <v>22</v>
      </c>
      <c r="AB379" t="s">
        <v>178</v>
      </c>
      <c r="AC379" t="s">
        <v>903</v>
      </c>
      <c r="AD379" s="2" t="s">
        <v>180</v>
      </c>
    </row>
    <row r="380" spans="1:30" hidden="1" x14ac:dyDescent="0.25">
      <c r="A380" s="2">
        <v>102</v>
      </c>
      <c r="B380" t="s">
        <v>815</v>
      </c>
      <c r="C380">
        <v>12</v>
      </c>
      <c r="D380">
        <v>135</v>
      </c>
      <c r="E380">
        <v>488</v>
      </c>
      <c r="F380" t="s">
        <v>172</v>
      </c>
      <c r="G380" s="2" t="s">
        <v>156</v>
      </c>
      <c r="H380">
        <v>2</v>
      </c>
      <c r="I380">
        <v>12.38</v>
      </c>
      <c r="J380" s="2" t="s">
        <v>170</v>
      </c>
      <c r="K380" s="2" t="s">
        <v>74</v>
      </c>
      <c r="M380" t="s">
        <v>1132</v>
      </c>
      <c r="P380" s="19" t="s">
        <v>807</v>
      </c>
      <c r="Q380" s="19" t="s">
        <v>25</v>
      </c>
      <c r="R380" s="19" t="s">
        <v>138</v>
      </c>
      <c r="W380" s="20">
        <v>16</v>
      </c>
      <c r="X380" s="65" t="s">
        <v>806</v>
      </c>
      <c r="Z380" t="s">
        <v>22</v>
      </c>
      <c r="AB380" t="s">
        <v>178</v>
      </c>
      <c r="AC380" t="s">
        <v>910</v>
      </c>
      <c r="AD380" s="2" t="s">
        <v>180</v>
      </c>
    </row>
    <row r="381" spans="1:30" hidden="1" x14ac:dyDescent="0.25">
      <c r="A381" s="2">
        <v>103</v>
      </c>
      <c r="B381" t="s">
        <v>817</v>
      </c>
      <c r="C381">
        <v>12</v>
      </c>
      <c r="D381">
        <v>135</v>
      </c>
      <c r="E381">
        <v>488</v>
      </c>
      <c r="F381" t="s">
        <v>172</v>
      </c>
      <c r="G381" s="2" t="s">
        <v>156</v>
      </c>
      <c r="H381">
        <v>6</v>
      </c>
      <c r="I381">
        <v>37.14</v>
      </c>
      <c r="J381" s="2" t="s">
        <v>170</v>
      </c>
      <c r="K381" s="2" t="s">
        <v>74</v>
      </c>
      <c r="M381" t="s">
        <v>1132</v>
      </c>
      <c r="P381" s="19" t="s">
        <v>807</v>
      </c>
      <c r="Q381" s="19" t="s">
        <v>25</v>
      </c>
      <c r="R381" s="19" t="s">
        <v>138</v>
      </c>
      <c r="W381" s="20">
        <v>16</v>
      </c>
      <c r="X381" s="65" t="s">
        <v>806</v>
      </c>
      <c r="Z381" t="s">
        <v>22</v>
      </c>
      <c r="AB381" t="s">
        <v>178</v>
      </c>
      <c r="AC381" t="s">
        <v>910</v>
      </c>
      <c r="AD381" s="2" t="s">
        <v>180</v>
      </c>
    </row>
    <row r="382" spans="1:30" hidden="1" x14ac:dyDescent="0.25">
      <c r="A382" s="2">
        <v>104</v>
      </c>
      <c r="B382" t="s">
        <v>911</v>
      </c>
      <c r="C382">
        <v>12</v>
      </c>
      <c r="D382">
        <v>490</v>
      </c>
      <c r="E382">
        <v>6464</v>
      </c>
      <c r="F382" t="s">
        <v>172</v>
      </c>
      <c r="G382" s="2" t="s">
        <v>156</v>
      </c>
      <c r="H382">
        <v>1</v>
      </c>
      <c r="I382">
        <v>298.26</v>
      </c>
      <c r="J382" s="2" t="s">
        <v>170</v>
      </c>
      <c r="K382" s="2" t="s">
        <v>74</v>
      </c>
      <c r="M382" t="s">
        <v>1132</v>
      </c>
      <c r="P382" s="19" t="s">
        <v>807</v>
      </c>
      <c r="Q382" s="19" t="s">
        <v>27</v>
      </c>
      <c r="R382" s="19" t="s">
        <v>138</v>
      </c>
      <c r="W382" s="20">
        <v>16</v>
      </c>
      <c r="X382" s="65" t="s">
        <v>806</v>
      </c>
      <c r="Z382" t="s">
        <v>22</v>
      </c>
      <c r="AB382" t="s">
        <v>178</v>
      </c>
      <c r="AC382" t="s">
        <v>910</v>
      </c>
      <c r="AD382" s="2" t="s">
        <v>180</v>
      </c>
    </row>
    <row r="383" spans="1:30" hidden="1" x14ac:dyDescent="0.25">
      <c r="A383" s="2">
        <v>105</v>
      </c>
      <c r="B383" t="s">
        <v>802</v>
      </c>
      <c r="C383">
        <v>12</v>
      </c>
      <c r="D383">
        <v>135</v>
      </c>
      <c r="E383">
        <v>488</v>
      </c>
      <c r="F383" t="s">
        <v>172</v>
      </c>
      <c r="G383" s="2" t="s">
        <v>156</v>
      </c>
      <c r="H383">
        <v>6</v>
      </c>
      <c r="I383">
        <v>37.14</v>
      </c>
      <c r="J383" s="2" t="s">
        <v>170</v>
      </c>
      <c r="K383" s="2" t="s">
        <v>74</v>
      </c>
      <c r="M383" t="s">
        <v>1132</v>
      </c>
      <c r="P383" s="19" t="s">
        <v>807</v>
      </c>
      <c r="Q383" s="19" t="s">
        <v>25</v>
      </c>
      <c r="R383" s="19" t="s">
        <v>138</v>
      </c>
      <c r="W383" s="20">
        <v>16</v>
      </c>
      <c r="X383" s="65" t="s">
        <v>806</v>
      </c>
      <c r="Z383" t="s">
        <v>22</v>
      </c>
      <c r="AB383" t="s">
        <v>178</v>
      </c>
      <c r="AC383" t="s">
        <v>910</v>
      </c>
      <c r="AD383" s="2" t="s">
        <v>180</v>
      </c>
    </row>
    <row r="384" spans="1:30" hidden="1" x14ac:dyDescent="0.25">
      <c r="A384" s="2">
        <v>106</v>
      </c>
      <c r="B384" t="s">
        <v>912</v>
      </c>
      <c r="C384">
        <v>12</v>
      </c>
      <c r="D384">
        <v>490</v>
      </c>
      <c r="E384">
        <v>6464</v>
      </c>
      <c r="F384" t="s">
        <v>172</v>
      </c>
      <c r="G384" s="2" t="s">
        <v>156</v>
      </c>
      <c r="H384">
        <v>1</v>
      </c>
      <c r="I384">
        <v>298.16000000000003</v>
      </c>
      <c r="J384" s="2" t="s">
        <v>170</v>
      </c>
      <c r="K384" s="2" t="s">
        <v>74</v>
      </c>
      <c r="M384" t="s">
        <v>1132</v>
      </c>
      <c r="P384" s="19" t="s">
        <v>807</v>
      </c>
      <c r="Q384" s="19" t="s">
        <v>27</v>
      </c>
      <c r="R384" s="19" t="s">
        <v>138</v>
      </c>
      <c r="W384" s="20">
        <v>16</v>
      </c>
      <c r="X384" s="65" t="s">
        <v>806</v>
      </c>
      <c r="Z384" t="s">
        <v>22</v>
      </c>
      <c r="AB384" t="s">
        <v>178</v>
      </c>
      <c r="AC384" t="s">
        <v>910</v>
      </c>
      <c r="AD384" s="2" t="s">
        <v>180</v>
      </c>
    </row>
    <row r="385" spans="1:30" hidden="1" x14ac:dyDescent="0.25">
      <c r="A385" s="2">
        <v>107</v>
      </c>
      <c r="B385" t="s">
        <v>808</v>
      </c>
      <c r="C385">
        <v>12</v>
      </c>
      <c r="D385">
        <v>135</v>
      </c>
      <c r="E385">
        <v>488</v>
      </c>
      <c r="F385" t="s">
        <v>172</v>
      </c>
      <c r="G385" s="2" t="s">
        <v>156</v>
      </c>
      <c r="H385">
        <v>8</v>
      </c>
      <c r="I385">
        <v>49.52</v>
      </c>
      <c r="J385" s="2" t="s">
        <v>170</v>
      </c>
      <c r="K385" s="2" t="s">
        <v>74</v>
      </c>
      <c r="M385" t="s">
        <v>1132</v>
      </c>
      <c r="P385" s="19" t="s">
        <v>807</v>
      </c>
      <c r="Q385" s="19" t="s">
        <v>25</v>
      </c>
      <c r="R385" s="19" t="s">
        <v>138</v>
      </c>
      <c r="W385" s="20">
        <v>16</v>
      </c>
      <c r="X385" s="65" t="s">
        <v>806</v>
      </c>
      <c r="Z385" t="s">
        <v>22</v>
      </c>
      <c r="AB385" t="s">
        <v>178</v>
      </c>
      <c r="AC385" t="s">
        <v>910</v>
      </c>
      <c r="AD385" s="2" t="s">
        <v>180</v>
      </c>
    </row>
    <row r="386" spans="1:30" hidden="1" x14ac:dyDescent="0.25">
      <c r="A386" s="2">
        <v>108</v>
      </c>
      <c r="B386" t="s">
        <v>809</v>
      </c>
      <c r="C386">
        <v>12</v>
      </c>
      <c r="D386">
        <v>135</v>
      </c>
      <c r="E386">
        <v>488</v>
      </c>
      <c r="F386" t="s">
        <v>172</v>
      </c>
      <c r="G386" s="2" t="s">
        <v>156</v>
      </c>
      <c r="H386">
        <v>10</v>
      </c>
      <c r="I386">
        <v>61.9</v>
      </c>
      <c r="J386" s="2" t="s">
        <v>170</v>
      </c>
      <c r="K386" s="2" t="s">
        <v>74</v>
      </c>
      <c r="M386" t="s">
        <v>1132</v>
      </c>
      <c r="P386" s="19" t="s">
        <v>807</v>
      </c>
      <c r="Q386" s="19" t="s">
        <v>25</v>
      </c>
      <c r="R386" s="19" t="s">
        <v>138</v>
      </c>
      <c r="W386" s="20">
        <v>16</v>
      </c>
      <c r="X386" s="65" t="s">
        <v>806</v>
      </c>
      <c r="Z386" t="s">
        <v>22</v>
      </c>
      <c r="AB386" t="s">
        <v>178</v>
      </c>
      <c r="AC386" t="s">
        <v>910</v>
      </c>
      <c r="AD386" s="2" t="s">
        <v>180</v>
      </c>
    </row>
    <row r="387" spans="1:30" hidden="1" x14ac:dyDescent="0.25">
      <c r="A387" s="2">
        <v>109</v>
      </c>
      <c r="B387" t="s">
        <v>810</v>
      </c>
      <c r="C387">
        <v>12</v>
      </c>
      <c r="D387">
        <v>135</v>
      </c>
      <c r="E387">
        <v>488</v>
      </c>
      <c r="F387" t="s">
        <v>172</v>
      </c>
      <c r="G387" s="2" t="s">
        <v>156</v>
      </c>
      <c r="H387">
        <v>1</v>
      </c>
      <c r="I387">
        <v>6.19</v>
      </c>
      <c r="J387" s="2" t="s">
        <v>170</v>
      </c>
      <c r="K387" s="2" t="s">
        <v>74</v>
      </c>
      <c r="M387" t="s">
        <v>1132</v>
      </c>
      <c r="P387" s="19" t="s">
        <v>807</v>
      </c>
      <c r="Q387" s="19" t="s">
        <v>25</v>
      </c>
      <c r="R387" s="19" t="s">
        <v>138</v>
      </c>
      <c r="W387" s="20">
        <v>16</v>
      </c>
      <c r="X387" s="65" t="s">
        <v>806</v>
      </c>
      <c r="Z387" t="s">
        <v>22</v>
      </c>
      <c r="AB387" t="s">
        <v>178</v>
      </c>
      <c r="AC387" t="s">
        <v>910</v>
      </c>
      <c r="AD387" s="2" t="s">
        <v>180</v>
      </c>
    </row>
    <row r="388" spans="1:30" hidden="1" x14ac:dyDescent="0.25">
      <c r="A388" s="2">
        <v>110</v>
      </c>
      <c r="B388" t="s">
        <v>893</v>
      </c>
      <c r="C388">
        <v>12</v>
      </c>
      <c r="D388">
        <v>135</v>
      </c>
      <c r="E388">
        <v>488</v>
      </c>
      <c r="F388" t="s">
        <v>172</v>
      </c>
      <c r="G388" s="2" t="s">
        <v>156</v>
      </c>
      <c r="H388">
        <v>3</v>
      </c>
      <c r="I388">
        <v>18.57</v>
      </c>
      <c r="J388" s="2" t="s">
        <v>170</v>
      </c>
      <c r="K388" s="2" t="s">
        <v>74</v>
      </c>
      <c r="M388" t="s">
        <v>1132</v>
      </c>
      <c r="P388" s="19" t="s">
        <v>807</v>
      </c>
      <c r="Q388" s="19" t="s">
        <v>25</v>
      </c>
      <c r="R388" s="19" t="s">
        <v>138</v>
      </c>
      <c r="W388" s="20">
        <v>16</v>
      </c>
      <c r="X388" s="65" t="s">
        <v>806</v>
      </c>
      <c r="Z388" t="s">
        <v>22</v>
      </c>
      <c r="AB388" t="s">
        <v>178</v>
      </c>
      <c r="AC388" t="s">
        <v>910</v>
      </c>
      <c r="AD388" s="2" t="s">
        <v>180</v>
      </c>
    </row>
    <row r="389" spans="1:30" hidden="1" x14ac:dyDescent="0.25">
      <c r="A389" s="2">
        <v>111</v>
      </c>
      <c r="B389" t="s">
        <v>861</v>
      </c>
      <c r="C389">
        <v>12</v>
      </c>
      <c r="D389">
        <v>135</v>
      </c>
      <c r="E389">
        <v>488</v>
      </c>
      <c r="F389" t="s">
        <v>172</v>
      </c>
      <c r="G389" s="2" t="s">
        <v>156</v>
      </c>
      <c r="H389">
        <v>2</v>
      </c>
      <c r="I389">
        <v>12.38</v>
      </c>
      <c r="J389" s="2" t="s">
        <v>170</v>
      </c>
      <c r="K389" s="2" t="s">
        <v>74</v>
      </c>
      <c r="M389" t="s">
        <v>1132</v>
      </c>
      <c r="P389" s="19" t="s">
        <v>807</v>
      </c>
      <c r="Q389" s="19" t="s">
        <v>25</v>
      </c>
      <c r="R389" s="19" t="s">
        <v>138</v>
      </c>
      <c r="W389" s="20">
        <v>16</v>
      </c>
      <c r="X389" s="65" t="s">
        <v>806</v>
      </c>
      <c r="Z389" t="s">
        <v>22</v>
      </c>
      <c r="AB389" t="s">
        <v>178</v>
      </c>
      <c r="AC389" t="s">
        <v>910</v>
      </c>
      <c r="AD389" s="2" t="s">
        <v>180</v>
      </c>
    </row>
    <row r="390" spans="1:30" hidden="1" x14ac:dyDescent="0.25">
      <c r="A390" s="2">
        <v>112</v>
      </c>
      <c r="B390" t="s">
        <v>862</v>
      </c>
      <c r="C390">
        <v>12</v>
      </c>
      <c r="D390">
        <v>135</v>
      </c>
      <c r="E390">
        <v>488</v>
      </c>
      <c r="F390" t="s">
        <v>172</v>
      </c>
      <c r="G390" s="2" t="s">
        <v>156</v>
      </c>
      <c r="H390">
        <v>2</v>
      </c>
      <c r="I390">
        <v>12.38</v>
      </c>
      <c r="J390" s="2" t="s">
        <v>170</v>
      </c>
      <c r="K390" s="2" t="s">
        <v>74</v>
      </c>
      <c r="M390" t="s">
        <v>1132</v>
      </c>
      <c r="P390" s="19" t="s">
        <v>807</v>
      </c>
      <c r="Q390" s="19" t="s">
        <v>25</v>
      </c>
      <c r="R390" s="19" t="s">
        <v>138</v>
      </c>
      <c r="W390" s="20">
        <v>16</v>
      </c>
      <c r="X390" s="65" t="s">
        <v>806</v>
      </c>
      <c r="Z390" t="s">
        <v>22</v>
      </c>
      <c r="AB390" t="s">
        <v>178</v>
      </c>
      <c r="AC390" t="s">
        <v>910</v>
      </c>
      <c r="AD390" s="2" t="s">
        <v>180</v>
      </c>
    </row>
    <row r="391" spans="1:30" hidden="1" x14ac:dyDescent="0.25">
      <c r="A391" s="2">
        <v>113</v>
      </c>
      <c r="B391" t="s">
        <v>913</v>
      </c>
      <c r="C391">
        <v>12</v>
      </c>
      <c r="D391">
        <v>95</v>
      </c>
      <c r="E391">
        <v>263</v>
      </c>
      <c r="F391" t="s">
        <v>172</v>
      </c>
      <c r="G391" s="2" t="s">
        <v>156</v>
      </c>
      <c r="H391">
        <v>2</v>
      </c>
      <c r="I391">
        <v>4.68</v>
      </c>
      <c r="J391" s="2" t="s">
        <v>170</v>
      </c>
      <c r="K391" s="2" t="s">
        <v>74</v>
      </c>
      <c r="M391" t="s">
        <v>1132</v>
      </c>
      <c r="P391" s="19" t="s">
        <v>807</v>
      </c>
      <c r="Q391" s="19" t="s">
        <v>25</v>
      </c>
      <c r="R391" s="19" t="s">
        <v>138</v>
      </c>
      <c r="W391" s="20">
        <v>16</v>
      </c>
      <c r="X391" s="65" t="s">
        <v>806</v>
      </c>
      <c r="Z391" t="s">
        <v>22</v>
      </c>
      <c r="AB391" t="s">
        <v>178</v>
      </c>
      <c r="AC391" t="s">
        <v>915</v>
      </c>
      <c r="AD391" s="2" t="s">
        <v>180</v>
      </c>
    </row>
    <row r="392" spans="1:30" hidden="1" x14ac:dyDescent="0.25">
      <c r="A392" s="2">
        <v>114</v>
      </c>
      <c r="B392" t="s">
        <v>916</v>
      </c>
      <c r="C392">
        <v>12</v>
      </c>
      <c r="D392">
        <v>1434</v>
      </c>
      <c r="E392">
        <v>1460</v>
      </c>
      <c r="F392" t="s">
        <v>172</v>
      </c>
      <c r="G392" s="2" t="s">
        <v>156</v>
      </c>
      <c r="H392">
        <v>1</v>
      </c>
      <c r="I392">
        <v>194.55</v>
      </c>
      <c r="J392" s="2" t="s">
        <v>170</v>
      </c>
      <c r="K392" s="2" t="s">
        <v>74</v>
      </c>
      <c r="M392" t="s">
        <v>1132</v>
      </c>
      <c r="P392" s="19" t="s">
        <v>807</v>
      </c>
      <c r="Q392" s="19" t="s">
        <v>27</v>
      </c>
      <c r="R392" s="19" t="s">
        <v>138</v>
      </c>
      <c r="W392" s="20">
        <v>16</v>
      </c>
      <c r="X392" s="65" t="s">
        <v>806</v>
      </c>
      <c r="Z392" t="s">
        <v>22</v>
      </c>
      <c r="AB392" t="s">
        <v>178</v>
      </c>
      <c r="AC392" t="s">
        <v>915</v>
      </c>
      <c r="AD392" s="2" t="s">
        <v>180</v>
      </c>
    </row>
    <row r="393" spans="1:30" hidden="1" x14ac:dyDescent="0.25">
      <c r="A393" s="2">
        <v>115</v>
      </c>
      <c r="B393" t="s">
        <v>918</v>
      </c>
      <c r="C393">
        <v>12</v>
      </c>
      <c r="D393">
        <v>95</v>
      </c>
      <c r="E393">
        <v>263</v>
      </c>
      <c r="F393" t="s">
        <v>172</v>
      </c>
      <c r="G393" s="2" t="s">
        <v>156</v>
      </c>
      <c r="H393">
        <v>2</v>
      </c>
      <c r="I393">
        <v>4.68</v>
      </c>
      <c r="J393" s="2" t="s">
        <v>170</v>
      </c>
      <c r="K393" s="2" t="s">
        <v>74</v>
      </c>
      <c r="M393" t="s">
        <v>1132</v>
      </c>
      <c r="P393" s="19" t="s">
        <v>807</v>
      </c>
      <c r="Q393" s="19" t="s">
        <v>25</v>
      </c>
      <c r="R393" s="19" t="s">
        <v>138</v>
      </c>
      <c r="W393" s="20">
        <v>16</v>
      </c>
      <c r="X393" s="65" t="s">
        <v>806</v>
      </c>
      <c r="Z393" t="s">
        <v>22</v>
      </c>
      <c r="AB393" t="s">
        <v>178</v>
      </c>
      <c r="AC393" t="s">
        <v>915</v>
      </c>
      <c r="AD393" s="2" t="s">
        <v>180</v>
      </c>
    </row>
    <row r="394" spans="1:30" hidden="1" x14ac:dyDescent="0.25">
      <c r="A394" s="2">
        <v>116</v>
      </c>
      <c r="B394" t="s">
        <v>919</v>
      </c>
      <c r="C394">
        <v>12</v>
      </c>
      <c r="D394">
        <v>1434</v>
      </c>
      <c r="E394">
        <v>1460</v>
      </c>
      <c r="F394" t="s">
        <v>172</v>
      </c>
      <c r="G394" s="2" t="s">
        <v>156</v>
      </c>
      <c r="H394">
        <v>1</v>
      </c>
      <c r="I394">
        <v>194.55</v>
      </c>
      <c r="J394" s="2" t="s">
        <v>170</v>
      </c>
      <c r="K394" s="2" t="s">
        <v>74</v>
      </c>
      <c r="M394" t="s">
        <v>1132</v>
      </c>
      <c r="P394" s="19" t="s">
        <v>807</v>
      </c>
      <c r="Q394" s="19" t="s">
        <v>27</v>
      </c>
      <c r="R394" s="19" t="s">
        <v>138</v>
      </c>
      <c r="W394" s="20">
        <v>16</v>
      </c>
      <c r="X394" s="65" t="s">
        <v>806</v>
      </c>
      <c r="Z394" t="s">
        <v>22</v>
      </c>
      <c r="AB394" t="s">
        <v>178</v>
      </c>
      <c r="AC394" t="s">
        <v>915</v>
      </c>
      <c r="AD394" s="2" t="s">
        <v>180</v>
      </c>
    </row>
    <row r="395" spans="1:30" hidden="1" x14ac:dyDescent="0.25">
      <c r="A395" s="2">
        <v>117</v>
      </c>
      <c r="B395" t="s">
        <v>920</v>
      </c>
      <c r="C395">
        <v>12</v>
      </c>
      <c r="D395">
        <v>95</v>
      </c>
      <c r="E395">
        <v>263</v>
      </c>
      <c r="F395" t="s">
        <v>172</v>
      </c>
      <c r="G395" s="2" t="s">
        <v>156</v>
      </c>
      <c r="H395">
        <v>8</v>
      </c>
      <c r="I395">
        <v>18.7</v>
      </c>
      <c r="J395" s="2" t="s">
        <v>170</v>
      </c>
      <c r="K395" s="2" t="s">
        <v>74</v>
      </c>
      <c r="M395" t="s">
        <v>1132</v>
      </c>
      <c r="P395" s="19" t="s">
        <v>807</v>
      </c>
      <c r="Q395" s="19" t="s">
        <v>25</v>
      </c>
      <c r="R395" s="19" t="s">
        <v>138</v>
      </c>
      <c r="W395" s="20">
        <v>16</v>
      </c>
      <c r="X395" s="65" t="s">
        <v>806</v>
      </c>
      <c r="Z395" t="s">
        <v>22</v>
      </c>
      <c r="AB395" t="s">
        <v>178</v>
      </c>
      <c r="AC395" t="s">
        <v>915</v>
      </c>
      <c r="AD395" s="2" t="s">
        <v>180</v>
      </c>
    </row>
    <row r="396" spans="1:30" hidden="1" x14ac:dyDescent="0.25">
      <c r="A396" s="2">
        <v>118</v>
      </c>
      <c r="B396" t="s">
        <v>921</v>
      </c>
      <c r="C396">
        <v>12</v>
      </c>
      <c r="D396">
        <v>130</v>
      </c>
      <c r="E396">
        <v>263</v>
      </c>
      <c r="F396" t="s">
        <v>172</v>
      </c>
      <c r="G396" s="2" t="s">
        <v>156</v>
      </c>
      <c r="H396">
        <v>1</v>
      </c>
      <c r="I396">
        <v>3.21</v>
      </c>
      <c r="J396" s="2" t="s">
        <v>170</v>
      </c>
      <c r="K396" s="2" t="s">
        <v>74</v>
      </c>
      <c r="M396" t="s">
        <v>1132</v>
      </c>
      <c r="P396" s="19" t="s">
        <v>807</v>
      </c>
      <c r="Q396" s="19" t="s">
        <v>25</v>
      </c>
      <c r="R396" s="19" t="s">
        <v>138</v>
      </c>
      <c r="W396" s="20">
        <v>16</v>
      </c>
      <c r="X396" s="65" t="s">
        <v>806</v>
      </c>
      <c r="Z396" t="s">
        <v>22</v>
      </c>
      <c r="AB396" t="s">
        <v>178</v>
      </c>
      <c r="AC396" t="s">
        <v>915</v>
      </c>
      <c r="AD396" s="2" t="s">
        <v>180</v>
      </c>
    </row>
    <row r="397" spans="1:30" hidden="1" x14ac:dyDescent="0.25">
      <c r="A397" s="2">
        <v>119</v>
      </c>
      <c r="B397" t="s">
        <v>922</v>
      </c>
      <c r="C397">
        <v>12</v>
      </c>
      <c r="D397">
        <v>95</v>
      </c>
      <c r="E397">
        <v>263</v>
      </c>
      <c r="F397" t="s">
        <v>172</v>
      </c>
      <c r="G397" s="2" t="s">
        <v>156</v>
      </c>
      <c r="H397">
        <v>8</v>
      </c>
      <c r="I397">
        <v>18.7</v>
      </c>
      <c r="J397" s="2" t="s">
        <v>170</v>
      </c>
      <c r="K397" s="2" t="s">
        <v>74</v>
      </c>
      <c r="M397" t="s">
        <v>1132</v>
      </c>
      <c r="P397" s="19" t="s">
        <v>807</v>
      </c>
      <c r="Q397" s="19" t="s">
        <v>25</v>
      </c>
      <c r="R397" s="19" t="s">
        <v>138</v>
      </c>
      <c r="W397" s="20">
        <v>16</v>
      </c>
      <c r="X397" s="65" t="s">
        <v>806</v>
      </c>
      <c r="Z397" t="s">
        <v>22</v>
      </c>
      <c r="AB397" t="s">
        <v>178</v>
      </c>
      <c r="AC397" t="s">
        <v>915</v>
      </c>
      <c r="AD397" s="2" t="s">
        <v>180</v>
      </c>
    </row>
    <row r="398" spans="1:30" hidden="1" x14ac:dyDescent="0.25">
      <c r="A398" s="2">
        <v>120</v>
      </c>
      <c r="B398" t="s">
        <v>923</v>
      </c>
      <c r="C398">
        <v>12</v>
      </c>
      <c r="D398">
        <v>130</v>
      </c>
      <c r="E398">
        <v>263</v>
      </c>
      <c r="F398" t="s">
        <v>172</v>
      </c>
      <c r="G398" s="2" t="s">
        <v>156</v>
      </c>
      <c r="H398">
        <v>1</v>
      </c>
      <c r="I398">
        <v>3.21</v>
      </c>
      <c r="J398" s="2" t="s">
        <v>170</v>
      </c>
      <c r="K398" s="2" t="s">
        <v>74</v>
      </c>
      <c r="M398" t="s">
        <v>1132</v>
      </c>
      <c r="P398" s="19" t="s">
        <v>807</v>
      </c>
      <c r="Q398" s="19" t="s">
        <v>25</v>
      </c>
      <c r="R398" s="19" t="s">
        <v>138</v>
      </c>
      <c r="W398" s="20">
        <v>16</v>
      </c>
      <c r="X398" s="65" t="s">
        <v>806</v>
      </c>
      <c r="Z398" t="s">
        <v>22</v>
      </c>
      <c r="AB398" t="s">
        <v>178</v>
      </c>
      <c r="AC398" t="s">
        <v>915</v>
      </c>
      <c r="AD398" s="2" t="s">
        <v>180</v>
      </c>
    </row>
    <row r="399" spans="1:30" hidden="1" x14ac:dyDescent="0.25">
      <c r="A399" s="2">
        <v>121</v>
      </c>
      <c r="B399" t="s">
        <v>924</v>
      </c>
      <c r="C399">
        <v>12</v>
      </c>
      <c r="D399">
        <v>95</v>
      </c>
      <c r="E399">
        <v>263</v>
      </c>
      <c r="F399" t="s">
        <v>172</v>
      </c>
      <c r="G399" s="2" t="s">
        <v>156</v>
      </c>
      <c r="H399">
        <v>8</v>
      </c>
      <c r="I399">
        <v>18.7</v>
      </c>
      <c r="J399" s="2" t="s">
        <v>170</v>
      </c>
      <c r="K399" s="2" t="s">
        <v>74</v>
      </c>
      <c r="M399" t="s">
        <v>1132</v>
      </c>
      <c r="P399" s="19" t="s">
        <v>807</v>
      </c>
      <c r="Q399" s="19" t="s">
        <v>25</v>
      </c>
      <c r="R399" s="19" t="s">
        <v>138</v>
      </c>
      <c r="W399" s="20">
        <v>16</v>
      </c>
      <c r="X399" s="65" t="s">
        <v>806</v>
      </c>
      <c r="Z399" t="s">
        <v>22</v>
      </c>
      <c r="AB399" t="s">
        <v>178</v>
      </c>
      <c r="AC399" t="s">
        <v>915</v>
      </c>
      <c r="AD399" s="2" t="s">
        <v>180</v>
      </c>
    </row>
    <row r="400" spans="1:30" hidden="1" x14ac:dyDescent="0.25">
      <c r="A400" s="2">
        <v>122</v>
      </c>
      <c r="B400" t="s">
        <v>925</v>
      </c>
      <c r="C400">
        <v>12</v>
      </c>
      <c r="D400">
        <v>95</v>
      </c>
      <c r="E400">
        <v>263</v>
      </c>
      <c r="F400" t="s">
        <v>172</v>
      </c>
      <c r="G400" s="2" t="s">
        <v>156</v>
      </c>
      <c r="H400">
        <v>8</v>
      </c>
      <c r="I400">
        <v>18.7</v>
      </c>
      <c r="J400" s="2" t="s">
        <v>170</v>
      </c>
      <c r="K400" s="2" t="s">
        <v>74</v>
      </c>
      <c r="M400" t="s">
        <v>1132</v>
      </c>
      <c r="P400" s="19" t="s">
        <v>807</v>
      </c>
      <c r="Q400" s="19" t="s">
        <v>25</v>
      </c>
      <c r="R400" s="19" t="s">
        <v>138</v>
      </c>
      <c r="W400" s="20">
        <v>16</v>
      </c>
      <c r="X400" s="65" t="s">
        <v>806</v>
      </c>
      <c r="Z400" t="s">
        <v>22</v>
      </c>
      <c r="AB400" t="s">
        <v>178</v>
      </c>
      <c r="AC400" t="s">
        <v>915</v>
      </c>
      <c r="AD400" s="2" t="s">
        <v>180</v>
      </c>
    </row>
    <row r="401" spans="1:30" hidden="1" x14ac:dyDescent="0.25">
      <c r="A401" s="2">
        <v>123</v>
      </c>
      <c r="B401" t="s">
        <v>926</v>
      </c>
      <c r="C401">
        <v>12</v>
      </c>
      <c r="D401">
        <v>100</v>
      </c>
      <c r="E401">
        <v>150</v>
      </c>
      <c r="F401" t="s">
        <v>172</v>
      </c>
      <c r="G401" s="2" t="s">
        <v>156</v>
      </c>
      <c r="H401">
        <v>1</v>
      </c>
      <c r="I401">
        <v>1.41</v>
      </c>
      <c r="J401" s="2" t="s">
        <v>170</v>
      </c>
      <c r="K401" s="2" t="s">
        <v>74</v>
      </c>
      <c r="M401" t="s">
        <v>1132</v>
      </c>
      <c r="P401" s="19" t="s">
        <v>807</v>
      </c>
      <c r="Q401" s="19" t="s">
        <v>25</v>
      </c>
      <c r="R401" s="19" t="s">
        <v>138</v>
      </c>
      <c r="W401" s="20">
        <v>16</v>
      </c>
      <c r="X401" s="65" t="s">
        <v>806</v>
      </c>
      <c r="Z401" t="s">
        <v>22</v>
      </c>
      <c r="AB401" t="s">
        <v>178</v>
      </c>
      <c r="AC401" t="s">
        <v>927</v>
      </c>
      <c r="AD401" s="2" t="s">
        <v>180</v>
      </c>
    </row>
    <row r="402" spans="1:30" hidden="1" x14ac:dyDescent="0.25">
      <c r="A402" s="2">
        <v>124</v>
      </c>
      <c r="B402" t="s">
        <v>928</v>
      </c>
      <c r="C402">
        <v>12</v>
      </c>
      <c r="D402">
        <v>100</v>
      </c>
      <c r="E402">
        <v>150</v>
      </c>
      <c r="F402" t="s">
        <v>172</v>
      </c>
      <c r="G402" s="2" t="s">
        <v>156</v>
      </c>
      <c r="H402">
        <v>2</v>
      </c>
      <c r="I402">
        <v>2.83</v>
      </c>
      <c r="J402" s="2" t="s">
        <v>170</v>
      </c>
      <c r="K402" s="2" t="s">
        <v>74</v>
      </c>
      <c r="M402" t="s">
        <v>1132</v>
      </c>
      <c r="P402" s="19" t="s">
        <v>807</v>
      </c>
      <c r="Q402" s="19" t="s">
        <v>25</v>
      </c>
      <c r="R402" s="19" t="s">
        <v>138</v>
      </c>
      <c r="W402" s="20">
        <v>16</v>
      </c>
      <c r="X402" s="65" t="s">
        <v>806</v>
      </c>
      <c r="Z402" t="s">
        <v>22</v>
      </c>
      <c r="AB402" t="s">
        <v>178</v>
      </c>
      <c r="AC402" t="s">
        <v>927</v>
      </c>
      <c r="AD402" s="2" t="s">
        <v>180</v>
      </c>
    </row>
    <row r="403" spans="1:30" hidden="1" x14ac:dyDescent="0.25">
      <c r="A403" s="2">
        <v>125</v>
      </c>
      <c r="B403" t="s">
        <v>929</v>
      </c>
      <c r="C403">
        <v>12</v>
      </c>
      <c r="D403">
        <v>128</v>
      </c>
      <c r="E403">
        <v>145</v>
      </c>
      <c r="F403" t="s">
        <v>172</v>
      </c>
      <c r="G403" s="2" t="s">
        <v>156</v>
      </c>
      <c r="H403">
        <v>4</v>
      </c>
      <c r="I403">
        <v>6.69</v>
      </c>
      <c r="J403" s="2" t="s">
        <v>170</v>
      </c>
      <c r="K403" s="2" t="s">
        <v>74</v>
      </c>
      <c r="M403" t="s">
        <v>1132</v>
      </c>
      <c r="P403" s="19" t="s">
        <v>807</v>
      </c>
      <c r="Q403" s="19" t="s">
        <v>25</v>
      </c>
      <c r="R403" s="19" t="s">
        <v>138</v>
      </c>
      <c r="W403" s="20">
        <v>16</v>
      </c>
      <c r="X403" s="65" t="s">
        <v>806</v>
      </c>
      <c r="Z403" t="s">
        <v>22</v>
      </c>
      <c r="AB403" t="s">
        <v>178</v>
      </c>
      <c r="AC403" t="s">
        <v>927</v>
      </c>
      <c r="AD403" s="2" t="s">
        <v>180</v>
      </c>
    </row>
    <row r="404" spans="1:30" hidden="1" x14ac:dyDescent="0.25">
      <c r="A404" s="2">
        <v>126</v>
      </c>
      <c r="B404" t="s">
        <v>931</v>
      </c>
      <c r="C404">
        <v>12</v>
      </c>
      <c r="D404">
        <v>130</v>
      </c>
      <c r="E404">
        <v>1315</v>
      </c>
      <c r="F404" t="s">
        <v>172</v>
      </c>
      <c r="G404" s="2" t="s">
        <v>156</v>
      </c>
      <c r="H404">
        <v>1</v>
      </c>
      <c r="I404">
        <v>16.100000000000001</v>
      </c>
      <c r="J404" s="2" t="s">
        <v>170</v>
      </c>
      <c r="K404" s="2" t="s">
        <v>74</v>
      </c>
      <c r="M404" t="s">
        <v>1132</v>
      </c>
      <c r="P404" s="19" t="s">
        <v>807</v>
      </c>
      <c r="Q404" s="19" t="s">
        <v>25</v>
      </c>
      <c r="R404" s="19" t="s">
        <v>138</v>
      </c>
      <c r="W404" s="20">
        <v>16</v>
      </c>
      <c r="X404" s="65" t="s">
        <v>806</v>
      </c>
      <c r="Z404" t="s">
        <v>22</v>
      </c>
      <c r="AB404" t="s">
        <v>178</v>
      </c>
      <c r="AC404" t="s">
        <v>927</v>
      </c>
      <c r="AD404" s="2" t="s">
        <v>180</v>
      </c>
    </row>
    <row r="405" spans="1:30" hidden="1" x14ac:dyDescent="0.25">
      <c r="A405" s="2">
        <v>127</v>
      </c>
      <c r="B405" t="s">
        <v>933</v>
      </c>
      <c r="C405">
        <v>12</v>
      </c>
      <c r="D405">
        <v>100</v>
      </c>
      <c r="E405">
        <v>150</v>
      </c>
      <c r="F405" t="s">
        <v>172</v>
      </c>
      <c r="G405" s="2" t="s">
        <v>156</v>
      </c>
      <c r="H405">
        <v>4</v>
      </c>
      <c r="I405">
        <v>5.65</v>
      </c>
      <c r="J405" s="2" t="s">
        <v>170</v>
      </c>
      <c r="K405" s="2" t="s">
        <v>74</v>
      </c>
      <c r="M405" t="s">
        <v>1132</v>
      </c>
      <c r="P405" s="19" t="s">
        <v>807</v>
      </c>
      <c r="Q405" s="19" t="s">
        <v>25</v>
      </c>
      <c r="R405" s="19" t="s">
        <v>138</v>
      </c>
      <c r="W405" s="20">
        <v>16</v>
      </c>
      <c r="X405" s="65" t="s">
        <v>806</v>
      </c>
      <c r="Z405" t="s">
        <v>22</v>
      </c>
      <c r="AB405" t="s">
        <v>178</v>
      </c>
      <c r="AC405" t="s">
        <v>927</v>
      </c>
      <c r="AD405" s="2" t="s">
        <v>180</v>
      </c>
    </row>
    <row r="406" spans="1:30" hidden="1" x14ac:dyDescent="0.25">
      <c r="A406" s="2">
        <v>128</v>
      </c>
      <c r="B406" t="s">
        <v>934</v>
      </c>
      <c r="C406">
        <v>12</v>
      </c>
      <c r="D406">
        <v>128</v>
      </c>
      <c r="E406">
        <v>145</v>
      </c>
      <c r="F406" t="s">
        <v>172</v>
      </c>
      <c r="G406" s="2" t="s">
        <v>156</v>
      </c>
      <c r="H406">
        <v>12</v>
      </c>
      <c r="I406">
        <v>20.07</v>
      </c>
      <c r="J406" s="2" t="s">
        <v>170</v>
      </c>
      <c r="K406" s="2" t="s">
        <v>74</v>
      </c>
      <c r="M406" t="s">
        <v>1132</v>
      </c>
      <c r="P406" s="19" t="s">
        <v>807</v>
      </c>
      <c r="Q406" s="19" t="s">
        <v>25</v>
      </c>
      <c r="R406" s="19" t="s">
        <v>138</v>
      </c>
      <c r="W406" s="20">
        <v>16</v>
      </c>
      <c r="X406" s="65" t="s">
        <v>806</v>
      </c>
      <c r="Z406" t="s">
        <v>22</v>
      </c>
      <c r="AB406" t="s">
        <v>178</v>
      </c>
      <c r="AC406" t="s">
        <v>927</v>
      </c>
      <c r="AD406" s="2" t="s">
        <v>180</v>
      </c>
    </row>
    <row r="407" spans="1:30" hidden="1" x14ac:dyDescent="0.25">
      <c r="A407" s="2">
        <v>129</v>
      </c>
      <c r="B407" t="s">
        <v>935</v>
      </c>
      <c r="C407">
        <v>12</v>
      </c>
      <c r="D407">
        <v>100</v>
      </c>
      <c r="E407">
        <v>150</v>
      </c>
      <c r="F407" t="s">
        <v>172</v>
      </c>
      <c r="G407" s="2" t="s">
        <v>156</v>
      </c>
      <c r="H407">
        <v>6</v>
      </c>
      <c r="I407">
        <v>8.48</v>
      </c>
      <c r="J407" s="2" t="s">
        <v>170</v>
      </c>
      <c r="K407" s="2" t="s">
        <v>74</v>
      </c>
      <c r="M407" t="s">
        <v>1132</v>
      </c>
      <c r="P407" s="19" t="s">
        <v>807</v>
      </c>
      <c r="Q407" s="19" t="s">
        <v>25</v>
      </c>
      <c r="R407" s="19" t="s">
        <v>138</v>
      </c>
      <c r="W407" s="20">
        <v>16</v>
      </c>
      <c r="X407" s="65" t="s">
        <v>806</v>
      </c>
      <c r="Z407" t="s">
        <v>22</v>
      </c>
      <c r="AB407" t="s">
        <v>178</v>
      </c>
      <c r="AC407" t="s">
        <v>927</v>
      </c>
      <c r="AD407" s="2" t="s">
        <v>180</v>
      </c>
    </row>
    <row r="408" spans="1:30" hidden="1" x14ac:dyDescent="0.25">
      <c r="A408" s="2">
        <v>130</v>
      </c>
      <c r="B408" t="s">
        <v>936</v>
      </c>
      <c r="C408">
        <v>12</v>
      </c>
      <c r="D408">
        <v>128</v>
      </c>
      <c r="E408">
        <v>145</v>
      </c>
      <c r="F408" t="s">
        <v>172</v>
      </c>
      <c r="G408" s="2" t="s">
        <v>156</v>
      </c>
      <c r="H408">
        <v>18</v>
      </c>
      <c r="I408">
        <v>30.1</v>
      </c>
      <c r="J408" s="2" t="s">
        <v>170</v>
      </c>
      <c r="K408" s="2" t="s">
        <v>74</v>
      </c>
      <c r="M408" t="s">
        <v>1132</v>
      </c>
      <c r="P408" s="19" t="s">
        <v>807</v>
      </c>
      <c r="Q408" s="19" t="s">
        <v>25</v>
      </c>
      <c r="R408" s="19" t="s">
        <v>138</v>
      </c>
      <c r="W408" s="20">
        <v>16</v>
      </c>
      <c r="X408" s="65" t="s">
        <v>806</v>
      </c>
      <c r="Z408" t="s">
        <v>22</v>
      </c>
      <c r="AB408" t="s">
        <v>178</v>
      </c>
      <c r="AC408" t="s">
        <v>927</v>
      </c>
      <c r="AD408" s="2" t="s">
        <v>180</v>
      </c>
    </row>
    <row r="409" spans="1:30" hidden="1" x14ac:dyDescent="0.25">
      <c r="A409" s="2">
        <v>131</v>
      </c>
      <c r="B409" t="s">
        <v>937</v>
      </c>
      <c r="C409">
        <v>12</v>
      </c>
      <c r="D409">
        <v>128</v>
      </c>
      <c r="E409">
        <v>145</v>
      </c>
      <c r="F409" t="s">
        <v>172</v>
      </c>
      <c r="G409" s="2" t="s">
        <v>156</v>
      </c>
      <c r="H409">
        <v>12</v>
      </c>
      <c r="I409">
        <v>20.07</v>
      </c>
      <c r="J409" s="2" t="s">
        <v>170</v>
      </c>
      <c r="K409" s="2" t="s">
        <v>74</v>
      </c>
      <c r="M409" t="s">
        <v>1132</v>
      </c>
      <c r="P409" s="19" t="s">
        <v>807</v>
      </c>
      <c r="Q409" s="19" t="s">
        <v>25</v>
      </c>
      <c r="R409" s="19" t="s">
        <v>138</v>
      </c>
      <c r="W409" s="20">
        <v>16</v>
      </c>
      <c r="X409" s="65" t="s">
        <v>806</v>
      </c>
      <c r="Z409" t="s">
        <v>22</v>
      </c>
      <c r="AB409" t="s">
        <v>178</v>
      </c>
      <c r="AC409" t="s">
        <v>927</v>
      </c>
      <c r="AD409" s="2" t="s">
        <v>180</v>
      </c>
    </row>
    <row r="410" spans="1:30" hidden="1" x14ac:dyDescent="0.25">
      <c r="A410" s="2">
        <v>132</v>
      </c>
      <c r="B410" t="s">
        <v>938</v>
      </c>
      <c r="C410">
        <v>12</v>
      </c>
      <c r="D410">
        <v>100</v>
      </c>
      <c r="E410">
        <v>150</v>
      </c>
      <c r="F410" t="s">
        <v>172</v>
      </c>
      <c r="G410" s="2" t="s">
        <v>156</v>
      </c>
      <c r="H410">
        <v>2</v>
      </c>
      <c r="I410">
        <v>2.83</v>
      </c>
      <c r="J410" s="2" t="s">
        <v>170</v>
      </c>
      <c r="K410" s="2" t="s">
        <v>74</v>
      </c>
      <c r="M410" t="s">
        <v>1132</v>
      </c>
      <c r="P410" s="19" t="s">
        <v>807</v>
      </c>
      <c r="Q410" s="19" t="s">
        <v>25</v>
      </c>
      <c r="R410" s="19" t="s">
        <v>138</v>
      </c>
      <c r="W410" s="20">
        <v>16</v>
      </c>
      <c r="X410" s="65" t="s">
        <v>806</v>
      </c>
      <c r="Z410" t="s">
        <v>22</v>
      </c>
      <c r="AB410" t="s">
        <v>178</v>
      </c>
      <c r="AC410" t="s">
        <v>927</v>
      </c>
      <c r="AD410" s="2" t="s">
        <v>180</v>
      </c>
    </row>
    <row r="411" spans="1:30" hidden="1" x14ac:dyDescent="0.25">
      <c r="A411" s="2">
        <v>133</v>
      </c>
      <c r="B411" t="s">
        <v>939</v>
      </c>
      <c r="C411">
        <v>12</v>
      </c>
      <c r="D411">
        <v>128</v>
      </c>
      <c r="E411">
        <v>145</v>
      </c>
      <c r="F411" t="s">
        <v>172</v>
      </c>
      <c r="G411" s="2" t="s">
        <v>156</v>
      </c>
      <c r="H411">
        <v>4</v>
      </c>
      <c r="I411">
        <v>6.69</v>
      </c>
      <c r="J411" s="2" t="s">
        <v>170</v>
      </c>
      <c r="K411" s="2" t="s">
        <v>74</v>
      </c>
      <c r="M411" t="s">
        <v>1132</v>
      </c>
      <c r="P411" s="19" t="s">
        <v>807</v>
      </c>
      <c r="Q411" s="19" t="s">
        <v>25</v>
      </c>
      <c r="R411" s="19" t="s">
        <v>138</v>
      </c>
      <c r="W411" s="20">
        <v>16</v>
      </c>
      <c r="X411" s="65" t="s">
        <v>806</v>
      </c>
      <c r="Z411" t="s">
        <v>22</v>
      </c>
      <c r="AB411" t="s">
        <v>178</v>
      </c>
      <c r="AC411" t="s">
        <v>927</v>
      </c>
      <c r="AD411" s="2" t="s">
        <v>180</v>
      </c>
    </row>
    <row r="412" spans="1:30" hidden="1" x14ac:dyDescent="0.25">
      <c r="A412" s="2">
        <v>134</v>
      </c>
      <c r="B412" t="s">
        <v>940</v>
      </c>
      <c r="C412">
        <v>12</v>
      </c>
      <c r="D412">
        <v>130</v>
      </c>
      <c r="E412">
        <v>1315</v>
      </c>
      <c r="F412" t="s">
        <v>172</v>
      </c>
      <c r="G412" s="2" t="s">
        <v>156</v>
      </c>
      <c r="H412">
        <v>1</v>
      </c>
      <c r="I412">
        <v>16.100000000000001</v>
      </c>
      <c r="J412" s="2" t="s">
        <v>170</v>
      </c>
      <c r="K412" s="2" t="s">
        <v>74</v>
      </c>
      <c r="M412" t="s">
        <v>1132</v>
      </c>
      <c r="P412" s="19" t="s">
        <v>807</v>
      </c>
      <c r="Q412" s="19" t="s">
        <v>25</v>
      </c>
      <c r="R412" s="19" t="s">
        <v>138</v>
      </c>
      <c r="W412" s="20">
        <v>16</v>
      </c>
      <c r="X412" s="65" t="s">
        <v>806</v>
      </c>
      <c r="Z412" t="s">
        <v>22</v>
      </c>
      <c r="AB412" t="s">
        <v>178</v>
      </c>
      <c r="AC412" t="s">
        <v>927</v>
      </c>
      <c r="AD412" s="2" t="s">
        <v>180</v>
      </c>
    </row>
    <row r="413" spans="1:30" hidden="1" x14ac:dyDescent="0.25">
      <c r="A413" s="2">
        <v>135</v>
      </c>
      <c r="B413" t="s">
        <v>849</v>
      </c>
      <c r="C413">
        <v>12</v>
      </c>
      <c r="D413">
        <v>120</v>
      </c>
      <c r="E413">
        <v>129</v>
      </c>
      <c r="F413" t="s">
        <v>172</v>
      </c>
      <c r="G413" s="2" t="s">
        <v>156</v>
      </c>
      <c r="H413">
        <v>12</v>
      </c>
      <c r="I413">
        <v>15.89</v>
      </c>
      <c r="J413" s="2" t="s">
        <v>170</v>
      </c>
      <c r="K413" s="2" t="s">
        <v>74</v>
      </c>
      <c r="M413" t="s">
        <v>1132</v>
      </c>
      <c r="P413" s="19" t="s">
        <v>807</v>
      </c>
      <c r="Q413" s="19" t="s">
        <v>25</v>
      </c>
      <c r="R413" s="19" t="s">
        <v>138</v>
      </c>
      <c r="W413" s="20">
        <v>16</v>
      </c>
      <c r="X413" s="65" t="s">
        <v>806</v>
      </c>
      <c r="Z413" t="s">
        <v>22</v>
      </c>
      <c r="AB413" t="s">
        <v>178</v>
      </c>
      <c r="AC413" t="s">
        <v>927</v>
      </c>
      <c r="AD413" s="2" t="s">
        <v>180</v>
      </c>
    </row>
    <row r="414" spans="1:30" hidden="1" x14ac:dyDescent="0.25">
      <c r="A414" s="2">
        <v>136</v>
      </c>
      <c r="B414" t="s">
        <v>941</v>
      </c>
      <c r="C414">
        <v>12</v>
      </c>
      <c r="D414">
        <v>120</v>
      </c>
      <c r="E414">
        <v>129</v>
      </c>
      <c r="F414" t="s">
        <v>172</v>
      </c>
      <c r="G414" s="2" t="s">
        <v>156</v>
      </c>
      <c r="H414">
        <v>18</v>
      </c>
      <c r="I414">
        <v>23.83</v>
      </c>
      <c r="J414" s="2" t="s">
        <v>170</v>
      </c>
      <c r="K414" s="2" t="s">
        <v>74</v>
      </c>
      <c r="M414" t="s">
        <v>1132</v>
      </c>
      <c r="P414" s="19" t="s">
        <v>807</v>
      </c>
      <c r="Q414" s="19" t="s">
        <v>25</v>
      </c>
      <c r="R414" s="19" t="s">
        <v>138</v>
      </c>
      <c r="W414" s="20">
        <v>16</v>
      </c>
      <c r="X414" s="65" t="s">
        <v>806</v>
      </c>
      <c r="Z414" t="s">
        <v>22</v>
      </c>
      <c r="AB414" t="s">
        <v>178</v>
      </c>
      <c r="AC414" t="s">
        <v>927</v>
      </c>
      <c r="AD414" s="2" t="s">
        <v>180</v>
      </c>
    </row>
    <row r="415" spans="1:30" hidden="1" x14ac:dyDescent="0.25">
      <c r="A415" s="2">
        <v>137</v>
      </c>
      <c r="B415" t="s">
        <v>942</v>
      </c>
      <c r="C415">
        <v>12</v>
      </c>
      <c r="D415">
        <v>120</v>
      </c>
      <c r="E415">
        <v>129</v>
      </c>
      <c r="F415" t="s">
        <v>172</v>
      </c>
      <c r="G415" s="2" t="s">
        <v>156</v>
      </c>
      <c r="H415">
        <v>4</v>
      </c>
      <c r="I415">
        <v>5.3</v>
      </c>
      <c r="J415" s="2" t="s">
        <v>170</v>
      </c>
      <c r="K415" s="2" t="s">
        <v>74</v>
      </c>
      <c r="M415" t="s">
        <v>1132</v>
      </c>
      <c r="P415" s="19" t="s">
        <v>807</v>
      </c>
      <c r="Q415" s="19" t="s">
        <v>25</v>
      </c>
      <c r="R415" s="19" t="s">
        <v>138</v>
      </c>
      <c r="W415" s="20">
        <v>16</v>
      </c>
      <c r="X415" s="65" t="s">
        <v>806</v>
      </c>
      <c r="Z415" t="s">
        <v>22</v>
      </c>
      <c r="AB415" t="s">
        <v>178</v>
      </c>
      <c r="AC415" t="s">
        <v>927</v>
      </c>
      <c r="AD415" s="2" t="s">
        <v>180</v>
      </c>
    </row>
    <row r="416" spans="1:30" hidden="1" x14ac:dyDescent="0.25">
      <c r="A416" s="2">
        <v>138</v>
      </c>
      <c r="B416" t="s">
        <v>943</v>
      </c>
      <c r="C416">
        <v>12</v>
      </c>
      <c r="D416">
        <v>100</v>
      </c>
      <c r="E416">
        <v>150</v>
      </c>
      <c r="F416" t="s">
        <v>172</v>
      </c>
      <c r="G416" s="2" t="s">
        <v>156</v>
      </c>
      <c r="H416">
        <v>1</v>
      </c>
      <c r="I416">
        <v>1.41</v>
      </c>
      <c r="J416" s="2" t="s">
        <v>170</v>
      </c>
      <c r="K416" s="2" t="s">
        <v>74</v>
      </c>
      <c r="M416" t="s">
        <v>1132</v>
      </c>
      <c r="P416" s="19" t="s">
        <v>807</v>
      </c>
      <c r="Q416" s="19" t="s">
        <v>25</v>
      </c>
      <c r="R416" s="19" t="s">
        <v>138</v>
      </c>
      <c r="W416" s="20">
        <v>16</v>
      </c>
      <c r="X416" s="65" t="s">
        <v>806</v>
      </c>
      <c r="Z416" t="s">
        <v>22</v>
      </c>
      <c r="AB416" t="s">
        <v>178</v>
      </c>
      <c r="AC416" t="s">
        <v>927</v>
      </c>
      <c r="AD416" s="2" t="s">
        <v>180</v>
      </c>
    </row>
    <row r="417" spans="1:30" hidden="1" x14ac:dyDescent="0.25">
      <c r="A417" s="2">
        <v>139</v>
      </c>
      <c r="B417" t="s">
        <v>944</v>
      </c>
      <c r="C417">
        <v>12</v>
      </c>
      <c r="D417">
        <v>120</v>
      </c>
      <c r="E417">
        <v>129</v>
      </c>
      <c r="F417" t="s">
        <v>172</v>
      </c>
      <c r="G417" s="2" t="s">
        <v>156</v>
      </c>
      <c r="H417">
        <v>4</v>
      </c>
      <c r="I417">
        <v>5.3</v>
      </c>
      <c r="J417" s="2" t="s">
        <v>170</v>
      </c>
      <c r="K417" s="2" t="s">
        <v>74</v>
      </c>
      <c r="M417" t="s">
        <v>1132</v>
      </c>
      <c r="P417" s="19" t="s">
        <v>807</v>
      </c>
      <c r="Q417" s="19" t="s">
        <v>25</v>
      </c>
      <c r="R417" s="19" t="s">
        <v>138</v>
      </c>
      <c r="W417" s="20">
        <v>16</v>
      </c>
      <c r="X417" s="65" t="s">
        <v>806</v>
      </c>
      <c r="Z417" t="s">
        <v>22</v>
      </c>
      <c r="AB417" t="s">
        <v>178</v>
      </c>
      <c r="AC417" t="s">
        <v>927</v>
      </c>
      <c r="AD417" s="2" t="s">
        <v>180</v>
      </c>
    </row>
    <row r="418" spans="1:30" hidden="1" x14ac:dyDescent="0.25">
      <c r="A418" s="2">
        <v>140</v>
      </c>
      <c r="B418" t="s">
        <v>945</v>
      </c>
      <c r="C418">
        <v>12</v>
      </c>
      <c r="D418">
        <v>100</v>
      </c>
      <c r="E418">
        <v>150</v>
      </c>
      <c r="F418" t="s">
        <v>172</v>
      </c>
      <c r="G418" s="2" t="s">
        <v>156</v>
      </c>
      <c r="H418">
        <v>1</v>
      </c>
      <c r="I418">
        <v>1.41</v>
      </c>
      <c r="J418" s="2" t="s">
        <v>170</v>
      </c>
      <c r="K418" s="2" t="s">
        <v>74</v>
      </c>
      <c r="M418" t="s">
        <v>1132</v>
      </c>
      <c r="P418" s="19" t="s">
        <v>807</v>
      </c>
      <c r="Q418" s="19" t="s">
        <v>25</v>
      </c>
      <c r="R418" s="19" t="s">
        <v>138</v>
      </c>
      <c r="W418" s="20">
        <v>16</v>
      </c>
      <c r="X418" s="65" t="s">
        <v>806</v>
      </c>
      <c r="Z418" t="s">
        <v>22</v>
      </c>
      <c r="AB418" t="s">
        <v>178</v>
      </c>
      <c r="AC418" t="s">
        <v>927</v>
      </c>
      <c r="AD418" s="2" t="s">
        <v>180</v>
      </c>
    </row>
    <row r="419" spans="1:30" hidden="1" x14ac:dyDescent="0.25">
      <c r="A419" s="2">
        <v>141</v>
      </c>
      <c r="B419" t="s">
        <v>946</v>
      </c>
      <c r="C419">
        <v>12</v>
      </c>
      <c r="D419">
        <v>120</v>
      </c>
      <c r="E419">
        <v>129</v>
      </c>
      <c r="F419" t="s">
        <v>172</v>
      </c>
      <c r="G419" s="2" t="s">
        <v>156</v>
      </c>
      <c r="H419">
        <v>4</v>
      </c>
      <c r="I419">
        <v>5.3</v>
      </c>
      <c r="J419" s="2" t="s">
        <v>170</v>
      </c>
      <c r="K419" s="2" t="s">
        <v>74</v>
      </c>
      <c r="M419" t="s">
        <v>1132</v>
      </c>
      <c r="P419" s="19" t="s">
        <v>807</v>
      </c>
      <c r="Q419" s="19" t="s">
        <v>25</v>
      </c>
      <c r="R419" s="19" t="s">
        <v>138</v>
      </c>
      <c r="W419" s="20">
        <v>16</v>
      </c>
      <c r="X419" s="65" t="s">
        <v>806</v>
      </c>
      <c r="Z419" t="s">
        <v>22</v>
      </c>
      <c r="AB419" t="s">
        <v>178</v>
      </c>
      <c r="AC419" t="s">
        <v>927</v>
      </c>
      <c r="AD419" s="2" t="s">
        <v>180</v>
      </c>
    </row>
    <row r="420" spans="1:30" hidden="1" x14ac:dyDescent="0.25">
      <c r="A420" s="2">
        <v>142</v>
      </c>
      <c r="B420" t="s">
        <v>947</v>
      </c>
      <c r="C420">
        <v>12</v>
      </c>
      <c r="D420">
        <v>120</v>
      </c>
      <c r="E420">
        <v>129</v>
      </c>
      <c r="F420" t="s">
        <v>172</v>
      </c>
      <c r="G420" s="2" t="s">
        <v>156</v>
      </c>
      <c r="H420">
        <v>4</v>
      </c>
      <c r="I420">
        <v>5.3</v>
      </c>
      <c r="J420" s="2" t="s">
        <v>170</v>
      </c>
      <c r="K420" s="2" t="s">
        <v>74</v>
      </c>
      <c r="M420" t="s">
        <v>1132</v>
      </c>
      <c r="P420" s="19" t="s">
        <v>807</v>
      </c>
      <c r="Q420" s="19" t="s">
        <v>25</v>
      </c>
      <c r="R420" s="19" t="s">
        <v>138</v>
      </c>
      <c r="W420" s="20">
        <v>16</v>
      </c>
      <c r="X420" s="65" t="s">
        <v>806</v>
      </c>
      <c r="Z420" t="s">
        <v>22</v>
      </c>
      <c r="AB420" t="s">
        <v>178</v>
      </c>
      <c r="AC420" t="s">
        <v>927</v>
      </c>
      <c r="AD420" s="2" t="s">
        <v>180</v>
      </c>
    </row>
    <row r="421" spans="1:30" hidden="1" x14ac:dyDescent="0.25">
      <c r="A421" s="2">
        <v>143</v>
      </c>
      <c r="B421" t="s">
        <v>948</v>
      </c>
      <c r="C421">
        <v>12</v>
      </c>
      <c r="D421">
        <v>100</v>
      </c>
      <c r="E421">
        <v>150</v>
      </c>
      <c r="F421" t="s">
        <v>172</v>
      </c>
      <c r="G421" s="2" t="s">
        <v>156</v>
      </c>
      <c r="H421">
        <v>1</v>
      </c>
      <c r="I421">
        <v>1.41</v>
      </c>
      <c r="J421" s="2" t="s">
        <v>170</v>
      </c>
      <c r="K421" s="2" t="s">
        <v>74</v>
      </c>
      <c r="M421" t="s">
        <v>1132</v>
      </c>
      <c r="P421" s="19" t="s">
        <v>807</v>
      </c>
      <c r="Q421" s="19" t="s">
        <v>25</v>
      </c>
      <c r="R421" s="19" t="s">
        <v>138</v>
      </c>
      <c r="W421" s="20">
        <v>16</v>
      </c>
      <c r="X421" s="65" t="s">
        <v>806</v>
      </c>
      <c r="Z421" t="s">
        <v>22</v>
      </c>
      <c r="AB421" t="s">
        <v>178</v>
      </c>
      <c r="AC421" t="s">
        <v>927</v>
      </c>
      <c r="AD421" s="2" t="s">
        <v>180</v>
      </c>
    </row>
    <row r="422" spans="1:30" hidden="1" x14ac:dyDescent="0.25">
      <c r="A422" s="2">
        <v>144</v>
      </c>
      <c r="B422" t="s">
        <v>949</v>
      </c>
      <c r="C422">
        <v>12</v>
      </c>
      <c r="D422">
        <v>120</v>
      </c>
      <c r="E422">
        <v>129</v>
      </c>
      <c r="F422" t="s">
        <v>172</v>
      </c>
      <c r="G422" s="2" t="s">
        <v>156</v>
      </c>
      <c r="H422">
        <v>4</v>
      </c>
      <c r="I422">
        <v>5.3</v>
      </c>
      <c r="J422" s="2" t="s">
        <v>170</v>
      </c>
      <c r="K422" s="2" t="s">
        <v>74</v>
      </c>
      <c r="M422" t="s">
        <v>1132</v>
      </c>
      <c r="P422" s="19" t="s">
        <v>807</v>
      </c>
      <c r="Q422" s="19" t="s">
        <v>25</v>
      </c>
      <c r="R422" s="19" t="s">
        <v>138</v>
      </c>
      <c r="W422" s="20">
        <v>16</v>
      </c>
      <c r="X422" s="65" t="s">
        <v>806</v>
      </c>
      <c r="Z422" t="s">
        <v>22</v>
      </c>
      <c r="AB422" t="s">
        <v>178</v>
      </c>
      <c r="AC422" t="s">
        <v>927</v>
      </c>
      <c r="AD422" s="2" t="s">
        <v>180</v>
      </c>
    </row>
    <row r="423" spans="1:30" hidden="1" x14ac:dyDescent="0.25">
      <c r="A423" s="2">
        <v>145</v>
      </c>
      <c r="B423" t="s">
        <v>950</v>
      </c>
      <c r="C423">
        <v>12</v>
      </c>
      <c r="D423">
        <v>100</v>
      </c>
      <c r="E423">
        <v>150</v>
      </c>
      <c r="F423" t="s">
        <v>172</v>
      </c>
      <c r="G423" s="2" t="s">
        <v>156</v>
      </c>
      <c r="H423">
        <v>1</v>
      </c>
      <c r="I423">
        <v>1.41</v>
      </c>
      <c r="J423" s="2" t="s">
        <v>170</v>
      </c>
      <c r="K423" s="2" t="s">
        <v>74</v>
      </c>
      <c r="M423" t="s">
        <v>1132</v>
      </c>
      <c r="P423" s="19" t="s">
        <v>807</v>
      </c>
      <c r="Q423" s="19" t="s">
        <v>25</v>
      </c>
      <c r="R423" s="19" t="s">
        <v>138</v>
      </c>
      <c r="W423" s="20">
        <v>16</v>
      </c>
      <c r="X423" s="65" t="s">
        <v>806</v>
      </c>
      <c r="Z423" t="s">
        <v>22</v>
      </c>
      <c r="AB423" t="s">
        <v>178</v>
      </c>
      <c r="AC423" t="s">
        <v>927</v>
      </c>
      <c r="AD423" s="2" t="s">
        <v>180</v>
      </c>
    </row>
    <row r="424" spans="1:30" hidden="1" x14ac:dyDescent="0.25">
      <c r="A424" s="2">
        <v>146</v>
      </c>
      <c r="B424" t="s">
        <v>951</v>
      </c>
      <c r="C424">
        <v>12</v>
      </c>
      <c r="D424">
        <v>120</v>
      </c>
      <c r="E424">
        <v>129</v>
      </c>
      <c r="F424" t="s">
        <v>172</v>
      </c>
      <c r="G424" s="2" t="s">
        <v>156</v>
      </c>
      <c r="H424">
        <v>4</v>
      </c>
      <c r="I424">
        <v>5.3</v>
      </c>
      <c r="J424" s="2" t="s">
        <v>170</v>
      </c>
      <c r="K424" s="2" t="s">
        <v>74</v>
      </c>
      <c r="M424" t="s">
        <v>1132</v>
      </c>
      <c r="P424" s="19" t="s">
        <v>807</v>
      </c>
      <c r="Q424" s="19" t="s">
        <v>25</v>
      </c>
      <c r="R424" s="19" t="s">
        <v>138</v>
      </c>
      <c r="W424" s="20">
        <v>16</v>
      </c>
      <c r="X424" s="65" t="s">
        <v>806</v>
      </c>
      <c r="Z424" t="s">
        <v>22</v>
      </c>
      <c r="AB424" t="s">
        <v>178</v>
      </c>
      <c r="AC424" t="s">
        <v>927</v>
      </c>
      <c r="AD424" s="2" t="s">
        <v>180</v>
      </c>
    </row>
    <row r="425" spans="1:30" hidden="1" x14ac:dyDescent="0.25">
      <c r="A425" s="2">
        <v>147</v>
      </c>
      <c r="B425" t="s">
        <v>952</v>
      </c>
      <c r="C425">
        <v>12</v>
      </c>
      <c r="D425">
        <v>100</v>
      </c>
      <c r="E425">
        <v>150</v>
      </c>
      <c r="F425" t="s">
        <v>172</v>
      </c>
      <c r="G425" s="2" t="s">
        <v>156</v>
      </c>
      <c r="H425">
        <v>1</v>
      </c>
      <c r="I425">
        <v>1.41</v>
      </c>
      <c r="J425" s="2" t="s">
        <v>170</v>
      </c>
      <c r="K425" s="2" t="s">
        <v>74</v>
      </c>
      <c r="M425" t="s">
        <v>1132</v>
      </c>
      <c r="P425" s="19" t="s">
        <v>807</v>
      </c>
      <c r="Q425" s="19" t="s">
        <v>25</v>
      </c>
      <c r="R425" s="19" t="s">
        <v>138</v>
      </c>
      <c r="W425" s="20">
        <v>16</v>
      </c>
      <c r="X425" s="65" t="s">
        <v>806</v>
      </c>
      <c r="Z425" t="s">
        <v>22</v>
      </c>
      <c r="AB425" t="s">
        <v>178</v>
      </c>
      <c r="AC425" t="s">
        <v>927</v>
      </c>
      <c r="AD425" s="2" t="s">
        <v>180</v>
      </c>
    </row>
    <row r="426" spans="1:30" hidden="1" x14ac:dyDescent="0.25">
      <c r="A426" s="2">
        <v>148</v>
      </c>
      <c r="B426" t="s">
        <v>953</v>
      </c>
      <c r="C426">
        <v>12</v>
      </c>
      <c r="D426">
        <v>120</v>
      </c>
      <c r="E426">
        <v>129</v>
      </c>
      <c r="F426" t="s">
        <v>172</v>
      </c>
      <c r="G426" s="2" t="s">
        <v>156</v>
      </c>
      <c r="H426">
        <v>4</v>
      </c>
      <c r="I426">
        <v>5.3</v>
      </c>
      <c r="J426" s="2" t="s">
        <v>170</v>
      </c>
      <c r="K426" s="2" t="s">
        <v>74</v>
      </c>
      <c r="M426" t="s">
        <v>1132</v>
      </c>
      <c r="P426" s="19" t="s">
        <v>807</v>
      </c>
      <c r="Q426" s="19" t="s">
        <v>25</v>
      </c>
      <c r="R426" s="19" t="s">
        <v>138</v>
      </c>
      <c r="W426" s="20">
        <v>16</v>
      </c>
      <c r="X426" s="65" t="s">
        <v>806</v>
      </c>
      <c r="Z426" t="s">
        <v>22</v>
      </c>
      <c r="AB426" t="s">
        <v>178</v>
      </c>
      <c r="AC426" t="s">
        <v>927</v>
      </c>
      <c r="AD426" s="2" t="s">
        <v>180</v>
      </c>
    </row>
    <row r="427" spans="1:30" hidden="1" x14ac:dyDescent="0.25">
      <c r="A427" s="2">
        <v>149</v>
      </c>
      <c r="B427" t="s">
        <v>954</v>
      </c>
      <c r="C427">
        <v>12</v>
      </c>
      <c r="D427">
        <v>100</v>
      </c>
      <c r="E427">
        <v>150</v>
      </c>
      <c r="F427" t="s">
        <v>172</v>
      </c>
      <c r="G427" s="2" t="s">
        <v>156</v>
      </c>
      <c r="H427">
        <v>1</v>
      </c>
      <c r="I427">
        <v>1.41</v>
      </c>
      <c r="J427" s="2" t="s">
        <v>170</v>
      </c>
      <c r="K427" s="2" t="s">
        <v>74</v>
      </c>
      <c r="M427" t="s">
        <v>1132</v>
      </c>
      <c r="P427" s="19" t="s">
        <v>807</v>
      </c>
      <c r="Q427" s="19" t="s">
        <v>25</v>
      </c>
      <c r="R427" s="19" t="s">
        <v>138</v>
      </c>
      <c r="W427" s="20">
        <v>16</v>
      </c>
      <c r="X427" s="65" t="s">
        <v>806</v>
      </c>
      <c r="Z427" t="s">
        <v>22</v>
      </c>
      <c r="AB427" t="s">
        <v>178</v>
      </c>
      <c r="AC427" t="s">
        <v>927</v>
      </c>
      <c r="AD427" s="2" t="s">
        <v>180</v>
      </c>
    </row>
    <row r="428" spans="1:30" hidden="1" x14ac:dyDescent="0.25">
      <c r="A428" s="2">
        <v>150</v>
      </c>
      <c r="B428" t="s">
        <v>955</v>
      </c>
      <c r="C428">
        <v>12</v>
      </c>
      <c r="D428">
        <v>120</v>
      </c>
      <c r="E428">
        <v>129</v>
      </c>
      <c r="F428" t="s">
        <v>172</v>
      </c>
      <c r="G428" s="2" t="s">
        <v>156</v>
      </c>
      <c r="H428">
        <v>4</v>
      </c>
      <c r="I428">
        <v>5.3</v>
      </c>
      <c r="J428" s="2" t="s">
        <v>170</v>
      </c>
      <c r="K428" s="2" t="s">
        <v>74</v>
      </c>
      <c r="M428" t="s">
        <v>1132</v>
      </c>
      <c r="P428" s="19" t="s">
        <v>807</v>
      </c>
      <c r="Q428" s="19" t="s">
        <v>25</v>
      </c>
      <c r="R428" s="19" t="s">
        <v>138</v>
      </c>
      <c r="W428" s="20">
        <v>16</v>
      </c>
      <c r="X428" s="65" t="s">
        <v>806</v>
      </c>
      <c r="Z428" t="s">
        <v>22</v>
      </c>
      <c r="AB428" t="s">
        <v>178</v>
      </c>
      <c r="AC428" t="s">
        <v>927</v>
      </c>
      <c r="AD428" s="2" t="s">
        <v>180</v>
      </c>
    </row>
    <row r="429" spans="1:30" hidden="1" x14ac:dyDescent="0.25">
      <c r="A429" s="2">
        <v>151</v>
      </c>
      <c r="B429" t="s">
        <v>956</v>
      </c>
      <c r="C429">
        <v>12</v>
      </c>
      <c r="D429">
        <v>100</v>
      </c>
      <c r="E429">
        <v>150</v>
      </c>
      <c r="F429" t="s">
        <v>172</v>
      </c>
      <c r="G429" s="2" t="s">
        <v>156</v>
      </c>
      <c r="H429">
        <v>1</v>
      </c>
      <c r="I429">
        <v>1.41</v>
      </c>
      <c r="J429" s="2" t="s">
        <v>170</v>
      </c>
      <c r="K429" s="2" t="s">
        <v>74</v>
      </c>
      <c r="M429" t="s">
        <v>1132</v>
      </c>
      <c r="P429" s="19" t="s">
        <v>807</v>
      </c>
      <c r="Q429" s="19" t="s">
        <v>25</v>
      </c>
      <c r="R429" s="19" t="s">
        <v>138</v>
      </c>
      <c r="W429" s="20">
        <v>16</v>
      </c>
      <c r="X429" s="65" t="s">
        <v>806</v>
      </c>
      <c r="Z429" t="s">
        <v>22</v>
      </c>
      <c r="AB429" t="s">
        <v>178</v>
      </c>
      <c r="AC429" t="s">
        <v>927</v>
      </c>
      <c r="AD429" s="2" t="s">
        <v>180</v>
      </c>
    </row>
    <row r="430" spans="1:30" hidden="1" x14ac:dyDescent="0.25">
      <c r="A430" s="2">
        <v>152</v>
      </c>
      <c r="B430" t="s">
        <v>957</v>
      </c>
      <c r="C430">
        <v>12</v>
      </c>
      <c r="D430">
        <v>130</v>
      </c>
      <c r="E430">
        <v>1458</v>
      </c>
      <c r="F430" t="s">
        <v>172</v>
      </c>
      <c r="G430" s="2" t="s">
        <v>156</v>
      </c>
      <c r="H430">
        <v>1</v>
      </c>
      <c r="I430">
        <v>17.84</v>
      </c>
      <c r="J430" s="2" t="s">
        <v>170</v>
      </c>
      <c r="K430" s="2" t="s">
        <v>74</v>
      </c>
      <c r="M430" t="s">
        <v>1132</v>
      </c>
      <c r="P430" s="19" t="s">
        <v>807</v>
      </c>
      <c r="Q430" s="19" t="s">
        <v>25</v>
      </c>
      <c r="R430" s="19" t="s">
        <v>138</v>
      </c>
      <c r="W430" s="20">
        <v>16</v>
      </c>
      <c r="X430" s="65" t="s">
        <v>806</v>
      </c>
      <c r="Z430" t="s">
        <v>22</v>
      </c>
      <c r="AB430" t="s">
        <v>178</v>
      </c>
      <c r="AC430" t="s">
        <v>927</v>
      </c>
      <c r="AD430" s="2" t="s">
        <v>180</v>
      </c>
    </row>
    <row r="431" spans="1:30" hidden="1" x14ac:dyDescent="0.25">
      <c r="A431" s="2">
        <v>153</v>
      </c>
      <c r="B431" t="s">
        <v>958</v>
      </c>
      <c r="C431">
        <v>12</v>
      </c>
      <c r="D431">
        <v>130</v>
      </c>
      <c r="E431">
        <v>1458</v>
      </c>
      <c r="F431" t="s">
        <v>172</v>
      </c>
      <c r="G431" s="2" t="s">
        <v>156</v>
      </c>
      <c r="H431">
        <v>1</v>
      </c>
      <c r="I431">
        <v>17.84</v>
      </c>
      <c r="J431" s="2" t="s">
        <v>170</v>
      </c>
      <c r="K431" s="2" t="s">
        <v>74</v>
      </c>
      <c r="M431" t="s">
        <v>1132</v>
      </c>
      <c r="P431" s="19" t="s">
        <v>807</v>
      </c>
      <c r="Q431" s="19" t="s">
        <v>25</v>
      </c>
      <c r="R431" s="19" t="s">
        <v>138</v>
      </c>
      <c r="W431" s="20">
        <v>16</v>
      </c>
      <c r="X431" s="65" t="s">
        <v>806</v>
      </c>
      <c r="Z431" t="s">
        <v>22</v>
      </c>
      <c r="AB431" t="s">
        <v>178</v>
      </c>
      <c r="AC431" t="s">
        <v>927</v>
      </c>
      <c r="AD431" s="2" t="s">
        <v>180</v>
      </c>
    </row>
    <row r="432" spans="1:30" hidden="1" x14ac:dyDescent="0.25">
      <c r="A432" s="2">
        <v>154</v>
      </c>
      <c r="B432" t="s">
        <v>959</v>
      </c>
      <c r="C432">
        <v>12</v>
      </c>
      <c r="D432">
        <v>70</v>
      </c>
      <c r="E432">
        <v>155</v>
      </c>
      <c r="F432" t="s">
        <v>172</v>
      </c>
      <c r="G432" s="2" t="s">
        <v>156</v>
      </c>
      <c r="H432">
        <v>2</v>
      </c>
      <c r="I432">
        <v>1.53</v>
      </c>
      <c r="J432" s="2" t="s">
        <v>170</v>
      </c>
      <c r="K432" s="2" t="s">
        <v>74</v>
      </c>
      <c r="M432" t="s">
        <v>1132</v>
      </c>
      <c r="O432" t="s">
        <v>176</v>
      </c>
      <c r="P432" s="19" t="s">
        <v>807</v>
      </c>
      <c r="Q432" s="19" t="s">
        <v>26</v>
      </c>
      <c r="R432" s="19" t="s">
        <v>138</v>
      </c>
      <c r="W432" s="20">
        <v>16</v>
      </c>
      <c r="X432" s="65" t="s">
        <v>806</v>
      </c>
      <c r="Z432" t="s">
        <v>22</v>
      </c>
      <c r="AB432" t="s">
        <v>178</v>
      </c>
      <c r="AC432" t="s">
        <v>927</v>
      </c>
      <c r="AD432" s="2" t="s">
        <v>180</v>
      </c>
    </row>
    <row r="433" spans="1:30" hidden="1" x14ac:dyDescent="0.25">
      <c r="A433" s="2">
        <v>155</v>
      </c>
      <c r="B433" t="s">
        <v>961</v>
      </c>
      <c r="C433">
        <v>12</v>
      </c>
      <c r="D433">
        <v>70</v>
      </c>
      <c r="E433">
        <v>155</v>
      </c>
      <c r="F433" t="s">
        <v>172</v>
      </c>
      <c r="G433" s="2" t="s">
        <v>156</v>
      </c>
      <c r="H433">
        <v>2</v>
      </c>
      <c r="I433">
        <v>1.53</v>
      </c>
      <c r="J433" s="2" t="s">
        <v>170</v>
      </c>
      <c r="K433" s="2" t="s">
        <v>74</v>
      </c>
      <c r="M433" t="s">
        <v>1132</v>
      </c>
      <c r="O433" t="s">
        <v>176</v>
      </c>
      <c r="P433" s="19" t="s">
        <v>807</v>
      </c>
      <c r="Q433" s="19" t="s">
        <v>26</v>
      </c>
      <c r="R433" s="19" t="s">
        <v>138</v>
      </c>
      <c r="W433" s="20">
        <v>16</v>
      </c>
      <c r="X433" s="65" t="s">
        <v>806</v>
      </c>
      <c r="Z433" t="s">
        <v>22</v>
      </c>
      <c r="AB433" t="s">
        <v>178</v>
      </c>
      <c r="AC433" t="s">
        <v>927</v>
      </c>
      <c r="AD433" s="2" t="s">
        <v>180</v>
      </c>
    </row>
    <row r="434" spans="1:30" hidden="1" x14ac:dyDescent="0.25">
      <c r="A434" s="2">
        <v>156</v>
      </c>
      <c r="B434" t="s">
        <v>962</v>
      </c>
      <c r="C434">
        <v>12</v>
      </c>
      <c r="D434">
        <v>70</v>
      </c>
      <c r="E434">
        <v>155</v>
      </c>
      <c r="F434" t="s">
        <v>172</v>
      </c>
      <c r="G434" s="2" t="s">
        <v>156</v>
      </c>
      <c r="H434">
        <v>2</v>
      </c>
      <c r="I434">
        <v>1.53</v>
      </c>
      <c r="J434" s="2" t="s">
        <v>170</v>
      </c>
      <c r="K434" s="2" t="s">
        <v>74</v>
      </c>
      <c r="M434" t="s">
        <v>1132</v>
      </c>
      <c r="O434" t="s">
        <v>176</v>
      </c>
      <c r="P434" s="19" t="s">
        <v>807</v>
      </c>
      <c r="Q434" s="19" t="s">
        <v>26</v>
      </c>
      <c r="R434" s="19" t="s">
        <v>138</v>
      </c>
      <c r="W434" s="20">
        <v>16</v>
      </c>
      <c r="X434" s="65" t="s">
        <v>806</v>
      </c>
      <c r="Z434" t="s">
        <v>22</v>
      </c>
      <c r="AB434" t="s">
        <v>178</v>
      </c>
      <c r="AC434" t="s">
        <v>927</v>
      </c>
      <c r="AD434" s="2" t="s">
        <v>180</v>
      </c>
    </row>
    <row r="435" spans="1:30" hidden="1" x14ac:dyDescent="0.25">
      <c r="A435" s="2">
        <v>157</v>
      </c>
      <c r="B435" t="s">
        <v>963</v>
      </c>
      <c r="C435">
        <v>12</v>
      </c>
      <c r="D435">
        <v>70</v>
      </c>
      <c r="E435">
        <v>155</v>
      </c>
      <c r="F435" t="s">
        <v>172</v>
      </c>
      <c r="G435" s="2" t="s">
        <v>156</v>
      </c>
      <c r="H435">
        <v>2</v>
      </c>
      <c r="I435">
        <v>1.53</v>
      </c>
      <c r="J435" s="2" t="s">
        <v>170</v>
      </c>
      <c r="K435" s="2" t="s">
        <v>74</v>
      </c>
      <c r="M435" t="s">
        <v>1132</v>
      </c>
      <c r="O435" t="s">
        <v>176</v>
      </c>
      <c r="P435" s="19" t="s">
        <v>807</v>
      </c>
      <c r="Q435" s="19" t="s">
        <v>26</v>
      </c>
      <c r="R435" s="19" t="s">
        <v>138</v>
      </c>
      <c r="W435" s="20">
        <v>16</v>
      </c>
      <c r="X435" s="65" t="s">
        <v>806</v>
      </c>
      <c r="Z435" t="s">
        <v>22</v>
      </c>
      <c r="AB435" t="s">
        <v>178</v>
      </c>
      <c r="AC435" t="s">
        <v>927</v>
      </c>
      <c r="AD435" s="2" t="s">
        <v>180</v>
      </c>
    </row>
    <row r="436" spans="1:30" hidden="1" x14ac:dyDescent="0.25">
      <c r="A436" s="2">
        <v>158</v>
      </c>
      <c r="B436" t="s">
        <v>964</v>
      </c>
      <c r="C436">
        <v>12</v>
      </c>
      <c r="D436">
        <v>70</v>
      </c>
      <c r="E436">
        <v>165</v>
      </c>
      <c r="F436" t="s">
        <v>172</v>
      </c>
      <c r="G436" s="2" t="s">
        <v>156</v>
      </c>
      <c r="H436">
        <v>2</v>
      </c>
      <c r="I436">
        <v>1.67</v>
      </c>
      <c r="J436" s="2" t="s">
        <v>170</v>
      </c>
      <c r="K436" s="2" t="s">
        <v>74</v>
      </c>
      <c r="M436" t="s">
        <v>1132</v>
      </c>
      <c r="O436" t="s">
        <v>176</v>
      </c>
      <c r="P436" s="19" t="s">
        <v>807</v>
      </c>
      <c r="Q436" s="19" t="s">
        <v>26</v>
      </c>
      <c r="R436" s="19" t="s">
        <v>138</v>
      </c>
      <c r="W436" s="20">
        <v>16</v>
      </c>
      <c r="X436" s="65" t="s">
        <v>806</v>
      </c>
      <c r="Z436" t="s">
        <v>22</v>
      </c>
      <c r="AB436" t="s">
        <v>178</v>
      </c>
      <c r="AC436" t="s">
        <v>927</v>
      </c>
      <c r="AD436" s="2" t="s">
        <v>180</v>
      </c>
    </row>
    <row r="437" spans="1:30" hidden="1" x14ac:dyDescent="0.25">
      <c r="A437" s="2">
        <v>159</v>
      </c>
      <c r="B437" t="s">
        <v>966</v>
      </c>
      <c r="C437">
        <v>12</v>
      </c>
      <c r="D437">
        <v>70</v>
      </c>
      <c r="E437">
        <v>165</v>
      </c>
      <c r="F437" t="s">
        <v>172</v>
      </c>
      <c r="G437" s="2" t="s">
        <v>156</v>
      </c>
      <c r="H437">
        <v>2</v>
      </c>
      <c r="I437">
        <v>1.67</v>
      </c>
      <c r="J437" s="2" t="s">
        <v>170</v>
      </c>
      <c r="K437" s="2" t="s">
        <v>74</v>
      </c>
      <c r="M437" t="s">
        <v>1132</v>
      </c>
      <c r="O437" t="s">
        <v>176</v>
      </c>
      <c r="P437" s="19" t="s">
        <v>807</v>
      </c>
      <c r="Q437" s="19" t="s">
        <v>26</v>
      </c>
      <c r="R437" s="19" t="s">
        <v>138</v>
      </c>
      <c r="W437" s="20">
        <v>16</v>
      </c>
      <c r="X437" s="65" t="s">
        <v>806</v>
      </c>
      <c r="Z437" t="s">
        <v>22</v>
      </c>
      <c r="AB437" t="s">
        <v>178</v>
      </c>
      <c r="AC437" t="s">
        <v>927</v>
      </c>
      <c r="AD437" s="2" t="s">
        <v>180</v>
      </c>
    </row>
    <row r="438" spans="1:30" hidden="1" x14ac:dyDescent="0.25">
      <c r="A438" s="2">
        <v>160</v>
      </c>
      <c r="B438" t="s">
        <v>967</v>
      </c>
      <c r="C438">
        <v>12</v>
      </c>
      <c r="D438">
        <v>70</v>
      </c>
      <c r="E438">
        <v>165</v>
      </c>
      <c r="F438" t="s">
        <v>172</v>
      </c>
      <c r="G438" s="2" t="s">
        <v>156</v>
      </c>
      <c r="H438">
        <v>2</v>
      </c>
      <c r="I438">
        <v>1.67</v>
      </c>
      <c r="J438" s="2" t="s">
        <v>170</v>
      </c>
      <c r="K438" s="2" t="s">
        <v>74</v>
      </c>
      <c r="M438" t="s">
        <v>1132</v>
      </c>
      <c r="O438" t="s">
        <v>176</v>
      </c>
      <c r="P438" s="19" t="s">
        <v>807</v>
      </c>
      <c r="Q438" s="19" t="s">
        <v>26</v>
      </c>
      <c r="R438" s="19" t="s">
        <v>138</v>
      </c>
      <c r="W438" s="20">
        <v>16</v>
      </c>
      <c r="X438" s="65" t="s">
        <v>806</v>
      </c>
      <c r="Z438" t="s">
        <v>22</v>
      </c>
      <c r="AB438" t="s">
        <v>178</v>
      </c>
      <c r="AC438" t="s">
        <v>927</v>
      </c>
      <c r="AD438" s="2" t="s">
        <v>180</v>
      </c>
    </row>
    <row r="439" spans="1:30" hidden="1" x14ac:dyDescent="0.25">
      <c r="A439" s="2">
        <v>161</v>
      </c>
      <c r="B439" t="s">
        <v>968</v>
      </c>
      <c r="C439">
        <v>12</v>
      </c>
      <c r="D439">
        <v>70</v>
      </c>
      <c r="E439">
        <v>165</v>
      </c>
      <c r="F439" t="s">
        <v>172</v>
      </c>
      <c r="G439" s="2" t="s">
        <v>156</v>
      </c>
      <c r="H439">
        <v>2</v>
      </c>
      <c r="I439">
        <v>1.67</v>
      </c>
      <c r="J439" s="2" t="s">
        <v>170</v>
      </c>
      <c r="K439" s="2" t="s">
        <v>74</v>
      </c>
      <c r="M439" t="s">
        <v>1132</v>
      </c>
      <c r="O439" t="s">
        <v>176</v>
      </c>
      <c r="P439" s="19" t="s">
        <v>807</v>
      </c>
      <c r="Q439" s="19" t="s">
        <v>26</v>
      </c>
      <c r="R439" s="19" t="s">
        <v>138</v>
      </c>
      <c r="W439" s="20">
        <v>16</v>
      </c>
      <c r="X439" s="65" t="s">
        <v>806</v>
      </c>
      <c r="Z439" t="s">
        <v>22</v>
      </c>
      <c r="AB439" t="s">
        <v>178</v>
      </c>
      <c r="AC439" t="s">
        <v>927</v>
      </c>
      <c r="AD439" s="2" t="s">
        <v>180</v>
      </c>
    </row>
    <row r="440" spans="1:30" hidden="1" x14ac:dyDescent="0.25">
      <c r="A440" s="2">
        <v>162</v>
      </c>
      <c r="B440" t="s">
        <v>969</v>
      </c>
      <c r="C440">
        <v>12</v>
      </c>
      <c r="D440">
        <v>120</v>
      </c>
      <c r="E440">
        <v>129</v>
      </c>
      <c r="F440" t="s">
        <v>172</v>
      </c>
      <c r="G440" s="2" t="s">
        <v>156</v>
      </c>
      <c r="H440">
        <v>24</v>
      </c>
      <c r="I440">
        <v>31.78</v>
      </c>
      <c r="J440" s="2" t="s">
        <v>170</v>
      </c>
      <c r="K440" s="2" t="s">
        <v>74</v>
      </c>
      <c r="M440" t="s">
        <v>1132</v>
      </c>
      <c r="P440" s="19" t="s">
        <v>807</v>
      </c>
      <c r="Q440" s="19" t="s">
        <v>25</v>
      </c>
      <c r="R440" s="19" t="s">
        <v>138</v>
      </c>
      <c r="W440" s="20">
        <v>16</v>
      </c>
      <c r="X440" s="65" t="s">
        <v>806</v>
      </c>
      <c r="Z440" t="s">
        <v>22</v>
      </c>
      <c r="AB440" t="s">
        <v>178</v>
      </c>
      <c r="AC440" t="s">
        <v>927</v>
      </c>
      <c r="AD440" s="2" t="s">
        <v>180</v>
      </c>
    </row>
    <row r="441" spans="1:30" hidden="1" x14ac:dyDescent="0.25">
      <c r="A441" s="2">
        <v>163</v>
      </c>
      <c r="B441" t="s">
        <v>970</v>
      </c>
      <c r="C441">
        <v>12</v>
      </c>
      <c r="D441">
        <v>120</v>
      </c>
      <c r="E441">
        <v>129</v>
      </c>
      <c r="F441" t="s">
        <v>172</v>
      </c>
      <c r="G441" s="2" t="s">
        <v>156</v>
      </c>
      <c r="H441">
        <v>24</v>
      </c>
      <c r="I441">
        <v>31.78</v>
      </c>
      <c r="J441" s="2" t="s">
        <v>170</v>
      </c>
      <c r="K441" s="2" t="s">
        <v>74</v>
      </c>
      <c r="M441" t="s">
        <v>1132</v>
      </c>
      <c r="P441" s="19" t="s">
        <v>807</v>
      </c>
      <c r="Q441" s="19" t="s">
        <v>25</v>
      </c>
      <c r="R441" s="19" t="s">
        <v>138</v>
      </c>
      <c r="W441" s="20">
        <v>16</v>
      </c>
      <c r="X441" s="65" t="s">
        <v>806</v>
      </c>
      <c r="Z441" t="s">
        <v>22</v>
      </c>
      <c r="AB441" t="s">
        <v>178</v>
      </c>
      <c r="AC441" t="s">
        <v>927</v>
      </c>
      <c r="AD441" s="2" t="s">
        <v>180</v>
      </c>
    </row>
    <row r="442" spans="1:30" hidden="1" x14ac:dyDescent="0.25">
      <c r="A442" s="2">
        <v>164</v>
      </c>
      <c r="B442" t="s">
        <v>971</v>
      </c>
      <c r="C442">
        <v>12</v>
      </c>
      <c r="D442">
        <v>120</v>
      </c>
      <c r="E442">
        <v>129</v>
      </c>
      <c r="F442" t="s">
        <v>172</v>
      </c>
      <c r="G442" s="2" t="s">
        <v>156</v>
      </c>
      <c r="H442">
        <v>24</v>
      </c>
      <c r="I442">
        <v>31.78</v>
      </c>
      <c r="J442" s="2" t="s">
        <v>170</v>
      </c>
      <c r="K442" s="2" t="s">
        <v>74</v>
      </c>
      <c r="M442" t="s">
        <v>1132</v>
      </c>
      <c r="P442" s="19" t="s">
        <v>807</v>
      </c>
      <c r="Q442" s="19" t="s">
        <v>25</v>
      </c>
      <c r="R442" s="19" t="s">
        <v>138</v>
      </c>
      <c r="W442" s="20">
        <v>16</v>
      </c>
      <c r="X442" s="65" t="s">
        <v>806</v>
      </c>
      <c r="Z442" t="s">
        <v>22</v>
      </c>
      <c r="AB442" t="s">
        <v>178</v>
      </c>
      <c r="AC442" t="s">
        <v>927</v>
      </c>
      <c r="AD442" s="2" t="s">
        <v>180</v>
      </c>
    </row>
    <row r="443" spans="1:30" hidden="1" x14ac:dyDescent="0.25">
      <c r="A443" s="2">
        <v>165</v>
      </c>
      <c r="B443" t="s">
        <v>972</v>
      </c>
      <c r="C443">
        <v>12</v>
      </c>
      <c r="D443">
        <v>120</v>
      </c>
      <c r="E443">
        <v>129</v>
      </c>
      <c r="F443" t="s">
        <v>172</v>
      </c>
      <c r="G443" s="2" t="s">
        <v>156</v>
      </c>
      <c r="H443">
        <v>24</v>
      </c>
      <c r="I443">
        <v>31.78</v>
      </c>
      <c r="J443" s="2" t="s">
        <v>170</v>
      </c>
      <c r="K443" s="2" t="s">
        <v>74</v>
      </c>
      <c r="M443" t="s">
        <v>1132</v>
      </c>
      <c r="P443" s="19" t="s">
        <v>807</v>
      </c>
      <c r="Q443" s="19" t="s">
        <v>25</v>
      </c>
      <c r="R443" s="19" t="s">
        <v>138</v>
      </c>
      <c r="W443" s="20">
        <v>16</v>
      </c>
      <c r="X443" s="65" t="s">
        <v>806</v>
      </c>
      <c r="Z443" t="s">
        <v>22</v>
      </c>
      <c r="AB443" t="s">
        <v>178</v>
      </c>
      <c r="AC443" t="s">
        <v>927</v>
      </c>
      <c r="AD443" s="2" t="s">
        <v>180</v>
      </c>
    </row>
    <row r="444" spans="1:30" hidden="1" x14ac:dyDescent="0.25">
      <c r="A444" s="2">
        <v>166</v>
      </c>
      <c r="B444" t="s">
        <v>973</v>
      </c>
      <c r="C444">
        <v>12</v>
      </c>
      <c r="D444">
        <v>120</v>
      </c>
      <c r="E444">
        <v>129</v>
      </c>
      <c r="F444" t="s">
        <v>172</v>
      </c>
      <c r="G444" s="2" t="s">
        <v>156</v>
      </c>
      <c r="H444">
        <v>24</v>
      </c>
      <c r="I444">
        <v>31.78</v>
      </c>
      <c r="J444" s="2" t="s">
        <v>170</v>
      </c>
      <c r="K444" s="2" t="s">
        <v>74</v>
      </c>
      <c r="M444" t="s">
        <v>1132</v>
      </c>
      <c r="P444" s="19" t="s">
        <v>807</v>
      </c>
      <c r="Q444" s="19" t="s">
        <v>25</v>
      </c>
      <c r="R444" s="19" t="s">
        <v>138</v>
      </c>
      <c r="W444" s="20">
        <v>16</v>
      </c>
      <c r="X444" s="65" t="s">
        <v>806</v>
      </c>
      <c r="Z444" t="s">
        <v>22</v>
      </c>
      <c r="AB444" t="s">
        <v>178</v>
      </c>
      <c r="AC444" t="s">
        <v>927</v>
      </c>
      <c r="AD444" s="2" t="s">
        <v>180</v>
      </c>
    </row>
    <row r="445" spans="1:30" hidden="1" x14ac:dyDescent="0.25">
      <c r="A445" s="2">
        <v>167</v>
      </c>
      <c r="B445" t="s">
        <v>974</v>
      </c>
      <c r="C445">
        <v>12</v>
      </c>
      <c r="D445">
        <v>120</v>
      </c>
      <c r="E445">
        <v>129</v>
      </c>
      <c r="F445" t="s">
        <v>172</v>
      </c>
      <c r="G445" s="2" t="s">
        <v>156</v>
      </c>
      <c r="H445">
        <v>24</v>
      </c>
      <c r="I445">
        <v>31.78</v>
      </c>
      <c r="J445" s="2" t="s">
        <v>170</v>
      </c>
      <c r="K445" s="2" t="s">
        <v>74</v>
      </c>
      <c r="M445" t="s">
        <v>1132</v>
      </c>
      <c r="P445" s="19" t="s">
        <v>807</v>
      </c>
      <c r="Q445" s="19" t="s">
        <v>25</v>
      </c>
      <c r="R445" s="19" t="s">
        <v>138</v>
      </c>
      <c r="W445" s="20">
        <v>16</v>
      </c>
      <c r="X445" s="65" t="s">
        <v>806</v>
      </c>
      <c r="Z445" t="s">
        <v>22</v>
      </c>
      <c r="AB445" t="s">
        <v>178</v>
      </c>
      <c r="AC445" t="s">
        <v>927</v>
      </c>
      <c r="AD445" s="2" t="s">
        <v>180</v>
      </c>
    </row>
    <row r="446" spans="1:30" hidden="1" x14ac:dyDescent="0.25">
      <c r="A446" s="2">
        <v>168</v>
      </c>
      <c r="B446" t="s">
        <v>975</v>
      </c>
      <c r="C446">
        <v>12</v>
      </c>
      <c r="D446">
        <v>120</v>
      </c>
      <c r="E446">
        <v>129</v>
      </c>
      <c r="F446" t="s">
        <v>172</v>
      </c>
      <c r="G446" s="2" t="s">
        <v>156</v>
      </c>
      <c r="H446">
        <v>24</v>
      </c>
      <c r="I446">
        <v>31.78</v>
      </c>
      <c r="J446" s="2" t="s">
        <v>170</v>
      </c>
      <c r="K446" s="2" t="s">
        <v>74</v>
      </c>
      <c r="M446" t="s">
        <v>1132</v>
      </c>
      <c r="P446" s="19" t="s">
        <v>807</v>
      </c>
      <c r="Q446" s="19" t="s">
        <v>25</v>
      </c>
      <c r="R446" s="19" t="s">
        <v>138</v>
      </c>
      <c r="W446" s="20">
        <v>16</v>
      </c>
      <c r="X446" s="65" t="s">
        <v>806</v>
      </c>
      <c r="Z446" t="s">
        <v>22</v>
      </c>
      <c r="AB446" t="s">
        <v>178</v>
      </c>
      <c r="AC446" t="s">
        <v>927</v>
      </c>
      <c r="AD446" s="2" t="s">
        <v>180</v>
      </c>
    </row>
    <row r="447" spans="1:30" hidden="1" x14ac:dyDescent="0.25">
      <c r="A447" s="2">
        <v>169</v>
      </c>
      <c r="B447" t="s">
        <v>976</v>
      </c>
      <c r="C447">
        <v>12</v>
      </c>
      <c r="D447">
        <v>120</v>
      </c>
      <c r="E447">
        <v>129</v>
      </c>
      <c r="F447" t="s">
        <v>172</v>
      </c>
      <c r="G447" s="2" t="s">
        <v>156</v>
      </c>
      <c r="H447">
        <v>24</v>
      </c>
      <c r="I447">
        <v>31.78</v>
      </c>
      <c r="J447" s="2" t="s">
        <v>170</v>
      </c>
      <c r="K447" s="2" t="s">
        <v>74</v>
      </c>
      <c r="M447" t="s">
        <v>1132</v>
      </c>
      <c r="P447" s="19" t="s">
        <v>807</v>
      </c>
      <c r="Q447" s="19" t="s">
        <v>25</v>
      </c>
      <c r="R447" s="19" t="s">
        <v>138</v>
      </c>
      <c r="W447" s="20">
        <v>16</v>
      </c>
      <c r="X447" s="65" t="s">
        <v>806</v>
      </c>
      <c r="Z447" t="s">
        <v>22</v>
      </c>
      <c r="AB447" t="s">
        <v>178</v>
      </c>
      <c r="AC447" t="s">
        <v>927</v>
      </c>
      <c r="AD447" s="2" t="s">
        <v>180</v>
      </c>
    </row>
    <row r="448" spans="1:30" hidden="1" x14ac:dyDescent="0.25">
      <c r="A448" s="2">
        <v>170</v>
      </c>
      <c r="B448" t="s">
        <v>977</v>
      </c>
      <c r="C448">
        <v>12</v>
      </c>
      <c r="D448">
        <v>120</v>
      </c>
      <c r="E448">
        <v>129</v>
      </c>
      <c r="F448" t="s">
        <v>172</v>
      </c>
      <c r="G448" s="2" t="s">
        <v>156</v>
      </c>
      <c r="H448">
        <v>24</v>
      </c>
      <c r="I448">
        <v>31.78</v>
      </c>
      <c r="J448" s="2" t="s">
        <v>170</v>
      </c>
      <c r="K448" s="2" t="s">
        <v>74</v>
      </c>
      <c r="M448" t="s">
        <v>1132</v>
      </c>
      <c r="P448" s="19" t="s">
        <v>807</v>
      </c>
      <c r="Q448" s="19" t="s">
        <v>25</v>
      </c>
      <c r="R448" s="19" t="s">
        <v>138</v>
      </c>
      <c r="W448" s="20">
        <v>16</v>
      </c>
      <c r="X448" s="65" t="s">
        <v>806</v>
      </c>
      <c r="Z448" t="s">
        <v>22</v>
      </c>
      <c r="AB448" t="s">
        <v>178</v>
      </c>
      <c r="AC448" t="s">
        <v>927</v>
      </c>
      <c r="AD448" s="2" t="s">
        <v>180</v>
      </c>
    </row>
    <row r="449" spans="1:30" hidden="1" x14ac:dyDescent="0.25">
      <c r="A449" s="2">
        <v>171</v>
      </c>
      <c r="B449" t="s">
        <v>978</v>
      </c>
      <c r="C449">
        <v>12</v>
      </c>
      <c r="D449">
        <v>120</v>
      </c>
      <c r="E449">
        <v>129</v>
      </c>
      <c r="F449" t="s">
        <v>172</v>
      </c>
      <c r="G449" s="2" t="s">
        <v>156</v>
      </c>
      <c r="H449">
        <v>24</v>
      </c>
      <c r="I449">
        <v>31.78</v>
      </c>
      <c r="J449" s="2" t="s">
        <v>170</v>
      </c>
      <c r="K449" s="2" t="s">
        <v>74</v>
      </c>
      <c r="M449" t="s">
        <v>1132</v>
      </c>
      <c r="P449" s="19" t="s">
        <v>807</v>
      </c>
      <c r="Q449" s="19" t="s">
        <v>25</v>
      </c>
      <c r="R449" s="19" t="s">
        <v>138</v>
      </c>
      <c r="W449" s="20">
        <v>16</v>
      </c>
      <c r="X449" s="65" t="s">
        <v>806</v>
      </c>
      <c r="Z449" t="s">
        <v>22</v>
      </c>
      <c r="AB449" t="s">
        <v>178</v>
      </c>
      <c r="AC449" t="s">
        <v>927</v>
      </c>
      <c r="AD449" s="2" t="s">
        <v>180</v>
      </c>
    </row>
    <row r="450" spans="1:30" hidden="1" x14ac:dyDescent="0.25">
      <c r="A450" s="2">
        <v>172</v>
      </c>
      <c r="B450" t="s">
        <v>979</v>
      </c>
      <c r="C450">
        <v>12</v>
      </c>
      <c r="D450">
        <v>120</v>
      </c>
      <c r="E450">
        <v>129</v>
      </c>
      <c r="F450" t="s">
        <v>172</v>
      </c>
      <c r="G450" s="2" t="s">
        <v>156</v>
      </c>
      <c r="H450">
        <v>18</v>
      </c>
      <c r="I450">
        <v>23.83</v>
      </c>
      <c r="J450" s="2" t="s">
        <v>170</v>
      </c>
      <c r="K450" s="2" t="s">
        <v>74</v>
      </c>
      <c r="M450" t="s">
        <v>1132</v>
      </c>
      <c r="P450" s="19" t="s">
        <v>807</v>
      </c>
      <c r="Q450" s="19" t="s">
        <v>25</v>
      </c>
      <c r="R450" s="19" t="s">
        <v>138</v>
      </c>
      <c r="W450" s="20">
        <v>16</v>
      </c>
      <c r="X450" s="65" t="s">
        <v>806</v>
      </c>
      <c r="Z450" t="s">
        <v>22</v>
      </c>
      <c r="AB450" t="s">
        <v>178</v>
      </c>
      <c r="AC450" t="s">
        <v>927</v>
      </c>
      <c r="AD450" s="2" t="s">
        <v>180</v>
      </c>
    </row>
    <row r="451" spans="1:30" hidden="1" x14ac:dyDescent="0.25">
      <c r="A451" s="2">
        <v>173</v>
      </c>
      <c r="B451" t="s">
        <v>980</v>
      </c>
      <c r="C451">
        <v>12</v>
      </c>
      <c r="D451">
        <v>120</v>
      </c>
      <c r="E451">
        <v>129</v>
      </c>
      <c r="F451" t="s">
        <v>172</v>
      </c>
      <c r="G451" s="2" t="s">
        <v>156</v>
      </c>
      <c r="H451">
        <v>18</v>
      </c>
      <c r="I451">
        <v>23.83</v>
      </c>
      <c r="J451" s="2" t="s">
        <v>170</v>
      </c>
      <c r="K451" s="2" t="s">
        <v>74</v>
      </c>
      <c r="M451" t="s">
        <v>1132</v>
      </c>
      <c r="P451" s="19" t="s">
        <v>807</v>
      </c>
      <c r="Q451" s="19" t="s">
        <v>25</v>
      </c>
      <c r="R451" s="19" t="s">
        <v>138</v>
      </c>
      <c r="W451" s="20">
        <v>16</v>
      </c>
      <c r="X451" s="65" t="s">
        <v>806</v>
      </c>
      <c r="Z451" t="s">
        <v>22</v>
      </c>
      <c r="AB451" t="s">
        <v>178</v>
      </c>
      <c r="AC451" t="s">
        <v>927</v>
      </c>
      <c r="AD451" s="2" t="s">
        <v>180</v>
      </c>
    </row>
    <row r="452" spans="1:30" hidden="1" x14ac:dyDescent="0.25">
      <c r="A452" s="2">
        <v>174</v>
      </c>
      <c r="B452" t="s">
        <v>981</v>
      </c>
      <c r="C452">
        <v>12</v>
      </c>
      <c r="D452">
        <v>120</v>
      </c>
      <c r="E452">
        <v>129</v>
      </c>
      <c r="F452" t="s">
        <v>172</v>
      </c>
      <c r="G452" s="2" t="s">
        <v>156</v>
      </c>
      <c r="H452">
        <v>18</v>
      </c>
      <c r="I452">
        <v>23.83</v>
      </c>
      <c r="J452" s="2" t="s">
        <v>170</v>
      </c>
      <c r="K452" s="2" t="s">
        <v>74</v>
      </c>
      <c r="M452" t="s">
        <v>1132</v>
      </c>
      <c r="P452" s="19" t="s">
        <v>807</v>
      </c>
      <c r="Q452" s="19" t="s">
        <v>25</v>
      </c>
      <c r="R452" s="19" t="s">
        <v>138</v>
      </c>
      <c r="W452" s="20">
        <v>16</v>
      </c>
      <c r="X452" s="65" t="s">
        <v>806</v>
      </c>
      <c r="Z452" t="s">
        <v>22</v>
      </c>
      <c r="AB452" t="s">
        <v>178</v>
      </c>
      <c r="AC452" t="s">
        <v>927</v>
      </c>
      <c r="AD452" s="2" t="s">
        <v>180</v>
      </c>
    </row>
    <row r="453" spans="1:30" hidden="1" x14ac:dyDescent="0.25">
      <c r="A453" s="2">
        <v>175</v>
      </c>
      <c r="B453" t="s">
        <v>982</v>
      </c>
      <c r="C453">
        <v>12</v>
      </c>
      <c r="D453">
        <v>120</v>
      </c>
      <c r="E453">
        <v>129</v>
      </c>
      <c r="F453" t="s">
        <v>172</v>
      </c>
      <c r="G453" s="2" t="s">
        <v>156</v>
      </c>
      <c r="H453">
        <v>18</v>
      </c>
      <c r="I453">
        <v>23.83</v>
      </c>
      <c r="J453" s="2" t="s">
        <v>170</v>
      </c>
      <c r="K453" s="2" t="s">
        <v>74</v>
      </c>
      <c r="M453" t="s">
        <v>1132</v>
      </c>
      <c r="P453" s="19" t="s">
        <v>807</v>
      </c>
      <c r="Q453" s="19" t="s">
        <v>25</v>
      </c>
      <c r="R453" s="19" t="s">
        <v>138</v>
      </c>
      <c r="W453" s="20">
        <v>16</v>
      </c>
      <c r="X453" s="65" t="s">
        <v>806</v>
      </c>
      <c r="Z453" t="s">
        <v>22</v>
      </c>
      <c r="AB453" t="s">
        <v>178</v>
      </c>
      <c r="AC453" t="s">
        <v>927</v>
      </c>
      <c r="AD453" s="2" t="s">
        <v>180</v>
      </c>
    </row>
    <row r="454" spans="1:30" hidden="1" x14ac:dyDescent="0.25">
      <c r="A454" s="2">
        <v>176</v>
      </c>
      <c r="B454" t="s">
        <v>983</v>
      </c>
      <c r="C454">
        <v>12</v>
      </c>
      <c r="D454">
        <v>120</v>
      </c>
      <c r="E454">
        <v>129</v>
      </c>
      <c r="F454" t="s">
        <v>172</v>
      </c>
      <c r="G454" s="2" t="s">
        <v>156</v>
      </c>
      <c r="H454">
        <v>18</v>
      </c>
      <c r="I454">
        <v>23.83</v>
      </c>
      <c r="J454" s="2" t="s">
        <v>170</v>
      </c>
      <c r="K454" s="2" t="s">
        <v>74</v>
      </c>
      <c r="M454" t="s">
        <v>1132</v>
      </c>
      <c r="P454" s="19" t="s">
        <v>807</v>
      </c>
      <c r="Q454" s="19" t="s">
        <v>25</v>
      </c>
      <c r="R454" s="19" t="s">
        <v>138</v>
      </c>
      <c r="W454" s="20">
        <v>16</v>
      </c>
      <c r="X454" s="65" t="s">
        <v>806</v>
      </c>
      <c r="Z454" t="s">
        <v>22</v>
      </c>
      <c r="AB454" t="s">
        <v>178</v>
      </c>
      <c r="AC454" t="s">
        <v>927</v>
      </c>
      <c r="AD454" s="2" t="s">
        <v>180</v>
      </c>
    </row>
    <row r="455" spans="1:30" hidden="1" x14ac:dyDescent="0.25">
      <c r="A455" s="2">
        <v>177</v>
      </c>
      <c r="B455" t="s">
        <v>984</v>
      </c>
      <c r="C455">
        <v>12</v>
      </c>
      <c r="D455">
        <v>120</v>
      </c>
      <c r="E455">
        <v>129</v>
      </c>
      <c r="F455" t="s">
        <v>172</v>
      </c>
      <c r="G455" s="2" t="s">
        <v>156</v>
      </c>
      <c r="H455">
        <v>4</v>
      </c>
      <c r="I455">
        <v>5.3</v>
      </c>
      <c r="J455" s="2" t="s">
        <v>170</v>
      </c>
      <c r="K455" s="2" t="s">
        <v>74</v>
      </c>
      <c r="M455" t="s">
        <v>1132</v>
      </c>
      <c r="P455" s="19" t="s">
        <v>807</v>
      </c>
      <c r="Q455" s="19" t="s">
        <v>25</v>
      </c>
      <c r="R455" s="19" t="s">
        <v>138</v>
      </c>
      <c r="W455" s="20">
        <v>16</v>
      </c>
      <c r="X455" s="65" t="s">
        <v>806</v>
      </c>
      <c r="Z455" t="s">
        <v>22</v>
      </c>
      <c r="AB455" t="s">
        <v>178</v>
      </c>
      <c r="AC455" t="s">
        <v>927</v>
      </c>
      <c r="AD455" s="2" t="s">
        <v>180</v>
      </c>
    </row>
    <row r="456" spans="1:30" hidden="1" x14ac:dyDescent="0.25">
      <c r="A456" s="2">
        <v>178</v>
      </c>
      <c r="B456" t="s">
        <v>985</v>
      </c>
      <c r="C456">
        <v>12</v>
      </c>
      <c r="D456">
        <v>100</v>
      </c>
      <c r="E456">
        <v>150</v>
      </c>
      <c r="F456" t="s">
        <v>172</v>
      </c>
      <c r="G456" s="2" t="s">
        <v>156</v>
      </c>
      <c r="H456">
        <v>1</v>
      </c>
      <c r="I456">
        <v>1.41</v>
      </c>
      <c r="J456" s="2" t="s">
        <v>170</v>
      </c>
      <c r="K456" s="2" t="s">
        <v>74</v>
      </c>
      <c r="M456" t="s">
        <v>1132</v>
      </c>
      <c r="P456" s="19" t="s">
        <v>807</v>
      </c>
      <c r="Q456" s="19" t="s">
        <v>25</v>
      </c>
      <c r="R456" s="19" t="s">
        <v>138</v>
      </c>
      <c r="W456" s="20">
        <v>16</v>
      </c>
      <c r="X456" s="65" t="s">
        <v>806</v>
      </c>
      <c r="Z456" t="s">
        <v>22</v>
      </c>
      <c r="AB456" t="s">
        <v>178</v>
      </c>
      <c r="AC456" t="s">
        <v>927</v>
      </c>
      <c r="AD456" s="2" t="s">
        <v>180</v>
      </c>
    </row>
    <row r="457" spans="1:30" hidden="1" x14ac:dyDescent="0.25">
      <c r="A457" s="2">
        <v>179</v>
      </c>
      <c r="B457" t="s">
        <v>986</v>
      </c>
      <c r="C457">
        <v>12</v>
      </c>
      <c r="D457">
        <v>120</v>
      </c>
      <c r="E457">
        <v>129</v>
      </c>
      <c r="F457" t="s">
        <v>172</v>
      </c>
      <c r="G457" s="2" t="s">
        <v>156</v>
      </c>
      <c r="H457">
        <v>4</v>
      </c>
      <c r="I457">
        <v>5.3</v>
      </c>
      <c r="J457" s="2" t="s">
        <v>170</v>
      </c>
      <c r="K457" s="2" t="s">
        <v>74</v>
      </c>
      <c r="M457" t="s">
        <v>1132</v>
      </c>
      <c r="P457" s="19" t="s">
        <v>807</v>
      </c>
      <c r="Q457" s="19" t="s">
        <v>25</v>
      </c>
      <c r="R457" s="19" t="s">
        <v>138</v>
      </c>
      <c r="W457" s="20">
        <v>16</v>
      </c>
      <c r="X457" s="65" t="s">
        <v>806</v>
      </c>
      <c r="Z457" t="s">
        <v>22</v>
      </c>
      <c r="AB457" t="s">
        <v>178</v>
      </c>
      <c r="AC457" t="s">
        <v>927</v>
      </c>
      <c r="AD457" s="2" t="s">
        <v>180</v>
      </c>
    </row>
    <row r="458" spans="1:30" hidden="1" x14ac:dyDescent="0.25">
      <c r="A458" s="2">
        <v>180</v>
      </c>
      <c r="B458" t="s">
        <v>987</v>
      </c>
      <c r="C458">
        <v>12</v>
      </c>
      <c r="D458">
        <v>100</v>
      </c>
      <c r="E458">
        <v>150</v>
      </c>
      <c r="F458" t="s">
        <v>172</v>
      </c>
      <c r="G458" s="2" t="s">
        <v>156</v>
      </c>
      <c r="H458">
        <v>1</v>
      </c>
      <c r="I458">
        <v>1.41</v>
      </c>
      <c r="J458" s="2" t="s">
        <v>170</v>
      </c>
      <c r="K458" s="2" t="s">
        <v>74</v>
      </c>
      <c r="M458" t="s">
        <v>1132</v>
      </c>
      <c r="P458" s="19" t="s">
        <v>807</v>
      </c>
      <c r="Q458" s="19" t="s">
        <v>25</v>
      </c>
      <c r="R458" s="19" t="s">
        <v>138</v>
      </c>
      <c r="W458" s="20">
        <v>16</v>
      </c>
      <c r="X458" s="65" t="s">
        <v>806</v>
      </c>
      <c r="Z458" t="s">
        <v>22</v>
      </c>
      <c r="AB458" t="s">
        <v>178</v>
      </c>
      <c r="AC458" t="s">
        <v>927</v>
      </c>
      <c r="AD458" s="2" t="s">
        <v>180</v>
      </c>
    </row>
    <row r="459" spans="1:30" hidden="1" x14ac:dyDescent="0.25">
      <c r="A459" s="2">
        <v>181</v>
      </c>
      <c r="B459" t="s">
        <v>988</v>
      </c>
      <c r="C459">
        <v>12</v>
      </c>
      <c r="D459">
        <v>120</v>
      </c>
      <c r="E459">
        <v>129</v>
      </c>
      <c r="F459" t="s">
        <v>172</v>
      </c>
      <c r="G459" s="2" t="s">
        <v>156</v>
      </c>
      <c r="H459">
        <v>4</v>
      </c>
      <c r="I459">
        <v>5.3</v>
      </c>
      <c r="J459" s="2" t="s">
        <v>170</v>
      </c>
      <c r="K459" s="2" t="s">
        <v>74</v>
      </c>
      <c r="M459" t="s">
        <v>1132</v>
      </c>
      <c r="P459" s="19" t="s">
        <v>807</v>
      </c>
      <c r="Q459" s="19" t="s">
        <v>25</v>
      </c>
      <c r="R459" s="19" t="s">
        <v>138</v>
      </c>
      <c r="W459" s="20">
        <v>16</v>
      </c>
      <c r="X459" s="65" t="s">
        <v>806</v>
      </c>
      <c r="Z459" t="s">
        <v>22</v>
      </c>
      <c r="AB459" t="s">
        <v>178</v>
      </c>
      <c r="AC459" t="s">
        <v>927</v>
      </c>
      <c r="AD459" s="2" t="s">
        <v>180</v>
      </c>
    </row>
    <row r="460" spans="1:30" hidden="1" x14ac:dyDescent="0.25">
      <c r="A460" s="2">
        <v>182</v>
      </c>
      <c r="B460" t="s">
        <v>989</v>
      </c>
      <c r="C460">
        <v>12</v>
      </c>
      <c r="D460">
        <v>100</v>
      </c>
      <c r="E460">
        <v>150</v>
      </c>
      <c r="F460" t="s">
        <v>172</v>
      </c>
      <c r="G460" s="2" t="s">
        <v>156</v>
      </c>
      <c r="H460">
        <v>1</v>
      </c>
      <c r="I460">
        <v>1.41</v>
      </c>
      <c r="J460" s="2" t="s">
        <v>170</v>
      </c>
      <c r="K460" s="2" t="s">
        <v>74</v>
      </c>
      <c r="M460" t="s">
        <v>1132</v>
      </c>
      <c r="P460" s="19" t="s">
        <v>807</v>
      </c>
      <c r="Q460" s="19" t="s">
        <v>25</v>
      </c>
      <c r="R460" s="19" t="s">
        <v>138</v>
      </c>
      <c r="W460" s="20">
        <v>16</v>
      </c>
      <c r="X460" s="65" t="s">
        <v>806</v>
      </c>
      <c r="Z460" t="s">
        <v>22</v>
      </c>
      <c r="AB460" t="s">
        <v>178</v>
      </c>
      <c r="AC460" t="s">
        <v>927</v>
      </c>
      <c r="AD460" s="2" t="s">
        <v>180</v>
      </c>
    </row>
    <row r="461" spans="1:30" hidden="1" x14ac:dyDescent="0.25">
      <c r="A461" s="2">
        <v>183</v>
      </c>
      <c r="B461" t="s">
        <v>990</v>
      </c>
      <c r="C461">
        <v>12</v>
      </c>
      <c r="D461">
        <v>120</v>
      </c>
      <c r="E461">
        <v>129</v>
      </c>
      <c r="F461" t="s">
        <v>172</v>
      </c>
      <c r="G461" s="2" t="s">
        <v>156</v>
      </c>
      <c r="H461">
        <v>4</v>
      </c>
      <c r="I461">
        <v>5.3</v>
      </c>
      <c r="J461" s="2" t="s">
        <v>170</v>
      </c>
      <c r="K461" s="2" t="s">
        <v>74</v>
      </c>
      <c r="M461" t="s">
        <v>1132</v>
      </c>
      <c r="P461" s="19" t="s">
        <v>807</v>
      </c>
      <c r="Q461" s="19" t="s">
        <v>25</v>
      </c>
      <c r="R461" s="19" t="s">
        <v>138</v>
      </c>
      <c r="W461" s="20">
        <v>16</v>
      </c>
      <c r="X461" s="65" t="s">
        <v>806</v>
      </c>
      <c r="Z461" t="s">
        <v>22</v>
      </c>
      <c r="AB461" t="s">
        <v>178</v>
      </c>
      <c r="AC461" t="s">
        <v>927</v>
      </c>
      <c r="AD461" s="2" t="s">
        <v>180</v>
      </c>
    </row>
    <row r="462" spans="1:30" hidden="1" x14ac:dyDescent="0.25">
      <c r="A462" s="2">
        <v>184</v>
      </c>
      <c r="B462" t="s">
        <v>991</v>
      </c>
      <c r="C462">
        <v>12</v>
      </c>
      <c r="D462">
        <v>100</v>
      </c>
      <c r="E462">
        <v>150</v>
      </c>
      <c r="F462" t="s">
        <v>172</v>
      </c>
      <c r="G462" s="2" t="s">
        <v>156</v>
      </c>
      <c r="H462">
        <v>1</v>
      </c>
      <c r="I462">
        <v>1.41</v>
      </c>
      <c r="J462" s="2" t="s">
        <v>170</v>
      </c>
      <c r="K462" s="2" t="s">
        <v>74</v>
      </c>
      <c r="M462" t="s">
        <v>1132</v>
      </c>
      <c r="P462" s="19" t="s">
        <v>807</v>
      </c>
      <c r="Q462" s="19" t="s">
        <v>25</v>
      </c>
      <c r="R462" s="19" t="s">
        <v>138</v>
      </c>
      <c r="W462" s="20">
        <v>16</v>
      </c>
      <c r="X462" s="65" t="s">
        <v>806</v>
      </c>
      <c r="Z462" t="s">
        <v>22</v>
      </c>
      <c r="AB462" t="s">
        <v>178</v>
      </c>
      <c r="AC462" t="s">
        <v>927</v>
      </c>
      <c r="AD462" s="2" t="s">
        <v>180</v>
      </c>
    </row>
    <row r="463" spans="1:30" hidden="1" x14ac:dyDescent="0.25">
      <c r="A463" s="2">
        <v>185</v>
      </c>
      <c r="B463" t="s">
        <v>992</v>
      </c>
      <c r="C463">
        <v>12</v>
      </c>
      <c r="D463">
        <v>120</v>
      </c>
      <c r="E463">
        <v>129</v>
      </c>
      <c r="F463" t="s">
        <v>172</v>
      </c>
      <c r="G463" s="2" t="s">
        <v>156</v>
      </c>
      <c r="H463">
        <v>4</v>
      </c>
      <c r="I463">
        <v>5.3</v>
      </c>
      <c r="J463" s="2" t="s">
        <v>170</v>
      </c>
      <c r="K463" s="2" t="s">
        <v>74</v>
      </c>
      <c r="M463" t="s">
        <v>1132</v>
      </c>
      <c r="P463" s="19" t="s">
        <v>807</v>
      </c>
      <c r="Q463" s="19" t="s">
        <v>25</v>
      </c>
      <c r="R463" s="19" t="s">
        <v>138</v>
      </c>
      <c r="W463" s="20">
        <v>16</v>
      </c>
      <c r="X463" s="65" t="s">
        <v>806</v>
      </c>
      <c r="Z463" t="s">
        <v>22</v>
      </c>
      <c r="AB463" t="s">
        <v>178</v>
      </c>
      <c r="AC463" t="s">
        <v>927</v>
      </c>
      <c r="AD463" s="2" t="s">
        <v>180</v>
      </c>
    </row>
    <row r="464" spans="1:30" hidden="1" x14ac:dyDescent="0.25">
      <c r="A464" s="2">
        <v>186</v>
      </c>
      <c r="B464" t="s">
        <v>993</v>
      </c>
      <c r="C464">
        <v>12</v>
      </c>
      <c r="D464">
        <v>100</v>
      </c>
      <c r="E464">
        <v>150</v>
      </c>
      <c r="F464" t="s">
        <v>172</v>
      </c>
      <c r="G464" s="2" t="s">
        <v>156</v>
      </c>
      <c r="H464">
        <v>1</v>
      </c>
      <c r="I464">
        <v>1.41</v>
      </c>
      <c r="J464" s="2" t="s">
        <v>170</v>
      </c>
      <c r="K464" s="2" t="s">
        <v>74</v>
      </c>
      <c r="M464" t="s">
        <v>1132</v>
      </c>
      <c r="P464" s="19" t="s">
        <v>807</v>
      </c>
      <c r="Q464" s="19" t="s">
        <v>25</v>
      </c>
      <c r="R464" s="19" t="s">
        <v>138</v>
      </c>
      <c r="W464" s="20">
        <v>16</v>
      </c>
      <c r="X464" s="65" t="s">
        <v>806</v>
      </c>
      <c r="Z464" t="s">
        <v>22</v>
      </c>
      <c r="AB464" t="s">
        <v>178</v>
      </c>
      <c r="AC464" t="s">
        <v>927</v>
      </c>
      <c r="AD464" s="2" t="s">
        <v>180</v>
      </c>
    </row>
    <row r="465" spans="1:30" hidden="1" x14ac:dyDescent="0.25">
      <c r="A465" s="2">
        <v>187</v>
      </c>
      <c r="B465" t="s">
        <v>994</v>
      </c>
      <c r="C465">
        <v>12</v>
      </c>
      <c r="D465">
        <v>120</v>
      </c>
      <c r="E465">
        <v>129</v>
      </c>
      <c r="F465" t="s">
        <v>172</v>
      </c>
      <c r="G465" s="2" t="s">
        <v>156</v>
      </c>
      <c r="H465">
        <v>4</v>
      </c>
      <c r="I465">
        <v>5.3</v>
      </c>
      <c r="J465" s="2" t="s">
        <v>170</v>
      </c>
      <c r="K465" s="2" t="s">
        <v>74</v>
      </c>
      <c r="M465" t="s">
        <v>1132</v>
      </c>
      <c r="P465" s="19" t="s">
        <v>807</v>
      </c>
      <c r="Q465" s="19" t="s">
        <v>25</v>
      </c>
      <c r="R465" s="19" t="s">
        <v>138</v>
      </c>
      <c r="W465" s="20">
        <v>16</v>
      </c>
      <c r="X465" s="65" t="s">
        <v>806</v>
      </c>
      <c r="Z465" t="s">
        <v>22</v>
      </c>
      <c r="AB465" t="s">
        <v>178</v>
      </c>
      <c r="AC465" t="s">
        <v>927</v>
      </c>
      <c r="AD465" s="2" t="s">
        <v>180</v>
      </c>
    </row>
    <row r="466" spans="1:30" hidden="1" x14ac:dyDescent="0.25">
      <c r="A466" s="2">
        <v>188</v>
      </c>
      <c r="B466" t="s">
        <v>995</v>
      </c>
      <c r="C466">
        <v>12</v>
      </c>
      <c r="D466">
        <v>100</v>
      </c>
      <c r="E466">
        <v>150</v>
      </c>
      <c r="F466" t="s">
        <v>172</v>
      </c>
      <c r="G466" s="2" t="s">
        <v>156</v>
      </c>
      <c r="H466">
        <v>1</v>
      </c>
      <c r="I466">
        <v>1.41</v>
      </c>
      <c r="J466" s="2" t="s">
        <v>170</v>
      </c>
      <c r="K466" s="2" t="s">
        <v>74</v>
      </c>
      <c r="M466" t="s">
        <v>1132</v>
      </c>
      <c r="P466" s="19" t="s">
        <v>807</v>
      </c>
      <c r="Q466" s="19" t="s">
        <v>25</v>
      </c>
      <c r="R466" s="19" t="s">
        <v>138</v>
      </c>
      <c r="W466" s="20">
        <v>16</v>
      </c>
      <c r="X466" s="65" t="s">
        <v>806</v>
      </c>
      <c r="Z466" t="s">
        <v>22</v>
      </c>
      <c r="AB466" t="s">
        <v>178</v>
      </c>
      <c r="AC466" t="s">
        <v>927</v>
      </c>
      <c r="AD466" s="2" t="s">
        <v>180</v>
      </c>
    </row>
    <row r="467" spans="1:30" hidden="1" x14ac:dyDescent="0.25">
      <c r="A467" s="2">
        <v>189</v>
      </c>
      <c r="B467" t="s">
        <v>996</v>
      </c>
      <c r="C467">
        <v>12</v>
      </c>
      <c r="D467">
        <v>120</v>
      </c>
      <c r="E467">
        <v>129</v>
      </c>
      <c r="F467" t="s">
        <v>172</v>
      </c>
      <c r="G467" s="2" t="s">
        <v>156</v>
      </c>
      <c r="H467">
        <v>4</v>
      </c>
      <c r="I467">
        <v>5.3</v>
      </c>
      <c r="J467" s="2" t="s">
        <v>170</v>
      </c>
      <c r="K467" s="2" t="s">
        <v>74</v>
      </c>
      <c r="M467" t="s">
        <v>1132</v>
      </c>
      <c r="P467" s="19" t="s">
        <v>807</v>
      </c>
      <c r="Q467" s="19" t="s">
        <v>25</v>
      </c>
      <c r="R467" s="19" t="s">
        <v>138</v>
      </c>
      <c r="W467" s="20">
        <v>16</v>
      </c>
      <c r="X467" s="65" t="s">
        <v>806</v>
      </c>
      <c r="Z467" t="s">
        <v>22</v>
      </c>
      <c r="AB467" t="s">
        <v>178</v>
      </c>
      <c r="AC467" t="s">
        <v>927</v>
      </c>
      <c r="AD467" s="2" t="s">
        <v>180</v>
      </c>
    </row>
    <row r="468" spans="1:30" hidden="1" x14ac:dyDescent="0.25">
      <c r="A468" s="2">
        <v>190</v>
      </c>
      <c r="B468" t="s">
        <v>997</v>
      </c>
      <c r="C468">
        <v>12</v>
      </c>
      <c r="D468">
        <v>100</v>
      </c>
      <c r="E468">
        <v>150</v>
      </c>
      <c r="F468" t="s">
        <v>172</v>
      </c>
      <c r="G468" s="2" t="s">
        <v>156</v>
      </c>
      <c r="H468">
        <v>1</v>
      </c>
      <c r="I468">
        <v>1.41</v>
      </c>
      <c r="J468" s="2" t="s">
        <v>170</v>
      </c>
      <c r="K468" s="2" t="s">
        <v>74</v>
      </c>
      <c r="M468" t="s">
        <v>1132</v>
      </c>
      <c r="P468" s="19" t="s">
        <v>807</v>
      </c>
      <c r="Q468" s="19" t="s">
        <v>25</v>
      </c>
      <c r="R468" s="19" t="s">
        <v>138</v>
      </c>
      <c r="W468" s="20">
        <v>16</v>
      </c>
      <c r="X468" s="65" t="s">
        <v>806</v>
      </c>
      <c r="Z468" t="s">
        <v>22</v>
      </c>
      <c r="AB468" t="s">
        <v>178</v>
      </c>
      <c r="AC468" t="s">
        <v>927</v>
      </c>
      <c r="AD468" s="2" t="s">
        <v>180</v>
      </c>
    </row>
    <row r="469" spans="1:30" hidden="1" x14ac:dyDescent="0.25">
      <c r="A469" s="2">
        <v>191</v>
      </c>
      <c r="B469" t="s">
        <v>872</v>
      </c>
      <c r="C469">
        <v>12</v>
      </c>
      <c r="D469">
        <v>120</v>
      </c>
      <c r="E469">
        <v>129</v>
      </c>
      <c r="F469" t="s">
        <v>172</v>
      </c>
      <c r="G469" s="2" t="s">
        <v>156</v>
      </c>
      <c r="H469">
        <v>3</v>
      </c>
      <c r="I469">
        <v>3.97</v>
      </c>
      <c r="J469" s="2" t="s">
        <v>170</v>
      </c>
      <c r="K469" s="2" t="s">
        <v>74</v>
      </c>
      <c r="M469" t="s">
        <v>1132</v>
      </c>
      <c r="P469" s="19" t="s">
        <v>807</v>
      </c>
      <c r="Q469" s="19" t="s">
        <v>25</v>
      </c>
      <c r="R469" s="19" t="s">
        <v>138</v>
      </c>
      <c r="W469" s="20">
        <v>16</v>
      </c>
      <c r="X469" s="65" t="s">
        <v>806</v>
      </c>
      <c r="Z469" t="s">
        <v>22</v>
      </c>
      <c r="AB469" t="s">
        <v>178</v>
      </c>
      <c r="AC469" t="s">
        <v>927</v>
      </c>
      <c r="AD469" s="2" t="s">
        <v>180</v>
      </c>
    </row>
    <row r="470" spans="1:30" hidden="1" x14ac:dyDescent="0.25">
      <c r="A470" s="2">
        <v>192</v>
      </c>
      <c r="B470" t="s">
        <v>998</v>
      </c>
      <c r="C470">
        <v>16</v>
      </c>
      <c r="D470">
        <v>340</v>
      </c>
      <c r="E470">
        <v>369</v>
      </c>
      <c r="F470" t="s">
        <v>172</v>
      </c>
      <c r="G470" s="2" t="s">
        <v>156</v>
      </c>
      <c r="H470">
        <v>1</v>
      </c>
      <c r="I470">
        <v>15.76</v>
      </c>
      <c r="J470" s="2" t="s">
        <v>170</v>
      </c>
      <c r="K470" s="2" t="s">
        <v>74</v>
      </c>
      <c r="M470" t="s">
        <v>1132</v>
      </c>
      <c r="P470" s="19" t="s">
        <v>807</v>
      </c>
      <c r="Q470" s="19" t="s">
        <v>26</v>
      </c>
      <c r="R470" s="19" t="s">
        <v>138</v>
      </c>
      <c r="U470" s="19" t="s">
        <v>138</v>
      </c>
      <c r="W470" s="20">
        <v>16</v>
      </c>
      <c r="X470" s="65" t="s">
        <v>806</v>
      </c>
      <c r="Z470" t="s">
        <v>307</v>
      </c>
      <c r="AB470" t="s">
        <v>178</v>
      </c>
      <c r="AC470" t="s">
        <v>1001</v>
      </c>
      <c r="AD470" s="2" t="s">
        <v>180</v>
      </c>
    </row>
    <row r="471" spans="1:30" hidden="1" x14ac:dyDescent="0.25">
      <c r="A471" s="2">
        <v>193</v>
      </c>
      <c r="B471" t="s">
        <v>1002</v>
      </c>
      <c r="C471">
        <v>16</v>
      </c>
      <c r="D471">
        <v>340</v>
      </c>
      <c r="E471">
        <v>369</v>
      </c>
      <c r="F471" t="s">
        <v>172</v>
      </c>
      <c r="G471" s="2" t="s">
        <v>156</v>
      </c>
      <c r="H471">
        <v>1</v>
      </c>
      <c r="I471">
        <v>15.76</v>
      </c>
      <c r="J471" s="2" t="s">
        <v>170</v>
      </c>
      <c r="K471" s="2" t="s">
        <v>74</v>
      </c>
      <c r="M471" t="s">
        <v>1132</v>
      </c>
      <c r="P471" s="19" t="s">
        <v>807</v>
      </c>
      <c r="Q471" s="19" t="s">
        <v>26</v>
      </c>
      <c r="R471" s="19" t="s">
        <v>138</v>
      </c>
      <c r="U471" s="19" t="s">
        <v>138</v>
      </c>
      <c r="W471" s="20">
        <v>16</v>
      </c>
      <c r="X471" s="65" t="s">
        <v>806</v>
      </c>
      <c r="Z471" t="s">
        <v>307</v>
      </c>
      <c r="AB471" t="s">
        <v>178</v>
      </c>
      <c r="AC471" t="s">
        <v>1001</v>
      </c>
      <c r="AD471" s="2" t="s">
        <v>180</v>
      </c>
    </row>
    <row r="472" spans="1:30" hidden="1" x14ac:dyDescent="0.25">
      <c r="A472" s="2">
        <v>194</v>
      </c>
      <c r="B472" t="s">
        <v>1003</v>
      </c>
      <c r="C472">
        <v>16</v>
      </c>
      <c r="D472">
        <v>340</v>
      </c>
      <c r="E472">
        <v>369</v>
      </c>
      <c r="F472" t="s">
        <v>172</v>
      </c>
      <c r="G472" s="2" t="s">
        <v>156</v>
      </c>
      <c r="H472">
        <v>1</v>
      </c>
      <c r="I472">
        <v>15.76</v>
      </c>
      <c r="J472" s="2" t="s">
        <v>170</v>
      </c>
      <c r="K472" s="2" t="s">
        <v>74</v>
      </c>
      <c r="M472" t="s">
        <v>1132</v>
      </c>
      <c r="P472" s="19" t="s">
        <v>807</v>
      </c>
      <c r="Q472" s="19" t="s">
        <v>26</v>
      </c>
      <c r="R472" s="19" t="s">
        <v>138</v>
      </c>
      <c r="U472" s="19" t="s">
        <v>138</v>
      </c>
      <c r="W472" s="20">
        <v>16</v>
      </c>
      <c r="X472" s="65" t="s">
        <v>806</v>
      </c>
      <c r="Z472" t="s">
        <v>307</v>
      </c>
      <c r="AB472" t="s">
        <v>178</v>
      </c>
      <c r="AC472" t="s">
        <v>1001</v>
      </c>
      <c r="AD472" s="2" t="s">
        <v>180</v>
      </c>
    </row>
    <row r="473" spans="1:30" hidden="1" x14ac:dyDescent="0.25">
      <c r="A473" s="2">
        <v>195</v>
      </c>
      <c r="B473" t="s">
        <v>1004</v>
      </c>
      <c r="C473">
        <v>16</v>
      </c>
      <c r="D473">
        <v>340</v>
      </c>
      <c r="E473">
        <v>369</v>
      </c>
      <c r="F473" t="s">
        <v>172</v>
      </c>
      <c r="G473" s="2" t="s">
        <v>156</v>
      </c>
      <c r="H473">
        <v>1</v>
      </c>
      <c r="I473">
        <v>15.76</v>
      </c>
      <c r="J473" s="2" t="s">
        <v>170</v>
      </c>
      <c r="K473" s="2" t="s">
        <v>74</v>
      </c>
      <c r="M473" t="s">
        <v>1132</v>
      </c>
      <c r="P473" s="19" t="s">
        <v>807</v>
      </c>
      <c r="Q473" s="19" t="s">
        <v>26</v>
      </c>
      <c r="R473" s="19" t="s">
        <v>138</v>
      </c>
      <c r="U473" s="19" t="s">
        <v>138</v>
      </c>
      <c r="W473" s="20">
        <v>16</v>
      </c>
      <c r="X473" s="65" t="s">
        <v>806</v>
      </c>
      <c r="Z473" t="s">
        <v>307</v>
      </c>
      <c r="AB473" t="s">
        <v>178</v>
      </c>
      <c r="AC473" t="s">
        <v>1001</v>
      </c>
      <c r="AD473" s="2" t="s">
        <v>180</v>
      </c>
    </row>
    <row r="474" spans="1:30" hidden="1" x14ac:dyDescent="0.25">
      <c r="A474" s="2">
        <v>196</v>
      </c>
      <c r="B474" t="s">
        <v>1005</v>
      </c>
      <c r="C474">
        <v>16</v>
      </c>
      <c r="D474">
        <v>300</v>
      </c>
      <c r="E474">
        <v>369</v>
      </c>
      <c r="F474" t="s">
        <v>172</v>
      </c>
      <c r="G474" s="2" t="s">
        <v>156</v>
      </c>
      <c r="H474">
        <v>1</v>
      </c>
      <c r="I474">
        <v>13.9</v>
      </c>
      <c r="J474" s="2" t="s">
        <v>170</v>
      </c>
      <c r="K474" s="2" t="s">
        <v>74</v>
      </c>
      <c r="M474" t="s">
        <v>1132</v>
      </c>
      <c r="P474" s="19" t="s">
        <v>807</v>
      </c>
      <c r="Q474" s="19" t="s">
        <v>26</v>
      </c>
      <c r="R474" s="19" t="s">
        <v>138</v>
      </c>
      <c r="U474" s="19" t="s">
        <v>138</v>
      </c>
      <c r="W474" s="20">
        <v>16</v>
      </c>
      <c r="X474" s="65" t="s">
        <v>806</v>
      </c>
      <c r="Z474" t="s">
        <v>307</v>
      </c>
      <c r="AB474" t="s">
        <v>178</v>
      </c>
      <c r="AC474" t="s">
        <v>1001</v>
      </c>
      <c r="AD474" s="2" t="s">
        <v>180</v>
      </c>
    </row>
    <row r="475" spans="1:30" hidden="1" x14ac:dyDescent="0.25">
      <c r="A475" s="2">
        <v>197</v>
      </c>
      <c r="B475" t="s">
        <v>1007</v>
      </c>
      <c r="C475">
        <v>16</v>
      </c>
      <c r="D475">
        <v>300</v>
      </c>
      <c r="E475">
        <v>369</v>
      </c>
      <c r="F475" t="s">
        <v>172</v>
      </c>
      <c r="G475" s="2" t="s">
        <v>156</v>
      </c>
      <c r="H475">
        <v>1</v>
      </c>
      <c r="I475">
        <v>13.9</v>
      </c>
      <c r="J475" s="2" t="s">
        <v>170</v>
      </c>
      <c r="K475" s="2" t="s">
        <v>74</v>
      </c>
      <c r="M475" t="s">
        <v>1132</v>
      </c>
      <c r="P475" s="19" t="s">
        <v>807</v>
      </c>
      <c r="Q475" s="19" t="s">
        <v>26</v>
      </c>
      <c r="R475" s="19" t="s">
        <v>138</v>
      </c>
      <c r="U475" s="19" t="s">
        <v>138</v>
      </c>
      <c r="W475" s="20">
        <v>16</v>
      </c>
      <c r="X475" s="65" t="s">
        <v>806</v>
      </c>
      <c r="Z475" t="s">
        <v>307</v>
      </c>
      <c r="AB475" t="s">
        <v>178</v>
      </c>
      <c r="AC475" t="s">
        <v>1001</v>
      </c>
      <c r="AD475" s="2" t="s">
        <v>180</v>
      </c>
    </row>
    <row r="476" spans="1:30" hidden="1" x14ac:dyDescent="0.25">
      <c r="A476" s="2">
        <v>198</v>
      </c>
      <c r="B476" t="s">
        <v>1008</v>
      </c>
      <c r="C476">
        <v>16</v>
      </c>
      <c r="D476">
        <v>300</v>
      </c>
      <c r="E476">
        <v>369</v>
      </c>
      <c r="F476" t="s">
        <v>172</v>
      </c>
      <c r="G476" s="2" t="s">
        <v>156</v>
      </c>
      <c r="H476">
        <v>1</v>
      </c>
      <c r="I476">
        <v>13.9</v>
      </c>
      <c r="J476" s="2" t="s">
        <v>170</v>
      </c>
      <c r="K476" s="2" t="s">
        <v>74</v>
      </c>
      <c r="M476" t="s">
        <v>1132</v>
      </c>
      <c r="P476" s="19" t="s">
        <v>807</v>
      </c>
      <c r="Q476" s="19" t="s">
        <v>26</v>
      </c>
      <c r="R476" s="19" t="s">
        <v>138</v>
      </c>
      <c r="U476" s="19" t="s">
        <v>138</v>
      </c>
      <c r="W476" s="20">
        <v>16</v>
      </c>
      <c r="X476" s="65" t="s">
        <v>806</v>
      </c>
      <c r="Z476" t="s">
        <v>307</v>
      </c>
      <c r="AB476" t="s">
        <v>178</v>
      </c>
      <c r="AC476" t="s">
        <v>1001</v>
      </c>
      <c r="AD476" s="2" t="s">
        <v>180</v>
      </c>
    </row>
    <row r="477" spans="1:30" hidden="1" x14ac:dyDescent="0.25">
      <c r="A477" s="2">
        <v>199</v>
      </c>
      <c r="B477" t="s">
        <v>1009</v>
      </c>
      <c r="C477">
        <v>16</v>
      </c>
      <c r="D477">
        <v>300</v>
      </c>
      <c r="E477">
        <v>369</v>
      </c>
      <c r="F477" t="s">
        <v>172</v>
      </c>
      <c r="G477" s="2" t="s">
        <v>156</v>
      </c>
      <c r="H477">
        <v>1</v>
      </c>
      <c r="I477">
        <v>13.9</v>
      </c>
      <c r="J477" s="2" t="s">
        <v>170</v>
      </c>
      <c r="K477" s="2" t="s">
        <v>74</v>
      </c>
      <c r="M477" t="s">
        <v>1132</v>
      </c>
      <c r="P477" s="19" t="s">
        <v>807</v>
      </c>
      <c r="Q477" s="19" t="s">
        <v>26</v>
      </c>
      <c r="R477" s="19" t="s">
        <v>138</v>
      </c>
      <c r="U477" s="19" t="s">
        <v>138</v>
      </c>
      <c r="W477" s="20">
        <v>16</v>
      </c>
      <c r="X477" s="65" t="s">
        <v>806</v>
      </c>
      <c r="Z477" t="s">
        <v>307</v>
      </c>
      <c r="AB477" t="s">
        <v>178</v>
      </c>
      <c r="AC477" t="s">
        <v>1001</v>
      </c>
      <c r="AD477" s="2" t="s">
        <v>180</v>
      </c>
    </row>
    <row r="478" spans="1:30" hidden="1" x14ac:dyDescent="0.25">
      <c r="A478" s="2">
        <v>200</v>
      </c>
      <c r="B478" t="s">
        <v>1010</v>
      </c>
      <c r="C478">
        <v>20</v>
      </c>
      <c r="D478">
        <v>300</v>
      </c>
      <c r="E478">
        <v>9980</v>
      </c>
      <c r="F478" t="s">
        <v>172</v>
      </c>
      <c r="G478" s="2" t="s">
        <v>156</v>
      </c>
      <c r="H478">
        <v>1</v>
      </c>
      <c r="I478">
        <v>470.06</v>
      </c>
      <c r="J478" s="2" t="s">
        <v>170</v>
      </c>
      <c r="K478" s="2" t="s">
        <v>74</v>
      </c>
      <c r="M478" t="s">
        <v>1132</v>
      </c>
      <c r="P478" s="19" t="s">
        <v>807</v>
      </c>
      <c r="Q478" s="19" t="s">
        <v>27</v>
      </c>
      <c r="R478" s="19" t="s">
        <v>138</v>
      </c>
      <c r="W478" s="20">
        <v>16</v>
      </c>
      <c r="X478" s="65" t="s">
        <v>806</v>
      </c>
      <c r="Z478" t="s">
        <v>22</v>
      </c>
      <c r="AB478" t="s">
        <v>178</v>
      </c>
      <c r="AC478" t="s">
        <v>1012</v>
      </c>
      <c r="AD478" s="2" t="s">
        <v>180</v>
      </c>
    </row>
    <row r="479" spans="1:30" hidden="1" x14ac:dyDescent="0.25">
      <c r="A479" s="2">
        <v>201</v>
      </c>
      <c r="B479" t="s">
        <v>1013</v>
      </c>
      <c r="C479">
        <v>20</v>
      </c>
      <c r="D479">
        <v>300</v>
      </c>
      <c r="E479">
        <v>9980</v>
      </c>
      <c r="F479" t="s">
        <v>172</v>
      </c>
      <c r="G479" s="2" t="s">
        <v>156</v>
      </c>
      <c r="H479">
        <v>1</v>
      </c>
      <c r="I479">
        <v>470.06</v>
      </c>
      <c r="J479" s="2" t="s">
        <v>170</v>
      </c>
      <c r="K479" s="2" t="s">
        <v>74</v>
      </c>
      <c r="M479" t="s">
        <v>1132</v>
      </c>
      <c r="P479" s="19" t="s">
        <v>807</v>
      </c>
      <c r="Q479" s="19" t="s">
        <v>27</v>
      </c>
      <c r="R479" s="19" t="s">
        <v>138</v>
      </c>
      <c r="W479" s="20">
        <v>16</v>
      </c>
      <c r="X479" s="65" t="s">
        <v>806</v>
      </c>
      <c r="Z479" t="s">
        <v>22</v>
      </c>
      <c r="AB479" t="s">
        <v>178</v>
      </c>
      <c r="AC479" t="s">
        <v>1012</v>
      </c>
      <c r="AD479" s="2" t="s">
        <v>180</v>
      </c>
    </row>
    <row r="480" spans="1:30" hidden="1" x14ac:dyDescent="0.25">
      <c r="A480" s="2">
        <v>202</v>
      </c>
      <c r="B480" t="s">
        <v>1014</v>
      </c>
      <c r="C480">
        <v>20</v>
      </c>
      <c r="D480">
        <v>300</v>
      </c>
      <c r="E480">
        <v>9980</v>
      </c>
      <c r="F480" t="s">
        <v>172</v>
      </c>
      <c r="G480" s="2" t="s">
        <v>156</v>
      </c>
      <c r="H480">
        <v>1</v>
      </c>
      <c r="I480">
        <v>470.06</v>
      </c>
      <c r="J480" s="2" t="s">
        <v>170</v>
      </c>
      <c r="K480" s="2" t="s">
        <v>74</v>
      </c>
      <c r="M480" t="s">
        <v>1132</v>
      </c>
      <c r="P480" s="19" t="s">
        <v>807</v>
      </c>
      <c r="Q480" s="19" t="s">
        <v>27</v>
      </c>
      <c r="R480" s="19" t="s">
        <v>138</v>
      </c>
      <c r="W480" s="20">
        <v>16</v>
      </c>
      <c r="X480" s="65" t="s">
        <v>806</v>
      </c>
      <c r="Z480" t="s">
        <v>22</v>
      </c>
      <c r="AB480" t="s">
        <v>178</v>
      </c>
      <c r="AC480" t="s">
        <v>1012</v>
      </c>
      <c r="AD480" s="2" t="s">
        <v>180</v>
      </c>
    </row>
    <row r="481" spans="1:30" hidden="1" x14ac:dyDescent="0.25">
      <c r="A481" s="2">
        <v>203</v>
      </c>
      <c r="B481" t="s">
        <v>1015</v>
      </c>
      <c r="C481">
        <v>20</v>
      </c>
      <c r="D481">
        <v>300</v>
      </c>
      <c r="E481">
        <v>1434</v>
      </c>
      <c r="F481" t="s">
        <v>172</v>
      </c>
      <c r="G481" s="2" t="s">
        <v>156</v>
      </c>
      <c r="H481">
        <v>1</v>
      </c>
      <c r="I481">
        <v>67.540000000000006</v>
      </c>
      <c r="J481" s="2" t="s">
        <v>170</v>
      </c>
      <c r="K481" s="2" t="s">
        <v>74</v>
      </c>
      <c r="M481" t="s">
        <v>1132</v>
      </c>
      <c r="P481" s="19" t="s">
        <v>807</v>
      </c>
      <c r="Q481" s="19" t="s">
        <v>27</v>
      </c>
      <c r="R481" s="19" t="s">
        <v>138</v>
      </c>
      <c r="W481" s="20">
        <v>16</v>
      </c>
      <c r="X481" s="65" t="s">
        <v>806</v>
      </c>
      <c r="Z481" t="s">
        <v>22</v>
      </c>
      <c r="AB481" t="s">
        <v>178</v>
      </c>
      <c r="AC481" t="s">
        <v>1012</v>
      </c>
      <c r="AD481" s="2" t="s">
        <v>180</v>
      </c>
    </row>
    <row r="482" spans="1:30" hidden="1" x14ac:dyDescent="0.25">
      <c r="A482" s="2">
        <v>204</v>
      </c>
      <c r="B482" t="s">
        <v>1017</v>
      </c>
      <c r="C482">
        <v>20</v>
      </c>
      <c r="D482">
        <v>1434</v>
      </c>
      <c r="E482">
        <v>1436</v>
      </c>
      <c r="F482" t="s">
        <v>172</v>
      </c>
      <c r="G482" s="2" t="s">
        <v>156</v>
      </c>
      <c r="H482">
        <v>1</v>
      </c>
      <c r="I482">
        <v>317.74</v>
      </c>
      <c r="J482" s="2" t="s">
        <v>170</v>
      </c>
      <c r="K482" s="2" t="s">
        <v>74</v>
      </c>
      <c r="M482" t="s">
        <v>1132</v>
      </c>
      <c r="P482" s="19" t="s">
        <v>807</v>
      </c>
      <c r="Q482" s="19" t="s">
        <v>27</v>
      </c>
      <c r="R482" s="19" t="s">
        <v>138</v>
      </c>
      <c r="W482" s="20">
        <v>16</v>
      </c>
      <c r="X482" s="65" t="s">
        <v>806</v>
      </c>
      <c r="Z482" t="s">
        <v>22</v>
      </c>
      <c r="AB482" t="s">
        <v>178</v>
      </c>
      <c r="AC482" t="s">
        <v>1012</v>
      </c>
      <c r="AD482" s="2" t="s">
        <v>180</v>
      </c>
    </row>
    <row r="483" spans="1:30" hidden="1" x14ac:dyDescent="0.25">
      <c r="A483" s="2">
        <v>205</v>
      </c>
      <c r="B483" t="s">
        <v>1019</v>
      </c>
      <c r="C483">
        <v>20</v>
      </c>
      <c r="D483">
        <v>1436</v>
      </c>
      <c r="E483">
        <v>9068</v>
      </c>
      <c r="F483" t="s">
        <v>172</v>
      </c>
      <c r="G483" s="2" t="s">
        <v>156</v>
      </c>
      <c r="H483">
        <v>1</v>
      </c>
      <c r="I483">
        <v>2029.94</v>
      </c>
      <c r="J483" s="2" t="s">
        <v>170</v>
      </c>
      <c r="K483" s="2" t="s">
        <v>74</v>
      </c>
      <c r="M483" t="s">
        <v>1132</v>
      </c>
      <c r="P483" s="19" t="s">
        <v>807</v>
      </c>
      <c r="Q483" s="19" t="s">
        <v>27</v>
      </c>
      <c r="R483" s="19" t="s">
        <v>138</v>
      </c>
      <c r="W483" s="20">
        <v>16</v>
      </c>
      <c r="X483" s="65" t="s">
        <v>806</v>
      </c>
      <c r="Z483" t="s">
        <v>22</v>
      </c>
      <c r="AB483" t="s">
        <v>178</v>
      </c>
      <c r="AC483" t="s">
        <v>1012</v>
      </c>
      <c r="AD483" s="2" t="s">
        <v>180</v>
      </c>
    </row>
    <row r="484" spans="1:30" hidden="1" x14ac:dyDescent="0.25">
      <c r="A484" s="2">
        <v>206</v>
      </c>
      <c r="B484" t="s">
        <v>1021</v>
      </c>
      <c r="C484">
        <v>20</v>
      </c>
      <c r="D484">
        <v>300</v>
      </c>
      <c r="E484">
        <v>1096</v>
      </c>
      <c r="F484" t="s">
        <v>172</v>
      </c>
      <c r="G484" s="2" t="s">
        <v>156</v>
      </c>
      <c r="H484">
        <v>2</v>
      </c>
      <c r="I484">
        <v>103.24</v>
      </c>
      <c r="J484" s="2" t="s">
        <v>170</v>
      </c>
      <c r="K484" s="2" t="s">
        <v>74</v>
      </c>
      <c r="M484" t="s">
        <v>1132</v>
      </c>
      <c r="P484" s="19" t="s">
        <v>807</v>
      </c>
      <c r="Q484" s="19" t="s">
        <v>27</v>
      </c>
      <c r="R484" s="19" t="s">
        <v>138</v>
      </c>
      <c r="V484" s="19" t="s">
        <v>138</v>
      </c>
      <c r="W484" s="20">
        <v>16</v>
      </c>
      <c r="X484" s="65" t="s">
        <v>806</v>
      </c>
      <c r="Z484" t="s">
        <v>22</v>
      </c>
      <c r="AB484" t="s">
        <v>178</v>
      </c>
      <c r="AC484" t="s">
        <v>1012</v>
      </c>
      <c r="AD484" s="2" t="s">
        <v>180</v>
      </c>
    </row>
    <row r="485" spans="1:30" hidden="1" x14ac:dyDescent="0.25">
      <c r="A485" s="2">
        <v>207</v>
      </c>
      <c r="B485" t="s">
        <v>1023</v>
      </c>
      <c r="C485">
        <v>20</v>
      </c>
      <c r="D485">
        <v>300</v>
      </c>
      <c r="E485">
        <v>1096</v>
      </c>
      <c r="F485" t="s">
        <v>172</v>
      </c>
      <c r="G485" s="2" t="s">
        <v>156</v>
      </c>
      <c r="H485">
        <v>1</v>
      </c>
      <c r="I485">
        <v>51.62</v>
      </c>
      <c r="J485" s="2" t="s">
        <v>170</v>
      </c>
      <c r="K485" s="2" t="s">
        <v>74</v>
      </c>
      <c r="M485" t="s">
        <v>1132</v>
      </c>
      <c r="P485" s="19" t="s">
        <v>807</v>
      </c>
      <c r="Q485" s="19" t="s">
        <v>27</v>
      </c>
      <c r="R485" s="19" t="s">
        <v>138</v>
      </c>
      <c r="V485" s="19" t="s">
        <v>138</v>
      </c>
      <c r="W485" s="20">
        <v>16</v>
      </c>
      <c r="X485" s="65" t="s">
        <v>806</v>
      </c>
      <c r="Z485" t="s">
        <v>22</v>
      </c>
      <c r="AB485" t="s">
        <v>178</v>
      </c>
      <c r="AC485" t="s">
        <v>1012</v>
      </c>
      <c r="AD485" s="2" t="s">
        <v>180</v>
      </c>
    </row>
    <row r="486" spans="1:30" hidden="1" x14ac:dyDescent="0.25">
      <c r="A486" s="2">
        <v>208</v>
      </c>
      <c r="B486" t="s">
        <v>1024</v>
      </c>
      <c r="C486">
        <v>20</v>
      </c>
      <c r="D486">
        <v>300</v>
      </c>
      <c r="E486">
        <v>1514</v>
      </c>
      <c r="F486" t="s">
        <v>172</v>
      </c>
      <c r="G486" s="2" t="s">
        <v>156</v>
      </c>
      <c r="H486">
        <v>1</v>
      </c>
      <c r="I486">
        <v>71.31</v>
      </c>
      <c r="J486" s="2" t="s">
        <v>170</v>
      </c>
      <c r="K486" s="2" t="s">
        <v>74</v>
      </c>
      <c r="M486" t="s">
        <v>1132</v>
      </c>
      <c r="P486" s="19" t="s">
        <v>807</v>
      </c>
      <c r="Q486" s="19" t="s">
        <v>27</v>
      </c>
      <c r="R486" s="19" t="s">
        <v>138</v>
      </c>
      <c r="W486" s="20">
        <v>16</v>
      </c>
      <c r="X486" s="65" t="s">
        <v>806</v>
      </c>
      <c r="Z486" t="s">
        <v>22</v>
      </c>
      <c r="AB486" t="s">
        <v>178</v>
      </c>
      <c r="AC486" t="s">
        <v>1026</v>
      </c>
      <c r="AD486" s="2" t="s">
        <v>180</v>
      </c>
    </row>
    <row r="487" spans="1:30" hidden="1" x14ac:dyDescent="0.25">
      <c r="A487" s="2">
        <v>209</v>
      </c>
      <c r="B487" t="s">
        <v>1027</v>
      </c>
      <c r="C487">
        <v>20</v>
      </c>
      <c r="D487">
        <v>300</v>
      </c>
      <c r="E487">
        <v>9516</v>
      </c>
      <c r="F487" t="s">
        <v>172</v>
      </c>
      <c r="G487" s="2" t="s">
        <v>156</v>
      </c>
      <c r="H487">
        <v>1</v>
      </c>
      <c r="I487">
        <v>448.2</v>
      </c>
      <c r="J487" s="2" t="s">
        <v>170</v>
      </c>
      <c r="K487" s="2" t="s">
        <v>74</v>
      </c>
      <c r="M487" t="s">
        <v>1132</v>
      </c>
      <c r="P487" s="19" t="s">
        <v>807</v>
      </c>
      <c r="Q487" s="19" t="s">
        <v>27</v>
      </c>
      <c r="R487" s="19" t="s">
        <v>138</v>
      </c>
      <c r="V487" s="19" t="s">
        <v>138</v>
      </c>
      <c r="W487" s="20">
        <v>16</v>
      </c>
      <c r="X487" s="65" t="s">
        <v>806</v>
      </c>
      <c r="Z487" t="s">
        <v>22</v>
      </c>
      <c r="AB487" t="s">
        <v>178</v>
      </c>
      <c r="AC487" t="s">
        <v>1026</v>
      </c>
      <c r="AD487" s="2" t="s">
        <v>180</v>
      </c>
    </row>
    <row r="488" spans="1:30" hidden="1" x14ac:dyDescent="0.25">
      <c r="A488" s="2">
        <v>210</v>
      </c>
      <c r="B488" t="s">
        <v>1029</v>
      </c>
      <c r="C488">
        <v>20</v>
      </c>
      <c r="D488">
        <v>330</v>
      </c>
      <c r="E488">
        <v>9400</v>
      </c>
      <c r="F488" t="s">
        <v>172</v>
      </c>
      <c r="G488" s="2" t="s">
        <v>156</v>
      </c>
      <c r="H488">
        <v>1</v>
      </c>
      <c r="I488">
        <v>487.01</v>
      </c>
      <c r="J488" s="2" t="s">
        <v>170</v>
      </c>
      <c r="K488" s="2" t="s">
        <v>74</v>
      </c>
      <c r="M488" t="s">
        <v>1132</v>
      </c>
      <c r="P488" s="19" t="s">
        <v>807</v>
      </c>
      <c r="Q488" s="19" t="s">
        <v>25</v>
      </c>
      <c r="R488" s="19" t="s">
        <v>138</v>
      </c>
      <c r="W488" s="20">
        <v>16</v>
      </c>
      <c r="X488" s="65" t="s">
        <v>806</v>
      </c>
      <c r="Z488" t="s">
        <v>22</v>
      </c>
      <c r="AB488" t="s">
        <v>178</v>
      </c>
      <c r="AC488" t="s">
        <v>1026</v>
      </c>
      <c r="AD488" s="2" t="s">
        <v>180</v>
      </c>
    </row>
    <row r="489" spans="1:30" hidden="1" x14ac:dyDescent="0.25">
      <c r="A489" s="2">
        <v>211</v>
      </c>
      <c r="B489" t="s">
        <v>1031</v>
      </c>
      <c r="C489">
        <v>20</v>
      </c>
      <c r="D489">
        <v>300</v>
      </c>
      <c r="E489">
        <v>1514</v>
      </c>
      <c r="F489" t="s">
        <v>172</v>
      </c>
      <c r="G489" s="2" t="s">
        <v>156</v>
      </c>
      <c r="H489">
        <v>1</v>
      </c>
      <c r="I489">
        <v>71.31</v>
      </c>
      <c r="J489" s="2" t="s">
        <v>170</v>
      </c>
      <c r="K489" s="2" t="s">
        <v>74</v>
      </c>
      <c r="M489" t="s">
        <v>1132</v>
      </c>
      <c r="P489" s="19" t="s">
        <v>807</v>
      </c>
      <c r="Q489" s="19" t="s">
        <v>27</v>
      </c>
      <c r="R489" s="19" t="s">
        <v>138</v>
      </c>
      <c r="W489" s="20">
        <v>16</v>
      </c>
      <c r="X489" s="65" t="s">
        <v>806</v>
      </c>
      <c r="Z489" t="s">
        <v>22</v>
      </c>
      <c r="AB489" t="s">
        <v>178</v>
      </c>
      <c r="AC489" t="s">
        <v>1026</v>
      </c>
      <c r="AD489" s="2" t="s">
        <v>180</v>
      </c>
    </row>
    <row r="490" spans="1:30" hidden="1" x14ac:dyDescent="0.25">
      <c r="A490" s="2">
        <v>212</v>
      </c>
      <c r="B490" t="s">
        <v>1032</v>
      </c>
      <c r="C490">
        <v>20</v>
      </c>
      <c r="D490">
        <v>330</v>
      </c>
      <c r="E490">
        <v>1345</v>
      </c>
      <c r="F490" t="s">
        <v>172</v>
      </c>
      <c r="G490" s="2" t="s">
        <v>156</v>
      </c>
      <c r="H490">
        <v>1</v>
      </c>
      <c r="I490">
        <v>69.680000000000007</v>
      </c>
      <c r="J490" s="2" t="s">
        <v>170</v>
      </c>
      <c r="K490" s="2" t="s">
        <v>74</v>
      </c>
      <c r="M490" t="s">
        <v>1132</v>
      </c>
      <c r="P490" s="19" t="s">
        <v>807</v>
      </c>
      <c r="Q490" s="19" t="s">
        <v>25</v>
      </c>
      <c r="R490" s="19" t="s">
        <v>138</v>
      </c>
      <c r="W490" s="20">
        <v>16</v>
      </c>
      <c r="X490" s="65" t="s">
        <v>806</v>
      </c>
      <c r="Z490" t="s">
        <v>22</v>
      </c>
      <c r="AB490" t="s">
        <v>178</v>
      </c>
      <c r="AC490" t="s">
        <v>1026</v>
      </c>
      <c r="AD490" s="2" t="s">
        <v>180</v>
      </c>
    </row>
    <row r="491" spans="1:30" hidden="1" x14ac:dyDescent="0.25">
      <c r="A491" s="2">
        <v>213</v>
      </c>
      <c r="B491" t="s">
        <v>1034</v>
      </c>
      <c r="C491">
        <v>20</v>
      </c>
      <c r="D491">
        <v>300</v>
      </c>
      <c r="E491">
        <v>9516</v>
      </c>
      <c r="F491" t="s">
        <v>172</v>
      </c>
      <c r="G491" s="2" t="s">
        <v>156</v>
      </c>
      <c r="H491">
        <v>1</v>
      </c>
      <c r="I491">
        <v>448.2</v>
      </c>
      <c r="J491" s="2" t="s">
        <v>170</v>
      </c>
      <c r="K491" s="2" t="s">
        <v>74</v>
      </c>
      <c r="M491" t="s">
        <v>1132</v>
      </c>
      <c r="P491" s="19" t="s">
        <v>807</v>
      </c>
      <c r="Q491" s="19" t="s">
        <v>27</v>
      </c>
      <c r="R491" s="19" t="s">
        <v>138</v>
      </c>
      <c r="V491" s="19" t="s">
        <v>138</v>
      </c>
      <c r="W491" s="20">
        <v>16</v>
      </c>
      <c r="X491" s="65" t="s">
        <v>806</v>
      </c>
      <c r="Z491" t="s">
        <v>22</v>
      </c>
      <c r="AB491" t="s">
        <v>178</v>
      </c>
      <c r="AC491" t="s">
        <v>1026</v>
      </c>
      <c r="AD491" s="2" t="s">
        <v>180</v>
      </c>
    </row>
    <row r="492" spans="1:30" hidden="1" x14ac:dyDescent="0.25">
      <c r="A492" s="2">
        <v>214</v>
      </c>
      <c r="B492" t="s">
        <v>1035</v>
      </c>
      <c r="C492">
        <v>20</v>
      </c>
      <c r="D492">
        <v>300</v>
      </c>
      <c r="E492">
        <v>1434</v>
      </c>
      <c r="F492" t="s">
        <v>172</v>
      </c>
      <c r="G492" s="2" t="s">
        <v>156</v>
      </c>
      <c r="H492">
        <v>1</v>
      </c>
      <c r="I492">
        <v>67.540000000000006</v>
      </c>
      <c r="J492" s="2" t="s">
        <v>170</v>
      </c>
      <c r="K492" s="2" t="s">
        <v>74</v>
      </c>
      <c r="M492" t="s">
        <v>1132</v>
      </c>
      <c r="P492" s="19" t="s">
        <v>807</v>
      </c>
      <c r="Q492" s="19" t="s">
        <v>27</v>
      </c>
      <c r="R492" s="19" t="s">
        <v>138</v>
      </c>
      <c r="W492" s="20">
        <v>16</v>
      </c>
      <c r="X492" s="65" t="s">
        <v>806</v>
      </c>
      <c r="Z492" t="s">
        <v>22</v>
      </c>
      <c r="AB492" t="s">
        <v>178</v>
      </c>
      <c r="AC492" t="s">
        <v>1026</v>
      </c>
      <c r="AD492" s="2" t="s">
        <v>180</v>
      </c>
    </row>
    <row r="493" spans="1:30" hidden="1" x14ac:dyDescent="0.25">
      <c r="A493" s="2">
        <v>215</v>
      </c>
      <c r="B493" t="s">
        <v>1036</v>
      </c>
      <c r="C493">
        <v>20</v>
      </c>
      <c r="D493">
        <v>1434</v>
      </c>
      <c r="E493">
        <v>1436</v>
      </c>
      <c r="F493" t="s">
        <v>172</v>
      </c>
      <c r="G493" s="2" t="s">
        <v>156</v>
      </c>
      <c r="H493">
        <v>1</v>
      </c>
      <c r="I493">
        <v>317.74</v>
      </c>
      <c r="J493" s="2" t="s">
        <v>170</v>
      </c>
      <c r="K493" s="2" t="s">
        <v>74</v>
      </c>
      <c r="M493" t="s">
        <v>1132</v>
      </c>
      <c r="P493" s="19" t="s">
        <v>807</v>
      </c>
      <c r="Q493" s="19" t="s">
        <v>27</v>
      </c>
      <c r="R493" s="19" t="s">
        <v>138</v>
      </c>
      <c r="W493" s="20">
        <v>16</v>
      </c>
      <c r="X493" s="65" t="s">
        <v>806</v>
      </c>
      <c r="Z493" t="s">
        <v>22</v>
      </c>
      <c r="AB493" t="s">
        <v>178</v>
      </c>
      <c r="AC493" t="s">
        <v>1026</v>
      </c>
      <c r="AD493" s="2" t="s">
        <v>180</v>
      </c>
    </row>
    <row r="494" spans="1:30" hidden="1" x14ac:dyDescent="0.25">
      <c r="A494" s="2">
        <v>216</v>
      </c>
      <c r="B494" t="s">
        <v>1037</v>
      </c>
      <c r="C494">
        <v>20</v>
      </c>
      <c r="D494">
        <v>1436</v>
      </c>
      <c r="E494">
        <v>9068</v>
      </c>
      <c r="F494" t="s">
        <v>172</v>
      </c>
      <c r="G494" s="2" t="s">
        <v>156</v>
      </c>
      <c r="H494">
        <v>1</v>
      </c>
      <c r="I494">
        <v>2029.94</v>
      </c>
      <c r="J494" s="2" t="s">
        <v>170</v>
      </c>
      <c r="K494" s="2" t="s">
        <v>74</v>
      </c>
      <c r="M494" t="s">
        <v>1132</v>
      </c>
      <c r="P494" s="19" t="s">
        <v>807</v>
      </c>
      <c r="Q494" s="19" t="s">
        <v>27</v>
      </c>
      <c r="R494" s="19" t="s">
        <v>138</v>
      </c>
      <c r="W494" s="20">
        <v>16</v>
      </c>
      <c r="X494" s="65" t="s">
        <v>806</v>
      </c>
      <c r="Z494" t="s">
        <v>22</v>
      </c>
      <c r="AB494" t="s">
        <v>178</v>
      </c>
      <c r="AC494" t="s">
        <v>1026</v>
      </c>
      <c r="AD494" s="2" t="s">
        <v>180</v>
      </c>
    </row>
    <row r="495" spans="1:30" hidden="1" x14ac:dyDescent="0.25">
      <c r="A495" s="2">
        <v>217</v>
      </c>
      <c r="B495" t="s">
        <v>1038</v>
      </c>
      <c r="C495">
        <v>20</v>
      </c>
      <c r="D495">
        <v>330</v>
      </c>
      <c r="E495">
        <v>1345</v>
      </c>
      <c r="F495" t="s">
        <v>172</v>
      </c>
      <c r="G495" s="2" t="s">
        <v>156</v>
      </c>
      <c r="H495">
        <v>1</v>
      </c>
      <c r="I495">
        <v>69.680000000000007</v>
      </c>
      <c r="J495" s="2" t="s">
        <v>170</v>
      </c>
      <c r="K495" s="2" t="s">
        <v>74</v>
      </c>
      <c r="M495" t="s">
        <v>1132</v>
      </c>
      <c r="P495" s="19" t="s">
        <v>807</v>
      </c>
      <c r="Q495" s="19" t="s">
        <v>25</v>
      </c>
      <c r="R495" s="19" t="s">
        <v>138</v>
      </c>
      <c r="W495" s="20">
        <v>16</v>
      </c>
      <c r="X495" s="65" t="s">
        <v>806</v>
      </c>
      <c r="Z495" t="s">
        <v>22</v>
      </c>
      <c r="AB495" t="s">
        <v>178</v>
      </c>
      <c r="AC495" t="s">
        <v>1039</v>
      </c>
      <c r="AD495" s="2" t="s">
        <v>180</v>
      </c>
    </row>
    <row r="496" spans="1:30" hidden="1" x14ac:dyDescent="0.25">
      <c r="A496" s="2">
        <v>218</v>
      </c>
      <c r="B496" t="s">
        <v>1040</v>
      </c>
      <c r="C496">
        <v>20</v>
      </c>
      <c r="D496">
        <v>300</v>
      </c>
      <c r="E496">
        <v>6101</v>
      </c>
      <c r="F496" t="s">
        <v>172</v>
      </c>
      <c r="G496" s="2" t="s">
        <v>156</v>
      </c>
      <c r="H496">
        <v>1</v>
      </c>
      <c r="I496">
        <v>287.36</v>
      </c>
      <c r="J496" s="2" t="s">
        <v>170</v>
      </c>
      <c r="K496" s="2" t="s">
        <v>74</v>
      </c>
      <c r="M496" t="s">
        <v>1132</v>
      </c>
      <c r="P496" s="19" t="s">
        <v>807</v>
      </c>
      <c r="Q496" s="19" t="s">
        <v>27</v>
      </c>
      <c r="R496" s="19" t="s">
        <v>138</v>
      </c>
      <c r="V496" s="19" t="s">
        <v>138</v>
      </c>
      <c r="W496" s="20">
        <v>16</v>
      </c>
      <c r="X496" s="65" t="s">
        <v>806</v>
      </c>
      <c r="Z496" t="s">
        <v>22</v>
      </c>
      <c r="AB496" t="s">
        <v>178</v>
      </c>
      <c r="AC496" t="s">
        <v>1039</v>
      </c>
      <c r="AD496" s="2" t="s">
        <v>180</v>
      </c>
    </row>
    <row r="497" spans="1:30" hidden="1" x14ac:dyDescent="0.25">
      <c r="A497" s="2">
        <v>219</v>
      </c>
      <c r="B497" t="s">
        <v>1042</v>
      </c>
      <c r="C497">
        <v>20</v>
      </c>
      <c r="D497">
        <v>300</v>
      </c>
      <c r="E497">
        <v>1514</v>
      </c>
      <c r="F497" t="s">
        <v>172</v>
      </c>
      <c r="G497" s="2" t="s">
        <v>156</v>
      </c>
      <c r="H497">
        <v>1</v>
      </c>
      <c r="I497">
        <v>71.31</v>
      </c>
      <c r="J497" s="2" t="s">
        <v>170</v>
      </c>
      <c r="K497" s="2" t="s">
        <v>74</v>
      </c>
      <c r="M497" t="s">
        <v>1132</v>
      </c>
      <c r="P497" s="19" t="s">
        <v>807</v>
      </c>
      <c r="Q497" s="19" t="s">
        <v>27</v>
      </c>
      <c r="R497" s="19" t="s">
        <v>138</v>
      </c>
      <c r="W497" s="20">
        <v>16</v>
      </c>
      <c r="X497" s="65" t="s">
        <v>806</v>
      </c>
      <c r="Z497" t="s">
        <v>22</v>
      </c>
      <c r="AB497" t="s">
        <v>178</v>
      </c>
      <c r="AC497" t="s">
        <v>1039</v>
      </c>
      <c r="AD497" s="2" t="s">
        <v>180</v>
      </c>
    </row>
    <row r="498" spans="1:30" hidden="1" x14ac:dyDescent="0.25">
      <c r="A498" s="2">
        <v>220</v>
      </c>
      <c r="B498" t="s">
        <v>1043</v>
      </c>
      <c r="C498">
        <v>20</v>
      </c>
      <c r="D498">
        <v>300</v>
      </c>
      <c r="E498">
        <v>8016</v>
      </c>
      <c r="F498" t="s">
        <v>172</v>
      </c>
      <c r="G498" s="2" t="s">
        <v>156</v>
      </c>
      <c r="H498">
        <v>1</v>
      </c>
      <c r="I498">
        <v>377.55</v>
      </c>
      <c r="J498" s="2" t="s">
        <v>170</v>
      </c>
      <c r="K498" s="2" t="s">
        <v>74</v>
      </c>
      <c r="M498" t="s">
        <v>1132</v>
      </c>
      <c r="P498" s="19" t="s">
        <v>807</v>
      </c>
      <c r="Q498" s="19" t="s">
        <v>27</v>
      </c>
      <c r="R498" s="19" t="s">
        <v>138</v>
      </c>
      <c r="V498" s="19" t="s">
        <v>138</v>
      </c>
      <c r="W498" s="20">
        <v>16</v>
      </c>
      <c r="X498" s="65" t="s">
        <v>806</v>
      </c>
      <c r="Z498" t="s">
        <v>22</v>
      </c>
      <c r="AB498" t="s">
        <v>178</v>
      </c>
      <c r="AC498" t="s">
        <v>1039</v>
      </c>
      <c r="AD498" s="2" t="s">
        <v>180</v>
      </c>
    </row>
    <row r="499" spans="1:30" hidden="1" x14ac:dyDescent="0.25">
      <c r="A499" s="2">
        <v>221</v>
      </c>
      <c r="B499" t="s">
        <v>1045</v>
      </c>
      <c r="C499">
        <v>20</v>
      </c>
      <c r="D499">
        <v>300</v>
      </c>
      <c r="E499">
        <v>8016</v>
      </c>
      <c r="F499" t="s">
        <v>172</v>
      </c>
      <c r="G499" s="2" t="s">
        <v>156</v>
      </c>
      <c r="H499">
        <v>1</v>
      </c>
      <c r="I499">
        <v>377.55</v>
      </c>
      <c r="J499" s="2" t="s">
        <v>170</v>
      </c>
      <c r="K499" s="2" t="s">
        <v>74</v>
      </c>
      <c r="M499" t="s">
        <v>1132</v>
      </c>
      <c r="P499" s="19" t="s">
        <v>807</v>
      </c>
      <c r="Q499" s="19" t="s">
        <v>27</v>
      </c>
      <c r="R499" s="19" t="s">
        <v>138</v>
      </c>
      <c r="V499" s="19" t="s">
        <v>138</v>
      </c>
      <c r="W499" s="20">
        <v>16</v>
      </c>
      <c r="X499" s="65" t="s">
        <v>806</v>
      </c>
      <c r="Z499" t="s">
        <v>22</v>
      </c>
      <c r="AB499" t="s">
        <v>178</v>
      </c>
      <c r="AC499" t="s">
        <v>1039</v>
      </c>
      <c r="AD499" s="2" t="s">
        <v>180</v>
      </c>
    </row>
    <row r="500" spans="1:30" hidden="1" x14ac:dyDescent="0.25">
      <c r="A500" s="2">
        <v>222</v>
      </c>
      <c r="B500" t="s">
        <v>1023</v>
      </c>
      <c r="C500">
        <v>20</v>
      </c>
      <c r="D500">
        <v>300</v>
      </c>
      <c r="E500">
        <v>1096</v>
      </c>
      <c r="F500" t="s">
        <v>172</v>
      </c>
      <c r="G500" s="2" t="s">
        <v>156</v>
      </c>
      <c r="H500">
        <v>1</v>
      </c>
      <c r="I500">
        <v>51.62</v>
      </c>
      <c r="J500" s="2" t="s">
        <v>170</v>
      </c>
      <c r="K500" s="2" t="s">
        <v>74</v>
      </c>
      <c r="M500" t="s">
        <v>1132</v>
      </c>
      <c r="P500" s="19" t="s">
        <v>807</v>
      </c>
      <c r="Q500" s="19" t="s">
        <v>27</v>
      </c>
      <c r="R500" s="19" t="s">
        <v>138</v>
      </c>
      <c r="V500" s="19" t="s">
        <v>138</v>
      </c>
      <c r="W500" s="20">
        <v>16</v>
      </c>
      <c r="X500" s="65" t="s">
        <v>806</v>
      </c>
      <c r="Z500" t="s">
        <v>22</v>
      </c>
      <c r="AB500" t="s">
        <v>178</v>
      </c>
      <c r="AC500" t="s">
        <v>1039</v>
      </c>
      <c r="AD500" s="2" t="s">
        <v>180</v>
      </c>
    </row>
    <row r="501" spans="1:30" hidden="1" x14ac:dyDescent="0.25">
      <c r="A501" s="2">
        <v>223</v>
      </c>
      <c r="B501" t="s">
        <v>1046</v>
      </c>
      <c r="C501">
        <v>20</v>
      </c>
      <c r="D501">
        <v>300</v>
      </c>
      <c r="E501">
        <v>9516</v>
      </c>
      <c r="F501" t="s">
        <v>172</v>
      </c>
      <c r="G501" s="2" t="s">
        <v>156</v>
      </c>
      <c r="H501">
        <v>1</v>
      </c>
      <c r="I501">
        <v>448.2</v>
      </c>
      <c r="J501" s="2" t="s">
        <v>170</v>
      </c>
      <c r="K501" s="2" t="s">
        <v>74</v>
      </c>
      <c r="M501" t="s">
        <v>1132</v>
      </c>
      <c r="P501" s="19" t="s">
        <v>807</v>
      </c>
      <c r="Q501" s="19" t="s">
        <v>27</v>
      </c>
      <c r="R501" s="19" t="s">
        <v>138</v>
      </c>
      <c r="V501" s="19" t="s">
        <v>138</v>
      </c>
      <c r="W501" s="20">
        <v>16</v>
      </c>
      <c r="X501" s="65" t="s">
        <v>806</v>
      </c>
      <c r="Z501" t="s">
        <v>22</v>
      </c>
      <c r="AB501" t="s">
        <v>178</v>
      </c>
      <c r="AC501" t="s">
        <v>1039</v>
      </c>
      <c r="AD501" s="2" t="s">
        <v>180</v>
      </c>
    </row>
    <row r="502" spans="1:30" hidden="1" x14ac:dyDescent="0.25">
      <c r="A502" s="2">
        <v>224</v>
      </c>
      <c r="B502" t="s">
        <v>1047</v>
      </c>
      <c r="C502">
        <v>20</v>
      </c>
      <c r="D502">
        <v>300</v>
      </c>
      <c r="E502">
        <v>1514</v>
      </c>
      <c r="F502" t="s">
        <v>172</v>
      </c>
      <c r="G502" s="2" t="s">
        <v>156</v>
      </c>
      <c r="H502">
        <v>1</v>
      </c>
      <c r="I502">
        <v>71.31</v>
      </c>
      <c r="J502" s="2" t="s">
        <v>170</v>
      </c>
      <c r="K502" s="2" t="s">
        <v>74</v>
      </c>
      <c r="M502" t="s">
        <v>1132</v>
      </c>
      <c r="P502" s="19" t="s">
        <v>807</v>
      </c>
      <c r="Q502" s="19" t="s">
        <v>27</v>
      </c>
      <c r="R502" s="19" t="s">
        <v>138</v>
      </c>
      <c r="W502" s="20">
        <v>16</v>
      </c>
      <c r="X502" s="65" t="s">
        <v>806</v>
      </c>
      <c r="Z502" t="s">
        <v>22</v>
      </c>
      <c r="AB502" t="s">
        <v>178</v>
      </c>
      <c r="AC502" t="s">
        <v>1039</v>
      </c>
      <c r="AD502" s="2" t="s">
        <v>180</v>
      </c>
    </row>
    <row r="503" spans="1:30" hidden="1" x14ac:dyDescent="0.25">
      <c r="A503" s="2">
        <v>225</v>
      </c>
      <c r="B503" t="s">
        <v>1048</v>
      </c>
      <c r="C503">
        <v>20</v>
      </c>
      <c r="D503">
        <v>300</v>
      </c>
      <c r="E503">
        <v>1514</v>
      </c>
      <c r="F503" t="s">
        <v>172</v>
      </c>
      <c r="G503" s="2" t="s">
        <v>156</v>
      </c>
      <c r="H503">
        <v>1</v>
      </c>
      <c r="I503">
        <v>71.31</v>
      </c>
      <c r="J503" s="2" t="s">
        <v>170</v>
      </c>
      <c r="K503" s="2" t="s">
        <v>74</v>
      </c>
      <c r="M503" t="s">
        <v>1132</v>
      </c>
      <c r="P503" s="19" t="s">
        <v>807</v>
      </c>
      <c r="Q503" s="19" t="s">
        <v>27</v>
      </c>
      <c r="R503" s="19" t="s">
        <v>138</v>
      </c>
      <c r="W503" s="20">
        <v>16</v>
      </c>
      <c r="X503" s="65" t="s">
        <v>806</v>
      </c>
      <c r="Z503" t="s">
        <v>22</v>
      </c>
      <c r="AB503" t="s">
        <v>178</v>
      </c>
      <c r="AC503" t="s">
        <v>1039</v>
      </c>
      <c r="AD503" s="2" t="s">
        <v>180</v>
      </c>
    </row>
    <row r="504" spans="1:30" hidden="1" x14ac:dyDescent="0.25">
      <c r="A504" s="2">
        <v>226</v>
      </c>
      <c r="B504" t="s">
        <v>1049</v>
      </c>
      <c r="C504">
        <v>20</v>
      </c>
      <c r="D504">
        <v>300</v>
      </c>
      <c r="E504">
        <v>1383</v>
      </c>
      <c r="F504" t="s">
        <v>172</v>
      </c>
      <c r="G504" s="2" t="s">
        <v>156</v>
      </c>
      <c r="H504">
        <v>1</v>
      </c>
      <c r="I504">
        <v>65.14</v>
      </c>
      <c r="J504" s="2" t="s">
        <v>170</v>
      </c>
      <c r="K504" s="2" t="s">
        <v>74</v>
      </c>
      <c r="M504" t="s">
        <v>1132</v>
      </c>
      <c r="P504" s="19" t="s">
        <v>807</v>
      </c>
      <c r="Q504" s="19" t="s">
        <v>27</v>
      </c>
      <c r="R504" s="19" t="s">
        <v>138</v>
      </c>
      <c r="V504" s="19" t="s">
        <v>138</v>
      </c>
      <c r="W504" s="20">
        <v>16</v>
      </c>
      <c r="X504" s="65" t="s">
        <v>806</v>
      </c>
      <c r="Z504" t="s">
        <v>22</v>
      </c>
      <c r="AB504" t="s">
        <v>178</v>
      </c>
      <c r="AC504" t="s">
        <v>1039</v>
      </c>
      <c r="AD504" s="2" t="s">
        <v>180</v>
      </c>
    </row>
    <row r="505" spans="1:30" hidden="1" x14ac:dyDescent="0.25">
      <c r="A505" s="2">
        <v>227</v>
      </c>
      <c r="B505" t="s">
        <v>1051</v>
      </c>
      <c r="C505">
        <v>20</v>
      </c>
      <c r="D505">
        <v>300</v>
      </c>
      <c r="E505">
        <v>1514</v>
      </c>
      <c r="F505" t="s">
        <v>172</v>
      </c>
      <c r="G505" s="2" t="s">
        <v>156</v>
      </c>
      <c r="H505">
        <v>1</v>
      </c>
      <c r="I505">
        <v>71.31</v>
      </c>
      <c r="J505" s="2" t="s">
        <v>170</v>
      </c>
      <c r="K505" s="2" t="s">
        <v>74</v>
      </c>
      <c r="M505" t="s">
        <v>1132</v>
      </c>
      <c r="P505" s="19" t="s">
        <v>807</v>
      </c>
      <c r="Q505" s="19" t="s">
        <v>27</v>
      </c>
      <c r="R505" s="19" t="s">
        <v>138</v>
      </c>
      <c r="W505" s="20">
        <v>16</v>
      </c>
      <c r="X505" s="65" t="s">
        <v>806</v>
      </c>
      <c r="Z505" t="s">
        <v>22</v>
      </c>
      <c r="AB505" t="s">
        <v>178</v>
      </c>
      <c r="AC505" t="s">
        <v>1039</v>
      </c>
      <c r="AD505" s="2" t="s">
        <v>180</v>
      </c>
    </row>
    <row r="506" spans="1:30" hidden="1" x14ac:dyDescent="0.25">
      <c r="A506" s="2">
        <v>228</v>
      </c>
      <c r="B506" t="s">
        <v>1052</v>
      </c>
      <c r="C506">
        <v>20</v>
      </c>
      <c r="D506">
        <v>300</v>
      </c>
      <c r="E506">
        <v>1383</v>
      </c>
      <c r="F506" t="s">
        <v>172</v>
      </c>
      <c r="G506" s="2" t="s">
        <v>156</v>
      </c>
      <c r="H506">
        <v>1</v>
      </c>
      <c r="I506">
        <v>65.14</v>
      </c>
      <c r="J506" s="2" t="s">
        <v>170</v>
      </c>
      <c r="K506" s="2" t="s">
        <v>74</v>
      </c>
      <c r="M506" t="s">
        <v>1132</v>
      </c>
      <c r="P506" s="19" t="s">
        <v>807</v>
      </c>
      <c r="Q506" s="19" t="s">
        <v>27</v>
      </c>
      <c r="R506" s="19" t="s">
        <v>138</v>
      </c>
      <c r="V506" s="19" t="s">
        <v>138</v>
      </c>
      <c r="W506" s="20">
        <v>16</v>
      </c>
      <c r="X506" s="65" t="s">
        <v>806</v>
      </c>
      <c r="Z506" t="s">
        <v>22</v>
      </c>
      <c r="AB506" t="s">
        <v>178</v>
      </c>
      <c r="AC506" t="s">
        <v>1039</v>
      </c>
      <c r="AD506" s="2" t="s">
        <v>180</v>
      </c>
    </row>
    <row r="507" spans="1:30" hidden="1" x14ac:dyDescent="0.25">
      <c r="A507" s="2">
        <v>229</v>
      </c>
      <c r="B507" t="s">
        <v>1053</v>
      </c>
      <c r="C507">
        <v>20</v>
      </c>
      <c r="D507">
        <v>300</v>
      </c>
      <c r="E507">
        <v>1514</v>
      </c>
      <c r="F507" t="s">
        <v>172</v>
      </c>
      <c r="G507" s="2" t="s">
        <v>156</v>
      </c>
      <c r="H507">
        <v>1</v>
      </c>
      <c r="I507">
        <v>71.31</v>
      </c>
      <c r="J507" s="2" t="s">
        <v>170</v>
      </c>
      <c r="K507" s="2" t="s">
        <v>74</v>
      </c>
      <c r="M507" t="s">
        <v>1132</v>
      </c>
      <c r="P507" s="19" t="s">
        <v>807</v>
      </c>
      <c r="Q507" s="19" t="s">
        <v>27</v>
      </c>
      <c r="R507" s="19" t="s">
        <v>138</v>
      </c>
      <c r="W507" s="20">
        <v>16</v>
      </c>
      <c r="X507" s="65" t="s">
        <v>806</v>
      </c>
      <c r="Z507" t="s">
        <v>22</v>
      </c>
      <c r="AB507" t="s">
        <v>178</v>
      </c>
      <c r="AC507" t="s">
        <v>1039</v>
      </c>
      <c r="AD507" s="2" t="s">
        <v>180</v>
      </c>
    </row>
    <row r="508" spans="1:30" hidden="1" x14ac:dyDescent="0.25">
      <c r="A508" s="2">
        <v>230</v>
      </c>
      <c r="B508" t="s">
        <v>1054</v>
      </c>
      <c r="C508">
        <v>20</v>
      </c>
      <c r="D508">
        <v>300</v>
      </c>
      <c r="E508">
        <v>1383</v>
      </c>
      <c r="F508" t="s">
        <v>172</v>
      </c>
      <c r="G508" s="2" t="s">
        <v>156</v>
      </c>
      <c r="H508">
        <v>1</v>
      </c>
      <c r="I508">
        <v>65.14</v>
      </c>
      <c r="J508" s="2" t="s">
        <v>170</v>
      </c>
      <c r="K508" s="2" t="s">
        <v>74</v>
      </c>
      <c r="M508" t="s">
        <v>1132</v>
      </c>
      <c r="P508" s="19" t="s">
        <v>807</v>
      </c>
      <c r="Q508" s="19" t="s">
        <v>27</v>
      </c>
      <c r="R508" s="19" t="s">
        <v>138</v>
      </c>
      <c r="V508" s="19" t="s">
        <v>138</v>
      </c>
      <c r="W508" s="20">
        <v>16</v>
      </c>
      <c r="X508" s="65" t="s">
        <v>806</v>
      </c>
      <c r="Z508" t="s">
        <v>22</v>
      </c>
      <c r="AB508" t="s">
        <v>178</v>
      </c>
      <c r="AC508" t="s">
        <v>1039</v>
      </c>
      <c r="AD508" s="2" t="s">
        <v>180</v>
      </c>
    </row>
    <row r="509" spans="1:30" hidden="1" x14ac:dyDescent="0.25">
      <c r="A509" s="2">
        <v>231</v>
      </c>
      <c r="B509" t="s">
        <v>1055</v>
      </c>
      <c r="C509">
        <v>20</v>
      </c>
      <c r="D509">
        <v>300</v>
      </c>
      <c r="E509">
        <v>1514</v>
      </c>
      <c r="F509" t="s">
        <v>172</v>
      </c>
      <c r="G509" s="2" t="s">
        <v>156</v>
      </c>
      <c r="H509">
        <v>1</v>
      </c>
      <c r="I509">
        <v>71.31</v>
      </c>
      <c r="J509" s="2" t="s">
        <v>170</v>
      </c>
      <c r="K509" s="2" t="s">
        <v>74</v>
      </c>
      <c r="M509" t="s">
        <v>1132</v>
      </c>
      <c r="P509" s="19" t="s">
        <v>807</v>
      </c>
      <c r="Q509" s="19" t="s">
        <v>27</v>
      </c>
      <c r="R509" s="19" t="s">
        <v>138</v>
      </c>
      <c r="W509" s="20">
        <v>16</v>
      </c>
      <c r="X509" s="65" t="s">
        <v>806</v>
      </c>
      <c r="Z509" t="s">
        <v>22</v>
      </c>
      <c r="AB509" t="s">
        <v>178</v>
      </c>
      <c r="AC509" t="s">
        <v>1039</v>
      </c>
      <c r="AD509" s="2" t="s">
        <v>180</v>
      </c>
    </row>
    <row r="510" spans="1:30" hidden="1" x14ac:dyDescent="0.25">
      <c r="A510" s="2">
        <v>232</v>
      </c>
      <c r="B510" t="s">
        <v>1056</v>
      </c>
      <c r="C510">
        <v>20</v>
      </c>
      <c r="D510">
        <v>300</v>
      </c>
      <c r="E510">
        <v>1514</v>
      </c>
      <c r="F510" t="s">
        <v>172</v>
      </c>
      <c r="G510" s="2" t="s">
        <v>156</v>
      </c>
      <c r="H510">
        <v>1</v>
      </c>
      <c r="I510">
        <v>71.31</v>
      </c>
      <c r="J510" s="2" t="s">
        <v>170</v>
      </c>
      <c r="K510" s="2" t="s">
        <v>74</v>
      </c>
      <c r="M510" t="s">
        <v>1132</v>
      </c>
      <c r="P510" s="19" t="s">
        <v>807</v>
      </c>
      <c r="Q510" s="19" t="s">
        <v>27</v>
      </c>
      <c r="R510" s="19" t="s">
        <v>138</v>
      </c>
      <c r="W510" s="20">
        <v>16</v>
      </c>
      <c r="X510" s="65" t="s">
        <v>806</v>
      </c>
      <c r="Z510" t="s">
        <v>22</v>
      </c>
      <c r="AB510" t="s">
        <v>178</v>
      </c>
      <c r="AC510" t="s">
        <v>1039</v>
      </c>
      <c r="AD510" s="2" t="s">
        <v>180</v>
      </c>
    </row>
    <row r="511" spans="1:30" hidden="1" x14ac:dyDescent="0.25">
      <c r="A511" s="2">
        <v>233</v>
      </c>
      <c r="B511" t="s">
        <v>1057</v>
      </c>
      <c r="C511">
        <v>20</v>
      </c>
      <c r="D511">
        <v>300</v>
      </c>
      <c r="E511">
        <v>1383</v>
      </c>
      <c r="F511" t="s">
        <v>172</v>
      </c>
      <c r="G511" s="2" t="s">
        <v>156</v>
      </c>
      <c r="H511">
        <v>1</v>
      </c>
      <c r="I511">
        <v>65.14</v>
      </c>
      <c r="J511" s="2" t="s">
        <v>170</v>
      </c>
      <c r="K511" s="2" t="s">
        <v>74</v>
      </c>
      <c r="M511" t="s">
        <v>1132</v>
      </c>
      <c r="P511" s="19" t="s">
        <v>807</v>
      </c>
      <c r="Q511" s="19" t="s">
        <v>27</v>
      </c>
      <c r="R511" s="19" t="s">
        <v>138</v>
      </c>
      <c r="V511" s="19" t="s">
        <v>138</v>
      </c>
      <c r="W511" s="20">
        <v>16</v>
      </c>
      <c r="X511" s="65" t="s">
        <v>806</v>
      </c>
      <c r="Z511" t="s">
        <v>22</v>
      </c>
      <c r="AB511" t="s">
        <v>178</v>
      </c>
      <c r="AC511" t="s">
        <v>1039</v>
      </c>
      <c r="AD511" s="2" t="s">
        <v>180</v>
      </c>
    </row>
    <row r="512" spans="1:30" hidden="1" x14ac:dyDescent="0.25">
      <c r="A512" s="2">
        <v>234</v>
      </c>
      <c r="B512" t="s">
        <v>1058</v>
      </c>
      <c r="C512">
        <v>20</v>
      </c>
      <c r="D512">
        <v>300</v>
      </c>
      <c r="E512">
        <v>1514</v>
      </c>
      <c r="F512" t="s">
        <v>172</v>
      </c>
      <c r="G512" s="2" t="s">
        <v>156</v>
      </c>
      <c r="H512">
        <v>1</v>
      </c>
      <c r="I512">
        <v>71.31</v>
      </c>
      <c r="J512" s="2" t="s">
        <v>170</v>
      </c>
      <c r="K512" s="2" t="s">
        <v>74</v>
      </c>
      <c r="M512" t="s">
        <v>1132</v>
      </c>
      <c r="P512" s="19" t="s">
        <v>807</v>
      </c>
      <c r="Q512" s="19" t="s">
        <v>27</v>
      </c>
      <c r="R512" s="19" t="s">
        <v>138</v>
      </c>
      <c r="W512" s="20">
        <v>16</v>
      </c>
      <c r="X512" s="65" t="s">
        <v>806</v>
      </c>
      <c r="Z512" t="s">
        <v>22</v>
      </c>
      <c r="AB512" t="s">
        <v>178</v>
      </c>
      <c r="AC512" t="s">
        <v>1039</v>
      </c>
      <c r="AD512" s="2" t="s">
        <v>180</v>
      </c>
    </row>
    <row r="513" spans="1:30" hidden="1" x14ac:dyDescent="0.25">
      <c r="A513" s="2">
        <v>235</v>
      </c>
      <c r="B513" t="s">
        <v>1059</v>
      </c>
      <c r="C513">
        <v>20</v>
      </c>
      <c r="D513">
        <v>300</v>
      </c>
      <c r="E513">
        <v>1514</v>
      </c>
      <c r="F513" t="s">
        <v>172</v>
      </c>
      <c r="G513" s="2" t="s">
        <v>156</v>
      </c>
      <c r="H513">
        <v>1</v>
      </c>
      <c r="I513">
        <v>71.31</v>
      </c>
      <c r="J513" s="2" t="s">
        <v>170</v>
      </c>
      <c r="K513" s="2" t="s">
        <v>74</v>
      </c>
      <c r="M513" t="s">
        <v>1132</v>
      </c>
      <c r="P513" s="19" t="s">
        <v>807</v>
      </c>
      <c r="Q513" s="19" t="s">
        <v>27</v>
      </c>
      <c r="R513" s="19" t="s">
        <v>138</v>
      </c>
      <c r="W513" s="20">
        <v>16</v>
      </c>
      <c r="X513" s="65" t="s">
        <v>806</v>
      </c>
      <c r="Z513" t="s">
        <v>22</v>
      </c>
      <c r="AB513" t="s">
        <v>178</v>
      </c>
      <c r="AC513" t="s">
        <v>1039</v>
      </c>
      <c r="AD513" s="2" t="s">
        <v>180</v>
      </c>
    </row>
    <row r="514" spans="1:30" hidden="1" x14ac:dyDescent="0.25">
      <c r="A514" s="2">
        <v>236</v>
      </c>
      <c r="B514" t="s">
        <v>1060</v>
      </c>
      <c r="C514">
        <v>20</v>
      </c>
      <c r="D514">
        <v>300</v>
      </c>
      <c r="E514">
        <v>7800</v>
      </c>
      <c r="F514" t="s">
        <v>172</v>
      </c>
      <c r="G514" s="2" t="s">
        <v>156</v>
      </c>
      <c r="H514">
        <v>2</v>
      </c>
      <c r="I514">
        <v>734.76</v>
      </c>
      <c r="J514" s="2" t="s">
        <v>170</v>
      </c>
      <c r="K514" s="2" t="s">
        <v>74</v>
      </c>
      <c r="M514" t="s">
        <v>1132</v>
      </c>
      <c r="P514" s="19" t="s">
        <v>807</v>
      </c>
      <c r="Q514" s="19" t="s">
        <v>27</v>
      </c>
      <c r="R514" s="19" t="s">
        <v>138</v>
      </c>
      <c r="W514" s="20">
        <v>16</v>
      </c>
      <c r="X514" s="65" t="s">
        <v>806</v>
      </c>
      <c r="Z514" t="s">
        <v>22</v>
      </c>
      <c r="AB514" t="s">
        <v>178</v>
      </c>
      <c r="AC514" t="s">
        <v>1039</v>
      </c>
      <c r="AD514" s="2" t="s">
        <v>180</v>
      </c>
    </row>
    <row r="515" spans="1:30" hidden="1" x14ac:dyDescent="0.25">
      <c r="A515" s="2">
        <v>237</v>
      </c>
      <c r="B515" t="s">
        <v>1062</v>
      </c>
      <c r="C515">
        <v>20</v>
      </c>
      <c r="D515">
        <v>300</v>
      </c>
      <c r="E515">
        <v>7800</v>
      </c>
      <c r="F515" t="s">
        <v>172</v>
      </c>
      <c r="G515" s="2" t="s">
        <v>156</v>
      </c>
      <c r="H515">
        <v>2</v>
      </c>
      <c r="I515">
        <v>734.76</v>
      </c>
      <c r="J515" s="2" t="s">
        <v>170</v>
      </c>
      <c r="K515" s="2" t="s">
        <v>74</v>
      </c>
      <c r="M515" t="s">
        <v>1132</v>
      </c>
      <c r="P515" s="19" t="s">
        <v>807</v>
      </c>
      <c r="Q515" s="19" t="s">
        <v>27</v>
      </c>
      <c r="R515" s="19" t="s">
        <v>138</v>
      </c>
      <c r="W515" s="20">
        <v>16</v>
      </c>
      <c r="X515" s="65" t="s">
        <v>806</v>
      </c>
      <c r="Z515" t="s">
        <v>22</v>
      </c>
      <c r="AB515" t="s">
        <v>178</v>
      </c>
      <c r="AC515" t="s">
        <v>1039</v>
      </c>
      <c r="AD515" s="2" t="s">
        <v>180</v>
      </c>
    </row>
    <row r="516" spans="1:30" hidden="1" x14ac:dyDescent="0.25">
      <c r="A516" s="2">
        <v>238</v>
      </c>
      <c r="B516" t="s">
        <v>1063</v>
      </c>
      <c r="C516">
        <v>20</v>
      </c>
      <c r="D516">
        <v>300</v>
      </c>
      <c r="E516">
        <v>1096</v>
      </c>
      <c r="F516" t="s">
        <v>172</v>
      </c>
      <c r="G516" s="2" t="s">
        <v>156</v>
      </c>
      <c r="H516">
        <v>1</v>
      </c>
      <c r="I516">
        <v>51.62</v>
      </c>
      <c r="J516" s="2" t="s">
        <v>170</v>
      </c>
      <c r="K516" s="2" t="s">
        <v>74</v>
      </c>
      <c r="M516" t="s">
        <v>1132</v>
      </c>
      <c r="P516" s="19" t="s">
        <v>807</v>
      </c>
      <c r="Q516" s="19" t="s">
        <v>27</v>
      </c>
      <c r="R516" s="19" t="s">
        <v>138</v>
      </c>
      <c r="V516" s="19" t="s">
        <v>138</v>
      </c>
      <c r="W516" s="20">
        <v>16</v>
      </c>
      <c r="X516" s="65" t="s">
        <v>806</v>
      </c>
      <c r="Z516" t="s">
        <v>22</v>
      </c>
      <c r="AB516" t="s">
        <v>178</v>
      </c>
      <c r="AC516" t="s">
        <v>1039</v>
      </c>
      <c r="AD516" s="2" t="s">
        <v>180</v>
      </c>
    </row>
    <row r="517" spans="1:30" hidden="1" x14ac:dyDescent="0.25">
      <c r="A517" s="2">
        <v>239</v>
      </c>
      <c r="B517" t="s">
        <v>1064</v>
      </c>
      <c r="C517">
        <v>20</v>
      </c>
      <c r="D517">
        <v>300</v>
      </c>
      <c r="E517">
        <v>1096</v>
      </c>
      <c r="F517" t="s">
        <v>172</v>
      </c>
      <c r="G517" s="2" t="s">
        <v>156</v>
      </c>
      <c r="H517">
        <v>1</v>
      </c>
      <c r="I517">
        <v>51.62</v>
      </c>
      <c r="J517" s="2" t="s">
        <v>170</v>
      </c>
      <c r="K517" s="2" t="s">
        <v>74</v>
      </c>
      <c r="M517" t="s">
        <v>1132</v>
      </c>
      <c r="P517" s="19" t="s">
        <v>807</v>
      </c>
      <c r="Q517" s="19" t="s">
        <v>27</v>
      </c>
      <c r="R517" s="19" t="s">
        <v>138</v>
      </c>
      <c r="V517" s="19" t="s">
        <v>138</v>
      </c>
      <c r="W517" s="20">
        <v>16</v>
      </c>
      <c r="X517" s="65" t="s">
        <v>806</v>
      </c>
      <c r="Z517" t="s">
        <v>22</v>
      </c>
      <c r="AB517" t="s">
        <v>178</v>
      </c>
      <c r="AC517" t="s">
        <v>1039</v>
      </c>
      <c r="AD517" s="2" t="s">
        <v>180</v>
      </c>
    </row>
    <row r="518" spans="1:30" hidden="1" x14ac:dyDescent="0.25">
      <c r="A518" s="2">
        <v>240</v>
      </c>
      <c r="B518" t="s">
        <v>1065</v>
      </c>
      <c r="C518">
        <v>20</v>
      </c>
      <c r="D518">
        <v>300</v>
      </c>
      <c r="E518">
        <v>6464</v>
      </c>
      <c r="F518" t="s">
        <v>172</v>
      </c>
      <c r="G518" s="2" t="s">
        <v>156</v>
      </c>
      <c r="H518">
        <v>1</v>
      </c>
      <c r="I518">
        <v>304.45</v>
      </c>
      <c r="J518" s="2" t="s">
        <v>170</v>
      </c>
      <c r="K518" s="2" t="s">
        <v>74</v>
      </c>
      <c r="M518" t="s">
        <v>1132</v>
      </c>
      <c r="P518" s="19" t="s">
        <v>807</v>
      </c>
      <c r="Q518" s="19" t="s">
        <v>27</v>
      </c>
      <c r="R518" s="19" t="s">
        <v>138</v>
      </c>
      <c r="W518" s="20">
        <v>16</v>
      </c>
      <c r="X518" s="65" t="s">
        <v>806</v>
      </c>
      <c r="Z518" t="s">
        <v>22</v>
      </c>
      <c r="AB518" t="s">
        <v>178</v>
      </c>
      <c r="AC518" t="s">
        <v>1068</v>
      </c>
      <c r="AD518" s="2" t="s">
        <v>180</v>
      </c>
    </row>
    <row r="519" spans="1:30" hidden="1" x14ac:dyDescent="0.25">
      <c r="A519" s="2">
        <v>241</v>
      </c>
      <c r="B519" t="s">
        <v>1069</v>
      </c>
      <c r="C519">
        <v>20</v>
      </c>
      <c r="D519">
        <v>330</v>
      </c>
      <c r="E519">
        <v>6005</v>
      </c>
      <c r="F519" t="s">
        <v>172</v>
      </c>
      <c r="G519" s="2" t="s">
        <v>156</v>
      </c>
      <c r="H519">
        <v>1</v>
      </c>
      <c r="I519">
        <v>311.12</v>
      </c>
      <c r="J519" s="2" t="s">
        <v>170</v>
      </c>
      <c r="K519" s="2" t="s">
        <v>74</v>
      </c>
      <c r="M519" t="s">
        <v>1132</v>
      </c>
      <c r="P519" s="19" t="s">
        <v>807</v>
      </c>
      <c r="Q519" s="19" t="s">
        <v>25</v>
      </c>
      <c r="R519" s="19" t="s">
        <v>138</v>
      </c>
      <c r="W519" s="20">
        <v>16</v>
      </c>
      <c r="X519" s="65" t="s">
        <v>806</v>
      </c>
      <c r="Z519" t="s">
        <v>22</v>
      </c>
      <c r="AB519" t="s">
        <v>178</v>
      </c>
      <c r="AC519" t="s">
        <v>1068</v>
      </c>
      <c r="AD519" s="2" t="s">
        <v>180</v>
      </c>
    </row>
    <row r="520" spans="1:30" hidden="1" x14ac:dyDescent="0.25">
      <c r="A520" s="2">
        <v>242</v>
      </c>
      <c r="B520" t="s">
        <v>1071</v>
      </c>
      <c r="C520">
        <v>20</v>
      </c>
      <c r="D520">
        <v>300</v>
      </c>
      <c r="E520">
        <v>6464</v>
      </c>
      <c r="F520" t="s">
        <v>172</v>
      </c>
      <c r="G520" s="2" t="s">
        <v>156</v>
      </c>
      <c r="H520">
        <v>1</v>
      </c>
      <c r="I520">
        <v>304.45</v>
      </c>
      <c r="J520" s="2" t="s">
        <v>170</v>
      </c>
      <c r="K520" s="2" t="s">
        <v>74</v>
      </c>
      <c r="M520" t="s">
        <v>1132</v>
      </c>
      <c r="P520" s="19" t="s">
        <v>807</v>
      </c>
      <c r="Q520" s="19" t="s">
        <v>27</v>
      </c>
      <c r="R520" s="19" t="s">
        <v>138</v>
      </c>
      <c r="W520" s="20">
        <v>16</v>
      </c>
      <c r="X520" s="65" t="s">
        <v>806</v>
      </c>
      <c r="Z520" t="s">
        <v>22</v>
      </c>
      <c r="AB520" t="s">
        <v>178</v>
      </c>
      <c r="AC520" t="s">
        <v>1068</v>
      </c>
      <c r="AD520" s="2" t="s">
        <v>180</v>
      </c>
    </row>
    <row r="521" spans="1:30" hidden="1" x14ac:dyDescent="0.25">
      <c r="A521" s="2">
        <v>243</v>
      </c>
      <c r="B521" t="s">
        <v>1072</v>
      </c>
      <c r="C521">
        <v>20</v>
      </c>
      <c r="D521">
        <v>330</v>
      </c>
      <c r="E521">
        <v>6005</v>
      </c>
      <c r="F521" t="s">
        <v>172</v>
      </c>
      <c r="G521" s="2" t="s">
        <v>156</v>
      </c>
      <c r="H521">
        <v>1</v>
      </c>
      <c r="I521">
        <v>311.12</v>
      </c>
      <c r="J521" s="2" t="s">
        <v>170</v>
      </c>
      <c r="K521" s="2" t="s">
        <v>74</v>
      </c>
      <c r="M521" t="s">
        <v>1132</v>
      </c>
      <c r="P521" s="19" t="s">
        <v>807</v>
      </c>
      <c r="Q521" s="19" t="s">
        <v>25</v>
      </c>
      <c r="R521" s="19" t="s">
        <v>138</v>
      </c>
      <c r="W521" s="20">
        <v>16</v>
      </c>
      <c r="X521" s="65" t="s">
        <v>806</v>
      </c>
      <c r="Z521" t="s">
        <v>22</v>
      </c>
      <c r="AB521" t="s">
        <v>178</v>
      </c>
      <c r="AC521" t="s">
        <v>1068</v>
      </c>
      <c r="AD521" s="2" t="s">
        <v>180</v>
      </c>
    </row>
    <row r="522" spans="1:30" hidden="1" x14ac:dyDescent="0.25">
      <c r="A522" s="2">
        <v>244</v>
      </c>
      <c r="B522" t="s">
        <v>1073</v>
      </c>
      <c r="C522">
        <v>20</v>
      </c>
      <c r="D522">
        <v>300</v>
      </c>
      <c r="E522">
        <v>6464</v>
      </c>
      <c r="F522" t="s">
        <v>172</v>
      </c>
      <c r="G522" s="2" t="s">
        <v>156</v>
      </c>
      <c r="H522">
        <v>1</v>
      </c>
      <c r="I522">
        <v>304.45</v>
      </c>
      <c r="J522" s="2" t="s">
        <v>170</v>
      </c>
      <c r="K522" s="2" t="s">
        <v>74</v>
      </c>
      <c r="M522" t="s">
        <v>1132</v>
      </c>
      <c r="P522" s="19" t="s">
        <v>807</v>
      </c>
      <c r="Q522" s="19" t="s">
        <v>27</v>
      </c>
      <c r="R522" s="19" t="s">
        <v>138</v>
      </c>
      <c r="W522" s="20">
        <v>16</v>
      </c>
      <c r="X522" s="65" t="s">
        <v>806</v>
      </c>
      <c r="Z522" t="s">
        <v>22</v>
      </c>
      <c r="AB522" t="s">
        <v>178</v>
      </c>
      <c r="AC522" t="s">
        <v>1068</v>
      </c>
      <c r="AD522" s="2" t="s">
        <v>180</v>
      </c>
    </row>
    <row r="523" spans="1:30" hidden="1" x14ac:dyDescent="0.25">
      <c r="A523" s="2">
        <v>245</v>
      </c>
      <c r="B523" t="s">
        <v>1074</v>
      </c>
      <c r="C523">
        <v>20</v>
      </c>
      <c r="D523">
        <v>300</v>
      </c>
      <c r="E523">
        <v>6464</v>
      </c>
      <c r="F523" t="s">
        <v>172</v>
      </c>
      <c r="G523" s="2" t="s">
        <v>156</v>
      </c>
      <c r="H523">
        <v>1</v>
      </c>
      <c r="I523">
        <v>304.45</v>
      </c>
      <c r="J523" s="2" t="s">
        <v>170</v>
      </c>
      <c r="K523" s="2" t="s">
        <v>74</v>
      </c>
      <c r="M523" t="s">
        <v>1132</v>
      </c>
      <c r="P523" s="19" t="s">
        <v>807</v>
      </c>
      <c r="Q523" s="19" t="s">
        <v>27</v>
      </c>
      <c r="R523" s="19" t="s">
        <v>138</v>
      </c>
      <c r="W523" s="20">
        <v>16</v>
      </c>
      <c r="X523" s="65" t="s">
        <v>806</v>
      </c>
      <c r="Z523" t="s">
        <v>22</v>
      </c>
      <c r="AB523" t="s">
        <v>178</v>
      </c>
      <c r="AC523" t="s">
        <v>1068</v>
      </c>
      <c r="AD523" s="2" t="s">
        <v>180</v>
      </c>
    </row>
    <row r="524" spans="1:30" hidden="1" x14ac:dyDescent="0.25">
      <c r="A524" s="2">
        <v>246</v>
      </c>
      <c r="B524" t="s">
        <v>1075</v>
      </c>
      <c r="C524">
        <v>20</v>
      </c>
      <c r="D524">
        <v>300</v>
      </c>
      <c r="E524">
        <v>908</v>
      </c>
      <c r="F524" t="s">
        <v>172</v>
      </c>
      <c r="G524" s="2" t="s">
        <v>156</v>
      </c>
      <c r="H524">
        <v>1</v>
      </c>
      <c r="I524">
        <v>42.77</v>
      </c>
      <c r="J524" s="2" t="s">
        <v>170</v>
      </c>
      <c r="K524" s="2" t="s">
        <v>74</v>
      </c>
      <c r="M524" t="s">
        <v>1132</v>
      </c>
      <c r="P524" s="19" t="s">
        <v>807</v>
      </c>
      <c r="Q524" s="19" t="s">
        <v>27</v>
      </c>
      <c r="R524" s="19" t="s">
        <v>138</v>
      </c>
      <c r="V524" s="19" t="s">
        <v>138</v>
      </c>
      <c r="W524" s="20">
        <v>16</v>
      </c>
      <c r="X524" s="65" t="s">
        <v>806</v>
      </c>
      <c r="Z524" t="s">
        <v>22</v>
      </c>
      <c r="AB524" t="s">
        <v>178</v>
      </c>
      <c r="AC524" t="s">
        <v>1068</v>
      </c>
      <c r="AD524" s="2" t="s">
        <v>180</v>
      </c>
    </row>
    <row r="525" spans="1:30" hidden="1" x14ac:dyDescent="0.25">
      <c r="A525" s="2">
        <v>247</v>
      </c>
      <c r="B525" t="s">
        <v>1077</v>
      </c>
      <c r="C525">
        <v>20</v>
      </c>
      <c r="D525">
        <v>300</v>
      </c>
      <c r="E525">
        <v>908</v>
      </c>
      <c r="F525" t="s">
        <v>172</v>
      </c>
      <c r="G525" s="2" t="s">
        <v>156</v>
      </c>
      <c r="H525">
        <v>1</v>
      </c>
      <c r="I525">
        <v>42.77</v>
      </c>
      <c r="J525" s="2" t="s">
        <v>170</v>
      </c>
      <c r="K525" s="2" t="s">
        <v>74</v>
      </c>
      <c r="M525" t="s">
        <v>1132</v>
      </c>
      <c r="P525" s="19" t="s">
        <v>807</v>
      </c>
      <c r="Q525" s="19" t="s">
        <v>27</v>
      </c>
      <c r="R525" s="19" t="s">
        <v>138</v>
      </c>
      <c r="V525" s="19" t="s">
        <v>138</v>
      </c>
      <c r="W525" s="20">
        <v>16</v>
      </c>
      <c r="X525" s="65" t="s">
        <v>806</v>
      </c>
      <c r="Z525" t="s">
        <v>22</v>
      </c>
      <c r="AB525" t="s">
        <v>178</v>
      </c>
      <c r="AC525" t="s">
        <v>1068</v>
      </c>
      <c r="AD525" s="2" t="s">
        <v>180</v>
      </c>
    </row>
    <row r="526" spans="1:30" hidden="1" x14ac:dyDescent="0.25">
      <c r="A526" s="2">
        <v>248</v>
      </c>
      <c r="B526" t="s">
        <v>1078</v>
      </c>
      <c r="C526">
        <v>20</v>
      </c>
      <c r="D526">
        <v>1436</v>
      </c>
      <c r="E526">
        <v>6298</v>
      </c>
      <c r="F526" t="s">
        <v>172</v>
      </c>
      <c r="G526" s="2" t="s">
        <v>156</v>
      </c>
      <c r="H526">
        <v>1</v>
      </c>
      <c r="I526">
        <v>1414.64</v>
      </c>
      <c r="J526" s="2" t="s">
        <v>170</v>
      </c>
      <c r="K526" s="2" t="s">
        <v>74</v>
      </c>
      <c r="M526" t="s">
        <v>1132</v>
      </c>
      <c r="P526" s="19" t="s">
        <v>807</v>
      </c>
      <c r="Q526" s="19" t="s">
        <v>27</v>
      </c>
      <c r="R526" s="19" t="s">
        <v>138</v>
      </c>
      <c r="V526" s="19" t="s">
        <v>138</v>
      </c>
      <c r="W526" s="20">
        <v>16</v>
      </c>
      <c r="X526" s="65" t="s">
        <v>806</v>
      </c>
      <c r="Z526" t="s">
        <v>22</v>
      </c>
      <c r="AB526" t="s">
        <v>178</v>
      </c>
      <c r="AC526" t="s">
        <v>1068</v>
      </c>
      <c r="AD526" s="2" t="s">
        <v>180</v>
      </c>
    </row>
    <row r="527" spans="1:30" hidden="1" x14ac:dyDescent="0.25">
      <c r="A527" s="2">
        <v>249</v>
      </c>
      <c r="B527" t="s">
        <v>1080</v>
      </c>
      <c r="C527">
        <v>20</v>
      </c>
      <c r="D527">
        <v>1436</v>
      </c>
      <c r="E527">
        <v>6298</v>
      </c>
      <c r="F527" t="s">
        <v>172</v>
      </c>
      <c r="G527" s="2" t="s">
        <v>156</v>
      </c>
      <c r="H527">
        <v>1</v>
      </c>
      <c r="I527">
        <v>1414.64</v>
      </c>
      <c r="J527" s="2" t="s">
        <v>170</v>
      </c>
      <c r="K527" s="2" t="s">
        <v>74</v>
      </c>
      <c r="M527" t="s">
        <v>1132</v>
      </c>
      <c r="P527" s="19" t="s">
        <v>807</v>
      </c>
      <c r="Q527" s="19" t="s">
        <v>27</v>
      </c>
      <c r="R527" s="19" t="s">
        <v>138</v>
      </c>
      <c r="V527" s="19" t="s">
        <v>138</v>
      </c>
      <c r="W527" s="20">
        <v>16</v>
      </c>
      <c r="X527" s="65" t="s">
        <v>806</v>
      </c>
      <c r="Z527" t="s">
        <v>22</v>
      </c>
      <c r="AB527" t="s">
        <v>178</v>
      </c>
      <c r="AC527" t="s">
        <v>1068</v>
      </c>
      <c r="AD527" s="2" t="s">
        <v>180</v>
      </c>
    </row>
    <row r="528" spans="1:30" hidden="1" x14ac:dyDescent="0.25">
      <c r="A528" s="2">
        <v>250</v>
      </c>
      <c r="B528" t="s">
        <v>1081</v>
      </c>
      <c r="C528">
        <v>20</v>
      </c>
      <c r="D528">
        <v>300</v>
      </c>
      <c r="E528">
        <v>1383</v>
      </c>
      <c r="F528" t="s">
        <v>172</v>
      </c>
      <c r="G528" s="2" t="s">
        <v>156</v>
      </c>
      <c r="H528">
        <v>1</v>
      </c>
      <c r="I528">
        <v>65.14</v>
      </c>
      <c r="J528" s="2" t="s">
        <v>170</v>
      </c>
      <c r="K528" s="2" t="s">
        <v>74</v>
      </c>
      <c r="M528" t="s">
        <v>1132</v>
      </c>
      <c r="P528" s="19" t="s">
        <v>807</v>
      </c>
      <c r="Q528" s="19" t="s">
        <v>27</v>
      </c>
      <c r="R528" s="19" t="s">
        <v>138</v>
      </c>
      <c r="V528" s="19" t="s">
        <v>138</v>
      </c>
      <c r="W528" s="20">
        <v>16</v>
      </c>
      <c r="X528" s="65" t="s">
        <v>806</v>
      </c>
      <c r="Z528" t="s">
        <v>22</v>
      </c>
      <c r="AB528" t="s">
        <v>178</v>
      </c>
      <c r="AC528" t="s">
        <v>1082</v>
      </c>
      <c r="AD528" s="2" t="s">
        <v>180</v>
      </c>
    </row>
    <row r="529" spans="1:30" hidden="1" x14ac:dyDescent="0.25">
      <c r="A529" s="2">
        <v>251</v>
      </c>
      <c r="B529" t="s">
        <v>1083</v>
      </c>
      <c r="C529">
        <v>20</v>
      </c>
      <c r="D529">
        <v>300</v>
      </c>
      <c r="E529">
        <v>6101</v>
      </c>
      <c r="F529" t="s">
        <v>172</v>
      </c>
      <c r="G529" s="2" t="s">
        <v>156</v>
      </c>
      <c r="H529">
        <v>1</v>
      </c>
      <c r="I529">
        <v>287.36</v>
      </c>
      <c r="J529" s="2" t="s">
        <v>170</v>
      </c>
      <c r="K529" s="2" t="s">
        <v>74</v>
      </c>
      <c r="M529" t="s">
        <v>1132</v>
      </c>
      <c r="P529" s="19" t="s">
        <v>807</v>
      </c>
      <c r="Q529" s="19" t="s">
        <v>27</v>
      </c>
      <c r="R529" s="19" t="s">
        <v>138</v>
      </c>
      <c r="V529" s="19" t="s">
        <v>138</v>
      </c>
      <c r="W529" s="20">
        <v>16</v>
      </c>
      <c r="X529" s="65" t="s">
        <v>806</v>
      </c>
      <c r="Z529" t="s">
        <v>22</v>
      </c>
      <c r="AB529" t="s">
        <v>178</v>
      </c>
      <c r="AC529" t="s">
        <v>1082</v>
      </c>
      <c r="AD529" s="2" t="s">
        <v>180</v>
      </c>
    </row>
    <row r="530" spans="1:30" hidden="1" x14ac:dyDescent="0.25">
      <c r="A530" s="2">
        <v>252</v>
      </c>
      <c r="B530" t="s">
        <v>1084</v>
      </c>
      <c r="C530">
        <v>20</v>
      </c>
      <c r="D530">
        <v>300</v>
      </c>
      <c r="E530">
        <v>1383</v>
      </c>
      <c r="F530" t="s">
        <v>172</v>
      </c>
      <c r="G530" s="2" t="s">
        <v>156</v>
      </c>
      <c r="H530">
        <v>1</v>
      </c>
      <c r="I530">
        <v>65.14</v>
      </c>
      <c r="J530" s="2" t="s">
        <v>170</v>
      </c>
      <c r="K530" s="2" t="s">
        <v>74</v>
      </c>
      <c r="M530" t="s">
        <v>1132</v>
      </c>
      <c r="P530" s="19" t="s">
        <v>807</v>
      </c>
      <c r="Q530" s="19" t="s">
        <v>27</v>
      </c>
      <c r="R530" s="19" t="s">
        <v>138</v>
      </c>
      <c r="V530" s="19" t="s">
        <v>138</v>
      </c>
      <c r="W530" s="20">
        <v>16</v>
      </c>
      <c r="X530" s="65" t="s">
        <v>806</v>
      </c>
      <c r="Z530" t="s">
        <v>22</v>
      </c>
      <c r="AB530" t="s">
        <v>178</v>
      </c>
      <c r="AC530" t="s">
        <v>1082</v>
      </c>
      <c r="AD530" s="2" t="s">
        <v>180</v>
      </c>
    </row>
    <row r="531" spans="1:30" hidden="1" x14ac:dyDescent="0.25">
      <c r="A531" s="2">
        <v>253</v>
      </c>
      <c r="B531" t="s">
        <v>1085</v>
      </c>
      <c r="C531">
        <v>20</v>
      </c>
      <c r="D531">
        <v>300</v>
      </c>
      <c r="E531">
        <v>6232</v>
      </c>
      <c r="F531" t="s">
        <v>172</v>
      </c>
      <c r="G531" s="2" t="s">
        <v>156</v>
      </c>
      <c r="H531">
        <v>1</v>
      </c>
      <c r="I531">
        <v>293.52999999999997</v>
      </c>
      <c r="J531" s="2" t="s">
        <v>170</v>
      </c>
      <c r="K531" s="2" t="s">
        <v>74</v>
      </c>
      <c r="M531" t="s">
        <v>1132</v>
      </c>
      <c r="P531" s="19" t="s">
        <v>807</v>
      </c>
      <c r="Q531" s="19" t="s">
        <v>27</v>
      </c>
      <c r="R531" s="19" t="s">
        <v>138</v>
      </c>
      <c r="W531" s="20">
        <v>16</v>
      </c>
      <c r="X531" s="65" t="s">
        <v>806</v>
      </c>
      <c r="Z531" t="s">
        <v>22</v>
      </c>
      <c r="AB531" t="s">
        <v>178</v>
      </c>
      <c r="AC531" t="s">
        <v>1082</v>
      </c>
      <c r="AD531" s="2" t="s">
        <v>180</v>
      </c>
    </row>
    <row r="532" spans="1:30" hidden="1" x14ac:dyDescent="0.25">
      <c r="A532" s="2">
        <v>254</v>
      </c>
      <c r="B532" t="s">
        <v>1087</v>
      </c>
      <c r="C532">
        <v>20</v>
      </c>
      <c r="D532">
        <v>300</v>
      </c>
      <c r="E532">
        <v>6232</v>
      </c>
      <c r="F532" t="s">
        <v>172</v>
      </c>
      <c r="G532" s="2" t="s">
        <v>156</v>
      </c>
      <c r="H532">
        <v>1</v>
      </c>
      <c r="I532">
        <v>293.52999999999997</v>
      </c>
      <c r="J532" s="2" t="s">
        <v>170</v>
      </c>
      <c r="K532" s="2" t="s">
        <v>74</v>
      </c>
      <c r="M532" t="s">
        <v>1132</v>
      </c>
      <c r="P532" s="19" t="s">
        <v>807</v>
      </c>
      <c r="Q532" s="19" t="s">
        <v>27</v>
      </c>
      <c r="R532" s="19" t="s">
        <v>138</v>
      </c>
      <c r="W532" s="20">
        <v>16</v>
      </c>
      <c r="X532" s="65" t="s">
        <v>806</v>
      </c>
      <c r="Z532" t="s">
        <v>22</v>
      </c>
      <c r="AB532" t="s">
        <v>178</v>
      </c>
      <c r="AC532" t="s">
        <v>1082</v>
      </c>
      <c r="AD532" s="2" t="s">
        <v>180</v>
      </c>
    </row>
    <row r="533" spans="1:30" hidden="1" x14ac:dyDescent="0.25">
      <c r="A533" s="2">
        <v>255</v>
      </c>
      <c r="B533" t="s">
        <v>1088</v>
      </c>
      <c r="C533">
        <v>20</v>
      </c>
      <c r="D533">
        <v>300</v>
      </c>
      <c r="E533">
        <v>1096</v>
      </c>
      <c r="F533" t="s">
        <v>172</v>
      </c>
      <c r="G533" s="2" t="s">
        <v>156</v>
      </c>
      <c r="H533">
        <v>2</v>
      </c>
      <c r="I533">
        <v>103.24</v>
      </c>
      <c r="J533" s="2" t="s">
        <v>170</v>
      </c>
      <c r="K533" s="2" t="s">
        <v>74</v>
      </c>
      <c r="M533" t="s">
        <v>1132</v>
      </c>
      <c r="P533" s="19" t="s">
        <v>807</v>
      </c>
      <c r="Q533" s="19" t="s">
        <v>27</v>
      </c>
      <c r="R533" s="19" t="s">
        <v>138</v>
      </c>
      <c r="V533" s="19" t="s">
        <v>138</v>
      </c>
      <c r="W533" s="20">
        <v>16</v>
      </c>
      <c r="X533" s="65" t="s">
        <v>806</v>
      </c>
      <c r="Z533" t="s">
        <v>22</v>
      </c>
      <c r="AB533" t="s">
        <v>178</v>
      </c>
      <c r="AC533" t="s">
        <v>1082</v>
      </c>
      <c r="AD533" s="2" t="s">
        <v>180</v>
      </c>
    </row>
    <row r="534" spans="1:30" hidden="1" x14ac:dyDescent="0.25">
      <c r="A534" s="2">
        <v>256</v>
      </c>
      <c r="B534" t="s">
        <v>1089</v>
      </c>
      <c r="C534">
        <v>20</v>
      </c>
      <c r="D534">
        <v>300</v>
      </c>
      <c r="E534">
        <v>1096</v>
      </c>
      <c r="F534" t="s">
        <v>172</v>
      </c>
      <c r="G534" s="2" t="s">
        <v>156</v>
      </c>
      <c r="H534">
        <v>1</v>
      </c>
      <c r="I534">
        <v>51.62</v>
      </c>
      <c r="J534" s="2" t="s">
        <v>170</v>
      </c>
      <c r="K534" s="2" t="s">
        <v>74</v>
      </c>
      <c r="M534" t="s">
        <v>1132</v>
      </c>
      <c r="P534" s="19" t="s">
        <v>807</v>
      </c>
      <c r="Q534" s="19" t="s">
        <v>27</v>
      </c>
      <c r="R534" s="19" t="s">
        <v>138</v>
      </c>
      <c r="V534" s="19" t="s">
        <v>138</v>
      </c>
      <c r="W534" s="20">
        <v>16</v>
      </c>
      <c r="X534" s="65" t="s">
        <v>806</v>
      </c>
      <c r="Z534" t="s">
        <v>22</v>
      </c>
      <c r="AB534" t="s">
        <v>178</v>
      </c>
      <c r="AC534" t="s">
        <v>1082</v>
      </c>
      <c r="AD534" s="2" t="s">
        <v>180</v>
      </c>
    </row>
    <row r="535" spans="1:30" hidden="1" x14ac:dyDescent="0.25">
      <c r="A535" s="2">
        <v>257</v>
      </c>
      <c r="B535" t="s">
        <v>1090</v>
      </c>
      <c r="C535">
        <v>20</v>
      </c>
      <c r="D535">
        <v>300</v>
      </c>
      <c r="E535">
        <v>6232</v>
      </c>
      <c r="F535" t="s">
        <v>172</v>
      </c>
      <c r="G535" s="2" t="s">
        <v>156</v>
      </c>
      <c r="H535">
        <v>1</v>
      </c>
      <c r="I535">
        <v>293.52999999999997</v>
      </c>
      <c r="J535" s="2" t="s">
        <v>170</v>
      </c>
      <c r="K535" s="2" t="s">
        <v>74</v>
      </c>
      <c r="M535" t="s">
        <v>1132</v>
      </c>
      <c r="P535" s="19" t="s">
        <v>807</v>
      </c>
      <c r="Q535" s="19" t="s">
        <v>27</v>
      </c>
      <c r="R535" s="19" t="s">
        <v>138</v>
      </c>
      <c r="W535" s="20">
        <v>16</v>
      </c>
      <c r="X535" s="65" t="s">
        <v>806</v>
      </c>
      <c r="Z535" t="s">
        <v>22</v>
      </c>
      <c r="AB535" t="s">
        <v>178</v>
      </c>
      <c r="AC535" t="s">
        <v>1082</v>
      </c>
      <c r="AD535" s="2" t="s">
        <v>180</v>
      </c>
    </row>
    <row r="536" spans="1:30" hidden="1" x14ac:dyDescent="0.25">
      <c r="A536" s="2">
        <v>258</v>
      </c>
      <c r="B536" t="s">
        <v>1091</v>
      </c>
      <c r="C536">
        <v>20</v>
      </c>
      <c r="D536">
        <v>300</v>
      </c>
      <c r="E536">
        <v>6232</v>
      </c>
      <c r="F536" t="s">
        <v>172</v>
      </c>
      <c r="G536" s="2" t="s">
        <v>156</v>
      </c>
      <c r="H536">
        <v>1</v>
      </c>
      <c r="I536">
        <v>293.52999999999997</v>
      </c>
      <c r="J536" s="2" t="s">
        <v>170</v>
      </c>
      <c r="K536" s="2" t="s">
        <v>74</v>
      </c>
      <c r="M536" t="s">
        <v>1132</v>
      </c>
      <c r="P536" s="19" t="s">
        <v>807</v>
      </c>
      <c r="Q536" s="19" t="s">
        <v>27</v>
      </c>
      <c r="R536" s="19" t="s">
        <v>138</v>
      </c>
      <c r="W536" s="20">
        <v>16</v>
      </c>
      <c r="X536" s="65" t="s">
        <v>806</v>
      </c>
      <c r="Z536" t="s">
        <v>22</v>
      </c>
      <c r="AB536" t="s">
        <v>178</v>
      </c>
      <c r="AC536" t="s">
        <v>1082</v>
      </c>
      <c r="AD536" s="2" t="s">
        <v>180</v>
      </c>
    </row>
    <row r="537" spans="1:30" hidden="1" x14ac:dyDescent="0.25">
      <c r="A537" s="2">
        <v>259</v>
      </c>
      <c r="B537" t="s">
        <v>1092</v>
      </c>
      <c r="C537">
        <v>20</v>
      </c>
      <c r="D537">
        <v>300</v>
      </c>
      <c r="E537">
        <v>1383</v>
      </c>
      <c r="F537" t="s">
        <v>172</v>
      </c>
      <c r="G537" s="2" t="s">
        <v>156</v>
      </c>
      <c r="H537">
        <v>1</v>
      </c>
      <c r="I537">
        <v>65.14</v>
      </c>
      <c r="J537" s="2" t="s">
        <v>170</v>
      </c>
      <c r="K537" s="2" t="s">
        <v>74</v>
      </c>
      <c r="M537" t="s">
        <v>1132</v>
      </c>
      <c r="P537" s="19" t="s">
        <v>807</v>
      </c>
      <c r="Q537" s="19" t="s">
        <v>27</v>
      </c>
      <c r="R537" s="19" t="s">
        <v>138</v>
      </c>
      <c r="V537" s="19" t="s">
        <v>138</v>
      </c>
      <c r="W537" s="20">
        <v>16</v>
      </c>
      <c r="X537" s="65" t="s">
        <v>806</v>
      </c>
      <c r="Z537" t="s">
        <v>22</v>
      </c>
      <c r="AB537" t="s">
        <v>178</v>
      </c>
      <c r="AC537" t="s">
        <v>1082</v>
      </c>
      <c r="AD537" s="2" t="s">
        <v>180</v>
      </c>
    </row>
    <row r="538" spans="1:30" hidden="1" x14ac:dyDescent="0.25">
      <c r="A538" s="2">
        <v>260</v>
      </c>
      <c r="B538" t="s">
        <v>1093</v>
      </c>
      <c r="C538">
        <v>20</v>
      </c>
      <c r="D538">
        <v>300</v>
      </c>
      <c r="E538">
        <v>1383</v>
      </c>
      <c r="F538" t="s">
        <v>172</v>
      </c>
      <c r="G538" s="2" t="s">
        <v>156</v>
      </c>
      <c r="H538">
        <v>1</v>
      </c>
      <c r="I538">
        <v>65.14</v>
      </c>
      <c r="J538" s="2" t="s">
        <v>170</v>
      </c>
      <c r="K538" s="2" t="s">
        <v>74</v>
      </c>
      <c r="M538" t="s">
        <v>1132</v>
      </c>
      <c r="P538" s="19" t="s">
        <v>807</v>
      </c>
      <c r="Q538" s="19" t="s">
        <v>27</v>
      </c>
      <c r="R538" s="19" t="s">
        <v>138</v>
      </c>
      <c r="V538" s="19" t="s">
        <v>138</v>
      </c>
      <c r="W538" s="20">
        <v>16</v>
      </c>
      <c r="X538" s="65" t="s">
        <v>806</v>
      </c>
      <c r="Z538" t="s">
        <v>22</v>
      </c>
      <c r="AB538" t="s">
        <v>178</v>
      </c>
      <c r="AC538" t="s">
        <v>1082</v>
      </c>
      <c r="AD538" s="2" t="s">
        <v>180</v>
      </c>
    </row>
    <row r="539" spans="1:30" hidden="1" x14ac:dyDescent="0.25">
      <c r="A539" s="2">
        <v>261</v>
      </c>
      <c r="B539" t="s">
        <v>1094</v>
      </c>
      <c r="C539">
        <v>20</v>
      </c>
      <c r="D539">
        <v>300</v>
      </c>
      <c r="E539">
        <v>1383</v>
      </c>
      <c r="F539" t="s">
        <v>172</v>
      </c>
      <c r="G539" s="2" t="s">
        <v>156</v>
      </c>
      <c r="H539">
        <v>1</v>
      </c>
      <c r="I539">
        <v>65.14</v>
      </c>
      <c r="J539" s="2" t="s">
        <v>170</v>
      </c>
      <c r="K539" s="2" t="s">
        <v>74</v>
      </c>
      <c r="M539" t="s">
        <v>1132</v>
      </c>
      <c r="P539" s="19" t="s">
        <v>807</v>
      </c>
      <c r="Q539" s="19" t="s">
        <v>27</v>
      </c>
      <c r="R539" s="19" t="s">
        <v>138</v>
      </c>
      <c r="V539" s="19" t="s">
        <v>138</v>
      </c>
      <c r="W539" s="20">
        <v>16</v>
      </c>
      <c r="X539" s="65" t="s">
        <v>806</v>
      </c>
      <c r="Z539" t="s">
        <v>22</v>
      </c>
      <c r="AB539" t="s">
        <v>178</v>
      </c>
      <c r="AC539" t="s">
        <v>1082</v>
      </c>
      <c r="AD539" s="2" t="s">
        <v>180</v>
      </c>
    </row>
    <row r="540" spans="1:30" hidden="1" x14ac:dyDescent="0.25">
      <c r="A540" s="2">
        <v>262</v>
      </c>
      <c r="B540" t="s">
        <v>1063</v>
      </c>
      <c r="C540">
        <v>20</v>
      </c>
      <c r="D540">
        <v>300</v>
      </c>
      <c r="E540">
        <v>1096</v>
      </c>
      <c r="F540" t="s">
        <v>172</v>
      </c>
      <c r="G540" s="2" t="s">
        <v>156</v>
      </c>
      <c r="H540">
        <v>1</v>
      </c>
      <c r="I540">
        <v>51.62</v>
      </c>
      <c r="J540" s="2" t="s">
        <v>170</v>
      </c>
      <c r="K540" s="2" t="s">
        <v>74</v>
      </c>
      <c r="M540" t="s">
        <v>1132</v>
      </c>
      <c r="P540" s="19" t="s">
        <v>807</v>
      </c>
      <c r="Q540" s="19" t="s">
        <v>27</v>
      </c>
      <c r="R540" s="19" t="s">
        <v>138</v>
      </c>
      <c r="V540" s="19" t="s">
        <v>138</v>
      </c>
      <c r="W540" s="20">
        <v>16</v>
      </c>
      <c r="X540" s="65" t="s">
        <v>806</v>
      </c>
      <c r="Z540" t="s">
        <v>22</v>
      </c>
      <c r="AB540" t="s">
        <v>178</v>
      </c>
      <c r="AC540" t="s">
        <v>1082</v>
      </c>
      <c r="AD540" s="2" t="s">
        <v>180</v>
      </c>
    </row>
    <row r="541" spans="1:30" hidden="1" x14ac:dyDescent="0.25">
      <c r="A541" s="2">
        <v>263</v>
      </c>
      <c r="B541" t="s">
        <v>1095</v>
      </c>
      <c r="C541">
        <v>20</v>
      </c>
      <c r="D541">
        <v>300</v>
      </c>
      <c r="E541">
        <v>1096</v>
      </c>
      <c r="F541" t="s">
        <v>172</v>
      </c>
      <c r="G541" s="2" t="s">
        <v>156</v>
      </c>
      <c r="H541">
        <v>2</v>
      </c>
      <c r="I541">
        <v>103.24</v>
      </c>
      <c r="J541" s="2" t="s">
        <v>170</v>
      </c>
      <c r="K541" s="2" t="s">
        <v>74</v>
      </c>
      <c r="M541" t="s">
        <v>1132</v>
      </c>
      <c r="P541" s="19" t="s">
        <v>807</v>
      </c>
      <c r="Q541" s="19" t="s">
        <v>27</v>
      </c>
      <c r="R541" s="19" t="s">
        <v>138</v>
      </c>
      <c r="V541" s="19" t="s">
        <v>138</v>
      </c>
      <c r="W541" s="20">
        <v>16</v>
      </c>
      <c r="X541" s="65" t="s">
        <v>806</v>
      </c>
      <c r="Z541" t="s">
        <v>22</v>
      </c>
      <c r="AB541" t="s">
        <v>178</v>
      </c>
      <c r="AC541" t="s">
        <v>1082</v>
      </c>
      <c r="AD541" s="2" t="s">
        <v>180</v>
      </c>
    </row>
    <row r="542" spans="1:30" hidden="1" x14ac:dyDescent="0.25">
      <c r="A542" s="2">
        <v>264</v>
      </c>
      <c r="B542" t="s">
        <v>1096</v>
      </c>
      <c r="C542">
        <v>20</v>
      </c>
      <c r="D542">
        <v>300</v>
      </c>
      <c r="E542">
        <v>1096</v>
      </c>
      <c r="F542" t="s">
        <v>172</v>
      </c>
      <c r="G542" s="2" t="s">
        <v>156</v>
      </c>
      <c r="H542">
        <v>2</v>
      </c>
      <c r="I542">
        <v>103.24</v>
      </c>
      <c r="J542" s="2" t="s">
        <v>170</v>
      </c>
      <c r="K542" s="2" t="s">
        <v>74</v>
      </c>
      <c r="M542" t="s">
        <v>1132</v>
      </c>
      <c r="P542" s="19" t="s">
        <v>807</v>
      </c>
      <c r="Q542" s="19" t="s">
        <v>27</v>
      </c>
      <c r="R542" s="19" t="s">
        <v>138</v>
      </c>
      <c r="V542" s="19" t="s">
        <v>138</v>
      </c>
      <c r="W542" s="20">
        <v>16</v>
      </c>
      <c r="X542" s="65" t="s">
        <v>806</v>
      </c>
      <c r="Z542" t="s">
        <v>22</v>
      </c>
      <c r="AB542" t="s">
        <v>178</v>
      </c>
      <c r="AC542" t="s">
        <v>1082</v>
      </c>
      <c r="AD542" s="2" t="s">
        <v>180</v>
      </c>
    </row>
    <row r="543" spans="1:30" hidden="1" x14ac:dyDescent="0.25">
      <c r="A543" s="2">
        <v>265</v>
      </c>
      <c r="B543" t="s">
        <v>1064</v>
      </c>
      <c r="C543">
        <v>20</v>
      </c>
      <c r="D543">
        <v>300</v>
      </c>
      <c r="E543">
        <v>1096</v>
      </c>
      <c r="F543" t="s">
        <v>172</v>
      </c>
      <c r="G543" s="2" t="s">
        <v>156</v>
      </c>
      <c r="H543">
        <v>1</v>
      </c>
      <c r="I543">
        <v>51.62</v>
      </c>
      <c r="J543" s="2" t="s">
        <v>170</v>
      </c>
      <c r="K543" s="2" t="s">
        <v>74</v>
      </c>
      <c r="M543" t="s">
        <v>1132</v>
      </c>
      <c r="P543" s="19" t="s">
        <v>807</v>
      </c>
      <c r="Q543" s="19" t="s">
        <v>27</v>
      </c>
      <c r="R543" s="19" t="s">
        <v>138</v>
      </c>
      <c r="V543" s="19" t="s">
        <v>138</v>
      </c>
      <c r="W543" s="20">
        <v>16</v>
      </c>
      <c r="X543" s="65" t="s">
        <v>806</v>
      </c>
      <c r="Z543" t="s">
        <v>22</v>
      </c>
      <c r="AB543" t="s">
        <v>178</v>
      </c>
      <c r="AC543" t="s">
        <v>1082</v>
      </c>
      <c r="AD543" s="2" t="s">
        <v>180</v>
      </c>
    </row>
    <row r="544" spans="1:30" hidden="1" x14ac:dyDescent="0.25">
      <c r="A544" s="2">
        <v>266</v>
      </c>
      <c r="B544" t="s">
        <v>1097</v>
      </c>
      <c r="C544">
        <v>20</v>
      </c>
      <c r="D544">
        <v>300</v>
      </c>
      <c r="E544">
        <v>1514</v>
      </c>
      <c r="F544" t="s">
        <v>172</v>
      </c>
      <c r="G544" s="2" t="s">
        <v>156</v>
      </c>
      <c r="H544">
        <v>1</v>
      </c>
      <c r="I544">
        <v>71.31</v>
      </c>
      <c r="J544" s="2" t="s">
        <v>170</v>
      </c>
      <c r="K544" s="2" t="s">
        <v>74</v>
      </c>
      <c r="M544" t="s">
        <v>1132</v>
      </c>
      <c r="P544" s="19" t="s">
        <v>807</v>
      </c>
      <c r="Q544" s="19" t="s">
        <v>27</v>
      </c>
      <c r="R544" s="19" t="s">
        <v>138</v>
      </c>
      <c r="W544" s="20">
        <v>16</v>
      </c>
      <c r="X544" s="65" t="s">
        <v>806</v>
      </c>
      <c r="Z544" t="s">
        <v>22</v>
      </c>
      <c r="AB544" t="s">
        <v>178</v>
      </c>
      <c r="AC544" t="s">
        <v>1098</v>
      </c>
      <c r="AD544" s="2" t="s">
        <v>180</v>
      </c>
    </row>
    <row r="545" spans="1:30" hidden="1" x14ac:dyDescent="0.25">
      <c r="A545" s="2">
        <v>267</v>
      </c>
      <c r="B545" t="s">
        <v>1099</v>
      </c>
      <c r="C545">
        <v>20</v>
      </c>
      <c r="D545">
        <v>300</v>
      </c>
      <c r="E545">
        <v>1514</v>
      </c>
      <c r="F545" t="s">
        <v>172</v>
      </c>
      <c r="G545" s="2" t="s">
        <v>156</v>
      </c>
      <c r="H545">
        <v>1</v>
      </c>
      <c r="I545">
        <v>71.31</v>
      </c>
      <c r="J545" s="2" t="s">
        <v>170</v>
      </c>
      <c r="K545" s="2" t="s">
        <v>74</v>
      </c>
      <c r="M545" t="s">
        <v>1132</v>
      </c>
      <c r="P545" s="19" t="s">
        <v>807</v>
      </c>
      <c r="Q545" s="19" t="s">
        <v>27</v>
      </c>
      <c r="R545" s="19" t="s">
        <v>138</v>
      </c>
      <c r="W545" s="20">
        <v>16</v>
      </c>
      <c r="X545" s="65" t="s">
        <v>806</v>
      </c>
      <c r="Z545" t="s">
        <v>22</v>
      </c>
      <c r="AB545" t="s">
        <v>178</v>
      </c>
      <c r="AC545" t="s">
        <v>1098</v>
      </c>
      <c r="AD545" s="2" t="s">
        <v>180</v>
      </c>
    </row>
    <row r="546" spans="1:30" hidden="1" x14ac:dyDescent="0.25">
      <c r="A546" s="2">
        <v>268</v>
      </c>
      <c r="B546" t="s">
        <v>1100</v>
      </c>
      <c r="C546">
        <v>20</v>
      </c>
      <c r="D546">
        <v>300</v>
      </c>
      <c r="E546">
        <v>1514</v>
      </c>
      <c r="F546" t="s">
        <v>172</v>
      </c>
      <c r="G546" s="2" t="s">
        <v>156</v>
      </c>
      <c r="H546">
        <v>1</v>
      </c>
      <c r="I546">
        <v>71.31</v>
      </c>
      <c r="J546" s="2" t="s">
        <v>170</v>
      </c>
      <c r="K546" s="2" t="s">
        <v>74</v>
      </c>
      <c r="M546" t="s">
        <v>1132</v>
      </c>
      <c r="P546" s="19" t="s">
        <v>807</v>
      </c>
      <c r="Q546" s="19" t="s">
        <v>27</v>
      </c>
      <c r="R546" s="19" t="s">
        <v>138</v>
      </c>
      <c r="W546" s="20">
        <v>16</v>
      </c>
      <c r="X546" s="65" t="s">
        <v>806</v>
      </c>
      <c r="Z546" t="s">
        <v>22</v>
      </c>
      <c r="AB546" t="s">
        <v>178</v>
      </c>
      <c r="AC546" t="s">
        <v>1098</v>
      </c>
      <c r="AD546" s="2" t="s">
        <v>180</v>
      </c>
    </row>
    <row r="547" spans="1:30" hidden="1" x14ac:dyDescent="0.25">
      <c r="A547" s="2">
        <v>269</v>
      </c>
      <c r="B547" t="s">
        <v>1101</v>
      </c>
      <c r="C547">
        <v>20</v>
      </c>
      <c r="D547">
        <v>300</v>
      </c>
      <c r="E547">
        <v>1514</v>
      </c>
      <c r="F547" t="s">
        <v>172</v>
      </c>
      <c r="G547" s="2" t="s">
        <v>156</v>
      </c>
      <c r="H547">
        <v>1</v>
      </c>
      <c r="I547">
        <v>71.31</v>
      </c>
      <c r="J547" s="2" t="s">
        <v>170</v>
      </c>
      <c r="K547" s="2" t="s">
        <v>74</v>
      </c>
      <c r="M547" t="s">
        <v>1132</v>
      </c>
      <c r="P547" s="19" t="s">
        <v>807</v>
      </c>
      <c r="Q547" s="19" t="s">
        <v>27</v>
      </c>
      <c r="R547" s="19" t="s">
        <v>138</v>
      </c>
      <c r="W547" s="20">
        <v>16</v>
      </c>
      <c r="X547" s="65" t="s">
        <v>806</v>
      </c>
      <c r="Z547" t="s">
        <v>22</v>
      </c>
      <c r="AB547" t="s">
        <v>178</v>
      </c>
      <c r="AC547" t="s">
        <v>1098</v>
      </c>
      <c r="AD547" s="2" t="s">
        <v>180</v>
      </c>
    </row>
    <row r="548" spans="1:30" hidden="1" x14ac:dyDescent="0.25">
      <c r="A548" s="2">
        <v>270</v>
      </c>
      <c r="B548" t="s">
        <v>1102</v>
      </c>
      <c r="C548">
        <v>20</v>
      </c>
      <c r="D548">
        <v>300</v>
      </c>
      <c r="E548">
        <v>1514</v>
      </c>
      <c r="F548" t="s">
        <v>172</v>
      </c>
      <c r="G548" s="2" t="s">
        <v>156</v>
      </c>
      <c r="H548">
        <v>1</v>
      </c>
      <c r="I548">
        <v>71.31</v>
      </c>
      <c r="J548" s="2" t="s">
        <v>170</v>
      </c>
      <c r="K548" s="2" t="s">
        <v>74</v>
      </c>
      <c r="M548" t="s">
        <v>1132</v>
      </c>
      <c r="P548" s="19" t="s">
        <v>807</v>
      </c>
      <c r="Q548" s="19" t="s">
        <v>27</v>
      </c>
      <c r="R548" s="19" t="s">
        <v>138</v>
      </c>
      <c r="W548" s="20">
        <v>16</v>
      </c>
      <c r="X548" s="65" t="s">
        <v>806</v>
      </c>
      <c r="Z548" t="s">
        <v>22</v>
      </c>
      <c r="AB548" t="s">
        <v>178</v>
      </c>
      <c r="AC548" t="s">
        <v>1098</v>
      </c>
      <c r="AD548" s="2" t="s">
        <v>180</v>
      </c>
    </row>
    <row r="549" spans="1:30" hidden="1" x14ac:dyDescent="0.25">
      <c r="A549" s="2">
        <v>271</v>
      </c>
      <c r="B549" t="s">
        <v>1103</v>
      </c>
      <c r="C549">
        <v>20</v>
      </c>
      <c r="D549">
        <v>300</v>
      </c>
      <c r="E549">
        <v>1514</v>
      </c>
      <c r="F549" t="s">
        <v>172</v>
      </c>
      <c r="G549" s="2" t="s">
        <v>156</v>
      </c>
      <c r="H549">
        <v>1</v>
      </c>
      <c r="I549">
        <v>71.31</v>
      </c>
      <c r="J549" s="2" t="s">
        <v>170</v>
      </c>
      <c r="K549" s="2" t="s">
        <v>74</v>
      </c>
      <c r="M549" t="s">
        <v>1132</v>
      </c>
      <c r="P549" s="19" t="s">
        <v>807</v>
      </c>
      <c r="Q549" s="19" t="s">
        <v>27</v>
      </c>
      <c r="R549" s="19" t="s">
        <v>138</v>
      </c>
      <c r="W549" s="20">
        <v>16</v>
      </c>
      <c r="X549" s="65" t="s">
        <v>806</v>
      </c>
      <c r="Z549" t="s">
        <v>22</v>
      </c>
      <c r="AB549" t="s">
        <v>178</v>
      </c>
      <c r="AC549" t="s">
        <v>1098</v>
      </c>
      <c r="AD549" s="2" t="s">
        <v>180</v>
      </c>
    </row>
    <row r="550" spans="1:30" hidden="1" x14ac:dyDescent="0.25">
      <c r="A550" s="2">
        <v>272</v>
      </c>
      <c r="B550" t="s">
        <v>1104</v>
      </c>
      <c r="C550">
        <v>20</v>
      </c>
      <c r="D550">
        <v>300</v>
      </c>
      <c r="E550">
        <v>1514</v>
      </c>
      <c r="F550" t="s">
        <v>172</v>
      </c>
      <c r="G550" s="2" t="s">
        <v>156</v>
      </c>
      <c r="H550">
        <v>1</v>
      </c>
      <c r="I550">
        <v>71.31</v>
      </c>
      <c r="J550" s="2" t="s">
        <v>170</v>
      </c>
      <c r="K550" s="2" t="s">
        <v>74</v>
      </c>
      <c r="M550" t="s">
        <v>1132</v>
      </c>
      <c r="P550" s="19" t="s">
        <v>807</v>
      </c>
      <c r="Q550" s="19" t="s">
        <v>27</v>
      </c>
      <c r="R550" s="19" t="s">
        <v>138</v>
      </c>
      <c r="W550" s="20">
        <v>16</v>
      </c>
      <c r="X550" s="65" t="s">
        <v>806</v>
      </c>
      <c r="Z550" t="s">
        <v>22</v>
      </c>
      <c r="AB550" t="s">
        <v>178</v>
      </c>
      <c r="AC550" t="s">
        <v>1098</v>
      </c>
      <c r="AD550" s="2" t="s">
        <v>180</v>
      </c>
    </row>
    <row r="551" spans="1:30" hidden="1" x14ac:dyDescent="0.25">
      <c r="A551" s="2">
        <v>273</v>
      </c>
      <c r="B551" t="s">
        <v>1105</v>
      </c>
      <c r="C551">
        <v>20</v>
      </c>
      <c r="D551">
        <v>300</v>
      </c>
      <c r="E551">
        <v>9068</v>
      </c>
      <c r="F551" t="s">
        <v>172</v>
      </c>
      <c r="G551" s="2" t="s">
        <v>156</v>
      </c>
      <c r="H551">
        <v>1</v>
      </c>
      <c r="I551">
        <v>427.1</v>
      </c>
      <c r="J551" s="2" t="s">
        <v>170</v>
      </c>
      <c r="K551" s="2" t="s">
        <v>74</v>
      </c>
      <c r="M551" t="s">
        <v>1132</v>
      </c>
      <c r="P551" s="19" t="s">
        <v>807</v>
      </c>
      <c r="Q551" s="19" t="s">
        <v>27</v>
      </c>
      <c r="R551" s="19" t="s">
        <v>138</v>
      </c>
      <c r="W551" s="20">
        <v>16</v>
      </c>
      <c r="X551" s="65" t="s">
        <v>806</v>
      </c>
      <c r="Z551" t="s">
        <v>22</v>
      </c>
      <c r="AB551" t="s">
        <v>178</v>
      </c>
      <c r="AC551" t="s">
        <v>1098</v>
      </c>
      <c r="AD551" s="2" t="s">
        <v>180</v>
      </c>
    </row>
    <row r="552" spans="1:30" hidden="1" x14ac:dyDescent="0.25">
      <c r="A552" s="2">
        <v>274</v>
      </c>
      <c r="B552" t="s">
        <v>1107</v>
      </c>
      <c r="C552">
        <v>20</v>
      </c>
      <c r="D552">
        <v>300</v>
      </c>
      <c r="E552">
        <v>9068</v>
      </c>
      <c r="F552" t="s">
        <v>172</v>
      </c>
      <c r="G552" s="2" t="s">
        <v>156</v>
      </c>
      <c r="H552">
        <v>1</v>
      </c>
      <c r="I552">
        <v>427.1</v>
      </c>
      <c r="J552" s="2" t="s">
        <v>170</v>
      </c>
      <c r="K552" s="2" t="s">
        <v>74</v>
      </c>
      <c r="M552" t="s">
        <v>1132</v>
      </c>
      <c r="P552" s="19" t="s">
        <v>807</v>
      </c>
      <c r="Q552" s="19" t="s">
        <v>27</v>
      </c>
      <c r="R552" s="19" t="s">
        <v>138</v>
      </c>
      <c r="W552" s="20">
        <v>16</v>
      </c>
      <c r="X552" s="65" t="s">
        <v>806</v>
      </c>
      <c r="Z552" t="s">
        <v>22</v>
      </c>
      <c r="AB552" t="s">
        <v>178</v>
      </c>
      <c r="AC552" t="s">
        <v>1098</v>
      </c>
      <c r="AD552" s="2" t="s">
        <v>180</v>
      </c>
    </row>
    <row r="553" spans="1:30" hidden="1" x14ac:dyDescent="0.25">
      <c r="A553" s="2">
        <v>275</v>
      </c>
      <c r="B553" t="s">
        <v>1089</v>
      </c>
      <c r="C553">
        <v>20</v>
      </c>
      <c r="D553">
        <v>300</v>
      </c>
      <c r="E553">
        <v>1096</v>
      </c>
      <c r="F553" t="s">
        <v>172</v>
      </c>
      <c r="G553" s="2" t="s">
        <v>156</v>
      </c>
      <c r="H553">
        <v>1</v>
      </c>
      <c r="I553">
        <v>51.62</v>
      </c>
      <c r="J553" s="2" t="s">
        <v>170</v>
      </c>
      <c r="K553" s="2" t="s">
        <v>74</v>
      </c>
      <c r="M553" t="s">
        <v>1132</v>
      </c>
      <c r="P553" s="19" t="s">
        <v>807</v>
      </c>
      <c r="Q553" s="19" t="s">
        <v>27</v>
      </c>
      <c r="R553" s="19" t="s">
        <v>138</v>
      </c>
      <c r="V553" s="19" t="s">
        <v>138</v>
      </c>
      <c r="W553" s="20">
        <v>16</v>
      </c>
      <c r="X553" s="65" t="s">
        <v>806</v>
      </c>
      <c r="Z553" t="s">
        <v>22</v>
      </c>
      <c r="AB553" t="s">
        <v>178</v>
      </c>
      <c r="AC553" t="s">
        <v>1098</v>
      </c>
      <c r="AD553" s="2" t="s">
        <v>180</v>
      </c>
    </row>
    <row r="554" spans="1:30" hidden="1" x14ac:dyDescent="0.25">
      <c r="A554" s="2">
        <v>276</v>
      </c>
      <c r="B554" t="s">
        <v>1108</v>
      </c>
      <c r="C554">
        <v>20</v>
      </c>
      <c r="D554">
        <v>300</v>
      </c>
      <c r="E554">
        <v>1383</v>
      </c>
      <c r="F554" t="s">
        <v>172</v>
      </c>
      <c r="G554" s="2" t="s">
        <v>156</v>
      </c>
      <c r="H554">
        <v>1</v>
      </c>
      <c r="I554">
        <v>65.14</v>
      </c>
      <c r="J554" s="2" t="s">
        <v>170</v>
      </c>
      <c r="K554" s="2" t="s">
        <v>74</v>
      </c>
      <c r="M554" t="s">
        <v>1132</v>
      </c>
      <c r="P554" s="19" t="s">
        <v>807</v>
      </c>
      <c r="Q554" s="19" t="s">
        <v>27</v>
      </c>
      <c r="R554" s="19" t="s">
        <v>138</v>
      </c>
      <c r="V554" s="19" t="s">
        <v>138</v>
      </c>
      <c r="W554" s="20">
        <v>16</v>
      </c>
      <c r="X554" s="65" t="s">
        <v>806</v>
      </c>
      <c r="Z554" t="s">
        <v>22</v>
      </c>
      <c r="AB554" t="s">
        <v>178</v>
      </c>
      <c r="AC554" t="s">
        <v>1098</v>
      </c>
      <c r="AD554" s="2" t="s">
        <v>180</v>
      </c>
    </row>
    <row r="555" spans="1:30" hidden="1" x14ac:dyDescent="0.25">
      <c r="A555" s="2">
        <v>277</v>
      </c>
      <c r="B555" t="s">
        <v>1109</v>
      </c>
      <c r="C555">
        <v>32</v>
      </c>
      <c r="D555">
        <v>550</v>
      </c>
      <c r="E555">
        <v>848</v>
      </c>
      <c r="F555" t="s">
        <v>172</v>
      </c>
      <c r="G555" s="2" t="s">
        <v>156</v>
      </c>
      <c r="H555">
        <v>1</v>
      </c>
      <c r="I555">
        <v>117.16</v>
      </c>
      <c r="J555" s="2" t="s">
        <v>170</v>
      </c>
      <c r="K555" s="2" t="s">
        <v>74</v>
      </c>
      <c r="M555" t="s">
        <v>1132</v>
      </c>
      <c r="P555" s="19" t="s">
        <v>807</v>
      </c>
      <c r="Q555" s="19" t="s">
        <v>27</v>
      </c>
      <c r="R555" s="19" t="s">
        <v>138</v>
      </c>
      <c r="V555" s="19" t="s">
        <v>138</v>
      </c>
      <c r="W555" s="20">
        <v>16</v>
      </c>
      <c r="X555" s="65" t="s">
        <v>806</v>
      </c>
      <c r="Z555" t="s">
        <v>22</v>
      </c>
      <c r="AB555" t="s">
        <v>178</v>
      </c>
      <c r="AC555" t="s">
        <v>1112</v>
      </c>
      <c r="AD555" s="2" t="s">
        <v>180</v>
      </c>
    </row>
    <row r="556" spans="1:30" hidden="1" x14ac:dyDescent="0.25">
      <c r="A556" s="2">
        <v>278</v>
      </c>
      <c r="B556" t="s">
        <v>1113</v>
      </c>
      <c r="C556">
        <v>32</v>
      </c>
      <c r="D556">
        <v>550</v>
      </c>
      <c r="E556">
        <v>1434</v>
      </c>
      <c r="F556" t="s">
        <v>172</v>
      </c>
      <c r="G556" s="2" t="s">
        <v>156</v>
      </c>
      <c r="H556">
        <v>1</v>
      </c>
      <c r="I556">
        <v>198.12</v>
      </c>
      <c r="J556" s="2" t="s">
        <v>170</v>
      </c>
      <c r="K556" s="2" t="s">
        <v>74</v>
      </c>
      <c r="M556" t="s">
        <v>1132</v>
      </c>
      <c r="P556" s="19" t="s">
        <v>807</v>
      </c>
      <c r="Q556" s="19" t="s">
        <v>27</v>
      </c>
      <c r="R556" s="19" t="s">
        <v>138</v>
      </c>
      <c r="W556" s="20">
        <v>16</v>
      </c>
      <c r="X556" s="65" t="s">
        <v>806</v>
      </c>
      <c r="Z556" t="s">
        <v>22</v>
      </c>
      <c r="AB556" t="s">
        <v>178</v>
      </c>
      <c r="AC556" t="s">
        <v>1112</v>
      </c>
      <c r="AD556" s="2" t="s">
        <v>180</v>
      </c>
    </row>
    <row r="557" spans="1:30" hidden="1" x14ac:dyDescent="0.25">
      <c r="A557" s="2">
        <v>279</v>
      </c>
      <c r="B557" t="s">
        <v>1115</v>
      </c>
      <c r="C557">
        <v>32</v>
      </c>
      <c r="D557">
        <v>550</v>
      </c>
      <c r="E557">
        <v>1434</v>
      </c>
      <c r="F557" t="s">
        <v>172</v>
      </c>
      <c r="G557" s="2" t="s">
        <v>156</v>
      </c>
      <c r="H557">
        <v>1</v>
      </c>
      <c r="I557">
        <v>198.12</v>
      </c>
      <c r="J557" s="2" t="s">
        <v>170</v>
      </c>
      <c r="K557" s="2" t="s">
        <v>74</v>
      </c>
      <c r="M557" t="s">
        <v>1132</v>
      </c>
      <c r="P557" s="19" t="s">
        <v>807</v>
      </c>
      <c r="Q557" s="19" t="s">
        <v>27</v>
      </c>
      <c r="R557" s="19" t="s">
        <v>138</v>
      </c>
      <c r="W557" s="20">
        <v>16</v>
      </c>
      <c r="X557" s="65" t="s">
        <v>806</v>
      </c>
      <c r="Z557" t="s">
        <v>22</v>
      </c>
      <c r="AB557" t="s">
        <v>178</v>
      </c>
      <c r="AC557" t="s">
        <v>1112</v>
      </c>
      <c r="AD557" s="2" t="s">
        <v>180</v>
      </c>
    </row>
    <row r="558" spans="1:30" hidden="1" x14ac:dyDescent="0.25">
      <c r="A558" s="2">
        <v>280</v>
      </c>
      <c r="B558" t="s">
        <v>1116</v>
      </c>
      <c r="C558">
        <v>32</v>
      </c>
      <c r="D558">
        <v>550</v>
      </c>
      <c r="E558">
        <v>7896</v>
      </c>
      <c r="F558" t="s">
        <v>172</v>
      </c>
      <c r="G558" s="2" t="s">
        <v>156</v>
      </c>
      <c r="H558">
        <v>1</v>
      </c>
      <c r="I558">
        <v>1090.9100000000001</v>
      </c>
      <c r="J558" s="2" t="s">
        <v>170</v>
      </c>
      <c r="K558" s="2" t="s">
        <v>74</v>
      </c>
      <c r="M558" t="s">
        <v>1132</v>
      </c>
      <c r="P558" s="19" t="s">
        <v>807</v>
      </c>
      <c r="Q558" s="19" t="s">
        <v>27</v>
      </c>
      <c r="R558" s="19" t="s">
        <v>138</v>
      </c>
      <c r="V558" s="19" t="s">
        <v>138</v>
      </c>
      <c r="W558" s="20">
        <v>16</v>
      </c>
      <c r="X558" s="65" t="s">
        <v>806</v>
      </c>
      <c r="Z558" t="s">
        <v>22</v>
      </c>
      <c r="AB558" t="s">
        <v>178</v>
      </c>
      <c r="AC558" t="s">
        <v>1112</v>
      </c>
      <c r="AD558" s="2" t="s">
        <v>180</v>
      </c>
    </row>
    <row r="559" spans="1:30" hidden="1" x14ac:dyDescent="0.25">
      <c r="A559" s="2">
        <v>281</v>
      </c>
      <c r="B559" t="s">
        <v>1118</v>
      </c>
      <c r="C559">
        <v>32</v>
      </c>
      <c r="D559">
        <v>550</v>
      </c>
      <c r="E559">
        <v>7896</v>
      </c>
      <c r="F559" t="s">
        <v>172</v>
      </c>
      <c r="G559" s="2" t="s">
        <v>156</v>
      </c>
      <c r="H559">
        <v>1</v>
      </c>
      <c r="I559">
        <v>1090.9100000000001</v>
      </c>
      <c r="J559" s="2" t="s">
        <v>170</v>
      </c>
      <c r="K559" s="2" t="s">
        <v>74</v>
      </c>
      <c r="M559" t="s">
        <v>1132</v>
      </c>
      <c r="P559" s="19" t="s">
        <v>807</v>
      </c>
      <c r="Q559" s="19" t="s">
        <v>27</v>
      </c>
      <c r="R559" s="19" t="s">
        <v>138</v>
      </c>
      <c r="V559" s="19" t="s">
        <v>138</v>
      </c>
      <c r="W559" s="20">
        <v>16</v>
      </c>
      <c r="X559" s="65" t="s">
        <v>806</v>
      </c>
      <c r="Z559" t="s">
        <v>22</v>
      </c>
      <c r="AB559" t="s">
        <v>178</v>
      </c>
      <c r="AC559" t="s">
        <v>1112</v>
      </c>
      <c r="AD559" s="2" t="s">
        <v>180</v>
      </c>
    </row>
    <row r="560" spans="1:30" hidden="1" x14ac:dyDescent="0.25">
      <c r="A560" s="2">
        <v>282</v>
      </c>
      <c r="B560" t="s">
        <v>1119</v>
      </c>
      <c r="C560">
        <v>32</v>
      </c>
      <c r="D560">
        <v>550</v>
      </c>
      <c r="E560">
        <v>848</v>
      </c>
      <c r="F560" t="s">
        <v>172</v>
      </c>
      <c r="G560" s="2" t="s">
        <v>156</v>
      </c>
      <c r="H560">
        <v>1</v>
      </c>
      <c r="I560">
        <v>117.16</v>
      </c>
      <c r="J560" s="2" t="s">
        <v>170</v>
      </c>
      <c r="K560" s="2" t="s">
        <v>74</v>
      </c>
      <c r="M560" t="s">
        <v>1132</v>
      </c>
      <c r="P560" s="19" t="s">
        <v>807</v>
      </c>
      <c r="Q560" s="19" t="s">
        <v>27</v>
      </c>
      <c r="R560" s="19" t="s">
        <v>138</v>
      </c>
      <c r="V560" s="19" t="s">
        <v>138</v>
      </c>
      <c r="W560" s="20">
        <v>16</v>
      </c>
      <c r="X560" s="65" t="s">
        <v>806</v>
      </c>
      <c r="Z560" t="s">
        <v>22</v>
      </c>
      <c r="AB560" t="s">
        <v>178</v>
      </c>
      <c r="AC560" t="s">
        <v>1120</v>
      </c>
      <c r="AD560" s="2" t="s">
        <v>180</v>
      </c>
    </row>
    <row r="561" spans="1:30" hidden="1" x14ac:dyDescent="0.25">
      <c r="A561" s="2">
        <v>283</v>
      </c>
      <c r="B561" t="s">
        <v>1121</v>
      </c>
      <c r="C561">
        <v>32</v>
      </c>
      <c r="D561">
        <v>550</v>
      </c>
      <c r="E561">
        <v>7660</v>
      </c>
      <c r="F561" t="s">
        <v>172</v>
      </c>
      <c r="G561" s="2" t="s">
        <v>156</v>
      </c>
      <c r="H561">
        <v>2</v>
      </c>
      <c r="I561">
        <v>2116.61</v>
      </c>
      <c r="J561" s="2" t="s">
        <v>170</v>
      </c>
      <c r="K561" s="2" t="s">
        <v>74</v>
      </c>
      <c r="M561" t="s">
        <v>1132</v>
      </c>
      <c r="P561" s="19" t="s">
        <v>807</v>
      </c>
      <c r="Q561" s="19" t="s">
        <v>27</v>
      </c>
      <c r="R561" s="19" t="s">
        <v>138</v>
      </c>
      <c r="W561" s="20">
        <v>16</v>
      </c>
      <c r="X561" s="65" t="s">
        <v>806</v>
      </c>
      <c r="Z561" t="s">
        <v>22</v>
      </c>
      <c r="AB561" t="s">
        <v>178</v>
      </c>
      <c r="AC561" t="s">
        <v>1124</v>
      </c>
      <c r="AD561" s="2" t="s">
        <v>180</v>
      </c>
    </row>
    <row r="562" spans="1:30" hidden="1" x14ac:dyDescent="0.25">
      <c r="A562" s="2">
        <v>284</v>
      </c>
      <c r="B562" t="s">
        <v>1125</v>
      </c>
      <c r="C562">
        <v>32</v>
      </c>
      <c r="D562">
        <v>550</v>
      </c>
      <c r="E562">
        <v>7660</v>
      </c>
      <c r="F562" t="s">
        <v>172</v>
      </c>
      <c r="G562" s="2" t="s">
        <v>156</v>
      </c>
      <c r="H562">
        <v>2</v>
      </c>
      <c r="I562">
        <v>2116.61</v>
      </c>
      <c r="J562" s="2" t="s">
        <v>170</v>
      </c>
      <c r="K562" s="2" t="s">
        <v>74</v>
      </c>
      <c r="M562" t="s">
        <v>1132</v>
      </c>
      <c r="P562" s="19" t="s">
        <v>807</v>
      </c>
      <c r="Q562" s="19" t="s">
        <v>27</v>
      </c>
      <c r="R562" s="19" t="s">
        <v>138</v>
      </c>
      <c r="W562" s="20">
        <v>16</v>
      </c>
      <c r="X562" s="65" t="s">
        <v>806</v>
      </c>
      <c r="Z562" t="s">
        <v>22</v>
      </c>
      <c r="AB562" t="s">
        <v>178</v>
      </c>
      <c r="AC562" t="s">
        <v>1124</v>
      </c>
      <c r="AD562" s="2" t="s">
        <v>180</v>
      </c>
    </row>
    <row r="563" spans="1:30" hidden="1" x14ac:dyDescent="0.25">
      <c r="A563" s="2">
        <v>285</v>
      </c>
      <c r="B563" t="s">
        <v>1126</v>
      </c>
      <c r="C563">
        <v>50</v>
      </c>
      <c r="D563">
        <v>1089</v>
      </c>
      <c r="E563">
        <v>1436</v>
      </c>
      <c r="F563" t="s">
        <v>257</v>
      </c>
      <c r="G563" s="2" t="s">
        <v>156</v>
      </c>
      <c r="H563">
        <v>2</v>
      </c>
      <c r="I563">
        <v>992.86</v>
      </c>
      <c r="J563" s="2" t="s">
        <v>170</v>
      </c>
      <c r="K563" s="2" t="s">
        <v>74</v>
      </c>
      <c r="M563" t="s">
        <v>1132</v>
      </c>
      <c r="P563" s="19" t="s">
        <v>807</v>
      </c>
      <c r="Q563" s="19" t="s">
        <v>25</v>
      </c>
      <c r="S563" s="19" t="s">
        <v>138</v>
      </c>
      <c r="V563" s="19" t="s">
        <v>138</v>
      </c>
      <c r="W563" s="20">
        <v>16</v>
      </c>
      <c r="X563" s="65" t="s">
        <v>806</v>
      </c>
      <c r="Z563" t="s">
        <v>307</v>
      </c>
      <c r="AB563" t="s">
        <v>178</v>
      </c>
      <c r="AC563" t="s">
        <v>1129</v>
      </c>
      <c r="AD563" s="2" t="s">
        <v>496</v>
      </c>
    </row>
    <row r="564" spans="1:30" hidden="1" x14ac:dyDescent="0.25">
      <c r="A564" s="2">
        <v>286</v>
      </c>
      <c r="B564" t="s">
        <v>1130</v>
      </c>
      <c r="C564">
        <v>50</v>
      </c>
      <c r="D564">
        <v>1089</v>
      </c>
      <c r="E564">
        <v>1436</v>
      </c>
      <c r="F564" t="s">
        <v>257</v>
      </c>
      <c r="G564" s="2" t="s">
        <v>156</v>
      </c>
      <c r="H564">
        <v>2</v>
      </c>
      <c r="I564">
        <v>992.86</v>
      </c>
      <c r="J564" s="2" t="s">
        <v>170</v>
      </c>
      <c r="K564" s="2" t="s">
        <v>74</v>
      </c>
      <c r="M564" t="s">
        <v>1132</v>
      </c>
      <c r="P564" s="19" t="s">
        <v>807</v>
      </c>
      <c r="Q564" s="19" t="s">
        <v>25</v>
      </c>
      <c r="S564" s="19" t="s">
        <v>138</v>
      </c>
      <c r="V564" s="19" t="s">
        <v>138</v>
      </c>
      <c r="W564" s="20">
        <v>16</v>
      </c>
      <c r="X564" s="65" t="s">
        <v>806</v>
      </c>
      <c r="Z564" t="s">
        <v>307</v>
      </c>
      <c r="AB564" t="s">
        <v>178</v>
      </c>
      <c r="AC564" t="s">
        <v>1129</v>
      </c>
      <c r="AD564" s="2" t="s">
        <v>496</v>
      </c>
    </row>
    <row r="565" spans="1:30" hidden="1" x14ac:dyDescent="0.25">
      <c r="A565" s="2">
        <v>1</v>
      </c>
      <c r="B565" t="s">
        <v>1138</v>
      </c>
      <c r="C565">
        <v>12</v>
      </c>
      <c r="D565">
        <v>490</v>
      </c>
      <c r="E565">
        <v>1514</v>
      </c>
      <c r="F565" t="s">
        <v>172</v>
      </c>
      <c r="G565" s="2" t="s">
        <v>156</v>
      </c>
      <c r="H565">
        <v>1</v>
      </c>
      <c r="I565">
        <v>69.78</v>
      </c>
      <c r="J565" s="2" t="s">
        <v>170</v>
      </c>
      <c r="K565" s="2" t="s">
        <v>74</v>
      </c>
      <c r="M565" t="s">
        <v>1477</v>
      </c>
      <c r="P565" s="19" t="s">
        <v>1142</v>
      </c>
      <c r="Q565" s="19" t="s">
        <v>27</v>
      </c>
      <c r="S565" s="19" t="s">
        <v>138</v>
      </c>
      <c r="W565" s="20">
        <v>17</v>
      </c>
      <c r="X565" s="65" t="s">
        <v>1141</v>
      </c>
      <c r="Z565" t="s">
        <v>307</v>
      </c>
      <c r="AB565" t="s">
        <v>178</v>
      </c>
      <c r="AC565" t="s">
        <v>1140</v>
      </c>
      <c r="AD565" s="2" t="s">
        <v>903</v>
      </c>
    </row>
    <row r="566" spans="1:30" hidden="1" x14ac:dyDescent="0.25">
      <c r="A566" s="2">
        <v>2</v>
      </c>
      <c r="B566" t="s">
        <v>1143</v>
      </c>
      <c r="C566">
        <v>12</v>
      </c>
      <c r="D566">
        <v>490</v>
      </c>
      <c r="E566">
        <v>1514</v>
      </c>
      <c r="F566" t="s">
        <v>172</v>
      </c>
      <c r="G566" s="2" t="s">
        <v>156</v>
      </c>
      <c r="H566">
        <v>1</v>
      </c>
      <c r="I566">
        <v>69.78</v>
      </c>
      <c r="J566" s="2" t="s">
        <v>170</v>
      </c>
      <c r="K566" s="2" t="s">
        <v>74</v>
      </c>
      <c r="M566" t="s">
        <v>1477</v>
      </c>
      <c r="P566" s="19" t="s">
        <v>1142</v>
      </c>
      <c r="Q566" s="19" t="s">
        <v>27</v>
      </c>
      <c r="S566" s="19" t="s">
        <v>138</v>
      </c>
      <c r="W566" s="20">
        <v>17</v>
      </c>
      <c r="X566" s="65" t="s">
        <v>1141</v>
      </c>
      <c r="Z566" t="s">
        <v>307</v>
      </c>
      <c r="AB566" t="s">
        <v>178</v>
      </c>
      <c r="AC566" t="s">
        <v>1140</v>
      </c>
      <c r="AD566" s="2" t="s">
        <v>903</v>
      </c>
    </row>
    <row r="567" spans="1:30" hidden="1" x14ac:dyDescent="0.25">
      <c r="A567" s="2">
        <v>3</v>
      </c>
      <c r="B567" t="s">
        <v>1144</v>
      </c>
      <c r="C567">
        <v>12</v>
      </c>
      <c r="D567">
        <v>135</v>
      </c>
      <c r="E567">
        <v>488</v>
      </c>
      <c r="F567" t="s">
        <v>172</v>
      </c>
      <c r="G567" s="2" t="s">
        <v>156</v>
      </c>
      <c r="H567">
        <v>6</v>
      </c>
      <c r="I567">
        <v>37.14</v>
      </c>
      <c r="J567" s="2" t="s">
        <v>170</v>
      </c>
      <c r="K567" s="2" t="s">
        <v>74</v>
      </c>
      <c r="M567" t="s">
        <v>1477</v>
      </c>
      <c r="P567" s="19" t="s">
        <v>1142</v>
      </c>
      <c r="Q567" s="19" t="s">
        <v>25</v>
      </c>
      <c r="S567" s="19" t="s">
        <v>138</v>
      </c>
      <c r="W567" s="20">
        <v>17</v>
      </c>
      <c r="X567" s="65" t="s">
        <v>1141</v>
      </c>
      <c r="Z567" t="s">
        <v>307</v>
      </c>
      <c r="AB567" t="s">
        <v>178</v>
      </c>
      <c r="AC567" t="s">
        <v>1140</v>
      </c>
      <c r="AD567" s="2" t="s">
        <v>903</v>
      </c>
    </row>
    <row r="568" spans="1:30" hidden="1" x14ac:dyDescent="0.25">
      <c r="A568" s="2">
        <v>4</v>
      </c>
      <c r="B568" t="s">
        <v>1145</v>
      </c>
      <c r="C568">
        <v>12</v>
      </c>
      <c r="D568">
        <v>135</v>
      </c>
      <c r="E568">
        <v>488</v>
      </c>
      <c r="F568" t="s">
        <v>172</v>
      </c>
      <c r="G568" s="2" t="s">
        <v>156</v>
      </c>
      <c r="H568">
        <v>2</v>
      </c>
      <c r="I568">
        <v>12.38</v>
      </c>
      <c r="J568" s="2" t="s">
        <v>170</v>
      </c>
      <c r="K568" s="2" t="s">
        <v>74</v>
      </c>
      <c r="M568" t="s">
        <v>1477</v>
      </c>
      <c r="P568" s="19" t="s">
        <v>1142</v>
      </c>
      <c r="Q568" s="19" t="s">
        <v>25</v>
      </c>
      <c r="S568" s="19" t="s">
        <v>138</v>
      </c>
      <c r="W568" s="20">
        <v>17</v>
      </c>
      <c r="X568" s="65" t="s">
        <v>1141</v>
      </c>
      <c r="Z568" t="s">
        <v>307</v>
      </c>
      <c r="AB568" t="s">
        <v>178</v>
      </c>
      <c r="AC568" t="s">
        <v>1140</v>
      </c>
      <c r="AD568" s="2" t="s">
        <v>903</v>
      </c>
    </row>
    <row r="569" spans="1:30" hidden="1" x14ac:dyDescent="0.25">
      <c r="A569" s="2">
        <v>5</v>
      </c>
      <c r="B569" t="s">
        <v>1146</v>
      </c>
      <c r="C569">
        <v>12</v>
      </c>
      <c r="D569">
        <v>135</v>
      </c>
      <c r="E569">
        <v>488</v>
      </c>
      <c r="F569" t="s">
        <v>172</v>
      </c>
      <c r="G569" s="2" t="s">
        <v>156</v>
      </c>
      <c r="H569">
        <v>1</v>
      </c>
      <c r="I569">
        <v>6.19</v>
      </c>
      <c r="J569" s="2" t="s">
        <v>170</v>
      </c>
      <c r="K569" s="2" t="s">
        <v>74</v>
      </c>
      <c r="M569" t="s">
        <v>1477</v>
      </c>
      <c r="P569" s="19" t="s">
        <v>1142</v>
      </c>
      <c r="Q569" s="19" t="s">
        <v>25</v>
      </c>
      <c r="S569" s="19" t="s">
        <v>138</v>
      </c>
      <c r="W569" s="20">
        <v>17</v>
      </c>
      <c r="X569" s="65" t="s">
        <v>1141</v>
      </c>
      <c r="Z569" t="s">
        <v>307</v>
      </c>
      <c r="AB569" t="s">
        <v>178</v>
      </c>
      <c r="AC569" t="s">
        <v>1140</v>
      </c>
      <c r="AD569" s="2" t="s">
        <v>903</v>
      </c>
    </row>
    <row r="570" spans="1:30" hidden="1" x14ac:dyDescent="0.25">
      <c r="A570" s="2">
        <v>6</v>
      </c>
      <c r="B570" t="s">
        <v>1147</v>
      </c>
      <c r="C570">
        <v>12</v>
      </c>
      <c r="D570">
        <v>135</v>
      </c>
      <c r="E570">
        <v>488</v>
      </c>
      <c r="F570" t="s">
        <v>172</v>
      </c>
      <c r="G570" s="2" t="s">
        <v>156</v>
      </c>
      <c r="H570">
        <v>7</v>
      </c>
      <c r="I570">
        <v>43.33</v>
      </c>
      <c r="J570" s="2" t="s">
        <v>170</v>
      </c>
      <c r="K570" s="2" t="s">
        <v>74</v>
      </c>
      <c r="M570" t="s">
        <v>1477</v>
      </c>
      <c r="P570" s="19" t="s">
        <v>1142</v>
      </c>
      <c r="Q570" s="19" t="s">
        <v>25</v>
      </c>
      <c r="S570" s="19" t="s">
        <v>138</v>
      </c>
      <c r="W570" s="20">
        <v>17</v>
      </c>
      <c r="X570" s="65" t="s">
        <v>1141</v>
      </c>
      <c r="Z570" t="s">
        <v>307</v>
      </c>
      <c r="AB570" t="s">
        <v>178</v>
      </c>
      <c r="AC570" t="s">
        <v>1140</v>
      </c>
      <c r="AD570" s="2" t="s">
        <v>903</v>
      </c>
    </row>
    <row r="571" spans="1:30" hidden="1" x14ac:dyDescent="0.25">
      <c r="A571" s="2">
        <v>7</v>
      </c>
      <c r="B571" t="s">
        <v>1148</v>
      </c>
      <c r="C571">
        <v>12</v>
      </c>
      <c r="D571">
        <v>135</v>
      </c>
      <c r="E571">
        <v>488</v>
      </c>
      <c r="F571" t="s">
        <v>172</v>
      </c>
      <c r="G571" s="2" t="s">
        <v>156</v>
      </c>
      <c r="H571">
        <v>1</v>
      </c>
      <c r="I571">
        <v>6.19</v>
      </c>
      <c r="J571" s="2" t="s">
        <v>170</v>
      </c>
      <c r="K571" s="2" t="s">
        <v>74</v>
      </c>
      <c r="M571" t="s">
        <v>1477</v>
      </c>
      <c r="P571" s="19" t="s">
        <v>1142</v>
      </c>
      <c r="Q571" s="19" t="s">
        <v>25</v>
      </c>
      <c r="S571" s="19" t="s">
        <v>138</v>
      </c>
      <c r="W571" s="20">
        <v>17</v>
      </c>
      <c r="X571" s="65" t="s">
        <v>1141</v>
      </c>
      <c r="Z571" t="s">
        <v>307</v>
      </c>
      <c r="AB571" t="s">
        <v>178</v>
      </c>
      <c r="AC571" t="s">
        <v>1140</v>
      </c>
      <c r="AD571" s="2" t="s">
        <v>903</v>
      </c>
    </row>
    <row r="572" spans="1:30" hidden="1" x14ac:dyDescent="0.25">
      <c r="A572" s="2">
        <v>8</v>
      </c>
      <c r="B572" t="s">
        <v>1149</v>
      </c>
      <c r="C572">
        <v>12</v>
      </c>
      <c r="D572">
        <v>490</v>
      </c>
      <c r="E572">
        <v>1514</v>
      </c>
      <c r="F572" t="s">
        <v>172</v>
      </c>
      <c r="G572" s="2" t="s">
        <v>156</v>
      </c>
      <c r="H572">
        <v>1</v>
      </c>
      <c r="I572">
        <v>69.78</v>
      </c>
      <c r="J572" s="2" t="s">
        <v>170</v>
      </c>
      <c r="K572" s="2" t="s">
        <v>74</v>
      </c>
      <c r="M572" t="s">
        <v>1477</v>
      </c>
      <c r="P572" s="19" t="s">
        <v>1142</v>
      </c>
      <c r="Q572" s="19" t="s">
        <v>27</v>
      </c>
      <c r="S572" s="19" t="s">
        <v>138</v>
      </c>
      <c r="W572" s="20">
        <v>17</v>
      </c>
      <c r="X572" s="65" t="s">
        <v>1141</v>
      </c>
      <c r="Z572" t="s">
        <v>307</v>
      </c>
      <c r="AB572" t="s">
        <v>178</v>
      </c>
      <c r="AC572" t="s">
        <v>1140</v>
      </c>
      <c r="AD572" s="2" t="s">
        <v>903</v>
      </c>
    </row>
    <row r="573" spans="1:30" hidden="1" x14ac:dyDescent="0.25">
      <c r="A573" s="2">
        <v>9</v>
      </c>
      <c r="B573" t="s">
        <v>1150</v>
      </c>
      <c r="C573">
        <v>12</v>
      </c>
      <c r="D573">
        <v>490</v>
      </c>
      <c r="E573">
        <v>1514</v>
      </c>
      <c r="F573" t="s">
        <v>172</v>
      </c>
      <c r="G573" s="2" t="s">
        <v>156</v>
      </c>
      <c r="H573">
        <v>1</v>
      </c>
      <c r="I573">
        <v>69.78</v>
      </c>
      <c r="J573" s="2" t="s">
        <v>170</v>
      </c>
      <c r="K573" s="2" t="s">
        <v>74</v>
      </c>
      <c r="M573" t="s">
        <v>1477</v>
      </c>
      <c r="P573" s="19" t="s">
        <v>1142</v>
      </c>
      <c r="Q573" s="19" t="s">
        <v>27</v>
      </c>
      <c r="S573" s="19" t="s">
        <v>138</v>
      </c>
      <c r="W573" s="20">
        <v>17</v>
      </c>
      <c r="X573" s="65" t="s">
        <v>1141</v>
      </c>
      <c r="Z573" t="s">
        <v>307</v>
      </c>
      <c r="AB573" t="s">
        <v>178</v>
      </c>
      <c r="AC573" t="s">
        <v>1140</v>
      </c>
      <c r="AD573" s="2" t="s">
        <v>903</v>
      </c>
    </row>
    <row r="574" spans="1:30" hidden="1" x14ac:dyDescent="0.25">
      <c r="A574" s="2">
        <v>10</v>
      </c>
      <c r="B574" t="s">
        <v>1151</v>
      </c>
      <c r="C574">
        <v>12</v>
      </c>
      <c r="D574">
        <v>490</v>
      </c>
      <c r="E574">
        <v>1514</v>
      </c>
      <c r="F574" t="s">
        <v>172</v>
      </c>
      <c r="G574" s="2" t="s">
        <v>156</v>
      </c>
      <c r="H574">
        <v>1</v>
      </c>
      <c r="I574">
        <v>69.78</v>
      </c>
      <c r="J574" s="2" t="s">
        <v>170</v>
      </c>
      <c r="K574" s="2" t="s">
        <v>74</v>
      </c>
      <c r="M574" t="s">
        <v>1477</v>
      </c>
      <c r="P574" s="19" t="s">
        <v>1142</v>
      </c>
      <c r="Q574" s="19" t="s">
        <v>27</v>
      </c>
      <c r="S574" s="19" t="s">
        <v>138</v>
      </c>
      <c r="W574" s="20">
        <v>17</v>
      </c>
      <c r="X574" s="65" t="s">
        <v>1141</v>
      </c>
      <c r="Z574" t="s">
        <v>307</v>
      </c>
      <c r="AB574" t="s">
        <v>178</v>
      </c>
      <c r="AC574" t="s">
        <v>1140</v>
      </c>
      <c r="AD574" s="2" t="s">
        <v>903</v>
      </c>
    </row>
    <row r="575" spans="1:30" hidden="1" x14ac:dyDescent="0.25">
      <c r="A575" s="2">
        <v>11</v>
      </c>
      <c r="B575" t="s">
        <v>1152</v>
      </c>
      <c r="C575">
        <v>12</v>
      </c>
      <c r="D575">
        <v>490</v>
      </c>
      <c r="E575">
        <v>1514</v>
      </c>
      <c r="F575" t="s">
        <v>172</v>
      </c>
      <c r="G575" s="2" t="s">
        <v>156</v>
      </c>
      <c r="H575">
        <v>1</v>
      </c>
      <c r="I575">
        <v>69.78</v>
      </c>
      <c r="J575" s="2" t="s">
        <v>170</v>
      </c>
      <c r="K575" s="2" t="s">
        <v>74</v>
      </c>
      <c r="M575" t="s">
        <v>1477</v>
      </c>
      <c r="P575" s="19" t="s">
        <v>1142</v>
      </c>
      <c r="Q575" s="19" t="s">
        <v>27</v>
      </c>
      <c r="S575" s="19" t="s">
        <v>138</v>
      </c>
      <c r="W575" s="20">
        <v>17</v>
      </c>
      <c r="X575" s="65" t="s">
        <v>1141</v>
      </c>
      <c r="Z575" t="s">
        <v>307</v>
      </c>
      <c r="AB575" t="s">
        <v>178</v>
      </c>
      <c r="AC575" t="s">
        <v>1140</v>
      </c>
      <c r="AD575" s="2" t="s">
        <v>903</v>
      </c>
    </row>
    <row r="576" spans="1:30" hidden="1" x14ac:dyDescent="0.25">
      <c r="A576" s="2">
        <v>12</v>
      </c>
      <c r="B576" t="s">
        <v>1153</v>
      </c>
      <c r="C576">
        <v>12</v>
      </c>
      <c r="D576">
        <v>490</v>
      </c>
      <c r="E576">
        <v>1514</v>
      </c>
      <c r="F576" t="s">
        <v>172</v>
      </c>
      <c r="G576" s="2" t="s">
        <v>156</v>
      </c>
      <c r="H576">
        <v>1</v>
      </c>
      <c r="I576">
        <v>69.78</v>
      </c>
      <c r="J576" s="2" t="s">
        <v>170</v>
      </c>
      <c r="K576" s="2" t="s">
        <v>74</v>
      </c>
      <c r="M576" t="s">
        <v>1477</v>
      </c>
      <c r="P576" s="19" t="s">
        <v>1142</v>
      </c>
      <c r="Q576" s="19" t="s">
        <v>27</v>
      </c>
      <c r="S576" s="19" t="s">
        <v>138</v>
      </c>
      <c r="W576" s="20">
        <v>17</v>
      </c>
      <c r="X576" s="65" t="s">
        <v>1141</v>
      </c>
      <c r="Z576" t="s">
        <v>307</v>
      </c>
      <c r="AB576" t="s">
        <v>178</v>
      </c>
      <c r="AC576" t="s">
        <v>1140</v>
      </c>
      <c r="AD576" s="2" t="s">
        <v>903</v>
      </c>
    </row>
    <row r="577" spans="1:30" hidden="1" x14ac:dyDescent="0.25">
      <c r="A577" s="2">
        <v>13</v>
      </c>
      <c r="B577" t="s">
        <v>1154</v>
      </c>
      <c r="C577">
        <v>12</v>
      </c>
      <c r="D577">
        <v>490</v>
      </c>
      <c r="E577">
        <v>1514</v>
      </c>
      <c r="F577" t="s">
        <v>172</v>
      </c>
      <c r="G577" s="2" t="s">
        <v>156</v>
      </c>
      <c r="H577">
        <v>1</v>
      </c>
      <c r="I577">
        <v>69.78</v>
      </c>
      <c r="J577" s="2" t="s">
        <v>170</v>
      </c>
      <c r="K577" s="2" t="s">
        <v>74</v>
      </c>
      <c r="M577" t="s">
        <v>1477</v>
      </c>
      <c r="P577" s="19" t="s">
        <v>1142</v>
      </c>
      <c r="Q577" s="19" t="s">
        <v>27</v>
      </c>
      <c r="S577" s="19" t="s">
        <v>138</v>
      </c>
      <c r="W577" s="20">
        <v>17</v>
      </c>
      <c r="X577" s="65" t="s">
        <v>1141</v>
      </c>
      <c r="Z577" t="s">
        <v>307</v>
      </c>
      <c r="AB577" t="s">
        <v>178</v>
      </c>
      <c r="AC577" t="s">
        <v>1140</v>
      </c>
      <c r="AD577" s="2" t="s">
        <v>903</v>
      </c>
    </row>
    <row r="578" spans="1:30" hidden="1" x14ac:dyDescent="0.25">
      <c r="A578" s="2">
        <v>14</v>
      </c>
      <c r="B578" t="s">
        <v>1155</v>
      </c>
      <c r="C578">
        <v>12</v>
      </c>
      <c r="D578">
        <v>490</v>
      </c>
      <c r="E578">
        <v>6464</v>
      </c>
      <c r="F578" t="s">
        <v>172</v>
      </c>
      <c r="G578" s="2" t="s">
        <v>156</v>
      </c>
      <c r="H578">
        <v>1</v>
      </c>
      <c r="I578">
        <v>298.26</v>
      </c>
      <c r="J578" s="2" t="s">
        <v>170</v>
      </c>
      <c r="K578" s="2" t="s">
        <v>74</v>
      </c>
      <c r="M578" t="s">
        <v>1477</v>
      </c>
      <c r="P578" s="19" t="s">
        <v>1142</v>
      </c>
      <c r="Q578" s="19" t="s">
        <v>27</v>
      </c>
      <c r="S578" s="19" t="s">
        <v>138</v>
      </c>
      <c r="W578" s="20">
        <v>17</v>
      </c>
      <c r="X578" s="65" t="s">
        <v>1141</v>
      </c>
      <c r="Z578" t="s">
        <v>307</v>
      </c>
      <c r="AB578" t="s">
        <v>178</v>
      </c>
      <c r="AC578" t="s">
        <v>1156</v>
      </c>
      <c r="AD578" s="2" t="s">
        <v>408</v>
      </c>
    </row>
    <row r="579" spans="1:30" hidden="1" x14ac:dyDescent="0.25">
      <c r="A579" s="2">
        <v>15</v>
      </c>
      <c r="B579" t="s">
        <v>1157</v>
      </c>
      <c r="C579">
        <v>12</v>
      </c>
      <c r="D579">
        <v>135</v>
      </c>
      <c r="E579">
        <v>488</v>
      </c>
      <c r="F579" t="s">
        <v>172</v>
      </c>
      <c r="G579" s="2" t="s">
        <v>156</v>
      </c>
      <c r="H579">
        <v>3</v>
      </c>
      <c r="I579">
        <v>18.57</v>
      </c>
      <c r="J579" s="2" t="s">
        <v>170</v>
      </c>
      <c r="K579" s="2" t="s">
        <v>74</v>
      </c>
      <c r="M579" t="s">
        <v>1477</v>
      </c>
      <c r="P579" s="19" t="s">
        <v>1142</v>
      </c>
      <c r="Q579" s="19" t="s">
        <v>25</v>
      </c>
      <c r="S579" s="19" t="s">
        <v>138</v>
      </c>
      <c r="W579" s="20">
        <v>17</v>
      </c>
      <c r="X579" s="65" t="s">
        <v>1141</v>
      </c>
      <c r="Z579" t="s">
        <v>307</v>
      </c>
      <c r="AB579" t="s">
        <v>178</v>
      </c>
      <c r="AC579" t="s">
        <v>1156</v>
      </c>
      <c r="AD579" s="2" t="s">
        <v>408</v>
      </c>
    </row>
    <row r="580" spans="1:30" hidden="1" x14ac:dyDescent="0.25">
      <c r="A580" s="2">
        <v>16</v>
      </c>
      <c r="B580" t="s">
        <v>1158</v>
      </c>
      <c r="C580">
        <v>12</v>
      </c>
      <c r="D580">
        <v>135</v>
      </c>
      <c r="E580">
        <v>488</v>
      </c>
      <c r="F580" t="s">
        <v>172</v>
      </c>
      <c r="G580" s="2" t="s">
        <v>156</v>
      </c>
      <c r="H580">
        <v>1</v>
      </c>
      <c r="I580">
        <v>6.19</v>
      </c>
      <c r="J580" s="2" t="s">
        <v>170</v>
      </c>
      <c r="K580" s="2" t="s">
        <v>74</v>
      </c>
      <c r="M580" t="s">
        <v>1477</v>
      </c>
      <c r="P580" s="19" t="s">
        <v>1142</v>
      </c>
      <c r="Q580" s="19" t="s">
        <v>25</v>
      </c>
      <c r="S580" s="19" t="s">
        <v>138</v>
      </c>
      <c r="W580" s="20">
        <v>17</v>
      </c>
      <c r="X580" s="65" t="s">
        <v>1141</v>
      </c>
      <c r="Z580" t="s">
        <v>307</v>
      </c>
      <c r="AB580" t="s">
        <v>178</v>
      </c>
      <c r="AC580" t="s">
        <v>1156</v>
      </c>
      <c r="AD580" s="2" t="s">
        <v>408</v>
      </c>
    </row>
    <row r="581" spans="1:30" hidden="1" x14ac:dyDescent="0.25">
      <c r="A581" s="2">
        <v>17</v>
      </c>
      <c r="B581" t="s">
        <v>1159</v>
      </c>
      <c r="C581">
        <v>12</v>
      </c>
      <c r="D581">
        <v>135</v>
      </c>
      <c r="E581">
        <v>488</v>
      </c>
      <c r="F581" t="s">
        <v>172</v>
      </c>
      <c r="G581" s="2" t="s">
        <v>156</v>
      </c>
      <c r="H581">
        <v>2</v>
      </c>
      <c r="I581">
        <v>12.38</v>
      </c>
      <c r="J581" s="2" t="s">
        <v>170</v>
      </c>
      <c r="K581" s="2" t="s">
        <v>74</v>
      </c>
      <c r="M581" t="s">
        <v>1477</v>
      </c>
      <c r="P581" s="19" t="s">
        <v>1142</v>
      </c>
      <c r="Q581" s="19" t="s">
        <v>25</v>
      </c>
      <c r="S581" s="19" t="s">
        <v>138</v>
      </c>
      <c r="W581" s="20">
        <v>17</v>
      </c>
      <c r="X581" s="65" t="s">
        <v>1141</v>
      </c>
      <c r="Z581" t="s">
        <v>307</v>
      </c>
      <c r="AB581" t="s">
        <v>178</v>
      </c>
      <c r="AC581" t="s">
        <v>1156</v>
      </c>
      <c r="AD581" s="2" t="s">
        <v>408</v>
      </c>
    </row>
    <row r="582" spans="1:30" hidden="1" x14ac:dyDescent="0.25">
      <c r="A582" s="2">
        <v>18</v>
      </c>
      <c r="B582" t="s">
        <v>1160</v>
      </c>
      <c r="C582">
        <v>12</v>
      </c>
      <c r="D582">
        <v>1460</v>
      </c>
      <c r="E582">
        <v>6688</v>
      </c>
      <c r="F582" t="s">
        <v>172</v>
      </c>
      <c r="G582" s="2" t="s">
        <v>156</v>
      </c>
      <c r="H582">
        <v>1</v>
      </c>
      <c r="I582">
        <v>917.29</v>
      </c>
      <c r="J582" s="2" t="s">
        <v>170</v>
      </c>
      <c r="K582" s="2" t="s">
        <v>74</v>
      </c>
      <c r="M582" t="s">
        <v>1477</v>
      </c>
      <c r="P582" s="19" t="s">
        <v>1142</v>
      </c>
      <c r="Q582" s="19" t="s">
        <v>27</v>
      </c>
      <c r="S582" s="19" t="s">
        <v>138</v>
      </c>
      <c r="V582" s="19" t="s">
        <v>138</v>
      </c>
      <c r="W582" s="20">
        <v>17</v>
      </c>
      <c r="X582" s="65" t="s">
        <v>1141</v>
      </c>
      <c r="Z582" t="s">
        <v>307</v>
      </c>
      <c r="AB582" t="s">
        <v>178</v>
      </c>
      <c r="AC582" t="s">
        <v>1156</v>
      </c>
      <c r="AD582" s="2" t="s">
        <v>408</v>
      </c>
    </row>
    <row r="583" spans="1:30" hidden="1" x14ac:dyDescent="0.25">
      <c r="A583" s="2">
        <v>19</v>
      </c>
      <c r="B583" t="s">
        <v>1161</v>
      </c>
      <c r="C583">
        <v>12</v>
      </c>
      <c r="D583">
        <v>490</v>
      </c>
      <c r="E583">
        <v>1514</v>
      </c>
      <c r="F583" t="s">
        <v>172</v>
      </c>
      <c r="G583" s="2" t="s">
        <v>156</v>
      </c>
      <c r="H583">
        <v>1</v>
      </c>
      <c r="I583">
        <v>69.78</v>
      </c>
      <c r="J583" s="2" t="s">
        <v>170</v>
      </c>
      <c r="K583" s="2" t="s">
        <v>74</v>
      </c>
      <c r="M583" t="s">
        <v>1477</v>
      </c>
      <c r="P583" s="19" t="s">
        <v>1142</v>
      </c>
      <c r="Q583" s="19" t="s">
        <v>27</v>
      </c>
      <c r="S583" s="19" t="s">
        <v>138</v>
      </c>
      <c r="W583" s="20">
        <v>17</v>
      </c>
      <c r="X583" s="65" t="s">
        <v>1141</v>
      </c>
      <c r="Z583" t="s">
        <v>307</v>
      </c>
      <c r="AB583" t="s">
        <v>178</v>
      </c>
      <c r="AC583" t="s">
        <v>1162</v>
      </c>
      <c r="AD583" s="2" t="s">
        <v>910</v>
      </c>
    </row>
    <row r="584" spans="1:30" hidden="1" x14ac:dyDescent="0.25">
      <c r="A584" s="2">
        <v>20</v>
      </c>
      <c r="B584" t="s">
        <v>1163</v>
      </c>
      <c r="C584">
        <v>12</v>
      </c>
      <c r="D584">
        <v>490</v>
      </c>
      <c r="E584">
        <v>1514</v>
      </c>
      <c r="F584" t="s">
        <v>172</v>
      </c>
      <c r="G584" s="2" t="s">
        <v>156</v>
      </c>
      <c r="H584">
        <v>1</v>
      </c>
      <c r="I584">
        <v>69.78</v>
      </c>
      <c r="J584" s="2" t="s">
        <v>170</v>
      </c>
      <c r="K584" s="2" t="s">
        <v>74</v>
      </c>
      <c r="M584" t="s">
        <v>1477</v>
      </c>
      <c r="P584" s="19" t="s">
        <v>1142</v>
      </c>
      <c r="Q584" s="19" t="s">
        <v>27</v>
      </c>
      <c r="S584" s="19" t="s">
        <v>138</v>
      </c>
      <c r="W584" s="20">
        <v>17</v>
      </c>
      <c r="X584" s="65" t="s">
        <v>1141</v>
      </c>
      <c r="Z584" t="s">
        <v>307</v>
      </c>
      <c r="AB584" t="s">
        <v>178</v>
      </c>
      <c r="AC584" t="s">
        <v>1162</v>
      </c>
      <c r="AD584" s="2" t="s">
        <v>910</v>
      </c>
    </row>
    <row r="585" spans="1:30" hidden="1" x14ac:dyDescent="0.25">
      <c r="A585" s="2">
        <v>21</v>
      </c>
      <c r="B585" t="s">
        <v>1164</v>
      </c>
      <c r="C585">
        <v>12</v>
      </c>
      <c r="D585">
        <v>490</v>
      </c>
      <c r="E585">
        <v>1514</v>
      </c>
      <c r="F585" t="s">
        <v>172</v>
      </c>
      <c r="G585" s="2" t="s">
        <v>156</v>
      </c>
      <c r="H585">
        <v>1</v>
      </c>
      <c r="I585">
        <v>69.78</v>
      </c>
      <c r="J585" s="2" t="s">
        <v>170</v>
      </c>
      <c r="K585" s="2" t="s">
        <v>74</v>
      </c>
      <c r="M585" t="s">
        <v>1477</v>
      </c>
      <c r="P585" s="19" t="s">
        <v>1142</v>
      </c>
      <c r="Q585" s="19" t="s">
        <v>27</v>
      </c>
      <c r="S585" s="19" t="s">
        <v>138</v>
      </c>
      <c r="W585" s="20">
        <v>17</v>
      </c>
      <c r="X585" s="65" t="s">
        <v>1141</v>
      </c>
      <c r="Z585" t="s">
        <v>307</v>
      </c>
      <c r="AB585" t="s">
        <v>178</v>
      </c>
      <c r="AC585" t="s">
        <v>1162</v>
      </c>
      <c r="AD585" s="2" t="s">
        <v>910</v>
      </c>
    </row>
    <row r="586" spans="1:30" hidden="1" x14ac:dyDescent="0.25">
      <c r="A586" s="2">
        <v>22</v>
      </c>
      <c r="B586" t="s">
        <v>1165</v>
      </c>
      <c r="C586">
        <v>12</v>
      </c>
      <c r="D586">
        <v>490</v>
      </c>
      <c r="E586">
        <v>1514</v>
      </c>
      <c r="F586" t="s">
        <v>172</v>
      </c>
      <c r="G586" s="2" t="s">
        <v>156</v>
      </c>
      <c r="H586">
        <v>1</v>
      </c>
      <c r="I586">
        <v>69.78</v>
      </c>
      <c r="J586" s="2" t="s">
        <v>170</v>
      </c>
      <c r="K586" s="2" t="s">
        <v>74</v>
      </c>
      <c r="M586" t="s">
        <v>1477</v>
      </c>
      <c r="P586" s="19" t="s">
        <v>1142</v>
      </c>
      <c r="Q586" s="19" t="s">
        <v>27</v>
      </c>
      <c r="S586" s="19" t="s">
        <v>138</v>
      </c>
      <c r="W586" s="20">
        <v>17</v>
      </c>
      <c r="X586" s="65" t="s">
        <v>1141</v>
      </c>
      <c r="Z586" t="s">
        <v>307</v>
      </c>
      <c r="AB586" t="s">
        <v>178</v>
      </c>
      <c r="AC586" t="s">
        <v>1162</v>
      </c>
      <c r="AD586" s="2" t="s">
        <v>910</v>
      </c>
    </row>
    <row r="587" spans="1:30" hidden="1" x14ac:dyDescent="0.25">
      <c r="A587" s="2">
        <v>23</v>
      </c>
      <c r="B587" t="s">
        <v>1166</v>
      </c>
      <c r="C587">
        <v>12</v>
      </c>
      <c r="D587">
        <v>490</v>
      </c>
      <c r="E587">
        <v>1514</v>
      </c>
      <c r="F587" t="s">
        <v>172</v>
      </c>
      <c r="G587" s="2" t="s">
        <v>156</v>
      </c>
      <c r="H587">
        <v>1</v>
      </c>
      <c r="I587">
        <v>69.78</v>
      </c>
      <c r="J587" s="2" t="s">
        <v>170</v>
      </c>
      <c r="K587" s="2" t="s">
        <v>74</v>
      </c>
      <c r="M587" t="s">
        <v>1477</v>
      </c>
      <c r="P587" s="19" t="s">
        <v>1142</v>
      </c>
      <c r="Q587" s="19" t="s">
        <v>27</v>
      </c>
      <c r="S587" s="19" t="s">
        <v>138</v>
      </c>
      <c r="W587" s="20">
        <v>17</v>
      </c>
      <c r="X587" s="65" t="s">
        <v>1141</v>
      </c>
      <c r="Z587" t="s">
        <v>307</v>
      </c>
      <c r="AB587" t="s">
        <v>178</v>
      </c>
      <c r="AC587" t="s">
        <v>1162</v>
      </c>
      <c r="AD587" s="2" t="s">
        <v>910</v>
      </c>
    </row>
    <row r="588" spans="1:30" hidden="1" x14ac:dyDescent="0.25">
      <c r="A588" s="2">
        <v>24</v>
      </c>
      <c r="B588" t="s">
        <v>1167</v>
      </c>
      <c r="C588">
        <v>12</v>
      </c>
      <c r="D588">
        <v>490</v>
      </c>
      <c r="E588">
        <v>1514</v>
      </c>
      <c r="F588" t="s">
        <v>172</v>
      </c>
      <c r="G588" s="2" t="s">
        <v>156</v>
      </c>
      <c r="H588">
        <v>1</v>
      </c>
      <c r="I588">
        <v>69.78</v>
      </c>
      <c r="J588" s="2" t="s">
        <v>170</v>
      </c>
      <c r="K588" s="2" t="s">
        <v>74</v>
      </c>
      <c r="M588" t="s">
        <v>1477</v>
      </c>
      <c r="P588" s="19" t="s">
        <v>1142</v>
      </c>
      <c r="Q588" s="19" t="s">
        <v>27</v>
      </c>
      <c r="S588" s="19" t="s">
        <v>138</v>
      </c>
      <c r="W588" s="20">
        <v>17</v>
      </c>
      <c r="X588" s="65" t="s">
        <v>1141</v>
      </c>
      <c r="Z588" t="s">
        <v>307</v>
      </c>
      <c r="AB588" t="s">
        <v>178</v>
      </c>
      <c r="AC588" t="s">
        <v>1162</v>
      </c>
      <c r="AD588" s="2" t="s">
        <v>910</v>
      </c>
    </row>
    <row r="589" spans="1:30" hidden="1" x14ac:dyDescent="0.25">
      <c r="A589" s="2">
        <v>25</v>
      </c>
      <c r="B589" t="s">
        <v>1144</v>
      </c>
      <c r="C589">
        <v>12</v>
      </c>
      <c r="D589">
        <v>135</v>
      </c>
      <c r="E589">
        <v>488</v>
      </c>
      <c r="F589" t="s">
        <v>172</v>
      </c>
      <c r="G589" s="2" t="s">
        <v>156</v>
      </c>
      <c r="H589">
        <v>6</v>
      </c>
      <c r="I589">
        <v>37.14</v>
      </c>
      <c r="J589" s="2" t="s">
        <v>170</v>
      </c>
      <c r="K589" s="2" t="s">
        <v>74</v>
      </c>
      <c r="M589" t="s">
        <v>1477</v>
      </c>
      <c r="P589" s="19" t="s">
        <v>1142</v>
      </c>
      <c r="Q589" s="19" t="s">
        <v>25</v>
      </c>
      <c r="S589" s="19" t="s">
        <v>138</v>
      </c>
      <c r="W589" s="20">
        <v>17</v>
      </c>
      <c r="X589" s="65" t="s">
        <v>1141</v>
      </c>
      <c r="Z589" t="s">
        <v>307</v>
      </c>
      <c r="AB589" t="s">
        <v>178</v>
      </c>
      <c r="AC589" t="s">
        <v>1162</v>
      </c>
      <c r="AD589" s="2" t="s">
        <v>910</v>
      </c>
    </row>
    <row r="590" spans="1:30" hidden="1" x14ac:dyDescent="0.25">
      <c r="A590" s="2">
        <v>26</v>
      </c>
      <c r="B590" t="s">
        <v>1145</v>
      </c>
      <c r="C590">
        <v>12</v>
      </c>
      <c r="D590">
        <v>135</v>
      </c>
      <c r="E590">
        <v>488</v>
      </c>
      <c r="F590" t="s">
        <v>172</v>
      </c>
      <c r="G590" s="2" t="s">
        <v>156</v>
      </c>
      <c r="H590">
        <v>10</v>
      </c>
      <c r="I590">
        <v>61.9</v>
      </c>
      <c r="J590" s="2" t="s">
        <v>170</v>
      </c>
      <c r="K590" s="2" t="s">
        <v>74</v>
      </c>
      <c r="M590" t="s">
        <v>1477</v>
      </c>
      <c r="P590" s="19" t="s">
        <v>1142</v>
      </c>
      <c r="Q590" s="19" t="s">
        <v>25</v>
      </c>
      <c r="S590" s="19" t="s">
        <v>138</v>
      </c>
      <c r="W590" s="20">
        <v>17</v>
      </c>
      <c r="X590" s="65" t="s">
        <v>1141</v>
      </c>
      <c r="Z590" t="s">
        <v>307</v>
      </c>
      <c r="AB590" t="s">
        <v>178</v>
      </c>
      <c r="AC590" t="s">
        <v>1162</v>
      </c>
      <c r="AD590" s="2" t="s">
        <v>910</v>
      </c>
    </row>
    <row r="591" spans="1:30" hidden="1" x14ac:dyDescent="0.25">
      <c r="A591" s="2">
        <v>27</v>
      </c>
      <c r="B591" t="s">
        <v>1146</v>
      </c>
      <c r="C591">
        <v>12</v>
      </c>
      <c r="D591">
        <v>135</v>
      </c>
      <c r="E591">
        <v>488</v>
      </c>
      <c r="F591" t="s">
        <v>172</v>
      </c>
      <c r="G591" s="2" t="s">
        <v>156</v>
      </c>
      <c r="H591">
        <v>7</v>
      </c>
      <c r="I591">
        <v>43.33</v>
      </c>
      <c r="J591" s="2" t="s">
        <v>170</v>
      </c>
      <c r="K591" s="2" t="s">
        <v>74</v>
      </c>
      <c r="M591" t="s">
        <v>1477</v>
      </c>
      <c r="P591" s="19" t="s">
        <v>1142</v>
      </c>
      <c r="Q591" s="19" t="s">
        <v>25</v>
      </c>
      <c r="S591" s="19" t="s">
        <v>138</v>
      </c>
      <c r="W591" s="20">
        <v>17</v>
      </c>
      <c r="X591" s="65" t="s">
        <v>1141</v>
      </c>
      <c r="Z591" t="s">
        <v>307</v>
      </c>
      <c r="AB591" t="s">
        <v>178</v>
      </c>
      <c r="AC591" t="s">
        <v>1162</v>
      </c>
      <c r="AD591" s="2" t="s">
        <v>910</v>
      </c>
    </row>
    <row r="592" spans="1:30" hidden="1" x14ac:dyDescent="0.25">
      <c r="A592" s="2">
        <v>28</v>
      </c>
      <c r="B592" t="s">
        <v>1168</v>
      </c>
      <c r="C592">
        <v>12</v>
      </c>
      <c r="D592">
        <v>135</v>
      </c>
      <c r="E592">
        <v>488</v>
      </c>
      <c r="F592" t="s">
        <v>172</v>
      </c>
      <c r="G592" s="2" t="s">
        <v>156</v>
      </c>
      <c r="H592">
        <v>9</v>
      </c>
      <c r="I592">
        <v>55.71</v>
      </c>
      <c r="J592" s="2" t="s">
        <v>170</v>
      </c>
      <c r="K592" s="2" t="s">
        <v>74</v>
      </c>
      <c r="M592" t="s">
        <v>1477</v>
      </c>
      <c r="P592" s="19" t="s">
        <v>1142</v>
      </c>
      <c r="Q592" s="19" t="s">
        <v>25</v>
      </c>
      <c r="S592" s="19" t="s">
        <v>138</v>
      </c>
      <c r="W592" s="20">
        <v>17</v>
      </c>
      <c r="X592" s="65" t="s">
        <v>1141</v>
      </c>
      <c r="Z592" t="s">
        <v>307</v>
      </c>
      <c r="AB592" t="s">
        <v>178</v>
      </c>
      <c r="AC592" t="s">
        <v>1162</v>
      </c>
      <c r="AD592" s="2" t="s">
        <v>910</v>
      </c>
    </row>
    <row r="593" spans="1:30" hidden="1" x14ac:dyDescent="0.25">
      <c r="A593" s="2">
        <v>29</v>
      </c>
      <c r="B593" t="s">
        <v>1169</v>
      </c>
      <c r="C593">
        <v>12</v>
      </c>
      <c r="D593">
        <v>135</v>
      </c>
      <c r="E593">
        <v>488</v>
      </c>
      <c r="F593" t="s">
        <v>172</v>
      </c>
      <c r="G593" s="2" t="s">
        <v>156</v>
      </c>
      <c r="H593">
        <v>2</v>
      </c>
      <c r="I593">
        <v>12.38</v>
      </c>
      <c r="J593" s="2" t="s">
        <v>170</v>
      </c>
      <c r="K593" s="2" t="s">
        <v>74</v>
      </c>
      <c r="M593" t="s">
        <v>1477</v>
      </c>
      <c r="P593" s="19" t="s">
        <v>1142</v>
      </c>
      <c r="Q593" s="19" t="s">
        <v>25</v>
      </c>
      <c r="S593" s="19" t="s">
        <v>138</v>
      </c>
      <c r="W593" s="20">
        <v>17</v>
      </c>
      <c r="X593" s="65" t="s">
        <v>1141</v>
      </c>
      <c r="Z593" t="s">
        <v>307</v>
      </c>
      <c r="AB593" t="s">
        <v>178</v>
      </c>
      <c r="AC593" t="s">
        <v>1162</v>
      </c>
      <c r="AD593" s="2" t="s">
        <v>910</v>
      </c>
    </row>
    <row r="594" spans="1:30" hidden="1" x14ac:dyDescent="0.25">
      <c r="A594" s="2">
        <v>30</v>
      </c>
      <c r="B594" t="s">
        <v>1170</v>
      </c>
      <c r="C594">
        <v>12</v>
      </c>
      <c r="D594">
        <v>490</v>
      </c>
      <c r="E594">
        <v>6464</v>
      </c>
      <c r="F594" t="s">
        <v>172</v>
      </c>
      <c r="G594" s="2" t="s">
        <v>156</v>
      </c>
      <c r="H594">
        <v>1</v>
      </c>
      <c r="I594">
        <v>298.16000000000003</v>
      </c>
      <c r="J594" s="2" t="s">
        <v>170</v>
      </c>
      <c r="K594" s="2" t="s">
        <v>74</v>
      </c>
      <c r="M594" t="s">
        <v>1477</v>
      </c>
      <c r="P594" s="19" t="s">
        <v>1142</v>
      </c>
      <c r="Q594" s="19" t="s">
        <v>27</v>
      </c>
      <c r="S594" s="19" t="s">
        <v>138</v>
      </c>
      <c r="W594" s="20">
        <v>17</v>
      </c>
      <c r="X594" s="65" t="s">
        <v>1141</v>
      </c>
      <c r="Z594" t="s">
        <v>307</v>
      </c>
      <c r="AB594" t="s">
        <v>178</v>
      </c>
      <c r="AC594" t="s">
        <v>1162</v>
      </c>
      <c r="AD594" s="2" t="s">
        <v>910</v>
      </c>
    </row>
    <row r="595" spans="1:30" hidden="1" x14ac:dyDescent="0.25">
      <c r="A595" s="2">
        <v>31</v>
      </c>
      <c r="B595" t="s">
        <v>1171</v>
      </c>
      <c r="C595">
        <v>12</v>
      </c>
      <c r="D595">
        <v>490</v>
      </c>
      <c r="E595">
        <v>6464</v>
      </c>
      <c r="F595" t="s">
        <v>172</v>
      </c>
      <c r="G595" s="2" t="s">
        <v>156</v>
      </c>
      <c r="H595">
        <v>1</v>
      </c>
      <c r="I595">
        <v>298.16000000000003</v>
      </c>
      <c r="J595" s="2" t="s">
        <v>170</v>
      </c>
      <c r="K595" s="2" t="s">
        <v>74</v>
      </c>
      <c r="M595" t="s">
        <v>1477</v>
      </c>
      <c r="P595" s="19" t="s">
        <v>1142</v>
      </c>
      <c r="Q595" s="19" t="s">
        <v>27</v>
      </c>
      <c r="S595" s="19" t="s">
        <v>138</v>
      </c>
      <c r="W595" s="20">
        <v>17</v>
      </c>
      <c r="X595" s="65" t="s">
        <v>1141</v>
      </c>
      <c r="Z595" t="s">
        <v>307</v>
      </c>
      <c r="AB595" t="s">
        <v>178</v>
      </c>
      <c r="AC595" t="s">
        <v>1162</v>
      </c>
      <c r="AD595" s="2" t="s">
        <v>910</v>
      </c>
    </row>
    <row r="596" spans="1:30" hidden="1" x14ac:dyDescent="0.25">
      <c r="A596" s="2">
        <v>32</v>
      </c>
      <c r="B596" t="s">
        <v>1172</v>
      </c>
      <c r="C596">
        <v>12</v>
      </c>
      <c r="D596">
        <v>490</v>
      </c>
      <c r="E596">
        <v>1514</v>
      </c>
      <c r="F596" t="s">
        <v>172</v>
      </c>
      <c r="G596" s="2" t="s">
        <v>156</v>
      </c>
      <c r="H596">
        <v>1</v>
      </c>
      <c r="I596">
        <v>69.78</v>
      </c>
      <c r="J596" s="2" t="s">
        <v>170</v>
      </c>
      <c r="K596" s="2" t="s">
        <v>74</v>
      </c>
      <c r="M596" t="s">
        <v>1477</v>
      </c>
      <c r="P596" s="19" t="s">
        <v>1142</v>
      </c>
      <c r="Q596" s="19" t="s">
        <v>27</v>
      </c>
      <c r="S596" s="19" t="s">
        <v>138</v>
      </c>
      <c r="W596" s="20">
        <v>17</v>
      </c>
      <c r="X596" s="65" t="s">
        <v>1141</v>
      </c>
      <c r="Z596" t="s">
        <v>307</v>
      </c>
      <c r="AB596" t="s">
        <v>178</v>
      </c>
      <c r="AC596" t="s">
        <v>1162</v>
      </c>
      <c r="AD596" s="2" t="s">
        <v>910</v>
      </c>
    </row>
    <row r="597" spans="1:30" hidden="1" x14ac:dyDescent="0.25">
      <c r="A597" s="2">
        <v>33</v>
      </c>
      <c r="B597" t="s">
        <v>1173</v>
      </c>
      <c r="C597">
        <v>12</v>
      </c>
      <c r="D597">
        <v>490</v>
      </c>
      <c r="E597">
        <v>1514</v>
      </c>
      <c r="F597" t="s">
        <v>172</v>
      </c>
      <c r="G597" s="2" t="s">
        <v>156</v>
      </c>
      <c r="H597">
        <v>1</v>
      </c>
      <c r="I597">
        <v>69.78</v>
      </c>
      <c r="J597" s="2" t="s">
        <v>170</v>
      </c>
      <c r="K597" s="2" t="s">
        <v>74</v>
      </c>
      <c r="M597" t="s">
        <v>1477</v>
      </c>
      <c r="P597" s="19" t="s">
        <v>1142</v>
      </c>
      <c r="Q597" s="19" t="s">
        <v>27</v>
      </c>
      <c r="S597" s="19" t="s">
        <v>138</v>
      </c>
      <c r="W597" s="20">
        <v>17</v>
      </c>
      <c r="X597" s="65" t="s">
        <v>1141</v>
      </c>
      <c r="Z597" t="s">
        <v>307</v>
      </c>
      <c r="AB597" t="s">
        <v>178</v>
      </c>
      <c r="AC597" t="s">
        <v>1162</v>
      </c>
      <c r="AD597" s="2" t="s">
        <v>910</v>
      </c>
    </row>
    <row r="598" spans="1:30" hidden="1" x14ac:dyDescent="0.25">
      <c r="A598" s="2">
        <v>34</v>
      </c>
      <c r="B598" t="s">
        <v>1174</v>
      </c>
      <c r="C598">
        <v>12</v>
      </c>
      <c r="D598">
        <v>100</v>
      </c>
      <c r="E598">
        <v>150</v>
      </c>
      <c r="F598" t="s">
        <v>172</v>
      </c>
      <c r="G598" s="2" t="s">
        <v>156</v>
      </c>
      <c r="H598">
        <v>1</v>
      </c>
      <c r="I598">
        <v>1.41</v>
      </c>
      <c r="J598" s="2" t="s">
        <v>170</v>
      </c>
      <c r="K598" s="2" t="s">
        <v>74</v>
      </c>
      <c r="M598" t="s">
        <v>1477</v>
      </c>
      <c r="P598" s="19" t="s">
        <v>1142</v>
      </c>
      <c r="Q598" s="19" t="s">
        <v>25</v>
      </c>
      <c r="S598" s="19" t="s">
        <v>138</v>
      </c>
      <c r="W598" s="20">
        <v>17</v>
      </c>
      <c r="X598" s="65" t="s">
        <v>1141</v>
      </c>
      <c r="Z598" t="s">
        <v>307</v>
      </c>
      <c r="AB598" t="s">
        <v>178</v>
      </c>
      <c r="AC598" t="s">
        <v>1175</v>
      </c>
      <c r="AD598" s="2" t="s">
        <v>915</v>
      </c>
    </row>
    <row r="599" spans="1:30" hidden="1" x14ac:dyDescent="0.25">
      <c r="A599" s="2">
        <v>35</v>
      </c>
      <c r="B599" t="s">
        <v>1176</v>
      </c>
      <c r="C599">
        <v>12</v>
      </c>
      <c r="D599">
        <v>100</v>
      </c>
      <c r="E599">
        <v>150</v>
      </c>
      <c r="F599" t="s">
        <v>172</v>
      </c>
      <c r="G599" s="2" t="s">
        <v>156</v>
      </c>
      <c r="H599">
        <v>1</v>
      </c>
      <c r="I599">
        <v>1.41</v>
      </c>
      <c r="J599" s="2" t="s">
        <v>170</v>
      </c>
      <c r="K599" s="2" t="s">
        <v>74</v>
      </c>
      <c r="M599" t="s">
        <v>1477</v>
      </c>
      <c r="P599" s="19" t="s">
        <v>1142</v>
      </c>
      <c r="Q599" s="19" t="s">
        <v>25</v>
      </c>
      <c r="S599" s="19" t="s">
        <v>138</v>
      </c>
      <c r="W599" s="20">
        <v>17</v>
      </c>
      <c r="X599" s="65" t="s">
        <v>1141</v>
      </c>
      <c r="Z599" t="s">
        <v>307</v>
      </c>
      <c r="AB599" t="s">
        <v>178</v>
      </c>
      <c r="AC599" t="s">
        <v>1175</v>
      </c>
      <c r="AD599" s="2" t="s">
        <v>915</v>
      </c>
    </row>
    <row r="600" spans="1:30" hidden="1" x14ac:dyDescent="0.25">
      <c r="A600" s="2">
        <v>36</v>
      </c>
      <c r="B600" t="s">
        <v>1177</v>
      </c>
      <c r="C600">
        <v>12</v>
      </c>
      <c r="D600">
        <v>100</v>
      </c>
      <c r="E600">
        <v>150</v>
      </c>
      <c r="F600" t="s">
        <v>172</v>
      </c>
      <c r="G600" s="2" t="s">
        <v>156</v>
      </c>
      <c r="H600">
        <v>1</v>
      </c>
      <c r="I600">
        <v>1.41</v>
      </c>
      <c r="J600" s="2" t="s">
        <v>170</v>
      </c>
      <c r="K600" s="2" t="s">
        <v>74</v>
      </c>
      <c r="M600" t="s">
        <v>1477</v>
      </c>
      <c r="P600" s="19" t="s">
        <v>1142</v>
      </c>
      <c r="Q600" s="19" t="s">
        <v>25</v>
      </c>
      <c r="S600" s="19" t="s">
        <v>138</v>
      </c>
      <c r="W600" s="20">
        <v>17</v>
      </c>
      <c r="X600" s="65" t="s">
        <v>1141</v>
      </c>
      <c r="Z600" t="s">
        <v>307</v>
      </c>
      <c r="AB600" t="s">
        <v>178</v>
      </c>
      <c r="AC600" t="s">
        <v>1175</v>
      </c>
      <c r="AD600" s="2" t="s">
        <v>915</v>
      </c>
    </row>
    <row r="601" spans="1:30" hidden="1" x14ac:dyDescent="0.25">
      <c r="A601" s="2">
        <v>37</v>
      </c>
      <c r="B601" t="s">
        <v>1178</v>
      </c>
      <c r="C601">
        <v>12</v>
      </c>
      <c r="D601">
        <v>100</v>
      </c>
      <c r="E601">
        <v>150</v>
      </c>
      <c r="F601" t="s">
        <v>172</v>
      </c>
      <c r="G601" s="2" t="s">
        <v>156</v>
      </c>
      <c r="H601">
        <v>1</v>
      </c>
      <c r="I601">
        <v>1.41</v>
      </c>
      <c r="J601" s="2" t="s">
        <v>170</v>
      </c>
      <c r="K601" s="2" t="s">
        <v>74</v>
      </c>
      <c r="M601" t="s">
        <v>1477</v>
      </c>
      <c r="P601" s="19" t="s">
        <v>1142</v>
      </c>
      <c r="Q601" s="19" t="s">
        <v>25</v>
      </c>
      <c r="S601" s="19" t="s">
        <v>138</v>
      </c>
      <c r="W601" s="20">
        <v>17</v>
      </c>
      <c r="X601" s="65" t="s">
        <v>1141</v>
      </c>
      <c r="Z601" t="s">
        <v>307</v>
      </c>
      <c r="AB601" t="s">
        <v>178</v>
      </c>
      <c r="AC601" t="s">
        <v>1175</v>
      </c>
      <c r="AD601" s="2" t="s">
        <v>915</v>
      </c>
    </row>
    <row r="602" spans="1:30" hidden="1" x14ac:dyDescent="0.25">
      <c r="A602" s="2">
        <v>38</v>
      </c>
      <c r="B602" t="s">
        <v>1179</v>
      </c>
      <c r="C602">
        <v>12</v>
      </c>
      <c r="D602">
        <v>100</v>
      </c>
      <c r="E602">
        <v>150</v>
      </c>
      <c r="F602" t="s">
        <v>172</v>
      </c>
      <c r="G602" s="2" t="s">
        <v>156</v>
      </c>
      <c r="H602">
        <v>1</v>
      </c>
      <c r="I602">
        <v>1.41</v>
      </c>
      <c r="J602" s="2" t="s">
        <v>170</v>
      </c>
      <c r="K602" s="2" t="s">
        <v>74</v>
      </c>
      <c r="M602" t="s">
        <v>1477</v>
      </c>
      <c r="P602" s="19" t="s">
        <v>1142</v>
      </c>
      <c r="Q602" s="19" t="s">
        <v>25</v>
      </c>
      <c r="S602" s="19" t="s">
        <v>138</v>
      </c>
      <c r="W602" s="20">
        <v>17</v>
      </c>
      <c r="X602" s="65" t="s">
        <v>1141</v>
      </c>
      <c r="Z602" t="s">
        <v>307</v>
      </c>
      <c r="AB602" t="s">
        <v>178</v>
      </c>
      <c r="AC602" t="s">
        <v>1175</v>
      </c>
      <c r="AD602" s="2" t="s">
        <v>915</v>
      </c>
    </row>
    <row r="603" spans="1:30" hidden="1" x14ac:dyDescent="0.25">
      <c r="A603" s="2">
        <v>39</v>
      </c>
      <c r="B603" t="s">
        <v>1180</v>
      </c>
      <c r="C603">
        <v>12</v>
      </c>
      <c r="D603">
        <v>100</v>
      </c>
      <c r="E603">
        <v>150</v>
      </c>
      <c r="F603" t="s">
        <v>172</v>
      </c>
      <c r="G603" s="2" t="s">
        <v>156</v>
      </c>
      <c r="H603">
        <v>1</v>
      </c>
      <c r="I603">
        <v>1.41</v>
      </c>
      <c r="J603" s="2" t="s">
        <v>170</v>
      </c>
      <c r="K603" s="2" t="s">
        <v>74</v>
      </c>
      <c r="M603" t="s">
        <v>1477</v>
      </c>
      <c r="P603" s="19" t="s">
        <v>1142</v>
      </c>
      <c r="Q603" s="19" t="s">
        <v>25</v>
      </c>
      <c r="S603" s="19" t="s">
        <v>138</v>
      </c>
      <c r="W603" s="20">
        <v>17</v>
      </c>
      <c r="X603" s="65" t="s">
        <v>1141</v>
      </c>
      <c r="Z603" t="s">
        <v>307</v>
      </c>
      <c r="AB603" t="s">
        <v>178</v>
      </c>
      <c r="AC603" t="s">
        <v>1175</v>
      </c>
      <c r="AD603" s="2" t="s">
        <v>915</v>
      </c>
    </row>
    <row r="604" spans="1:30" hidden="1" x14ac:dyDescent="0.25">
      <c r="A604" s="2">
        <v>40</v>
      </c>
      <c r="B604" t="s">
        <v>1181</v>
      </c>
      <c r="C604">
        <v>12</v>
      </c>
      <c r="D604">
        <v>100</v>
      </c>
      <c r="E604">
        <v>150</v>
      </c>
      <c r="F604" t="s">
        <v>172</v>
      </c>
      <c r="G604" s="2" t="s">
        <v>156</v>
      </c>
      <c r="H604">
        <v>1</v>
      </c>
      <c r="I604">
        <v>1.41</v>
      </c>
      <c r="J604" s="2" t="s">
        <v>170</v>
      </c>
      <c r="K604" s="2" t="s">
        <v>74</v>
      </c>
      <c r="M604" t="s">
        <v>1477</v>
      </c>
      <c r="P604" s="19" t="s">
        <v>1142</v>
      </c>
      <c r="Q604" s="19" t="s">
        <v>25</v>
      </c>
      <c r="S604" s="19" t="s">
        <v>138</v>
      </c>
      <c r="W604" s="20">
        <v>17</v>
      </c>
      <c r="X604" s="65" t="s">
        <v>1141</v>
      </c>
      <c r="Z604" t="s">
        <v>307</v>
      </c>
      <c r="AB604" t="s">
        <v>178</v>
      </c>
      <c r="AC604" t="s">
        <v>1175</v>
      </c>
      <c r="AD604" s="2" t="s">
        <v>915</v>
      </c>
    </row>
    <row r="605" spans="1:30" hidden="1" x14ac:dyDescent="0.25">
      <c r="A605" s="2">
        <v>41</v>
      </c>
      <c r="B605" t="s">
        <v>1146</v>
      </c>
      <c r="C605">
        <v>12</v>
      </c>
      <c r="D605">
        <v>135</v>
      </c>
      <c r="E605">
        <v>488</v>
      </c>
      <c r="F605" t="s">
        <v>172</v>
      </c>
      <c r="G605" s="2" t="s">
        <v>156</v>
      </c>
      <c r="H605">
        <v>4</v>
      </c>
      <c r="I605">
        <v>24.76</v>
      </c>
      <c r="J605" s="2" t="s">
        <v>170</v>
      </c>
      <c r="K605" s="2" t="s">
        <v>74</v>
      </c>
      <c r="M605" t="s">
        <v>1477</v>
      </c>
      <c r="P605" s="19" t="s">
        <v>1142</v>
      </c>
      <c r="Q605" s="19" t="s">
        <v>25</v>
      </c>
      <c r="S605" s="19" t="s">
        <v>138</v>
      </c>
      <c r="W605" s="20">
        <v>17</v>
      </c>
      <c r="X605" s="65" t="s">
        <v>1141</v>
      </c>
      <c r="Z605" t="s">
        <v>307</v>
      </c>
      <c r="AB605" t="s">
        <v>178</v>
      </c>
      <c r="AC605" t="s">
        <v>1175</v>
      </c>
      <c r="AD605" s="2" t="s">
        <v>915</v>
      </c>
    </row>
    <row r="606" spans="1:30" hidden="1" x14ac:dyDescent="0.25">
      <c r="A606" s="2">
        <v>42</v>
      </c>
      <c r="B606" t="s">
        <v>1168</v>
      </c>
      <c r="C606">
        <v>12</v>
      </c>
      <c r="D606">
        <v>135</v>
      </c>
      <c r="E606">
        <v>488</v>
      </c>
      <c r="F606" t="s">
        <v>172</v>
      </c>
      <c r="G606" s="2" t="s">
        <v>156</v>
      </c>
      <c r="H606">
        <v>3</v>
      </c>
      <c r="I606">
        <v>18.57</v>
      </c>
      <c r="J606" s="2" t="s">
        <v>170</v>
      </c>
      <c r="K606" s="2" t="s">
        <v>74</v>
      </c>
      <c r="M606" t="s">
        <v>1477</v>
      </c>
      <c r="P606" s="19" t="s">
        <v>1142</v>
      </c>
      <c r="Q606" s="19" t="s">
        <v>25</v>
      </c>
      <c r="S606" s="19" t="s">
        <v>138</v>
      </c>
      <c r="W606" s="20">
        <v>17</v>
      </c>
      <c r="X606" s="65" t="s">
        <v>1141</v>
      </c>
      <c r="Z606" t="s">
        <v>307</v>
      </c>
      <c r="AB606" t="s">
        <v>178</v>
      </c>
      <c r="AC606" t="s">
        <v>1175</v>
      </c>
      <c r="AD606" s="2" t="s">
        <v>915</v>
      </c>
    </row>
    <row r="607" spans="1:30" hidden="1" x14ac:dyDescent="0.25">
      <c r="A607" s="2">
        <v>43</v>
      </c>
      <c r="B607" t="s">
        <v>1169</v>
      </c>
      <c r="C607">
        <v>12</v>
      </c>
      <c r="D607">
        <v>135</v>
      </c>
      <c r="E607">
        <v>488</v>
      </c>
      <c r="F607" t="s">
        <v>172</v>
      </c>
      <c r="G607" s="2" t="s">
        <v>156</v>
      </c>
      <c r="H607">
        <v>10</v>
      </c>
      <c r="I607">
        <v>61.9</v>
      </c>
      <c r="J607" s="2" t="s">
        <v>170</v>
      </c>
      <c r="K607" s="2" t="s">
        <v>74</v>
      </c>
      <c r="M607" t="s">
        <v>1477</v>
      </c>
      <c r="P607" s="19" t="s">
        <v>1142</v>
      </c>
      <c r="Q607" s="19" t="s">
        <v>25</v>
      </c>
      <c r="S607" s="19" t="s">
        <v>138</v>
      </c>
      <c r="W607" s="20">
        <v>17</v>
      </c>
      <c r="X607" s="65" t="s">
        <v>1141</v>
      </c>
      <c r="Z607" t="s">
        <v>307</v>
      </c>
      <c r="AB607" t="s">
        <v>178</v>
      </c>
      <c r="AC607" t="s">
        <v>1175</v>
      </c>
      <c r="AD607" s="2" t="s">
        <v>915</v>
      </c>
    </row>
    <row r="608" spans="1:30" hidden="1" x14ac:dyDescent="0.25">
      <c r="A608" s="2">
        <v>44</v>
      </c>
      <c r="B608" t="s">
        <v>1147</v>
      </c>
      <c r="C608">
        <v>12</v>
      </c>
      <c r="D608">
        <v>135</v>
      </c>
      <c r="E608">
        <v>488</v>
      </c>
      <c r="F608" t="s">
        <v>172</v>
      </c>
      <c r="G608" s="2" t="s">
        <v>156</v>
      </c>
      <c r="H608">
        <v>5</v>
      </c>
      <c r="I608">
        <v>30.95</v>
      </c>
      <c r="J608" s="2" t="s">
        <v>170</v>
      </c>
      <c r="K608" s="2" t="s">
        <v>74</v>
      </c>
      <c r="M608" t="s">
        <v>1477</v>
      </c>
      <c r="P608" s="19" t="s">
        <v>1142</v>
      </c>
      <c r="Q608" s="19" t="s">
        <v>25</v>
      </c>
      <c r="S608" s="19" t="s">
        <v>138</v>
      </c>
      <c r="W608" s="20">
        <v>17</v>
      </c>
      <c r="X608" s="65" t="s">
        <v>1141</v>
      </c>
      <c r="Z608" t="s">
        <v>307</v>
      </c>
      <c r="AB608" t="s">
        <v>178</v>
      </c>
      <c r="AC608" t="s">
        <v>1175</v>
      </c>
      <c r="AD608" s="2" t="s">
        <v>915</v>
      </c>
    </row>
    <row r="609" spans="1:30" hidden="1" x14ac:dyDescent="0.25">
      <c r="A609" s="2">
        <v>45</v>
      </c>
      <c r="B609" t="s">
        <v>1148</v>
      </c>
      <c r="C609">
        <v>12</v>
      </c>
      <c r="D609">
        <v>135</v>
      </c>
      <c r="E609">
        <v>488</v>
      </c>
      <c r="F609" t="s">
        <v>172</v>
      </c>
      <c r="G609" s="2" t="s">
        <v>156</v>
      </c>
      <c r="H609">
        <v>11</v>
      </c>
      <c r="I609">
        <v>68.09</v>
      </c>
      <c r="J609" s="2" t="s">
        <v>170</v>
      </c>
      <c r="K609" s="2" t="s">
        <v>74</v>
      </c>
      <c r="M609" t="s">
        <v>1477</v>
      </c>
      <c r="P609" s="19" t="s">
        <v>1142</v>
      </c>
      <c r="Q609" s="19" t="s">
        <v>25</v>
      </c>
      <c r="S609" s="19" t="s">
        <v>138</v>
      </c>
      <c r="W609" s="20">
        <v>17</v>
      </c>
      <c r="X609" s="65" t="s">
        <v>1141</v>
      </c>
      <c r="Z609" t="s">
        <v>307</v>
      </c>
      <c r="AB609" t="s">
        <v>178</v>
      </c>
      <c r="AC609" t="s">
        <v>1175</v>
      </c>
      <c r="AD609" s="2" t="s">
        <v>915</v>
      </c>
    </row>
    <row r="610" spans="1:30" hidden="1" x14ac:dyDescent="0.25">
      <c r="A610" s="2">
        <v>46</v>
      </c>
      <c r="B610" t="s">
        <v>1157</v>
      </c>
      <c r="C610">
        <v>12</v>
      </c>
      <c r="D610">
        <v>135</v>
      </c>
      <c r="E610">
        <v>488</v>
      </c>
      <c r="F610" t="s">
        <v>172</v>
      </c>
      <c r="G610" s="2" t="s">
        <v>156</v>
      </c>
      <c r="H610">
        <v>9</v>
      </c>
      <c r="I610">
        <v>55.71</v>
      </c>
      <c r="J610" s="2" t="s">
        <v>170</v>
      </c>
      <c r="K610" s="2" t="s">
        <v>74</v>
      </c>
      <c r="M610" t="s">
        <v>1477</v>
      </c>
      <c r="P610" s="19" t="s">
        <v>1142</v>
      </c>
      <c r="Q610" s="19" t="s">
        <v>25</v>
      </c>
      <c r="S610" s="19" t="s">
        <v>138</v>
      </c>
      <c r="W610" s="20">
        <v>17</v>
      </c>
      <c r="X610" s="65" t="s">
        <v>1141</v>
      </c>
      <c r="Z610" t="s">
        <v>307</v>
      </c>
      <c r="AB610" t="s">
        <v>178</v>
      </c>
      <c r="AC610" t="s">
        <v>1175</v>
      </c>
      <c r="AD610" s="2" t="s">
        <v>915</v>
      </c>
    </row>
    <row r="611" spans="1:30" hidden="1" x14ac:dyDescent="0.25">
      <c r="A611" s="2">
        <v>47</v>
      </c>
      <c r="B611" t="s">
        <v>1158</v>
      </c>
      <c r="C611">
        <v>12</v>
      </c>
      <c r="D611">
        <v>135</v>
      </c>
      <c r="E611">
        <v>488</v>
      </c>
      <c r="F611" t="s">
        <v>172</v>
      </c>
      <c r="G611" s="2" t="s">
        <v>156</v>
      </c>
      <c r="H611">
        <v>11</v>
      </c>
      <c r="I611">
        <v>68.09</v>
      </c>
      <c r="J611" s="2" t="s">
        <v>170</v>
      </c>
      <c r="K611" s="2" t="s">
        <v>74</v>
      </c>
      <c r="M611" t="s">
        <v>1477</v>
      </c>
      <c r="P611" s="19" t="s">
        <v>1142</v>
      </c>
      <c r="Q611" s="19" t="s">
        <v>25</v>
      </c>
      <c r="S611" s="19" t="s">
        <v>138</v>
      </c>
      <c r="W611" s="20">
        <v>17</v>
      </c>
      <c r="X611" s="65" t="s">
        <v>1141</v>
      </c>
      <c r="Z611" t="s">
        <v>307</v>
      </c>
      <c r="AB611" t="s">
        <v>178</v>
      </c>
      <c r="AC611" t="s">
        <v>1175</v>
      </c>
      <c r="AD611" s="2" t="s">
        <v>915</v>
      </c>
    </row>
    <row r="612" spans="1:30" hidden="1" x14ac:dyDescent="0.25">
      <c r="A612" s="2">
        <v>48</v>
      </c>
      <c r="B612" t="s">
        <v>1182</v>
      </c>
      <c r="C612">
        <v>12</v>
      </c>
      <c r="D612">
        <v>135</v>
      </c>
      <c r="E612">
        <v>488</v>
      </c>
      <c r="F612" t="s">
        <v>172</v>
      </c>
      <c r="G612" s="2" t="s">
        <v>156</v>
      </c>
      <c r="H612">
        <v>12</v>
      </c>
      <c r="I612">
        <v>74.28</v>
      </c>
      <c r="J612" s="2" t="s">
        <v>170</v>
      </c>
      <c r="K612" s="2" t="s">
        <v>74</v>
      </c>
      <c r="M612" t="s">
        <v>1477</v>
      </c>
      <c r="P612" s="19" t="s">
        <v>1142</v>
      </c>
      <c r="Q612" s="19" t="s">
        <v>25</v>
      </c>
      <c r="S612" s="19" t="s">
        <v>138</v>
      </c>
      <c r="W612" s="20">
        <v>17</v>
      </c>
      <c r="X612" s="65" t="s">
        <v>1141</v>
      </c>
      <c r="Z612" t="s">
        <v>307</v>
      </c>
      <c r="AB612" t="s">
        <v>178</v>
      </c>
      <c r="AC612" t="s">
        <v>1175</v>
      </c>
      <c r="AD612" s="2" t="s">
        <v>915</v>
      </c>
    </row>
    <row r="613" spans="1:30" hidden="1" x14ac:dyDescent="0.25">
      <c r="A613" s="2">
        <v>49</v>
      </c>
      <c r="B613" t="s">
        <v>1183</v>
      </c>
      <c r="C613">
        <v>12</v>
      </c>
      <c r="D613">
        <v>490</v>
      </c>
      <c r="E613">
        <v>6464</v>
      </c>
      <c r="F613" t="s">
        <v>172</v>
      </c>
      <c r="G613" s="2" t="s">
        <v>156</v>
      </c>
      <c r="H613">
        <v>1</v>
      </c>
      <c r="I613">
        <v>298.16000000000003</v>
      </c>
      <c r="J613" s="2" t="s">
        <v>170</v>
      </c>
      <c r="K613" s="2" t="s">
        <v>74</v>
      </c>
      <c r="M613" t="s">
        <v>1477</v>
      </c>
      <c r="P613" s="19" t="s">
        <v>1142</v>
      </c>
      <c r="Q613" s="19" t="s">
        <v>27</v>
      </c>
      <c r="S613" s="19" t="s">
        <v>138</v>
      </c>
      <c r="W613" s="20">
        <v>17</v>
      </c>
      <c r="X613" s="65" t="s">
        <v>1141</v>
      </c>
      <c r="Z613" t="s">
        <v>307</v>
      </c>
      <c r="AB613" t="s">
        <v>178</v>
      </c>
      <c r="AC613" t="s">
        <v>1175</v>
      </c>
      <c r="AD613" s="2" t="s">
        <v>915</v>
      </c>
    </row>
    <row r="614" spans="1:30" hidden="1" x14ac:dyDescent="0.25">
      <c r="A614" s="2">
        <v>50</v>
      </c>
      <c r="B614" t="s">
        <v>1159</v>
      </c>
      <c r="C614">
        <v>12</v>
      </c>
      <c r="D614">
        <v>135</v>
      </c>
      <c r="E614">
        <v>488</v>
      </c>
      <c r="F614" t="s">
        <v>172</v>
      </c>
      <c r="G614" s="2" t="s">
        <v>156</v>
      </c>
      <c r="H614">
        <v>8</v>
      </c>
      <c r="I614">
        <v>49.52</v>
      </c>
      <c r="J614" s="2" t="s">
        <v>170</v>
      </c>
      <c r="K614" s="2" t="s">
        <v>74</v>
      </c>
      <c r="M614" t="s">
        <v>1477</v>
      </c>
      <c r="P614" s="19" t="s">
        <v>1142</v>
      </c>
      <c r="Q614" s="19" t="s">
        <v>25</v>
      </c>
      <c r="S614" s="19" t="s">
        <v>138</v>
      </c>
      <c r="W614" s="20">
        <v>17</v>
      </c>
      <c r="X614" s="65" t="s">
        <v>1141</v>
      </c>
      <c r="Z614" t="s">
        <v>307</v>
      </c>
      <c r="AB614" t="s">
        <v>178</v>
      </c>
      <c r="AC614" t="s">
        <v>1175</v>
      </c>
      <c r="AD614" s="2" t="s">
        <v>915</v>
      </c>
    </row>
    <row r="615" spans="1:30" hidden="1" x14ac:dyDescent="0.25">
      <c r="A615" s="2">
        <v>51</v>
      </c>
      <c r="B615" t="s">
        <v>1184</v>
      </c>
      <c r="C615">
        <v>12</v>
      </c>
      <c r="D615">
        <v>100</v>
      </c>
      <c r="E615">
        <v>150</v>
      </c>
      <c r="F615" t="s">
        <v>172</v>
      </c>
      <c r="G615" s="2" t="s">
        <v>156</v>
      </c>
      <c r="H615">
        <v>1</v>
      </c>
      <c r="I615">
        <v>1.41</v>
      </c>
      <c r="J615" s="2" t="s">
        <v>170</v>
      </c>
      <c r="K615" s="2" t="s">
        <v>74</v>
      </c>
      <c r="M615" t="s">
        <v>1477</v>
      </c>
      <c r="P615" s="19" t="s">
        <v>1142</v>
      </c>
      <c r="Q615" s="19" t="s">
        <v>25</v>
      </c>
      <c r="S615" s="19" t="s">
        <v>138</v>
      </c>
      <c r="W615" s="20">
        <v>17</v>
      </c>
      <c r="X615" s="65" t="s">
        <v>1141</v>
      </c>
      <c r="Z615" t="s">
        <v>307</v>
      </c>
      <c r="AB615" t="s">
        <v>178</v>
      </c>
      <c r="AC615" t="s">
        <v>1175</v>
      </c>
      <c r="AD615" s="2" t="s">
        <v>915</v>
      </c>
    </row>
    <row r="616" spans="1:30" hidden="1" x14ac:dyDescent="0.25">
      <c r="A616" s="2">
        <v>52</v>
      </c>
      <c r="B616" t="s">
        <v>1185</v>
      </c>
      <c r="C616">
        <v>12</v>
      </c>
      <c r="D616">
        <v>100</v>
      </c>
      <c r="E616">
        <v>150</v>
      </c>
      <c r="F616" t="s">
        <v>172</v>
      </c>
      <c r="G616" s="2" t="s">
        <v>156</v>
      </c>
      <c r="H616">
        <v>1</v>
      </c>
      <c r="I616">
        <v>1.41</v>
      </c>
      <c r="J616" s="2" t="s">
        <v>170</v>
      </c>
      <c r="K616" s="2" t="s">
        <v>74</v>
      </c>
      <c r="M616" t="s">
        <v>1477</v>
      </c>
      <c r="P616" s="19" t="s">
        <v>1142</v>
      </c>
      <c r="Q616" s="19" t="s">
        <v>25</v>
      </c>
      <c r="S616" s="19" t="s">
        <v>138</v>
      </c>
      <c r="W616" s="20">
        <v>17</v>
      </c>
      <c r="X616" s="65" t="s">
        <v>1141</v>
      </c>
      <c r="Z616" t="s">
        <v>307</v>
      </c>
      <c r="AB616" t="s">
        <v>178</v>
      </c>
      <c r="AC616" t="s">
        <v>1175</v>
      </c>
      <c r="AD616" s="2" t="s">
        <v>915</v>
      </c>
    </row>
    <row r="617" spans="1:30" hidden="1" x14ac:dyDescent="0.25">
      <c r="A617" s="2">
        <v>53</v>
      </c>
      <c r="B617" t="s">
        <v>1186</v>
      </c>
      <c r="C617">
        <v>12</v>
      </c>
      <c r="D617">
        <v>100</v>
      </c>
      <c r="E617">
        <v>150</v>
      </c>
      <c r="F617" t="s">
        <v>172</v>
      </c>
      <c r="G617" s="2" t="s">
        <v>156</v>
      </c>
      <c r="H617">
        <v>1</v>
      </c>
      <c r="I617">
        <v>1.41</v>
      </c>
      <c r="J617" s="2" t="s">
        <v>170</v>
      </c>
      <c r="K617" s="2" t="s">
        <v>74</v>
      </c>
      <c r="M617" t="s">
        <v>1477</v>
      </c>
      <c r="P617" s="19" t="s">
        <v>1142</v>
      </c>
      <c r="Q617" s="19" t="s">
        <v>25</v>
      </c>
      <c r="S617" s="19" t="s">
        <v>138</v>
      </c>
      <c r="W617" s="20">
        <v>17</v>
      </c>
      <c r="X617" s="65" t="s">
        <v>1141</v>
      </c>
      <c r="Z617" t="s">
        <v>307</v>
      </c>
      <c r="AB617" t="s">
        <v>178</v>
      </c>
      <c r="AC617" t="s">
        <v>1175</v>
      </c>
      <c r="AD617" s="2" t="s">
        <v>915</v>
      </c>
    </row>
    <row r="618" spans="1:30" hidden="1" x14ac:dyDescent="0.25">
      <c r="A618" s="2">
        <v>54</v>
      </c>
      <c r="B618" t="s">
        <v>1187</v>
      </c>
      <c r="C618">
        <v>12</v>
      </c>
      <c r="D618">
        <v>100</v>
      </c>
      <c r="E618">
        <v>150</v>
      </c>
      <c r="F618" t="s">
        <v>172</v>
      </c>
      <c r="G618" s="2" t="s">
        <v>156</v>
      </c>
      <c r="H618">
        <v>1</v>
      </c>
      <c r="I618">
        <v>1.41</v>
      </c>
      <c r="J618" s="2" t="s">
        <v>170</v>
      </c>
      <c r="K618" s="2" t="s">
        <v>74</v>
      </c>
      <c r="M618" t="s">
        <v>1477</v>
      </c>
      <c r="P618" s="19" t="s">
        <v>1142</v>
      </c>
      <c r="Q618" s="19" t="s">
        <v>25</v>
      </c>
      <c r="S618" s="19" t="s">
        <v>138</v>
      </c>
      <c r="W618" s="20">
        <v>17</v>
      </c>
      <c r="X618" s="65" t="s">
        <v>1141</v>
      </c>
      <c r="Z618" t="s">
        <v>307</v>
      </c>
      <c r="AB618" t="s">
        <v>178</v>
      </c>
      <c r="AC618" t="s">
        <v>1175</v>
      </c>
      <c r="AD618" s="2" t="s">
        <v>915</v>
      </c>
    </row>
    <row r="619" spans="1:30" hidden="1" x14ac:dyDescent="0.25">
      <c r="A619" s="2">
        <v>55</v>
      </c>
      <c r="B619" t="s">
        <v>1188</v>
      </c>
      <c r="C619">
        <v>12</v>
      </c>
      <c r="D619">
        <v>100</v>
      </c>
      <c r="E619">
        <v>150</v>
      </c>
      <c r="F619" t="s">
        <v>172</v>
      </c>
      <c r="G619" s="2" t="s">
        <v>156</v>
      </c>
      <c r="H619">
        <v>1</v>
      </c>
      <c r="I619">
        <v>1.41</v>
      </c>
      <c r="J619" s="2" t="s">
        <v>170</v>
      </c>
      <c r="K619" s="2" t="s">
        <v>74</v>
      </c>
      <c r="M619" t="s">
        <v>1477</v>
      </c>
      <c r="P619" s="19" t="s">
        <v>1142</v>
      </c>
      <c r="Q619" s="19" t="s">
        <v>25</v>
      </c>
      <c r="S619" s="19" t="s">
        <v>138</v>
      </c>
      <c r="W619" s="20">
        <v>17</v>
      </c>
      <c r="X619" s="65" t="s">
        <v>1141</v>
      </c>
      <c r="Z619" t="s">
        <v>307</v>
      </c>
      <c r="AB619" t="s">
        <v>178</v>
      </c>
      <c r="AC619" t="s">
        <v>1175</v>
      </c>
      <c r="AD619" s="2" t="s">
        <v>915</v>
      </c>
    </row>
    <row r="620" spans="1:30" hidden="1" x14ac:dyDescent="0.25">
      <c r="A620" s="2">
        <v>56</v>
      </c>
      <c r="B620" t="s">
        <v>1189</v>
      </c>
      <c r="C620">
        <v>12</v>
      </c>
      <c r="D620">
        <v>100</v>
      </c>
      <c r="E620">
        <v>150</v>
      </c>
      <c r="F620" t="s">
        <v>172</v>
      </c>
      <c r="G620" s="2" t="s">
        <v>156</v>
      </c>
      <c r="H620">
        <v>1</v>
      </c>
      <c r="I620">
        <v>1.41</v>
      </c>
      <c r="J620" s="2" t="s">
        <v>170</v>
      </c>
      <c r="K620" s="2" t="s">
        <v>74</v>
      </c>
      <c r="M620" t="s">
        <v>1477</v>
      </c>
      <c r="P620" s="19" t="s">
        <v>1142</v>
      </c>
      <c r="Q620" s="19" t="s">
        <v>25</v>
      </c>
      <c r="S620" s="19" t="s">
        <v>138</v>
      </c>
      <c r="W620" s="20">
        <v>17</v>
      </c>
      <c r="X620" s="65" t="s">
        <v>1141</v>
      </c>
      <c r="Z620" t="s">
        <v>307</v>
      </c>
      <c r="AB620" t="s">
        <v>178</v>
      </c>
      <c r="AC620" t="s">
        <v>1175</v>
      </c>
      <c r="AD620" s="2" t="s">
        <v>915</v>
      </c>
    </row>
    <row r="621" spans="1:30" hidden="1" x14ac:dyDescent="0.25">
      <c r="A621" s="2">
        <v>57</v>
      </c>
      <c r="B621" t="s">
        <v>1190</v>
      </c>
      <c r="C621">
        <v>12</v>
      </c>
      <c r="D621">
        <v>100</v>
      </c>
      <c r="E621">
        <v>150</v>
      </c>
      <c r="F621" t="s">
        <v>172</v>
      </c>
      <c r="G621" s="2" t="s">
        <v>156</v>
      </c>
      <c r="H621">
        <v>1</v>
      </c>
      <c r="I621">
        <v>1.41</v>
      </c>
      <c r="J621" s="2" t="s">
        <v>170</v>
      </c>
      <c r="K621" s="2" t="s">
        <v>74</v>
      </c>
      <c r="M621" t="s">
        <v>1477</v>
      </c>
      <c r="P621" s="19" t="s">
        <v>1142</v>
      </c>
      <c r="Q621" s="19" t="s">
        <v>25</v>
      </c>
      <c r="S621" s="19" t="s">
        <v>138</v>
      </c>
      <c r="W621" s="20">
        <v>17</v>
      </c>
      <c r="X621" s="65" t="s">
        <v>1141</v>
      </c>
      <c r="Z621" t="s">
        <v>307</v>
      </c>
      <c r="AB621" t="s">
        <v>178</v>
      </c>
      <c r="AC621" t="s">
        <v>1175</v>
      </c>
      <c r="AD621" s="2" t="s">
        <v>915</v>
      </c>
    </row>
    <row r="622" spans="1:30" hidden="1" x14ac:dyDescent="0.25">
      <c r="A622" s="2">
        <v>58</v>
      </c>
      <c r="B622" t="s">
        <v>1191</v>
      </c>
      <c r="C622">
        <v>12</v>
      </c>
      <c r="D622">
        <v>95</v>
      </c>
      <c r="E622">
        <v>263</v>
      </c>
      <c r="F622" t="s">
        <v>172</v>
      </c>
      <c r="G622" s="2" t="s">
        <v>156</v>
      </c>
      <c r="H622">
        <v>6</v>
      </c>
      <c r="I622">
        <v>14.03</v>
      </c>
      <c r="J622" s="2" t="s">
        <v>170</v>
      </c>
      <c r="K622" s="2" t="s">
        <v>74</v>
      </c>
      <c r="M622" t="s">
        <v>1477</v>
      </c>
      <c r="P622" s="19" t="s">
        <v>1142</v>
      </c>
      <c r="Q622" s="19" t="s">
        <v>25</v>
      </c>
      <c r="S622" s="19" t="s">
        <v>138</v>
      </c>
      <c r="W622" s="20">
        <v>17</v>
      </c>
      <c r="X622" s="65" t="s">
        <v>1141</v>
      </c>
      <c r="Z622" t="s">
        <v>307</v>
      </c>
      <c r="AB622" t="s">
        <v>178</v>
      </c>
      <c r="AC622" t="s">
        <v>1175</v>
      </c>
      <c r="AD622" s="2" t="s">
        <v>915</v>
      </c>
    </row>
    <row r="623" spans="1:30" hidden="1" x14ac:dyDescent="0.25">
      <c r="A623" s="2">
        <v>59</v>
      </c>
      <c r="B623" t="s">
        <v>1192</v>
      </c>
      <c r="C623">
        <v>12</v>
      </c>
      <c r="D623">
        <v>95</v>
      </c>
      <c r="E623">
        <v>263</v>
      </c>
      <c r="F623" t="s">
        <v>172</v>
      </c>
      <c r="G623" s="2" t="s">
        <v>156</v>
      </c>
      <c r="H623">
        <v>4</v>
      </c>
      <c r="I623">
        <v>9.35</v>
      </c>
      <c r="J623" s="2" t="s">
        <v>170</v>
      </c>
      <c r="K623" s="2" t="s">
        <v>74</v>
      </c>
      <c r="M623" t="s">
        <v>1477</v>
      </c>
      <c r="P623" s="19" t="s">
        <v>1142</v>
      </c>
      <c r="Q623" s="19" t="s">
        <v>25</v>
      </c>
      <c r="S623" s="19" t="s">
        <v>138</v>
      </c>
      <c r="W623" s="20">
        <v>17</v>
      </c>
      <c r="X623" s="65" t="s">
        <v>1141</v>
      </c>
      <c r="Z623" t="s">
        <v>307</v>
      </c>
      <c r="AB623" t="s">
        <v>178</v>
      </c>
      <c r="AC623" t="s">
        <v>1175</v>
      </c>
      <c r="AD623" s="2" t="s">
        <v>915</v>
      </c>
    </row>
    <row r="624" spans="1:30" hidden="1" x14ac:dyDescent="0.25">
      <c r="A624" s="2">
        <v>60</v>
      </c>
      <c r="B624" t="s">
        <v>1193</v>
      </c>
      <c r="C624">
        <v>12</v>
      </c>
      <c r="D624">
        <v>1460</v>
      </c>
      <c r="E624">
        <v>6688</v>
      </c>
      <c r="F624" t="s">
        <v>172</v>
      </c>
      <c r="G624" s="2" t="s">
        <v>156</v>
      </c>
      <c r="H624">
        <v>1</v>
      </c>
      <c r="I624">
        <v>917.29</v>
      </c>
      <c r="J624" s="2" t="s">
        <v>170</v>
      </c>
      <c r="K624" s="2" t="s">
        <v>74</v>
      </c>
      <c r="M624" t="s">
        <v>1477</v>
      </c>
      <c r="P624" s="19" t="s">
        <v>1142</v>
      </c>
      <c r="Q624" s="19" t="s">
        <v>27</v>
      </c>
      <c r="S624" s="19" t="s">
        <v>138</v>
      </c>
      <c r="V624" s="19" t="s">
        <v>138</v>
      </c>
      <c r="W624" s="20">
        <v>17</v>
      </c>
      <c r="X624" s="65" t="s">
        <v>1141</v>
      </c>
      <c r="Z624" t="s">
        <v>307</v>
      </c>
      <c r="AB624" t="s">
        <v>178</v>
      </c>
      <c r="AC624" t="s">
        <v>1175</v>
      </c>
      <c r="AD624" s="2" t="s">
        <v>915</v>
      </c>
    </row>
    <row r="625" spans="1:30" hidden="1" x14ac:dyDescent="0.25">
      <c r="A625" s="2">
        <v>61</v>
      </c>
      <c r="B625" t="s">
        <v>1194</v>
      </c>
      <c r="C625">
        <v>12</v>
      </c>
      <c r="D625">
        <v>120</v>
      </c>
      <c r="E625">
        <v>129</v>
      </c>
      <c r="F625" t="s">
        <v>172</v>
      </c>
      <c r="G625" s="2" t="s">
        <v>156</v>
      </c>
      <c r="H625">
        <v>22</v>
      </c>
      <c r="I625">
        <v>29.13</v>
      </c>
      <c r="J625" s="2" t="s">
        <v>170</v>
      </c>
      <c r="K625" s="2" t="s">
        <v>74</v>
      </c>
      <c r="M625" t="s">
        <v>1477</v>
      </c>
      <c r="P625" s="19" t="s">
        <v>1142</v>
      </c>
      <c r="Q625" s="19" t="s">
        <v>25</v>
      </c>
      <c r="S625" s="19" t="s">
        <v>138</v>
      </c>
      <c r="W625" s="20">
        <v>17</v>
      </c>
      <c r="X625" s="65" t="s">
        <v>1141</v>
      </c>
      <c r="Z625" t="s">
        <v>307</v>
      </c>
      <c r="AB625" t="s">
        <v>178</v>
      </c>
      <c r="AC625" t="s">
        <v>1196</v>
      </c>
      <c r="AD625" s="2" t="s">
        <v>927</v>
      </c>
    </row>
    <row r="626" spans="1:30" hidden="1" x14ac:dyDescent="0.25">
      <c r="A626" s="2">
        <v>62</v>
      </c>
      <c r="B626" t="s">
        <v>1197</v>
      </c>
      <c r="C626">
        <v>12</v>
      </c>
      <c r="D626">
        <v>120</v>
      </c>
      <c r="E626">
        <v>129</v>
      </c>
      <c r="F626" t="s">
        <v>172</v>
      </c>
      <c r="G626" s="2" t="s">
        <v>156</v>
      </c>
      <c r="H626">
        <v>24</v>
      </c>
      <c r="I626">
        <v>31.78</v>
      </c>
      <c r="J626" s="2" t="s">
        <v>170</v>
      </c>
      <c r="K626" s="2" t="s">
        <v>74</v>
      </c>
      <c r="M626" t="s">
        <v>1477</v>
      </c>
      <c r="P626" s="19" t="s">
        <v>1142</v>
      </c>
      <c r="Q626" s="19" t="s">
        <v>25</v>
      </c>
      <c r="S626" s="19" t="s">
        <v>138</v>
      </c>
      <c r="W626" s="20">
        <v>17</v>
      </c>
      <c r="X626" s="65" t="s">
        <v>1141</v>
      </c>
      <c r="Z626" t="s">
        <v>307</v>
      </c>
      <c r="AB626" t="s">
        <v>178</v>
      </c>
      <c r="AC626" t="s">
        <v>1196</v>
      </c>
      <c r="AD626" s="2" t="s">
        <v>927</v>
      </c>
    </row>
    <row r="627" spans="1:30" hidden="1" x14ac:dyDescent="0.25">
      <c r="A627" s="2">
        <v>63</v>
      </c>
      <c r="B627" t="s">
        <v>1198</v>
      </c>
      <c r="C627">
        <v>12</v>
      </c>
      <c r="D627">
        <v>120</v>
      </c>
      <c r="E627">
        <v>129</v>
      </c>
      <c r="F627" t="s">
        <v>172</v>
      </c>
      <c r="G627" s="2" t="s">
        <v>156</v>
      </c>
      <c r="H627">
        <v>24</v>
      </c>
      <c r="I627">
        <v>31.78</v>
      </c>
      <c r="J627" s="2" t="s">
        <v>170</v>
      </c>
      <c r="K627" s="2" t="s">
        <v>74</v>
      </c>
      <c r="M627" t="s">
        <v>1477</v>
      </c>
      <c r="P627" s="19" t="s">
        <v>1142</v>
      </c>
      <c r="Q627" s="19" t="s">
        <v>25</v>
      </c>
      <c r="S627" s="19" t="s">
        <v>138</v>
      </c>
      <c r="W627" s="20">
        <v>17</v>
      </c>
      <c r="X627" s="65" t="s">
        <v>1141</v>
      </c>
      <c r="Z627" t="s">
        <v>307</v>
      </c>
      <c r="AB627" t="s">
        <v>178</v>
      </c>
      <c r="AC627" t="s">
        <v>1196</v>
      </c>
      <c r="AD627" s="2" t="s">
        <v>927</v>
      </c>
    </row>
    <row r="628" spans="1:30" hidden="1" x14ac:dyDescent="0.25">
      <c r="A628" s="2">
        <v>64</v>
      </c>
      <c r="B628" t="s">
        <v>1199</v>
      </c>
      <c r="C628">
        <v>12</v>
      </c>
      <c r="D628">
        <v>490</v>
      </c>
      <c r="E628">
        <v>6464</v>
      </c>
      <c r="F628" t="s">
        <v>172</v>
      </c>
      <c r="G628" s="2" t="s">
        <v>156</v>
      </c>
      <c r="H628">
        <v>1</v>
      </c>
      <c r="I628">
        <v>298.16000000000003</v>
      </c>
      <c r="J628" s="2" t="s">
        <v>170</v>
      </c>
      <c r="K628" s="2" t="s">
        <v>74</v>
      </c>
      <c r="M628" t="s">
        <v>1477</v>
      </c>
      <c r="P628" s="19" t="s">
        <v>1142</v>
      </c>
      <c r="Q628" s="19" t="s">
        <v>27</v>
      </c>
      <c r="S628" s="19" t="s">
        <v>138</v>
      </c>
      <c r="W628" s="20">
        <v>17</v>
      </c>
      <c r="X628" s="65" t="s">
        <v>1141</v>
      </c>
      <c r="Z628" t="s">
        <v>307</v>
      </c>
      <c r="AB628" t="s">
        <v>178</v>
      </c>
      <c r="AC628" t="s">
        <v>1196</v>
      </c>
      <c r="AD628" s="2" t="s">
        <v>927</v>
      </c>
    </row>
    <row r="629" spans="1:30" hidden="1" x14ac:dyDescent="0.25">
      <c r="A629" s="2">
        <v>65</v>
      </c>
      <c r="B629" t="s">
        <v>1200</v>
      </c>
      <c r="C629">
        <v>12</v>
      </c>
      <c r="D629">
        <v>120</v>
      </c>
      <c r="E629">
        <v>129</v>
      </c>
      <c r="F629" t="s">
        <v>172</v>
      </c>
      <c r="G629" s="2" t="s">
        <v>156</v>
      </c>
      <c r="H629">
        <v>2</v>
      </c>
      <c r="I629">
        <v>2.65</v>
      </c>
      <c r="J629" s="2" t="s">
        <v>170</v>
      </c>
      <c r="K629" s="2" t="s">
        <v>74</v>
      </c>
      <c r="M629" t="s">
        <v>1477</v>
      </c>
      <c r="P629" s="19" t="s">
        <v>1142</v>
      </c>
      <c r="Q629" s="19" t="s">
        <v>25</v>
      </c>
      <c r="S629" s="19" t="s">
        <v>138</v>
      </c>
      <c r="W629" s="20">
        <v>17</v>
      </c>
      <c r="X629" s="65" t="s">
        <v>1141</v>
      </c>
      <c r="Z629" t="s">
        <v>307</v>
      </c>
      <c r="AB629" t="s">
        <v>178</v>
      </c>
      <c r="AC629" t="s">
        <v>1196</v>
      </c>
      <c r="AD629" s="2" t="s">
        <v>927</v>
      </c>
    </row>
    <row r="630" spans="1:30" hidden="1" x14ac:dyDescent="0.25">
      <c r="A630" s="2">
        <v>66</v>
      </c>
      <c r="B630" t="s">
        <v>1201</v>
      </c>
      <c r="C630">
        <v>12</v>
      </c>
      <c r="D630">
        <v>135</v>
      </c>
      <c r="E630">
        <v>488</v>
      </c>
      <c r="F630" t="s">
        <v>172</v>
      </c>
      <c r="G630" s="2" t="s">
        <v>156</v>
      </c>
      <c r="H630">
        <v>5</v>
      </c>
      <c r="I630">
        <v>30.95</v>
      </c>
      <c r="J630" s="2" t="s">
        <v>170</v>
      </c>
      <c r="K630" s="2" t="s">
        <v>74</v>
      </c>
      <c r="M630" t="s">
        <v>1477</v>
      </c>
      <c r="P630" s="19" t="s">
        <v>1142</v>
      </c>
      <c r="Q630" s="19" t="s">
        <v>25</v>
      </c>
      <c r="S630" s="19" t="s">
        <v>138</v>
      </c>
      <c r="W630" s="20">
        <v>17</v>
      </c>
      <c r="X630" s="65" t="s">
        <v>1141</v>
      </c>
      <c r="Z630" t="s">
        <v>307</v>
      </c>
      <c r="AB630" t="s">
        <v>178</v>
      </c>
      <c r="AC630" t="s">
        <v>1196</v>
      </c>
      <c r="AD630" s="2" t="s">
        <v>927</v>
      </c>
    </row>
    <row r="631" spans="1:30" hidden="1" x14ac:dyDescent="0.25">
      <c r="A631" s="2">
        <v>67</v>
      </c>
      <c r="B631" t="s">
        <v>1202</v>
      </c>
      <c r="C631">
        <v>12</v>
      </c>
      <c r="D631">
        <v>100</v>
      </c>
      <c r="E631">
        <v>150</v>
      </c>
      <c r="F631" t="s">
        <v>172</v>
      </c>
      <c r="G631" s="2" t="s">
        <v>156</v>
      </c>
      <c r="H631">
        <v>1</v>
      </c>
      <c r="I631">
        <v>1.41</v>
      </c>
      <c r="J631" s="2" t="s">
        <v>170</v>
      </c>
      <c r="K631" s="2" t="s">
        <v>74</v>
      </c>
      <c r="M631" t="s">
        <v>1477</v>
      </c>
      <c r="P631" s="19" t="s">
        <v>1142</v>
      </c>
      <c r="Q631" s="19" t="s">
        <v>25</v>
      </c>
      <c r="S631" s="19" t="s">
        <v>138</v>
      </c>
      <c r="W631" s="20">
        <v>17</v>
      </c>
      <c r="X631" s="65" t="s">
        <v>1141</v>
      </c>
      <c r="Z631" t="s">
        <v>307</v>
      </c>
      <c r="AB631" t="s">
        <v>178</v>
      </c>
      <c r="AC631" t="s">
        <v>1196</v>
      </c>
      <c r="AD631" s="2" t="s">
        <v>927</v>
      </c>
    </row>
    <row r="632" spans="1:30" hidden="1" x14ac:dyDescent="0.25">
      <c r="A632" s="2">
        <v>68</v>
      </c>
      <c r="B632" t="s">
        <v>1203</v>
      </c>
      <c r="C632">
        <v>12</v>
      </c>
      <c r="D632">
        <v>100</v>
      </c>
      <c r="E632">
        <v>150</v>
      </c>
      <c r="F632" t="s">
        <v>172</v>
      </c>
      <c r="G632" s="2" t="s">
        <v>156</v>
      </c>
      <c r="H632">
        <v>1</v>
      </c>
      <c r="I632">
        <v>1.41</v>
      </c>
      <c r="J632" s="2" t="s">
        <v>170</v>
      </c>
      <c r="K632" s="2" t="s">
        <v>74</v>
      </c>
      <c r="M632" t="s">
        <v>1477</v>
      </c>
      <c r="P632" s="19" t="s">
        <v>1142</v>
      </c>
      <c r="Q632" s="19" t="s">
        <v>25</v>
      </c>
      <c r="S632" s="19" t="s">
        <v>138</v>
      </c>
      <c r="W632" s="20">
        <v>17</v>
      </c>
      <c r="X632" s="65" t="s">
        <v>1141</v>
      </c>
      <c r="Z632" t="s">
        <v>307</v>
      </c>
      <c r="AB632" t="s">
        <v>178</v>
      </c>
      <c r="AC632" t="s">
        <v>1196</v>
      </c>
      <c r="AD632" s="2" t="s">
        <v>927</v>
      </c>
    </row>
    <row r="633" spans="1:30" hidden="1" x14ac:dyDescent="0.25">
      <c r="A633" s="2">
        <v>69</v>
      </c>
      <c r="B633" t="s">
        <v>1204</v>
      </c>
      <c r="C633">
        <v>12</v>
      </c>
      <c r="D633">
        <v>135</v>
      </c>
      <c r="E633">
        <v>488</v>
      </c>
      <c r="F633" t="s">
        <v>172</v>
      </c>
      <c r="G633" s="2" t="s">
        <v>156</v>
      </c>
      <c r="H633">
        <v>8</v>
      </c>
      <c r="I633">
        <v>49.52</v>
      </c>
      <c r="J633" s="2" t="s">
        <v>170</v>
      </c>
      <c r="K633" s="2" t="s">
        <v>74</v>
      </c>
      <c r="M633" t="s">
        <v>1477</v>
      </c>
      <c r="P633" s="19" t="s">
        <v>1142</v>
      </c>
      <c r="Q633" s="19" t="s">
        <v>25</v>
      </c>
      <c r="R633" s="19" t="s">
        <v>138</v>
      </c>
      <c r="W633" s="20">
        <v>17</v>
      </c>
      <c r="X633" s="65" t="s">
        <v>1141</v>
      </c>
      <c r="Z633" t="s">
        <v>307</v>
      </c>
      <c r="AB633" t="s">
        <v>178</v>
      </c>
      <c r="AC633" t="s">
        <v>1205</v>
      </c>
      <c r="AD633" s="2" t="s">
        <v>180</v>
      </c>
    </row>
    <row r="634" spans="1:30" hidden="1" x14ac:dyDescent="0.25">
      <c r="A634" s="2">
        <v>70</v>
      </c>
      <c r="B634" t="s">
        <v>1206</v>
      </c>
      <c r="C634">
        <v>12</v>
      </c>
      <c r="D634">
        <v>135</v>
      </c>
      <c r="E634">
        <v>488</v>
      </c>
      <c r="F634" t="s">
        <v>172</v>
      </c>
      <c r="G634" s="2" t="s">
        <v>156</v>
      </c>
      <c r="H634">
        <v>8</v>
      </c>
      <c r="I634">
        <v>49.52</v>
      </c>
      <c r="J634" s="2" t="s">
        <v>170</v>
      </c>
      <c r="K634" s="2" t="s">
        <v>74</v>
      </c>
      <c r="M634" t="s">
        <v>1477</v>
      </c>
      <c r="P634" s="19" t="s">
        <v>1142</v>
      </c>
      <c r="Q634" s="19" t="s">
        <v>25</v>
      </c>
      <c r="R634" s="19" t="s">
        <v>138</v>
      </c>
      <c r="W634" s="20">
        <v>17</v>
      </c>
      <c r="X634" s="65" t="s">
        <v>1141</v>
      </c>
      <c r="Z634" t="s">
        <v>307</v>
      </c>
      <c r="AB634" t="s">
        <v>178</v>
      </c>
      <c r="AC634" t="s">
        <v>1205</v>
      </c>
      <c r="AD634" s="2" t="s">
        <v>180</v>
      </c>
    </row>
    <row r="635" spans="1:30" hidden="1" x14ac:dyDescent="0.25">
      <c r="A635" s="2">
        <v>71</v>
      </c>
      <c r="B635" t="s">
        <v>1207</v>
      </c>
      <c r="C635">
        <v>12</v>
      </c>
      <c r="D635">
        <v>135</v>
      </c>
      <c r="E635">
        <v>488</v>
      </c>
      <c r="F635" t="s">
        <v>172</v>
      </c>
      <c r="G635" s="2" t="s">
        <v>156</v>
      </c>
      <c r="H635">
        <v>2</v>
      </c>
      <c r="I635">
        <v>12.38</v>
      </c>
      <c r="J635" s="2" t="s">
        <v>170</v>
      </c>
      <c r="K635" s="2" t="s">
        <v>74</v>
      </c>
      <c r="M635" t="s">
        <v>1477</v>
      </c>
      <c r="P635" s="19" t="s">
        <v>1142</v>
      </c>
      <c r="Q635" s="19" t="s">
        <v>25</v>
      </c>
      <c r="R635" s="19" t="s">
        <v>138</v>
      </c>
      <c r="W635" s="20">
        <v>17</v>
      </c>
      <c r="X635" s="65" t="s">
        <v>1141</v>
      </c>
      <c r="Z635" t="s">
        <v>307</v>
      </c>
      <c r="AB635" t="s">
        <v>178</v>
      </c>
      <c r="AC635" t="s">
        <v>1205</v>
      </c>
      <c r="AD635" s="2" t="s">
        <v>180</v>
      </c>
    </row>
    <row r="636" spans="1:30" hidden="1" x14ac:dyDescent="0.25">
      <c r="A636" s="2">
        <v>72</v>
      </c>
      <c r="B636" t="s">
        <v>1208</v>
      </c>
      <c r="C636">
        <v>12</v>
      </c>
      <c r="D636">
        <v>95</v>
      </c>
      <c r="E636">
        <v>263</v>
      </c>
      <c r="F636" t="s">
        <v>172</v>
      </c>
      <c r="G636" s="2" t="s">
        <v>156</v>
      </c>
      <c r="H636">
        <v>8</v>
      </c>
      <c r="I636">
        <v>18.7</v>
      </c>
      <c r="J636" s="2" t="s">
        <v>170</v>
      </c>
      <c r="K636" s="2" t="s">
        <v>74</v>
      </c>
      <c r="M636" t="s">
        <v>1477</v>
      </c>
      <c r="P636" s="19" t="s">
        <v>1142</v>
      </c>
      <c r="Q636" s="19" t="s">
        <v>25</v>
      </c>
      <c r="R636" s="19" t="s">
        <v>138</v>
      </c>
      <c r="W636" s="20">
        <v>17</v>
      </c>
      <c r="X636" s="65" t="s">
        <v>1141</v>
      </c>
      <c r="Z636" t="s">
        <v>307</v>
      </c>
      <c r="AB636" t="s">
        <v>178</v>
      </c>
      <c r="AC636" t="s">
        <v>1205</v>
      </c>
      <c r="AD636" s="2" t="s">
        <v>180</v>
      </c>
    </row>
    <row r="637" spans="1:30" hidden="1" x14ac:dyDescent="0.25">
      <c r="A637" s="2">
        <v>73</v>
      </c>
      <c r="B637" t="s">
        <v>1209</v>
      </c>
      <c r="C637">
        <v>12</v>
      </c>
      <c r="D637">
        <v>95</v>
      </c>
      <c r="E637">
        <v>263</v>
      </c>
      <c r="F637" t="s">
        <v>172</v>
      </c>
      <c r="G637" s="2" t="s">
        <v>156</v>
      </c>
      <c r="H637">
        <v>1</v>
      </c>
      <c r="I637">
        <v>2.34</v>
      </c>
      <c r="J637" s="2" t="s">
        <v>170</v>
      </c>
      <c r="K637" s="2" t="s">
        <v>74</v>
      </c>
      <c r="M637" t="s">
        <v>1477</v>
      </c>
      <c r="P637" s="19" t="s">
        <v>1142</v>
      </c>
      <c r="Q637" s="19" t="s">
        <v>25</v>
      </c>
      <c r="R637" s="19" t="s">
        <v>138</v>
      </c>
      <c r="W637" s="20">
        <v>17</v>
      </c>
      <c r="X637" s="65" t="s">
        <v>1141</v>
      </c>
      <c r="Z637" t="s">
        <v>307</v>
      </c>
      <c r="AB637" t="s">
        <v>178</v>
      </c>
      <c r="AC637" t="s">
        <v>1205</v>
      </c>
      <c r="AD637" s="2" t="s">
        <v>180</v>
      </c>
    </row>
    <row r="638" spans="1:30" hidden="1" x14ac:dyDescent="0.25">
      <c r="A638" s="2">
        <v>74</v>
      </c>
      <c r="B638" t="s">
        <v>1210</v>
      </c>
      <c r="C638">
        <v>12</v>
      </c>
      <c r="D638">
        <v>490</v>
      </c>
      <c r="E638">
        <v>1388</v>
      </c>
      <c r="F638" t="s">
        <v>172</v>
      </c>
      <c r="G638" s="2" t="s">
        <v>156</v>
      </c>
      <c r="H638">
        <v>1</v>
      </c>
      <c r="I638">
        <v>63.63</v>
      </c>
      <c r="J638" s="2" t="s">
        <v>170</v>
      </c>
      <c r="K638" s="2" t="s">
        <v>74</v>
      </c>
      <c r="M638" t="s">
        <v>1477</v>
      </c>
      <c r="P638" s="19" t="s">
        <v>1142</v>
      </c>
      <c r="Q638" s="19" t="s">
        <v>27</v>
      </c>
      <c r="R638" s="19" t="s">
        <v>138</v>
      </c>
      <c r="W638" s="20">
        <v>17</v>
      </c>
      <c r="X638" s="65" t="s">
        <v>1141</v>
      </c>
      <c r="Z638" t="s">
        <v>307</v>
      </c>
      <c r="AB638" t="s">
        <v>178</v>
      </c>
      <c r="AC638" t="s">
        <v>1205</v>
      </c>
      <c r="AD638" s="2" t="s">
        <v>180</v>
      </c>
    </row>
    <row r="639" spans="1:30" hidden="1" x14ac:dyDescent="0.25">
      <c r="A639" s="2">
        <v>75</v>
      </c>
      <c r="B639" t="s">
        <v>1212</v>
      </c>
      <c r="C639">
        <v>12</v>
      </c>
      <c r="D639">
        <v>490</v>
      </c>
      <c r="E639">
        <v>1388</v>
      </c>
      <c r="F639" t="s">
        <v>172</v>
      </c>
      <c r="G639" s="2" t="s">
        <v>156</v>
      </c>
      <c r="H639">
        <v>1</v>
      </c>
      <c r="I639">
        <v>63.63</v>
      </c>
      <c r="J639" s="2" t="s">
        <v>170</v>
      </c>
      <c r="K639" s="2" t="s">
        <v>74</v>
      </c>
      <c r="M639" t="s">
        <v>1477</v>
      </c>
      <c r="P639" s="19" t="s">
        <v>1142</v>
      </c>
      <c r="Q639" s="19" t="s">
        <v>27</v>
      </c>
      <c r="R639" s="19" t="s">
        <v>138</v>
      </c>
      <c r="W639" s="20">
        <v>17</v>
      </c>
      <c r="X639" s="65" t="s">
        <v>1141</v>
      </c>
      <c r="Z639" t="s">
        <v>307</v>
      </c>
      <c r="AB639" t="s">
        <v>178</v>
      </c>
      <c r="AC639" t="s">
        <v>1205</v>
      </c>
      <c r="AD639" s="2" t="s">
        <v>180</v>
      </c>
    </row>
    <row r="640" spans="1:30" hidden="1" x14ac:dyDescent="0.25">
      <c r="A640" s="2">
        <v>76</v>
      </c>
      <c r="B640" t="s">
        <v>1213</v>
      </c>
      <c r="C640">
        <v>12</v>
      </c>
      <c r="D640">
        <v>490</v>
      </c>
      <c r="E640">
        <v>1388</v>
      </c>
      <c r="F640" t="s">
        <v>172</v>
      </c>
      <c r="G640" s="2" t="s">
        <v>156</v>
      </c>
      <c r="H640">
        <v>1</v>
      </c>
      <c r="I640">
        <v>63.63</v>
      </c>
      <c r="J640" s="2" t="s">
        <v>170</v>
      </c>
      <c r="K640" s="2" t="s">
        <v>74</v>
      </c>
      <c r="M640" t="s">
        <v>1477</v>
      </c>
      <c r="P640" s="19" t="s">
        <v>1142</v>
      </c>
      <c r="Q640" s="19" t="s">
        <v>27</v>
      </c>
      <c r="R640" s="19" t="s">
        <v>138</v>
      </c>
      <c r="W640" s="20">
        <v>17</v>
      </c>
      <c r="X640" s="65" t="s">
        <v>1141</v>
      </c>
      <c r="Z640" t="s">
        <v>307</v>
      </c>
      <c r="AB640" t="s">
        <v>178</v>
      </c>
      <c r="AC640" t="s">
        <v>1205</v>
      </c>
      <c r="AD640" s="2" t="s">
        <v>180</v>
      </c>
    </row>
    <row r="641" spans="1:30" hidden="1" x14ac:dyDescent="0.25">
      <c r="A641" s="2">
        <v>77</v>
      </c>
      <c r="B641" t="s">
        <v>1214</v>
      </c>
      <c r="C641">
        <v>12</v>
      </c>
      <c r="D641">
        <v>490</v>
      </c>
      <c r="E641">
        <v>1388</v>
      </c>
      <c r="F641" t="s">
        <v>172</v>
      </c>
      <c r="G641" s="2" t="s">
        <v>156</v>
      </c>
      <c r="H641">
        <v>1</v>
      </c>
      <c r="I641">
        <v>63.63</v>
      </c>
      <c r="J641" s="2" t="s">
        <v>170</v>
      </c>
      <c r="K641" s="2" t="s">
        <v>74</v>
      </c>
      <c r="M641" t="s">
        <v>1477</v>
      </c>
      <c r="P641" s="19" t="s">
        <v>1142</v>
      </c>
      <c r="Q641" s="19" t="s">
        <v>27</v>
      </c>
      <c r="R641" s="19" t="s">
        <v>138</v>
      </c>
      <c r="W641" s="20">
        <v>17</v>
      </c>
      <c r="X641" s="65" t="s">
        <v>1141</v>
      </c>
      <c r="Z641" t="s">
        <v>307</v>
      </c>
      <c r="AB641" t="s">
        <v>178</v>
      </c>
      <c r="AC641" t="s">
        <v>1205</v>
      </c>
      <c r="AD641" s="2" t="s">
        <v>180</v>
      </c>
    </row>
    <row r="642" spans="1:30" hidden="1" x14ac:dyDescent="0.25">
      <c r="A642" s="2">
        <v>78</v>
      </c>
      <c r="B642" t="s">
        <v>1215</v>
      </c>
      <c r="C642">
        <v>12</v>
      </c>
      <c r="D642">
        <v>490</v>
      </c>
      <c r="E642">
        <v>6464</v>
      </c>
      <c r="F642" t="s">
        <v>172</v>
      </c>
      <c r="G642" s="2" t="s">
        <v>156</v>
      </c>
      <c r="H642">
        <v>1</v>
      </c>
      <c r="I642">
        <v>298.16000000000003</v>
      </c>
      <c r="J642" s="2" t="s">
        <v>170</v>
      </c>
      <c r="K642" s="2" t="s">
        <v>74</v>
      </c>
      <c r="M642" t="s">
        <v>1477</v>
      </c>
      <c r="P642" s="19" t="s">
        <v>1142</v>
      </c>
      <c r="Q642" s="19" t="s">
        <v>27</v>
      </c>
      <c r="R642" s="19" t="s">
        <v>138</v>
      </c>
      <c r="W642" s="20">
        <v>17</v>
      </c>
      <c r="X642" s="65" t="s">
        <v>1141</v>
      </c>
      <c r="Z642" t="s">
        <v>307</v>
      </c>
      <c r="AB642" t="s">
        <v>178</v>
      </c>
      <c r="AC642" t="s">
        <v>1205</v>
      </c>
      <c r="AD642" s="2" t="s">
        <v>180</v>
      </c>
    </row>
    <row r="643" spans="1:30" hidden="1" x14ac:dyDescent="0.25">
      <c r="A643" s="2">
        <v>79</v>
      </c>
      <c r="B643" t="s">
        <v>1216</v>
      </c>
      <c r="C643">
        <v>12</v>
      </c>
      <c r="D643">
        <v>490</v>
      </c>
      <c r="E643">
        <v>6464</v>
      </c>
      <c r="F643" t="s">
        <v>172</v>
      </c>
      <c r="G643" s="2" t="s">
        <v>156</v>
      </c>
      <c r="H643">
        <v>1</v>
      </c>
      <c r="I643">
        <v>298.16000000000003</v>
      </c>
      <c r="J643" s="2" t="s">
        <v>170</v>
      </c>
      <c r="K643" s="2" t="s">
        <v>74</v>
      </c>
      <c r="M643" t="s">
        <v>1477</v>
      </c>
      <c r="P643" s="19" t="s">
        <v>1142</v>
      </c>
      <c r="Q643" s="19" t="s">
        <v>27</v>
      </c>
      <c r="R643" s="19" t="s">
        <v>138</v>
      </c>
      <c r="W643" s="20">
        <v>17</v>
      </c>
      <c r="X643" s="65" t="s">
        <v>1141</v>
      </c>
      <c r="Z643" t="s">
        <v>307</v>
      </c>
      <c r="AB643" t="s">
        <v>178</v>
      </c>
      <c r="AC643" t="s">
        <v>1205</v>
      </c>
      <c r="AD643" s="2" t="s">
        <v>180</v>
      </c>
    </row>
    <row r="644" spans="1:30" hidden="1" x14ac:dyDescent="0.25">
      <c r="A644" s="2">
        <v>80</v>
      </c>
      <c r="B644" t="s">
        <v>1217</v>
      </c>
      <c r="C644">
        <v>12</v>
      </c>
      <c r="D644">
        <v>490</v>
      </c>
      <c r="E644">
        <v>6464</v>
      </c>
      <c r="F644" t="s">
        <v>172</v>
      </c>
      <c r="G644" s="2" t="s">
        <v>156</v>
      </c>
      <c r="H644">
        <v>1</v>
      </c>
      <c r="I644">
        <v>298.16000000000003</v>
      </c>
      <c r="J644" s="2" t="s">
        <v>170</v>
      </c>
      <c r="K644" s="2" t="s">
        <v>74</v>
      </c>
      <c r="M644" t="s">
        <v>1477</v>
      </c>
      <c r="P644" s="19" t="s">
        <v>1142</v>
      </c>
      <c r="Q644" s="19" t="s">
        <v>27</v>
      </c>
      <c r="R644" s="19" t="s">
        <v>138</v>
      </c>
      <c r="W644" s="20">
        <v>17</v>
      </c>
      <c r="X644" s="65" t="s">
        <v>1141</v>
      </c>
      <c r="Z644" t="s">
        <v>307</v>
      </c>
      <c r="AB644" t="s">
        <v>178</v>
      </c>
      <c r="AC644" t="s">
        <v>1205</v>
      </c>
      <c r="AD644" s="2" t="s">
        <v>180</v>
      </c>
    </row>
    <row r="645" spans="1:30" hidden="1" x14ac:dyDescent="0.25">
      <c r="A645" s="2">
        <v>81</v>
      </c>
      <c r="B645" t="s">
        <v>1218</v>
      </c>
      <c r="C645">
        <v>12</v>
      </c>
      <c r="D645">
        <v>490</v>
      </c>
      <c r="E645">
        <v>6464</v>
      </c>
      <c r="F645" t="s">
        <v>172</v>
      </c>
      <c r="G645" s="2" t="s">
        <v>156</v>
      </c>
      <c r="H645">
        <v>1</v>
      </c>
      <c r="I645">
        <v>298.16000000000003</v>
      </c>
      <c r="J645" s="2" t="s">
        <v>170</v>
      </c>
      <c r="K645" s="2" t="s">
        <v>74</v>
      </c>
      <c r="M645" t="s">
        <v>1477</v>
      </c>
      <c r="P645" s="19" t="s">
        <v>1142</v>
      </c>
      <c r="Q645" s="19" t="s">
        <v>27</v>
      </c>
      <c r="R645" s="19" t="s">
        <v>138</v>
      </c>
      <c r="W645" s="20">
        <v>17</v>
      </c>
      <c r="X645" s="65" t="s">
        <v>1141</v>
      </c>
      <c r="Z645" t="s">
        <v>307</v>
      </c>
      <c r="AB645" t="s">
        <v>178</v>
      </c>
      <c r="AC645" t="s">
        <v>1205</v>
      </c>
      <c r="AD645" s="2" t="s">
        <v>180</v>
      </c>
    </row>
    <row r="646" spans="1:30" hidden="1" x14ac:dyDescent="0.25">
      <c r="A646" s="2">
        <v>82</v>
      </c>
      <c r="B646" t="s">
        <v>1159</v>
      </c>
      <c r="C646">
        <v>12</v>
      </c>
      <c r="D646">
        <v>135</v>
      </c>
      <c r="E646">
        <v>488</v>
      </c>
      <c r="F646" t="s">
        <v>172</v>
      </c>
      <c r="G646" s="2" t="s">
        <v>156</v>
      </c>
      <c r="H646">
        <v>5</v>
      </c>
      <c r="I646">
        <v>30.95</v>
      </c>
      <c r="J646" s="2" t="s">
        <v>170</v>
      </c>
      <c r="K646" s="2" t="s">
        <v>74</v>
      </c>
      <c r="M646" t="s">
        <v>1477</v>
      </c>
      <c r="P646" s="19" t="s">
        <v>1142</v>
      </c>
      <c r="Q646" s="19" t="s">
        <v>25</v>
      </c>
      <c r="R646" s="19" t="s">
        <v>138</v>
      </c>
      <c r="W646" s="20">
        <v>17</v>
      </c>
      <c r="X646" s="65" t="s">
        <v>1141</v>
      </c>
      <c r="Z646" t="s">
        <v>307</v>
      </c>
      <c r="AB646" t="s">
        <v>178</v>
      </c>
      <c r="AC646" t="s">
        <v>1205</v>
      </c>
      <c r="AD646" s="2" t="s">
        <v>180</v>
      </c>
    </row>
    <row r="647" spans="1:30" hidden="1" x14ac:dyDescent="0.25">
      <c r="A647" s="2">
        <v>83</v>
      </c>
      <c r="B647" t="s">
        <v>1219</v>
      </c>
      <c r="C647">
        <v>12</v>
      </c>
      <c r="D647">
        <v>135</v>
      </c>
      <c r="E647">
        <v>488</v>
      </c>
      <c r="F647" t="s">
        <v>172</v>
      </c>
      <c r="G647" s="2" t="s">
        <v>156</v>
      </c>
      <c r="H647">
        <v>16</v>
      </c>
      <c r="I647">
        <v>99.04</v>
      </c>
      <c r="J647" s="2" t="s">
        <v>170</v>
      </c>
      <c r="K647" s="2" t="s">
        <v>74</v>
      </c>
      <c r="M647" t="s">
        <v>1477</v>
      </c>
      <c r="P647" s="19" t="s">
        <v>1142</v>
      </c>
      <c r="Q647" s="19" t="s">
        <v>25</v>
      </c>
      <c r="R647" s="19" t="s">
        <v>138</v>
      </c>
      <c r="W647" s="20">
        <v>17</v>
      </c>
      <c r="X647" s="65" t="s">
        <v>1141</v>
      </c>
      <c r="Z647" t="s">
        <v>307</v>
      </c>
      <c r="AB647" t="s">
        <v>178</v>
      </c>
      <c r="AC647" t="s">
        <v>1205</v>
      </c>
      <c r="AD647" s="2" t="s">
        <v>180</v>
      </c>
    </row>
    <row r="648" spans="1:30" hidden="1" x14ac:dyDescent="0.25">
      <c r="A648" s="2">
        <v>84</v>
      </c>
      <c r="B648" t="s">
        <v>1220</v>
      </c>
      <c r="C648">
        <v>12</v>
      </c>
      <c r="D648">
        <v>135</v>
      </c>
      <c r="E648">
        <v>488</v>
      </c>
      <c r="F648" t="s">
        <v>172</v>
      </c>
      <c r="G648" s="2" t="s">
        <v>156</v>
      </c>
      <c r="H648">
        <v>16</v>
      </c>
      <c r="I648">
        <v>99.04</v>
      </c>
      <c r="J648" s="2" t="s">
        <v>170</v>
      </c>
      <c r="K648" s="2" t="s">
        <v>74</v>
      </c>
      <c r="M648" t="s">
        <v>1477</v>
      </c>
      <c r="P648" s="19" t="s">
        <v>1142</v>
      </c>
      <c r="Q648" s="19" t="s">
        <v>25</v>
      </c>
      <c r="R648" s="19" t="s">
        <v>138</v>
      </c>
      <c r="W648" s="20">
        <v>17</v>
      </c>
      <c r="X648" s="65" t="s">
        <v>1141</v>
      </c>
      <c r="Z648" t="s">
        <v>307</v>
      </c>
      <c r="AB648" t="s">
        <v>178</v>
      </c>
      <c r="AC648" t="s">
        <v>1205</v>
      </c>
      <c r="AD648" s="2" t="s">
        <v>180</v>
      </c>
    </row>
    <row r="649" spans="1:30" hidden="1" x14ac:dyDescent="0.25">
      <c r="A649" s="2">
        <v>85</v>
      </c>
      <c r="B649" t="s">
        <v>1221</v>
      </c>
      <c r="C649">
        <v>12</v>
      </c>
      <c r="D649">
        <v>135</v>
      </c>
      <c r="E649">
        <v>488</v>
      </c>
      <c r="F649" t="s">
        <v>172</v>
      </c>
      <c r="G649" s="2" t="s">
        <v>156</v>
      </c>
      <c r="H649">
        <v>16</v>
      </c>
      <c r="I649">
        <v>99.04</v>
      </c>
      <c r="J649" s="2" t="s">
        <v>170</v>
      </c>
      <c r="K649" s="2" t="s">
        <v>74</v>
      </c>
      <c r="M649" t="s">
        <v>1477</v>
      </c>
      <c r="P649" s="19" t="s">
        <v>1142</v>
      </c>
      <c r="Q649" s="19" t="s">
        <v>25</v>
      </c>
      <c r="R649" s="19" t="s">
        <v>138</v>
      </c>
      <c r="W649" s="20">
        <v>17</v>
      </c>
      <c r="X649" s="65" t="s">
        <v>1141</v>
      </c>
      <c r="Z649" t="s">
        <v>307</v>
      </c>
      <c r="AB649" t="s">
        <v>178</v>
      </c>
      <c r="AC649" t="s">
        <v>1205</v>
      </c>
      <c r="AD649" s="2" t="s">
        <v>180</v>
      </c>
    </row>
    <row r="650" spans="1:30" hidden="1" x14ac:dyDescent="0.25">
      <c r="A650" s="2">
        <v>86</v>
      </c>
      <c r="B650" t="s">
        <v>1222</v>
      </c>
      <c r="C650">
        <v>12</v>
      </c>
      <c r="D650">
        <v>135</v>
      </c>
      <c r="E650">
        <v>488</v>
      </c>
      <c r="F650" t="s">
        <v>172</v>
      </c>
      <c r="G650" s="2" t="s">
        <v>156</v>
      </c>
      <c r="H650">
        <v>4</v>
      </c>
      <c r="I650">
        <v>24.76</v>
      </c>
      <c r="J650" s="2" t="s">
        <v>170</v>
      </c>
      <c r="K650" s="2" t="s">
        <v>74</v>
      </c>
      <c r="M650" t="s">
        <v>1477</v>
      </c>
      <c r="P650" s="19" t="s">
        <v>1142</v>
      </c>
      <c r="Q650" s="19" t="s">
        <v>25</v>
      </c>
      <c r="R650" s="19" t="s">
        <v>138</v>
      </c>
      <c r="W650" s="20">
        <v>17</v>
      </c>
      <c r="X650" s="65" t="s">
        <v>1141</v>
      </c>
      <c r="Z650" t="s">
        <v>307</v>
      </c>
      <c r="AB650" t="s">
        <v>178</v>
      </c>
      <c r="AC650" t="s">
        <v>1205</v>
      </c>
      <c r="AD650" s="2" t="s">
        <v>180</v>
      </c>
    </row>
    <row r="651" spans="1:30" hidden="1" x14ac:dyDescent="0.25">
      <c r="A651" s="2">
        <v>87</v>
      </c>
      <c r="B651" t="s">
        <v>1223</v>
      </c>
      <c r="C651">
        <v>12</v>
      </c>
      <c r="D651">
        <v>130</v>
      </c>
      <c r="E651">
        <v>1458</v>
      </c>
      <c r="F651" t="s">
        <v>172</v>
      </c>
      <c r="G651" s="2" t="s">
        <v>156</v>
      </c>
      <c r="H651">
        <v>1</v>
      </c>
      <c r="I651">
        <v>17.84</v>
      </c>
      <c r="J651" s="2" t="s">
        <v>170</v>
      </c>
      <c r="K651" s="2" t="s">
        <v>74</v>
      </c>
      <c r="M651" t="s">
        <v>1477</v>
      </c>
      <c r="P651" s="19" t="s">
        <v>1142</v>
      </c>
      <c r="Q651" s="19" t="s">
        <v>25</v>
      </c>
      <c r="R651" s="19" t="s">
        <v>138</v>
      </c>
      <c r="W651" s="20">
        <v>17</v>
      </c>
      <c r="X651" s="65" t="s">
        <v>1141</v>
      </c>
      <c r="Z651" t="s">
        <v>307</v>
      </c>
      <c r="AB651" t="s">
        <v>178</v>
      </c>
      <c r="AC651" t="s">
        <v>1205</v>
      </c>
      <c r="AD651" s="2" t="s">
        <v>180</v>
      </c>
    </row>
    <row r="652" spans="1:30" hidden="1" x14ac:dyDescent="0.25">
      <c r="A652" s="2">
        <v>88</v>
      </c>
      <c r="B652" t="s">
        <v>1224</v>
      </c>
      <c r="C652">
        <v>12</v>
      </c>
      <c r="D652">
        <v>490</v>
      </c>
      <c r="E652">
        <v>1388</v>
      </c>
      <c r="F652" t="s">
        <v>172</v>
      </c>
      <c r="G652" s="2" t="s">
        <v>156</v>
      </c>
      <c r="H652">
        <v>1</v>
      </c>
      <c r="I652">
        <v>63.63</v>
      </c>
      <c r="J652" s="2" t="s">
        <v>170</v>
      </c>
      <c r="K652" s="2" t="s">
        <v>74</v>
      </c>
      <c r="M652" t="s">
        <v>1477</v>
      </c>
      <c r="P652" s="19" t="s">
        <v>1142</v>
      </c>
      <c r="Q652" s="19" t="s">
        <v>27</v>
      </c>
      <c r="R652" s="19" t="s">
        <v>138</v>
      </c>
      <c r="W652" s="20">
        <v>17</v>
      </c>
      <c r="X652" s="65" t="s">
        <v>1141</v>
      </c>
      <c r="Z652" t="s">
        <v>307</v>
      </c>
      <c r="AB652" t="s">
        <v>178</v>
      </c>
      <c r="AC652" t="s">
        <v>1205</v>
      </c>
      <c r="AD652" s="2" t="s">
        <v>180</v>
      </c>
    </row>
    <row r="653" spans="1:30" hidden="1" x14ac:dyDescent="0.25">
      <c r="A653" s="2">
        <v>89</v>
      </c>
      <c r="B653" t="s">
        <v>1225</v>
      </c>
      <c r="C653">
        <v>12</v>
      </c>
      <c r="D653">
        <v>490</v>
      </c>
      <c r="E653">
        <v>1388</v>
      </c>
      <c r="F653" t="s">
        <v>172</v>
      </c>
      <c r="G653" s="2" t="s">
        <v>156</v>
      </c>
      <c r="H653">
        <v>1</v>
      </c>
      <c r="I653">
        <v>63.63</v>
      </c>
      <c r="J653" s="2" t="s">
        <v>170</v>
      </c>
      <c r="K653" s="2" t="s">
        <v>74</v>
      </c>
      <c r="M653" t="s">
        <v>1477</v>
      </c>
      <c r="P653" s="19" t="s">
        <v>1142</v>
      </c>
      <c r="Q653" s="19" t="s">
        <v>27</v>
      </c>
      <c r="R653" s="19" t="s">
        <v>138</v>
      </c>
      <c r="W653" s="20">
        <v>17</v>
      </c>
      <c r="X653" s="65" t="s">
        <v>1141</v>
      </c>
      <c r="Z653" t="s">
        <v>307</v>
      </c>
      <c r="AB653" t="s">
        <v>178</v>
      </c>
      <c r="AC653" t="s">
        <v>1205</v>
      </c>
      <c r="AD653" s="2" t="s">
        <v>180</v>
      </c>
    </row>
    <row r="654" spans="1:30" hidden="1" x14ac:dyDescent="0.25">
      <c r="A654" s="2">
        <v>90</v>
      </c>
      <c r="B654" t="s">
        <v>1226</v>
      </c>
      <c r="C654">
        <v>12</v>
      </c>
      <c r="D654">
        <v>490</v>
      </c>
      <c r="E654">
        <v>1388</v>
      </c>
      <c r="F654" t="s">
        <v>172</v>
      </c>
      <c r="G654" s="2" t="s">
        <v>156</v>
      </c>
      <c r="H654">
        <v>1</v>
      </c>
      <c r="I654">
        <v>63.63</v>
      </c>
      <c r="J654" s="2" t="s">
        <v>170</v>
      </c>
      <c r="K654" s="2" t="s">
        <v>74</v>
      </c>
      <c r="M654" t="s">
        <v>1477</v>
      </c>
      <c r="P654" s="19" t="s">
        <v>1142</v>
      </c>
      <c r="Q654" s="19" t="s">
        <v>27</v>
      </c>
      <c r="R654" s="19" t="s">
        <v>138</v>
      </c>
      <c r="W654" s="20">
        <v>17</v>
      </c>
      <c r="X654" s="65" t="s">
        <v>1141</v>
      </c>
      <c r="Z654" t="s">
        <v>307</v>
      </c>
      <c r="AB654" t="s">
        <v>178</v>
      </c>
      <c r="AC654" t="s">
        <v>1205</v>
      </c>
      <c r="AD654" s="2" t="s">
        <v>180</v>
      </c>
    </row>
    <row r="655" spans="1:30" hidden="1" x14ac:dyDescent="0.25">
      <c r="A655" s="2">
        <v>91</v>
      </c>
      <c r="B655" t="s">
        <v>1227</v>
      </c>
      <c r="C655">
        <v>12</v>
      </c>
      <c r="D655">
        <v>490</v>
      </c>
      <c r="E655">
        <v>1388</v>
      </c>
      <c r="F655" t="s">
        <v>172</v>
      </c>
      <c r="G655" s="2" t="s">
        <v>156</v>
      </c>
      <c r="H655">
        <v>1</v>
      </c>
      <c r="I655">
        <v>63.63</v>
      </c>
      <c r="J655" s="2" t="s">
        <v>170</v>
      </c>
      <c r="K655" s="2" t="s">
        <v>74</v>
      </c>
      <c r="M655" t="s">
        <v>1477</v>
      </c>
      <c r="P655" s="19" t="s">
        <v>1142</v>
      </c>
      <c r="Q655" s="19" t="s">
        <v>27</v>
      </c>
      <c r="R655" s="19" t="s">
        <v>138</v>
      </c>
      <c r="W655" s="20">
        <v>17</v>
      </c>
      <c r="X655" s="65" t="s">
        <v>1141</v>
      </c>
      <c r="Z655" t="s">
        <v>307</v>
      </c>
      <c r="AB655" t="s">
        <v>178</v>
      </c>
      <c r="AC655" t="s">
        <v>1205</v>
      </c>
      <c r="AD655" s="2" t="s">
        <v>180</v>
      </c>
    </row>
    <row r="656" spans="1:30" hidden="1" x14ac:dyDescent="0.25">
      <c r="A656" s="2">
        <v>92</v>
      </c>
      <c r="B656" t="s">
        <v>1228</v>
      </c>
      <c r="C656">
        <v>12</v>
      </c>
      <c r="D656">
        <v>135</v>
      </c>
      <c r="E656">
        <v>488</v>
      </c>
      <c r="F656" t="s">
        <v>172</v>
      </c>
      <c r="G656" s="2" t="s">
        <v>156</v>
      </c>
      <c r="H656">
        <v>4</v>
      </c>
      <c r="I656">
        <v>24.76</v>
      </c>
      <c r="J656" s="2" t="s">
        <v>170</v>
      </c>
      <c r="K656" s="2" t="s">
        <v>74</v>
      </c>
      <c r="M656" t="s">
        <v>1477</v>
      </c>
      <c r="P656" s="19" t="s">
        <v>1142</v>
      </c>
      <c r="Q656" s="19" t="s">
        <v>25</v>
      </c>
      <c r="R656" s="19" t="s">
        <v>138</v>
      </c>
      <c r="W656" s="20">
        <v>17</v>
      </c>
      <c r="X656" s="65" t="s">
        <v>1141</v>
      </c>
      <c r="Z656" t="s">
        <v>307</v>
      </c>
      <c r="AB656" t="s">
        <v>178</v>
      </c>
      <c r="AC656" t="s">
        <v>1229</v>
      </c>
      <c r="AD656" s="2" t="s">
        <v>180</v>
      </c>
    </row>
    <row r="657" spans="1:30" hidden="1" x14ac:dyDescent="0.25">
      <c r="A657" s="2">
        <v>93</v>
      </c>
      <c r="B657" t="s">
        <v>1230</v>
      </c>
      <c r="C657">
        <v>12</v>
      </c>
      <c r="D657">
        <v>135</v>
      </c>
      <c r="E657">
        <v>488</v>
      </c>
      <c r="F657" t="s">
        <v>172</v>
      </c>
      <c r="G657" s="2" t="s">
        <v>156</v>
      </c>
      <c r="H657">
        <v>4</v>
      </c>
      <c r="I657">
        <v>24.76</v>
      </c>
      <c r="J657" s="2" t="s">
        <v>170</v>
      </c>
      <c r="K657" s="2" t="s">
        <v>74</v>
      </c>
      <c r="M657" t="s">
        <v>1477</v>
      </c>
      <c r="P657" s="19" t="s">
        <v>1142</v>
      </c>
      <c r="Q657" s="19" t="s">
        <v>25</v>
      </c>
      <c r="R657" s="19" t="s">
        <v>138</v>
      </c>
      <c r="W657" s="20">
        <v>17</v>
      </c>
      <c r="X657" s="65" t="s">
        <v>1141</v>
      </c>
      <c r="Z657" t="s">
        <v>307</v>
      </c>
      <c r="AB657" t="s">
        <v>178</v>
      </c>
      <c r="AC657" t="s">
        <v>1229</v>
      </c>
      <c r="AD657" s="2" t="s">
        <v>180</v>
      </c>
    </row>
    <row r="658" spans="1:30" hidden="1" x14ac:dyDescent="0.25">
      <c r="A658" s="2">
        <v>94</v>
      </c>
      <c r="B658" t="s">
        <v>1231</v>
      </c>
      <c r="C658">
        <v>12</v>
      </c>
      <c r="D658">
        <v>135</v>
      </c>
      <c r="E658">
        <v>488</v>
      </c>
      <c r="F658" t="s">
        <v>172</v>
      </c>
      <c r="G658" s="2" t="s">
        <v>156</v>
      </c>
      <c r="H658">
        <v>4</v>
      </c>
      <c r="I658">
        <v>24.76</v>
      </c>
      <c r="J658" s="2" t="s">
        <v>170</v>
      </c>
      <c r="K658" s="2" t="s">
        <v>74</v>
      </c>
      <c r="M658" t="s">
        <v>1477</v>
      </c>
      <c r="P658" s="19" t="s">
        <v>1142</v>
      </c>
      <c r="Q658" s="19" t="s">
        <v>25</v>
      </c>
      <c r="R658" s="19" t="s">
        <v>138</v>
      </c>
      <c r="W658" s="20">
        <v>17</v>
      </c>
      <c r="X658" s="65" t="s">
        <v>1141</v>
      </c>
      <c r="Z658" t="s">
        <v>307</v>
      </c>
      <c r="AB658" t="s">
        <v>178</v>
      </c>
      <c r="AC658" t="s">
        <v>1229</v>
      </c>
      <c r="AD658" s="2" t="s">
        <v>180</v>
      </c>
    </row>
    <row r="659" spans="1:30" hidden="1" x14ac:dyDescent="0.25">
      <c r="A659" s="2">
        <v>95</v>
      </c>
      <c r="B659" t="s">
        <v>1232</v>
      </c>
      <c r="C659">
        <v>12</v>
      </c>
      <c r="D659">
        <v>135</v>
      </c>
      <c r="E659">
        <v>488</v>
      </c>
      <c r="F659" t="s">
        <v>172</v>
      </c>
      <c r="G659" s="2" t="s">
        <v>156</v>
      </c>
      <c r="H659">
        <v>4</v>
      </c>
      <c r="I659">
        <v>24.76</v>
      </c>
      <c r="J659" s="2" t="s">
        <v>170</v>
      </c>
      <c r="K659" s="2" t="s">
        <v>74</v>
      </c>
      <c r="M659" t="s">
        <v>1477</v>
      </c>
      <c r="P659" s="19" t="s">
        <v>1142</v>
      </c>
      <c r="Q659" s="19" t="s">
        <v>25</v>
      </c>
      <c r="R659" s="19" t="s">
        <v>138</v>
      </c>
      <c r="W659" s="20">
        <v>17</v>
      </c>
      <c r="X659" s="65" t="s">
        <v>1141</v>
      </c>
      <c r="Z659" t="s">
        <v>307</v>
      </c>
      <c r="AB659" t="s">
        <v>178</v>
      </c>
      <c r="AC659" t="s">
        <v>1229</v>
      </c>
      <c r="AD659" s="2" t="s">
        <v>180</v>
      </c>
    </row>
    <row r="660" spans="1:30" hidden="1" x14ac:dyDescent="0.25">
      <c r="A660" s="2">
        <v>96</v>
      </c>
      <c r="B660" t="s">
        <v>1233</v>
      </c>
      <c r="C660">
        <v>12</v>
      </c>
      <c r="D660">
        <v>135</v>
      </c>
      <c r="E660">
        <v>488</v>
      </c>
      <c r="F660" t="s">
        <v>172</v>
      </c>
      <c r="G660" s="2" t="s">
        <v>156</v>
      </c>
      <c r="H660">
        <v>4</v>
      </c>
      <c r="I660">
        <v>24.76</v>
      </c>
      <c r="J660" s="2" t="s">
        <v>170</v>
      </c>
      <c r="K660" s="2" t="s">
        <v>74</v>
      </c>
      <c r="M660" t="s">
        <v>1477</v>
      </c>
      <c r="P660" s="19" t="s">
        <v>1142</v>
      </c>
      <c r="Q660" s="19" t="s">
        <v>25</v>
      </c>
      <c r="R660" s="19" t="s">
        <v>138</v>
      </c>
      <c r="W660" s="20">
        <v>17</v>
      </c>
      <c r="X660" s="65" t="s">
        <v>1141</v>
      </c>
      <c r="Z660" t="s">
        <v>307</v>
      </c>
      <c r="AB660" t="s">
        <v>178</v>
      </c>
      <c r="AC660" t="s">
        <v>1229</v>
      </c>
      <c r="AD660" s="2" t="s">
        <v>180</v>
      </c>
    </row>
    <row r="661" spans="1:30" hidden="1" x14ac:dyDescent="0.25">
      <c r="A661" s="2">
        <v>97</v>
      </c>
      <c r="B661" t="s">
        <v>1234</v>
      </c>
      <c r="C661">
        <v>12</v>
      </c>
      <c r="D661">
        <v>135</v>
      </c>
      <c r="E661">
        <v>488</v>
      </c>
      <c r="F661" t="s">
        <v>172</v>
      </c>
      <c r="G661" s="2" t="s">
        <v>156</v>
      </c>
      <c r="H661">
        <v>4</v>
      </c>
      <c r="I661">
        <v>24.76</v>
      </c>
      <c r="J661" s="2" t="s">
        <v>170</v>
      </c>
      <c r="K661" s="2" t="s">
        <v>74</v>
      </c>
      <c r="M661" t="s">
        <v>1477</v>
      </c>
      <c r="P661" s="19" t="s">
        <v>1142</v>
      </c>
      <c r="Q661" s="19" t="s">
        <v>25</v>
      </c>
      <c r="R661" s="19" t="s">
        <v>138</v>
      </c>
      <c r="W661" s="20">
        <v>17</v>
      </c>
      <c r="X661" s="65" t="s">
        <v>1141</v>
      </c>
      <c r="Z661" t="s">
        <v>307</v>
      </c>
      <c r="AB661" t="s">
        <v>178</v>
      </c>
      <c r="AC661" t="s">
        <v>1229</v>
      </c>
      <c r="AD661" s="2" t="s">
        <v>180</v>
      </c>
    </row>
    <row r="662" spans="1:30" hidden="1" x14ac:dyDescent="0.25">
      <c r="A662" s="2">
        <v>98</v>
      </c>
      <c r="B662" t="s">
        <v>1235</v>
      </c>
      <c r="C662">
        <v>12</v>
      </c>
      <c r="D662">
        <v>135</v>
      </c>
      <c r="E662">
        <v>488</v>
      </c>
      <c r="F662" t="s">
        <v>172</v>
      </c>
      <c r="G662" s="2" t="s">
        <v>156</v>
      </c>
      <c r="H662">
        <v>4</v>
      </c>
      <c r="I662">
        <v>24.76</v>
      </c>
      <c r="J662" s="2" t="s">
        <v>170</v>
      </c>
      <c r="K662" s="2" t="s">
        <v>74</v>
      </c>
      <c r="M662" t="s">
        <v>1477</v>
      </c>
      <c r="P662" s="19" t="s">
        <v>1142</v>
      </c>
      <c r="Q662" s="19" t="s">
        <v>25</v>
      </c>
      <c r="R662" s="19" t="s">
        <v>138</v>
      </c>
      <c r="W662" s="20">
        <v>17</v>
      </c>
      <c r="X662" s="65" t="s">
        <v>1141</v>
      </c>
      <c r="Z662" t="s">
        <v>307</v>
      </c>
      <c r="AB662" t="s">
        <v>178</v>
      </c>
      <c r="AC662" t="s">
        <v>1229</v>
      </c>
      <c r="AD662" s="2" t="s">
        <v>180</v>
      </c>
    </row>
    <row r="663" spans="1:30" hidden="1" x14ac:dyDescent="0.25">
      <c r="A663" s="2">
        <v>99</v>
      </c>
      <c r="B663" t="s">
        <v>1236</v>
      </c>
      <c r="C663">
        <v>12</v>
      </c>
      <c r="D663">
        <v>135</v>
      </c>
      <c r="E663">
        <v>488</v>
      </c>
      <c r="F663" t="s">
        <v>172</v>
      </c>
      <c r="G663" s="2" t="s">
        <v>156</v>
      </c>
      <c r="H663">
        <v>4</v>
      </c>
      <c r="I663">
        <v>24.76</v>
      </c>
      <c r="J663" s="2" t="s">
        <v>170</v>
      </c>
      <c r="K663" s="2" t="s">
        <v>74</v>
      </c>
      <c r="M663" t="s">
        <v>1477</v>
      </c>
      <c r="P663" s="19" t="s">
        <v>1142</v>
      </c>
      <c r="Q663" s="19" t="s">
        <v>25</v>
      </c>
      <c r="R663" s="19" t="s">
        <v>138</v>
      </c>
      <c r="W663" s="20">
        <v>17</v>
      </c>
      <c r="X663" s="65" t="s">
        <v>1141</v>
      </c>
      <c r="Z663" t="s">
        <v>307</v>
      </c>
      <c r="AB663" t="s">
        <v>178</v>
      </c>
      <c r="AC663" t="s">
        <v>1229</v>
      </c>
      <c r="AD663" s="2" t="s">
        <v>180</v>
      </c>
    </row>
    <row r="664" spans="1:30" hidden="1" x14ac:dyDescent="0.25">
      <c r="A664" s="2">
        <v>100</v>
      </c>
      <c r="B664" t="s">
        <v>1237</v>
      </c>
      <c r="C664">
        <v>12</v>
      </c>
      <c r="D664">
        <v>130</v>
      </c>
      <c r="E664">
        <v>1458</v>
      </c>
      <c r="F664" t="s">
        <v>172</v>
      </c>
      <c r="G664" s="2" t="s">
        <v>156</v>
      </c>
      <c r="H664">
        <v>1</v>
      </c>
      <c r="I664">
        <v>17.84</v>
      </c>
      <c r="J664" s="2" t="s">
        <v>170</v>
      </c>
      <c r="K664" s="2" t="s">
        <v>74</v>
      </c>
      <c r="M664" t="s">
        <v>1477</v>
      </c>
      <c r="P664" s="19" t="s">
        <v>1142</v>
      </c>
      <c r="Q664" s="19" t="s">
        <v>25</v>
      </c>
      <c r="R664" s="19" t="s">
        <v>138</v>
      </c>
      <c r="W664" s="20">
        <v>17</v>
      </c>
      <c r="X664" s="65" t="s">
        <v>1141</v>
      </c>
      <c r="Z664" t="s">
        <v>307</v>
      </c>
      <c r="AB664" t="s">
        <v>178</v>
      </c>
      <c r="AC664" t="s">
        <v>1229</v>
      </c>
      <c r="AD664" s="2" t="s">
        <v>180</v>
      </c>
    </row>
    <row r="665" spans="1:30" hidden="1" x14ac:dyDescent="0.25">
      <c r="A665" s="2">
        <v>101</v>
      </c>
      <c r="B665" t="s">
        <v>1238</v>
      </c>
      <c r="C665">
        <v>12</v>
      </c>
      <c r="D665">
        <v>130</v>
      </c>
      <c r="E665">
        <v>663</v>
      </c>
      <c r="F665" t="s">
        <v>172</v>
      </c>
      <c r="G665" s="2" t="s">
        <v>156</v>
      </c>
      <c r="H665">
        <v>7</v>
      </c>
      <c r="I665">
        <v>56.77</v>
      </c>
      <c r="J665" s="2" t="s">
        <v>170</v>
      </c>
      <c r="K665" s="2" t="s">
        <v>74</v>
      </c>
      <c r="M665" t="s">
        <v>1477</v>
      </c>
      <c r="P665" s="19" t="s">
        <v>1142</v>
      </c>
      <c r="Q665" s="19" t="s">
        <v>25</v>
      </c>
      <c r="R665" s="19" t="s">
        <v>138</v>
      </c>
      <c r="W665" s="20">
        <v>17</v>
      </c>
      <c r="X665" s="65" t="s">
        <v>1141</v>
      </c>
      <c r="Z665" t="s">
        <v>307</v>
      </c>
      <c r="AB665" t="s">
        <v>178</v>
      </c>
      <c r="AC665" t="s">
        <v>1229</v>
      </c>
      <c r="AD665" s="2" t="s">
        <v>180</v>
      </c>
    </row>
    <row r="666" spans="1:30" hidden="1" x14ac:dyDescent="0.25">
      <c r="A666" s="2">
        <v>102</v>
      </c>
      <c r="B666" t="s">
        <v>1209</v>
      </c>
      <c r="C666">
        <v>12</v>
      </c>
      <c r="D666">
        <v>95</v>
      </c>
      <c r="E666">
        <v>263</v>
      </c>
      <c r="F666" t="s">
        <v>172</v>
      </c>
      <c r="G666" s="2" t="s">
        <v>156</v>
      </c>
      <c r="H666">
        <v>7</v>
      </c>
      <c r="I666">
        <v>16.36</v>
      </c>
      <c r="J666" s="2" t="s">
        <v>170</v>
      </c>
      <c r="K666" s="2" t="s">
        <v>74</v>
      </c>
      <c r="M666" t="s">
        <v>1477</v>
      </c>
      <c r="P666" s="19" t="s">
        <v>1142</v>
      </c>
      <c r="Q666" s="19" t="s">
        <v>25</v>
      </c>
      <c r="R666" s="19" t="s">
        <v>138</v>
      </c>
      <c r="W666" s="20">
        <v>17</v>
      </c>
      <c r="X666" s="65" t="s">
        <v>1141</v>
      </c>
      <c r="Z666" t="s">
        <v>307</v>
      </c>
      <c r="AB666" t="s">
        <v>178</v>
      </c>
      <c r="AC666" t="s">
        <v>1229</v>
      </c>
      <c r="AD666" s="2" t="s">
        <v>180</v>
      </c>
    </row>
    <row r="667" spans="1:30" hidden="1" x14ac:dyDescent="0.25">
      <c r="A667" s="2">
        <v>103</v>
      </c>
      <c r="B667" t="s">
        <v>1240</v>
      </c>
      <c r="C667">
        <v>12</v>
      </c>
      <c r="D667">
        <v>130</v>
      </c>
      <c r="E667">
        <v>1458</v>
      </c>
      <c r="F667" t="s">
        <v>172</v>
      </c>
      <c r="G667" s="2" t="s">
        <v>156</v>
      </c>
      <c r="H667">
        <v>1</v>
      </c>
      <c r="I667">
        <v>17.84</v>
      </c>
      <c r="J667" s="2" t="s">
        <v>170</v>
      </c>
      <c r="K667" s="2" t="s">
        <v>74</v>
      </c>
      <c r="M667" t="s">
        <v>1477</v>
      </c>
      <c r="P667" s="19" t="s">
        <v>1142</v>
      </c>
      <c r="Q667" s="19" t="s">
        <v>25</v>
      </c>
      <c r="R667" s="19" t="s">
        <v>138</v>
      </c>
      <c r="W667" s="20">
        <v>17</v>
      </c>
      <c r="X667" s="65" t="s">
        <v>1141</v>
      </c>
      <c r="Z667" t="s">
        <v>307</v>
      </c>
      <c r="AB667" t="s">
        <v>178</v>
      </c>
      <c r="AC667" t="s">
        <v>1229</v>
      </c>
      <c r="AD667" s="2" t="s">
        <v>180</v>
      </c>
    </row>
    <row r="668" spans="1:30" hidden="1" x14ac:dyDescent="0.25">
      <c r="A668" s="2">
        <v>104</v>
      </c>
      <c r="B668" t="s">
        <v>1241</v>
      </c>
      <c r="C668">
        <v>12</v>
      </c>
      <c r="D668">
        <v>130</v>
      </c>
      <c r="E668">
        <v>663</v>
      </c>
      <c r="F668" t="s">
        <v>172</v>
      </c>
      <c r="G668" s="2" t="s">
        <v>156</v>
      </c>
      <c r="H668">
        <v>9</v>
      </c>
      <c r="I668">
        <v>72.98</v>
      </c>
      <c r="J668" s="2" t="s">
        <v>170</v>
      </c>
      <c r="K668" s="2" t="s">
        <v>74</v>
      </c>
      <c r="M668" t="s">
        <v>1477</v>
      </c>
      <c r="P668" s="19" t="s">
        <v>1142</v>
      </c>
      <c r="Q668" s="19" t="s">
        <v>25</v>
      </c>
      <c r="R668" s="19" t="s">
        <v>138</v>
      </c>
      <c r="W668" s="20">
        <v>17</v>
      </c>
      <c r="X668" s="65" t="s">
        <v>1141</v>
      </c>
      <c r="Z668" t="s">
        <v>307</v>
      </c>
      <c r="AB668" t="s">
        <v>178</v>
      </c>
      <c r="AC668" t="s">
        <v>1229</v>
      </c>
      <c r="AD668" s="2" t="s">
        <v>180</v>
      </c>
    </row>
    <row r="669" spans="1:30" hidden="1" x14ac:dyDescent="0.25">
      <c r="A669" s="2">
        <v>105</v>
      </c>
      <c r="B669" t="s">
        <v>1242</v>
      </c>
      <c r="C669">
        <v>12</v>
      </c>
      <c r="D669">
        <v>1460</v>
      </c>
      <c r="E669">
        <v>9068</v>
      </c>
      <c r="F669" t="s">
        <v>172</v>
      </c>
      <c r="G669" s="2" t="s">
        <v>156</v>
      </c>
      <c r="H669">
        <v>1</v>
      </c>
      <c r="I669">
        <v>1240.54</v>
      </c>
      <c r="J669" s="2" t="s">
        <v>170</v>
      </c>
      <c r="K669" s="2" t="s">
        <v>74</v>
      </c>
      <c r="M669" t="s">
        <v>1477</v>
      </c>
      <c r="P669" s="19" t="s">
        <v>1142</v>
      </c>
      <c r="Q669" s="19" t="s">
        <v>27</v>
      </c>
      <c r="R669" s="19" t="s">
        <v>138</v>
      </c>
      <c r="W669" s="20">
        <v>17</v>
      </c>
      <c r="X669" s="65" t="s">
        <v>1141</v>
      </c>
      <c r="Z669" t="s">
        <v>307</v>
      </c>
      <c r="AB669" t="s">
        <v>178</v>
      </c>
      <c r="AC669" t="s">
        <v>1229</v>
      </c>
      <c r="AD669" s="2" t="s">
        <v>180</v>
      </c>
    </row>
    <row r="670" spans="1:30" hidden="1" x14ac:dyDescent="0.25">
      <c r="A670" s="2">
        <v>106</v>
      </c>
      <c r="B670" t="s">
        <v>1243</v>
      </c>
      <c r="C670">
        <v>12</v>
      </c>
      <c r="D670">
        <v>490</v>
      </c>
      <c r="E670">
        <v>9980</v>
      </c>
      <c r="F670" t="s">
        <v>172</v>
      </c>
      <c r="G670" s="2" t="s">
        <v>156</v>
      </c>
      <c r="H670">
        <v>1</v>
      </c>
      <c r="I670">
        <v>460.46</v>
      </c>
      <c r="J670" s="2" t="s">
        <v>170</v>
      </c>
      <c r="K670" s="2" t="s">
        <v>74</v>
      </c>
      <c r="M670" t="s">
        <v>1477</v>
      </c>
      <c r="P670" s="19" t="s">
        <v>1142</v>
      </c>
      <c r="Q670" s="19" t="s">
        <v>27</v>
      </c>
      <c r="R670" s="19" t="s">
        <v>138</v>
      </c>
      <c r="W670" s="20">
        <v>17</v>
      </c>
      <c r="X670" s="65" t="s">
        <v>1141</v>
      </c>
      <c r="Z670" t="s">
        <v>307</v>
      </c>
      <c r="AB670" t="s">
        <v>178</v>
      </c>
      <c r="AC670" t="s">
        <v>1229</v>
      </c>
      <c r="AD670" s="2" t="s">
        <v>180</v>
      </c>
    </row>
    <row r="671" spans="1:30" hidden="1" x14ac:dyDescent="0.25">
      <c r="A671" s="2">
        <v>107</v>
      </c>
      <c r="B671" t="s">
        <v>1191</v>
      </c>
      <c r="C671">
        <v>12</v>
      </c>
      <c r="D671">
        <v>95</v>
      </c>
      <c r="E671">
        <v>263</v>
      </c>
      <c r="F671" t="s">
        <v>172</v>
      </c>
      <c r="G671" s="2" t="s">
        <v>156</v>
      </c>
      <c r="H671">
        <v>2</v>
      </c>
      <c r="I671">
        <v>4.68</v>
      </c>
      <c r="J671" s="2" t="s">
        <v>170</v>
      </c>
      <c r="K671" s="2" t="s">
        <v>74</v>
      </c>
      <c r="M671" t="s">
        <v>1477</v>
      </c>
      <c r="P671" s="19" t="s">
        <v>1142</v>
      </c>
      <c r="Q671" s="19" t="s">
        <v>25</v>
      </c>
      <c r="R671" s="19" t="s">
        <v>138</v>
      </c>
      <c r="W671" s="20">
        <v>17</v>
      </c>
      <c r="X671" s="65" t="s">
        <v>1141</v>
      </c>
      <c r="Z671" t="s">
        <v>307</v>
      </c>
      <c r="AB671" t="s">
        <v>178</v>
      </c>
      <c r="AC671" t="s">
        <v>1229</v>
      </c>
      <c r="AD671" s="2" t="s">
        <v>180</v>
      </c>
    </row>
    <row r="672" spans="1:30" hidden="1" x14ac:dyDescent="0.25">
      <c r="A672" s="2">
        <v>108</v>
      </c>
      <c r="B672" t="s">
        <v>1244</v>
      </c>
      <c r="C672">
        <v>12</v>
      </c>
      <c r="D672">
        <v>130</v>
      </c>
      <c r="E672">
        <v>663</v>
      </c>
      <c r="F672" t="s">
        <v>172</v>
      </c>
      <c r="G672" s="2" t="s">
        <v>156</v>
      </c>
      <c r="H672">
        <v>9</v>
      </c>
      <c r="I672">
        <v>72.98</v>
      </c>
      <c r="J672" s="2" t="s">
        <v>170</v>
      </c>
      <c r="K672" s="2" t="s">
        <v>74</v>
      </c>
      <c r="M672" t="s">
        <v>1477</v>
      </c>
      <c r="P672" s="19" t="s">
        <v>1142</v>
      </c>
      <c r="Q672" s="19" t="s">
        <v>25</v>
      </c>
      <c r="R672" s="19" t="s">
        <v>138</v>
      </c>
      <c r="W672" s="20">
        <v>17</v>
      </c>
      <c r="X672" s="65" t="s">
        <v>1141</v>
      </c>
      <c r="Z672" t="s">
        <v>307</v>
      </c>
      <c r="AB672" t="s">
        <v>178</v>
      </c>
      <c r="AC672" t="s">
        <v>1229</v>
      </c>
      <c r="AD672" s="2" t="s">
        <v>180</v>
      </c>
    </row>
    <row r="673" spans="1:30" hidden="1" x14ac:dyDescent="0.25">
      <c r="A673" s="2">
        <v>109</v>
      </c>
      <c r="B673" t="s">
        <v>1192</v>
      </c>
      <c r="C673">
        <v>12</v>
      </c>
      <c r="D673">
        <v>95</v>
      </c>
      <c r="E673">
        <v>263</v>
      </c>
      <c r="F673" t="s">
        <v>172</v>
      </c>
      <c r="G673" s="2" t="s">
        <v>156</v>
      </c>
      <c r="H673">
        <v>2</v>
      </c>
      <c r="I673">
        <v>4.68</v>
      </c>
      <c r="J673" s="2" t="s">
        <v>170</v>
      </c>
      <c r="K673" s="2" t="s">
        <v>74</v>
      </c>
      <c r="M673" t="s">
        <v>1477</v>
      </c>
      <c r="P673" s="19" t="s">
        <v>1142</v>
      </c>
      <c r="Q673" s="19" t="s">
        <v>25</v>
      </c>
      <c r="R673" s="19" t="s">
        <v>138</v>
      </c>
      <c r="W673" s="20">
        <v>17</v>
      </c>
      <c r="X673" s="65" t="s">
        <v>1141</v>
      </c>
      <c r="Z673" t="s">
        <v>307</v>
      </c>
      <c r="AB673" t="s">
        <v>178</v>
      </c>
      <c r="AC673" t="s">
        <v>1229</v>
      </c>
      <c r="AD673" s="2" t="s">
        <v>180</v>
      </c>
    </row>
    <row r="674" spans="1:30" hidden="1" x14ac:dyDescent="0.25">
      <c r="A674" s="2">
        <v>110</v>
      </c>
      <c r="B674" t="s">
        <v>1245</v>
      </c>
      <c r="C674">
        <v>12</v>
      </c>
      <c r="D674">
        <v>130</v>
      </c>
      <c r="E674">
        <v>663</v>
      </c>
      <c r="F674" t="s">
        <v>172</v>
      </c>
      <c r="G674" s="2" t="s">
        <v>156</v>
      </c>
      <c r="H674">
        <v>3</v>
      </c>
      <c r="I674">
        <v>24.33</v>
      </c>
      <c r="J674" s="2" t="s">
        <v>170</v>
      </c>
      <c r="K674" s="2" t="s">
        <v>74</v>
      </c>
      <c r="M674" t="s">
        <v>1477</v>
      </c>
      <c r="P674" s="19" t="s">
        <v>1142</v>
      </c>
      <c r="Q674" s="19" t="s">
        <v>25</v>
      </c>
      <c r="R674" s="19" t="s">
        <v>138</v>
      </c>
      <c r="W674" s="20">
        <v>17</v>
      </c>
      <c r="X674" s="65" t="s">
        <v>1141</v>
      </c>
      <c r="Z674" t="s">
        <v>307</v>
      </c>
      <c r="AB674" t="s">
        <v>178</v>
      </c>
      <c r="AC674" t="s">
        <v>1229</v>
      </c>
      <c r="AD674" s="2" t="s">
        <v>180</v>
      </c>
    </row>
    <row r="675" spans="1:30" hidden="1" x14ac:dyDescent="0.25">
      <c r="A675" s="2">
        <v>111</v>
      </c>
      <c r="B675" t="s">
        <v>1206</v>
      </c>
      <c r="C675">
        <v>12</v>
      </c>
      <c r="D675">
        <v>135</v>
      </c>
      <c r="E675">
        <v>488</v>
      </c>
      <c r="F675" t="s">
        <v>172</v>
      </c>
      <c r="G675" s="2" t="s">
        <v>156</v>
      </c>
      <c r="H675">
        <v>1</v>
      </c>
      <c r="I675">
        <v>6.19</v>
      </c>
      <c r="J675" s="2" t="s">
        <v>170</v>
      </c>
      <c r="K675" s="2" t="s">
        <v>74</v>
      </c>
      <c r="M675" t="s">
        <v>1477</v>
      </c>
      <c r="P675" s="19" t="s">
        <v>1142</v>
      </c>
      <c r="Q675" s="19" t="s">
        <v>25</v>
      </c>
      <c r="R675" s="19" t="s">
        <v>138</v>
      </c>
      <c r="W675" s="20">
        <v>17</v>
      </c>
      <c r="X675" s="65" t="s">
        <v>1141</v>
      </c>
      <c r="Z675" t="s">
        <v>307</v>
      </c>
      <c r="AB675" t="s">
        <v>178</v>
      </c>
      <c r="AC675" t="s">
        <v>1246</v>
      </c>
      <c r="AD675" s="2" t="s">
        <v>180</v>
      </c>
    </row>
    <row r="676" spans="1:30" hidden="1" x14ac:dyDescent="0.25">
      <c r="A676" s="2">
        <v>112</v>
      </c>
      <c r="B676" t="s">
        <v>1207</v>
      </c>
      <c r="C676">
        <v>12</v>
      </c>
      <c r="D676">
        <v>135</v>
      </c>
      <c r="E676">
        <v>488</v>
      </c>
      <c r="F676" t="s">
        <v>172</v>
      </c>
      <c r="G676" s="2" t="s">
        <v>156</v>
      </c>
      <c r="H676">
        <v>5</v>
      </c>
      <c r="I676">
        <v>30.95</v>
      </c>
      <c r="J676" s="2" t="s">
        <v>170</v>
      </c>
      <c r="K676" s="2" t="s">
        <v>74</v>
      </c>
      <c r="M676" t="s">
        <v>1477</v>
      </c>
      <c r="P676" s="19" t="s">
        <v>1142</v>
      </c>
      <c r="Q676" s="19" t="s">
        <v>25</v>
      </c>
      <c r="R676" s="19" t="s">
        <v>138</v>
      </c>
      <c r="W676" s="20">
        <v>17</v>
      </c>
      <c r="X676" s="65" t="s">
        <v>1141</v>
      </c>
      <c r="Z676" t="s">
        <v>307</v>
      </c>
      <c r="AB676" t="s">
        <v>178</v>
      </c>
      <c r="AC676" t="s">
        <v>1246</v>
      </c>
      <c r="AD676" s="2" t="s">
        <v>180</v>
      </c>
    </row>
    <row r="677" spans="1:30" hidden="1" x14ac:dyDescent="0.25">
      <c r="A677" s="2">
        <v>113</v>
      </c>
      <c r="B677" t="s">
        <v>1247</v>
      </c>
      <c r="C677">
        <v>12</v>
      </c>
      <c r="D677">
        <v>135</v>
      </c>
      <c r="E677">
        <v>488</v>
      </c>
      <c r="F677" t="s">
        <v>172</v>
      </c>
      <c r="G677" s="2" t="s">
        <v>156</v>
      </c>
      <c r="H677">
        <v>12</v>
      </c>
      <c r="I677">
        <v>74.28</v>
      </c>
      <c r="J677" s="2" t="s">
        <v>170</v>
      </c>
      <c r="K677" s="2" t="s">
        <v>74</v>
      </c>
      <c r="M677" t="s">
        <v>1477</v>
      </c>
      <c r="P677" s="19" t="s">
        <v>1142</v>
      </c>
      <c r="Q677" s="19" t="s">
        <v>25</v>
      </c>
      <c r="R677" s="19" t="s">
        <v>138</v>
      </c>
      <c r="W677" s="20">
        <v>17</v>
      </c>
      <c r="X677" s="65" t="s">
        <v>1141</v>
      </c>
      <c r="Z677" t="s">
        <v>307</v>
      </c>
      <c r="AB677" t="s">
        <v>178</v>
      </c>
      <c r="AC677" t="s">
        <v>1246</v>
      </c>
      <c r="AD677" s="2" t="s">
        <v>180</v>
      </c>
    </row>
    <row r="678" spans="1:30" hidden="1" x14ac:dyDescent="0.25">
      <c r="A678" s="2">
        <v>114</v>
      </c>
      <c r="B678" t="s">
        <v>1248</v>
      </c>
      <c r="C678">
        <v>12</v>
      </c>
      <c r="D678">
        <v>135</v>
      </c>
      <c r="E678">
        <v>488</v>
      </c>
      <c r="F678" t="s">
        <v>172</v>
      </c>
      <c r="G678" s="2" t="s">
        <v>156</v>
      </c>
      <c r="H678">
        <v>16</v>
      </c>
      <c r="I678">
        <v>99.04</v>
      </c>
      <c r="J678" s="2" t="s">
        <v>170</v>
      </c>
      <c r="K678" s="2" t="s">
        <v>74</v>
      </c>
      <c r="M678" t="s">
        <v>1477</v>
      </c>
      <c r="P678" s="19" t="s">
        <v>1142</v>
      </c>
      <c r="Q678" s="19" t="s">
        <v>25</v>
      </c>
      <c r="R678" s="19" t="s">
        <v>138</v>
      </c>
      <c r="W678" s="20">
        <v>17</v>
      </c>
      <c r="X678" s="65" t="s">
        <v>1141</v>
      </c>
      <c r="Z678" t="s">
        <v>307</v>
      </c>
      <c r="AB678" t="s">
        <v>178</v>
      </c>
      <c r="AC678" t="s">
        <v>1246</v>
      </c>
      <c r="AD678" s="2" t="s">
        <v>180</v>
      </c>
    </row>
    <row r="679" spans="1:30" hidden="1" x14ac:dyDescent="0.25">
      <c r="A679" s="2">
        <v>115</v>
      </c>
      <c r="B679" t="s">
        <v>1249</v>
      </c>
      <c r="C679">
        <v>12</v>
      </c>
      <c r="D679">
        <v>135</v>
      </c>
      <c r="E679">
        <v>488</v>
      </c>
      <c r="F679" t="s">
        <v>172</v>
      </c>
      <c r="G679" s="2" t="s">
        <v>156</v>
      </c>
      <c r="H679">
        <v>16</v>
      </c>
      <c r="I679">
        <v>99.04</v>
      </c>
      <c r="J679" s="2" t="s">
        <v>170</v>
      </c>
      <c r="K679" s="2" t="s">
        <v>74</v>
      </c>
      <c r="M679" t="s">
        <v>1477</v>
      </c>
      <c r="P679" s="19" t="s">
        <v>1142</v>
      </c>
      <c r="Q679" s="19" t="s">
        <v>25</v>
      </c>
      <c r="R679" s="19" t="s">
        <v>138</v>
      </c>
      <c r="W679" s="20">
        <v>17</v>
      </c>
      <c r="X679" s="65" t="s">
        <v>1141</v>
      </c>
      <c r="Z679" t="s">
        <v>307</v>
      </c>
      <c r="AB679" t="s">
        <v>178</v>
      </c>
      <c r="AC679" t="s">
        <v>1246</v>
      </c>
      <c r="AD679" s="2" t="s">
        <v>180</v>
      </c>
    </row>
    <row r="680" spans="1:30" hidden="1" x14ac:dyDescent="0.25">
      <c r="A680" s="2">
        <v>116</v>
      </c>
      <c r="B680" t="s">
        <v>1250</v>
      </c>
      <c r="C680">
        <v>12</v>
      </c>
      <c r="D680">
        <v>135</v>
      </c>
      <c r="E680">
        <v>488</v>
      </c>
      <c r="F680" t="s">
        <v>172</v>
      </c>
      <c r="G680" s="2" t="s">
        <v>156</v>
      </c>
      <c r="H680">
        <v>16</v>
      </c>
      <c r="I680">
        <v>99.04</v>
      </c>
      <c r="J680" s="2" t="s">
        <v>170</v>
      </c>
      <c r="K680" s="2" t="s">
        <v>74</v>
      </c>
      <c r="M680" t="s">
        <v>1477</v>
      </c>
      <c r="P680" s="19" t="s">
        <v>1142</v>
      </c>
      <c r="Q680" s="19" t="s">
        <v>25</v>
      </c>
      <c r="R680" s="19" t="s">
        <v>138</v>
      </c>
      <c r="W680" s="20">
        <v>17</v>
      </c>
      <c r="X680" s="65" t="s">
        <v>1141</v>
      </c>
      <c r="Z680" t="s">
        <v>307</v>
      </c>
      <c r="AB680" t="s">
        <v>178</v>
      </c>
      <c r="AC680" t="s">
        <v>1246</v>
      </c>
      <c r="AD680" s="2" t="s">
        <v>180</v>
      </c>
    </row>
    <row r="681" spans="1:30" hidden="1" x14ac:dyDescent="0.25">
      <c r="A681" s="2">
        <v>117</v>
      </c>
      <c r="B681" t="s">
        <v>1251</v>
      </c>
      <c r="C681">
        <v>12</v>
      </c>
      <c r="D681">
        <v>130</v>
      </c>
      <c r="E681">
        <v>263</v>
      </c>
      <c r="F681" t="s">
        <v>172</v>
      </c>
      <c r="G681" s="2" t="s">
        <v>156</v>
      </c>
      <c r="H681">
        <v>1</v>
      </c>
      <c r="I681">
        <v>3.21</v>
      </c>
      <c r="J681" s="2" t="s">
        <v>170</v>
      </c>
      <c r="K681" s="2" t="s">
        <v>74</v>
      </c>
      <c r="M681" t="s">
        <v>1477</v>
      </c>
      <c r="P681" s="19" t="s">
        <v>1142</v>
      </c>
      <c r="Q681" s="19" t="s">
        <v>25</v>
      </c>
      <c r="R681" s="19" t="s">
        <v>138</v>
      </c>
      <c r="W681" s="20">
        <v>17</v>
      </c>
      <c r="X681" s="65" t="s">
        <v>1141</v>
      </c>
      <c r="Z681" t="s">
        <v>307</v>
      </c>
      <c r="AB681" t="s">
        <v>178</v>
      </c>
      <c r="AC681" t="s">
        <v>1246</v>
      </c>
      <c r="AD681" s="2" t="s">
        <v>180</v>
      </c>
    </row>
    <row r="682" spans="1:30" hidden="1" x14ac:dyDescent="0.25">
      <c r="A682" s="2">
        <v>118</v>
      </c>
      <c r="B682" t="s">
        <v>1252</v>
      </c>
      <c r="C682">
        <v>12</v>
      </c>
      <c r="D682">
        <v>1460</v>
      </c>
      <c r="E682">
        <v>9068</v>
      </c>
      <c r="F682" t="s">
        <v>172</v>
      </c>
      <c r="G682" s="2" t="s">
        <v>156</v>
      </c>
      <c r="H682">
        <v>1</v>
      </c>
      <c r="I682">
        <v>1240.54</v>
      </c>
      <c r="J682" s="2" t="s">
        <v>170</v>
      </c>
      <c r="K682" s="2" t="s">
        <v>74</v>
      </c>
      <c r="M682" t="s">
        <v>1477</v>
      </c>
      <c r="P682" s="19" t="s">
        <v>1142</v>
      </c>
      <c r="Q682" s="19" t="s">
        <v>27</v>
      </c>
      <c r="R682" s="19" t="s">
        <v>138</v>
      </c>
      <c r="W682" s="20">
        <v>17</v>
      </c>
      <c r="X682" s="65" t="s">
        <v>1141</v>
      </c>
      <c r="Z682" t="s">
        <v>307</v>
      </c>
      <c r="AB682" t="s">
        <v>178</v>
      </c>
      <c r="AC682" t="s">
        <v>1246</v>
      </c>
      <c r="AD682" s="2" t="s">
        <v>180</v>
      </c>
    </row>
    <row r="683" spans="1:30" hidden="1" x14ac:dyDescent="0.25">
      <c r="A683" s="2">
        <v>119</v>
      </c>
      <c r="B683" t="s">
        <v>1253</v>
      </c>
      <c r="C683">
        <v>12</v>
      </c>
      <c r="D683">
        <v>130</v>
      </c>
      <c r="E683">
        <v>263</v>
      </c>
      <c r="F683" t="s">
        <v>172</v>
      </c>
      <c r="G683" s="2" t="s">
        <v>156</v>
      </c>
      <c r="H683">
        <v>1</v>
      </c>
      <c r="I683">
        <v>3.21</v>
      </c>
      <c r="J683" s="2" t="s">
        <v>170</v>
      </c>
      <c r="K683" s="2" t="s">
        <v>74</v>
      </c>
      <c r="M683" t="s">
        <v>1477</v>
      </c>
      <c r="P683" s="19" t="s">
        <v>1142</v>
      </c>
      <c r="Q683" s="19" t="s">
        <v>25</v>
      </c>
      <c r="R683" s="19" t="s">
        <v>138</v>
      </c>
      <c r="W683" s="20">
        <v>17</v>
      </c>
      <c r="X683" s="65" t="s">
        <v>1141</v>
      </c>
      <c r="Z683" t="s">
        <v>307</v>
      </c>
      <c r="AB683" t="s">
        <v>178</v>
      </c>
      <c r="AC683" t="s">
        <v>1246</v>
      </c>
      <c r="AD683" s="2" t="s">
        <v>180</v>
      </c>
    </row>
    <row r="684" spans="1:30" hidden="1" x14ac:dyDescent="0.25">
      <c r="A684" s="2">
        <v>120</v>
      </c>
      <c r="B684" t="s">
        <v>1254</v>
      </c>
      <c r="C684">
        <v>12</v>
      </c>
      <c r="D684">
        <v>490</v>
      </c>
      <c r="E684">
        <v>9980</v>
      </c>
      <c r="F684" t="s">
        <v>172</v>
      </c>
      <c r="G684" s="2" t="s">
        <v>156</v>
      </c>
      <c r="H684">
        <v>1</v>
      </c>
      <c r="I684">
        <v>460.46</v>
      </c>
      <c r="J684" s="2" t="s">
        <v>170</v>
      </c>
      <c r="K684" s="2" t="s">
        <v>74</v>
      </c>
      <c r="M684" t="s">
        <v>1477</v>
      </c>
      <c r="P684" s="19" t="s">
        <v>1142</v>
      </c>
      <c r="Q684" s="19" t="s">
        <v>27</v>
      </c>
      <c r="R684" s="19" t="s">
        <v>138</v>
      </c>
      <c r="W684" s="20">
        <v>17</v>
      </c>
      <c r="X684" s="65" t="s">
        <v>1141</v>
      </c>
      <c r="Z684" t="s">
        <v>307</v>
      </c>
      <c r="AB684" t="s">
        <v>178</v>
      </c>
      <c r="AC684" t="s">
        <v>1246</v>
      </c>
      <c r="AD684" s="2" t="s">
        <v>180</v>
      </c>
    </row>
    <row r="685" spans="1:30" hidden="1" x14ac:dyDescent="0.25">
      <c r="A685" s="2">
        <v>121</v>
      </c>
      <c r="B685" t="s">
        <v>1192</v>
      </c>
      <c r="C685">
        <v>12</v>
      </c>
      <c r="D685">
        <v>95</v>
      </c>
      <c r="E685">
        <v>263</v>
      </c>
      <c r="F685" t="s">
        <v>172</v>
      </c>
      <c r="G685" s="2" t="s">
        <v>156</v>
      </c>
      <c r="H685">
        <v>2</v>
      </c>
      <c r="I685">
        <v>4.68</v>
      </c>
      <c r="J685" s="2" t="s">
        <v>170</v>
      </c>
      <c r="K685" s="2" t="s">
        <v>74</v>
      </c>
      <c r="M685" t="s">
        <v>1477</v>
      </c>
      <c r="P685" s="19" t="s">
        <v>1142</v>
      </c>
      <c r="Q685" s="19" t="s">
        <v>25</v>
      </c>
      <c r="R685" s="19" t="s">
        <v>138</v>
      </c>
      <c r="W685" s="20">
        <v>17</v>
      </c>
      <c r="X685" s="65" t="s">
        <v>1141</v>
      </c>
      <c r="Z685" t="s">
        <v>307</v>
      </c>
      <c r="AB685" t="s">
        <v>178</v>
      </c>
      <c r="AC685" t="s">
        <v>1246</v>
      </c>
      <c r="AD685" s="2" t="s">
        <v>180</v>
      </c>
    </row>
    <row r="686" spans="1:30" hidden="1" x14ac:dyDescent="0.25">
      <c r="A686" s="2">
        <v>122</v>
      </c>
      <c r="B686" t="s">
        <v>1255</v>
      </c>
      <c r="C686">
        <v>12</v>
      </c>
      <c r="D686">
        <v>130</v>
      </c>
      <c r="E686">
        <v>1458</v>
      </c>
      <c r="F686" t="s">
        <v>172</v>
      </c>
      <c r="G686" s="2" t="s">
        <v>156</v>
      </c>
      <c r="H686">
        <v>1</v>
      </c>
      <c r="I686">
        <v>17.84</v>
      </c>
      <c r="J686" s="2" t="s">
        <v>170</v>
      </c>
      <c r="K686" s="2" t="s">
        <v>74</v>
      </c>
      <c r="M686" t="s">
        <v>1477</v>
      </c>
      <c r="P686" s="19" t="s">
        <v>1142</v>
      </c>
      <c r="Q686" s="19" t="s">
        <v>25</v>
      </c>
      <c r="R686" s="19" t="s">
        <v>138</v>
      </c>
      <c r="W686" s="20">
        <v>17</v>
      </c>
      <c r="X686" s="65" t="s">
        <v>1141</v>
      </c>
      <c r="Z686" t="s">
        <v>307</v>
      </c>
      <c r="AB686" t="s">
        <v>178</v>
      </c>
      <c r="AC686" t="s">
        <v>1246</v>
      </c>
      <c r="AD686" s="2" t="s">
        <v>180</v>
      </c>
    </row>
    <row r="687" spans="1:30" hidden="1" x14ac:dyDescent="0.25">
      <c r="A687" s="2">
        <v>123</v>
      </c>
      <c r="B687" t="s">
        <v>1245</v>
      </c>
      <c r="C687">
        <v>12</v>
      </c>
      <c r="D687">
        <v>130</v>
      </c>
      <c r="E687">
        <v>663</v>
      </c>
      <c r="F687" t="s">
        <v>172</v>
      </c>
      <c r="G687" s="2" t="s">
        <v>156</v>
      </c>
      <c r="H687">
        <v>6</v>
      </c>
      <c r="I687">
        <v>48.66</v>
      </c>
      <c r="J687" s="2" t="s">
        <v>170</v>
      </c>
      <c r="K687" s="2" t="s">
        <v>74</v>
      </c>
      <c r="M687" t="s">
        <v>1477</v>
      </c>
      <c r="P687" s="19" t="s">
        <v>1142</v>
      </c>
      <c r="Q687" s="19" t="s">
        <v>25</v>
      </c>
      <c r="R687" s="19" t="s">
        <v>138</v>
      </c>
      <c r="W687" s="20">
        <v>17</v>
      </c>
      <c r="X687" s="65" t="s">
        <v>1141</v>
      </c>
      <c r="Z687" t="s">
        <v>307</v>
      </c>
      <c r="AB687" t="s">
        <v>178</v>
      </c>
      <c r="AC687" t="s">
        <v>1246</v>
      </c>
      <c r="AD687" s="2" t="s">
        <v>180</v>
      </c>
    </row>
    <row r="688" spans="1:30" hidden="1" x14ac:dyDescent="0.25">
      <c r="A688" s="2">
        <v>124</v>
      </c>
      <c r="B688" t="s">
        <v>1256</v>
      </c>
      <c r="C688">
        <v>12</v>
      </c>
      <c r="D688">
        <v>130</v>
      </c>
      <c r="E688">
        <v>263</v>
      </c>
      <c r="F688" t="s">
        <v>172</v>
      </c>
      <c r="G688" s="2" t="s">
        <v>156</v>
      </c>
      <c r="H688">
        <v>1</v>
      </c>
      <c r="I688">
        <v>3.21</v>
      </c>
      <c r="J688" s="2" t="s">
        <v>170</v>
      </c>
      <c r="K688" s="2" t="s">
        <v>74</v>
      </c>
      <c r="M688" t="s">
        <v>1477</v>
      </c>
      <c r="P688" s="19" t="s">
        <v>1142</v>
      </c>
      <c r="Q688" s="19" t="s">
        <v>25</v>
      </c>
      <c r="R688" s="19" t="s">
        <v>138</v>
      </c>
      <c r="W688" s="20">
        <v>17</v>
      </c>
      <c r="X688" s="65" t="s">
        <v>1141</v>
      </c>
      <c r="Z688" t="s">
        <v>307</v>
      </c>
      <c r="AB688" t="s">
        <v>178</v>
      </c>
      <c r="AC688" t="s">
        <v>1246</v>
      </c>
      <c r="AD688" s="2" t="s">
        <v>180</v>
      </c>
    </row>
    <row r="689" spans="1:30" hidden="1" x14ac:dyDescent="0.25">
      <c r="A689" s="2">
        <v>125</v>
      </c>
      <c r="B689" t="s">
        <v>1257</v>
      </c>
      <c r="C689">
        <v>12</v>
      </c>
      <c r="D689">
        <v>135</v>
      </c>
      <c r="E689">
        <v>488</v>
      </c>
      <c r="F689" t="s">
        <v>172</v>
      </c>
      <c r="G689" s="2" t="s">
        <v>156</v>
      </c>
      <c r="H689">
        <v>12</v>
      </c>
      <c r="I689">
        <v>74.28</v>
      </c>
      <c r="J689" s="2" t="s">
        <v>170</v>
      </c>
      <c r="K689" s="2" t="s">
        <v>74</v>
      </c>
      <c r="M689" t="s">
        <v>1477</v>
      </c>
      <c r="P689" s="19" t="s">
        <v>1142</v>
      </c>
      <c r="Q689" s="19" t="s">
        <v>25</v>
      </c>
      <c r="R689" s="19" t="s">
        <v>138</v>
      </c>
      <c r="W689" s="20">
        <v>17</v>
      </c>
      <c r="X689" s="65" t="s">
        <v>1141</v>
      </c>
      <c r="Z689" t="s">
        <v>307</v>
      </c>
      <c r="AB689" t="s">
        <v>178</v>
      </c>
      <c r="AC689" t="s">
        <v>1258</v>
      </c>
      <c r="AD689" s="2" t="s">
        <v>180</v>
      </c>
    </row>
    <row r="690" spans="1:30" hidden="1" x14ac:dyDescent="0.25">
      <c r="A690" s="2">
        <v>126</v>
      </c>
      <c r="B690" t="s">
        <v>1259</v>
      </c>
      <c r="C690">
        <v>12</v>
      </c>
      <c r="D690">
        <v>490</v>
      </c>
      <c r="E690">
        <v>6464</v>
      </c>
      <c r="F690" t="s">
        <v>172</v>
      </c>
      <c r="G690" s="2" t="s">
        <v>156</v>
      </c>
      <c r="H690">
        <v>1</v>
      </c>
      <c r="I690">
        <v>298.26</v>
      </c>
      <c r="J690" s="2" t="s">
        <v>170</v>
      </c>
      <c r="K690" s="2" t="s">
        <v>74</v>
      </c>
      <c r="M690" t="s">
        <v>1477</v>
      </c>
      <c r="P690" s="19" t="s">
        <v>1142</v>
      </c>
      <c r="Q690" s="19" t="s">
        <v>27</v>
      </c>
      <c r="R690" s="19" t="s">
        <v>138</v>
      </c>
      <c r="W690" s="20">
        <v>17</v>
      </c>
      <c r="X690" s="65" t="s">
        <v>1141</v>
      </c>
      <c r="Z690" t="s">
        <v>307</v>
      </c>
      <c r="AB690" t="s">
        <v>178</v>
      </c>
      <c r="AC690" t="s">
        <v>1258</v>
      </c>
      <c r="AD690" s="2" t="s">
        <v>180</v>
      </c>
    </row>
    <row r="691" spans="1:30" hidden="1" x14ac:dyDescent="0.25">
      <c r="A691" s="2">
        <v>127</v>
      </c>
      <c r="B691" t="s">
        <v>1260</v>
      </c>
      <c r="C691">
        <v>12</v>
      </c>
      <c r="D691">
        <v>135</v>
      </c>
      <c r="E691">
        <v>488</v>
      </c>
      <c r="F691" t="s">
        <v>172</v>
      </c>
      <c r="G691" s="2" t="s">
        <v>156</v>
      </c>
      <c r="H691">
        <v>12</v>
      </c>
      <c r="I691">
        <v>74.28</v>
      </c>
      <c r="J691" s="2" t="s">
        <v>170</v>
      </c>
      <c r="K691" s="2" t="s">
        <v>74</v>
      </c>
      <c r="M691" t="s">
        <v>1477</v>
      </c>
      <c r="P691" s="19" t="s">
        <v>1142</v>
      </c>
      <c r="Q691" s="19" t="s">
        <v>25</v>
      </c>
      <c r="R691" s="19" t="s">
        <v>138</v>
      </c>
      <c r="W691" s="20">
        <v>17</v>
      </c>
      <c r="X691" s="65" t="s">
        <v>1141</v>
      </c>
      <c r="Z691" t="s">
        <v>307</v>
      </c>
      <c r="AB691" t="s">
        <v>178</v>
      </c>
      <c r="AC691" t="s">
        <v>1258</v>
      </c>
      <c r="AD691" s="2" t="s">
        <v>180</v>
      </c>
    </row>
    <row r="692" spans="1:30" hidden="1" x14ac:dyDescent="0.25">
      <c r="A692" s="2">
        <v>128</v>
      </c>
      <c r="B692" t="s">
        <v>1261</v>
      </c>
      <c r="C692">
        <v>12</v>
      </c>
      <c r="D692">
        <v>490</v>
      </c>
      <c r="E692">
        <v>6464</v>
      </c>
      <c r="F692" t="s">
        <v>172</v>
      </c>
      <c r="G692" s="2" t="s">
        <v>156</v>
      </c>
      <c r="H692">
        <v>1</v>
      </c>
      <c r="I692">
        <v>298.26</v>
      </c>
      <c r="J692" s="2" t="s">
        <v>170</v>
      </c>
      <c r="K692" s="2" t="s">
        <v>74</v>
      </c>
      <c r="M692" t="s">
        <v>1477</v>
      </c>
      <c r="P692" s="19" t="s">
        <v>1142</v>
      </c>
      <c r="Q692" s="19" t="s">
        <v>27</v>
      </c>
      <c r="R692" s="19" t="s">
        <v>138</v>
      </c>
      <c r="W692" s="20">
        <v>17</v>
      </c>
      <c r="X692" s="65" t="s">
        <v>1141</v>
      </c>
      <c r="Z692" t="s">
        <v>307</v>
      </c>
      <c r="AB692" t="s">
        <v>178</v>
      </c>
      <c r="AC692" t="s">
        <v>1258</v>
      </c>
      <c r="AD692" s="2" t="s">
        <v>180</v>
      </c>
    </row>
    <row r="693" spans="1:30" hidden="1" x14ac:dyDescent="0.25">
      <c r="A693" s="2">
        <v>129</v>
      </c>
      <c r="B693" t="s">
        <v>1262</v>
      </c>
      <c r="C693">
        <v>12</v>
      </c>
      <c r="D693">
        <v>135</v>
      </c>
      <c r="E693">
        <v>488</v>
      </c>
      <c r="F693" t="s">
        <v>172</v>
      </c>
      <c r="G693" s="2" t="s">
        <v>156</v>
      </c>
      <c r="H693">
        <v>12</v>
      </c>
      <c r="I693">
        <v>74.28</v>
      </c>
      <c r="J693" s="2" t="s">
        <v>170</v>
      </c>
      <c r="K693" s="2" t="s">
        <v>74</v>
      </c>
      <c r="M693" t="s">
        <v>1477</v>
      </c>
      <c r="P693" s="19" t="s">
        <v>1142</v>
      </c>
      <c r="Q693" s="19" t="s">
        <v>25</v>
      </c>
      <c r="R693" s="19" t="s">
        <v>138</v>
      </c>
      <c r="W693" s="20">
        <v>17</v>
      </c>
      <c r="X693" s="65" t="s">
        <v>1141</v>
      </c>
      <c r="Z693" t="s">
        <v>307</v>
      </c>
      <c r="AB693" t="s">
        <v>178</v>
      </c>
      <c r="AC693" t="s">
        <v>1258</v>
      </c>
      <c r="AD693" s="2" t="s">
        <v>180</v>
      </c>
    </row>
    <row r="694" spans="1:30" hidden="1" x14ac:dyDescent="0.25">
      <c r="A694" s="2">
        <v>130</v>
      </c>
      <c r="B694" t="s">
        <v>1263</v>
      </c>
      <c r="C694">
        <v>12</v>
      </c>
      <c r="D694">
        <v>135</v>
      </c>
      <c r="E694">
        <v>488</v>
      </c>
      <c r="F694" t="s">
        <v>172</v>
      </c>
      <c r="G694" s="2" t="s">
        <v>156</v>
      </c>
      <c r="H694">
        <v>12</v>
      </c>
      <c r="I694">
        <v>74.28</v>
      </c>
      <c r="J694" s="2" t="s">
        <v>170</v>
      </c>
      <c r="K694" s="2" t="s">
        <v>74</v>
      </c>
      <c r="M694" t="s">
        <v>1477</v>
      </c>
      <c r="P694" s="19" t="s">
        <v>1142</v>
      </c>
      <c r="Q694" s="19" t="s">
        <v>25</v>
      </c>
      <c r="R694" s="19" t="s">
        <v>138</v>
      </c>
      <c r="W694" s="20">
        <v>17</v>
      </c>
      <c r="X694" s="65" t="s">
        <v>1141</v>
      </c>
      <c r="Z694" t="s">
        <v>307</v>
      </c>
      <c r="AB694" t="s">
        <v>178</v>
      </c>
      <c r="AC694" t="s">
        <v>1258</v>
      </c>
      <c r="AD694" s="2" t="s">
        <v>180</v>
      </c>
    </row>
    <row r="695" spans="1:30" hidden="1" x14ac:dyDescent="0.25">
      <c r="A695" s="2">
        <v>131</v>
      </c>
      <c r="B695" t="s">
        <v>1264</v>
      </c>
      <c r="C695">
        <v>12</v>
      </c>
      <c r="D695">
        <v>135</v>
      </c>
      <c r="E695">
        <v>488</v>
      </c>
      <c r="F695" t="s">
        <v>172</v>
      </c>
      <c r="G695" s="2" t="s">
        <v>156</v>
      </c>
      <c r="H695">
        <v>12</v>
      </c>
      <c r="I695">
        <v>74.28</v>
      </c>
      <c r="J695" s="2" t="s">
        <v>170</v>
      </c>
      <c r="K695" s="2" t="s">
        <v>74</v>
      </c>
      <c r="M695" t="s">
        <v>1477</v>
      </c>
      <c r="P695" s="19" t="s">
        <v>1142</v>
      </c>
      <c r="Q695" s="19" t="s">
        <v>25</v>
      </c>
      <c r="R695" s="19" t="s">
        <v>138</v>
      </c>
      <c r="W695" s="20">
        <v>17</v>
      </c>
      <c r="X695" s="65" t="s">
        <v>1141</v>
      </c>
      <c r="Z695" t="s">
        <v>307</v>
      </c>
      <c r="AB695" t="s">
        <v>178</v>
      </c>
      <c r="AC695" t="s">
        <v>1258</v>
      </c>
      <c r="AD695" s="2" t="s">
        <v>180</v>
      </c>
    </row>
    <row r="696" spans="1:30" hidden="1" x14ac:dyDescent="0.25">
      <c r="A696" s="2">
        <v>132</v>
      </c>
      <c r="B696" t="s">
        <v>1265</v>
      </c>
      <c r="C696">
        <v>12</v>
      </c>
      <c r="D696">
        <v>135</v>
      </c>
      <c r="E696">
        <v>488</v>
      </c>
      <c r="F696" t="s">
        <v>172</v>
      </c>
      <c r="G696" s="2" t="s">
        <v>156</v>
      </c>
      <c r="H696">
        <v>12</v>
      </c>
      <c r="I696">
        <v>74.28</v>
      </c>
      <c r="J696" s="2" t="s">
        <v>170</v>
      </c>
      <c r="K696" s="2" t="s">
        <v>74</v>
      </c>
      <c r="M696" t="s">
        <v>1477</v>
      </c>
      <c r="P696" s="19" t="s">
        <v>1142</v>
      </c>
      <c r="Q696" s="19" t="s">
        <v>25</v>
      </c>
      <c r="R696" s="19" t="s">
        <v>138</v>
      </c>
      <c r="W696" s="20">
        <v>17</v>
      </c>
      <c r="X696" s="65" t="s">
        <v>1141</v>
      </c>
      <c r="Z696" t="s">
        <v>307</v>
      </c>
      <c r="AB696" t="s">
        <v>178</v>
      </c>
      <c r="AC696" t="s">
        <v>1258</v>
      </c>
      <c r="AD696" s="2" t="s">
        <v>180</v>
      </c>
    </row>
    <row r="697" spans="1:30" hidden="1" x14ac:dyDescent="0.25">
      <c r="A697" s="2">
        <v>133</v>
      </c>
      <c r="B697" t="s">
        <v>1204</v>
      </c>
      <c r="C697">
        <v>12</v>
      </c>
      <c r="D697">
        <v>135</v>
      </c>
      <c r="E697">
        <v>488</v>
      </c>
      <c r="F697" t="s">
        <v>172</v>
      </c>
      <c r="G697" s="2" t="s">
        <v>156</v>
      </c>
      <c r="H697">
        <v>4</v>
      </c>
      <c r="I697">
        <v>24.76</v>
      </c>
      <c r="J697" s="2" t="s">
        <v>170</v>
      </c>
      <c r="K697" s="2" t="s">
        <v>74</v>
      </c>
      <c r="M697" t="s">
        <v>1477</v>
      </c>
      <c r="P697" s="19" t="s">
        <v>1142</v>
      </c>
      <c r="Q697" s="19" t="s">
        <v>25</v>
      </c>
      <c r="R697" s="19" t="s">
        <v>138</v>
      </c>
      <c r="W697" s="20">
        <v>17</v>
      </c>
      <c r="X697" s="65" t="s">
        <v>1141</v>
      </c>
      <c r="Z697" t="s">
        <v>307</v>
      </c>
      <c r="AB697" t="s">
        <v>178</v>
      </c>
      <c r="AC697" t="s">
        <v>1258</v>
      </c>
      <c r="AD697" s="2" t="s">
        <v>180</v>
      </c>
    </row>
    <row r="698" spans="1:30" hidden="1" x14ac:dyDescent="0.25">
      <c r="A698" s="2">
        <v>134</v>
      </c>
      <c r="B698" t="s">
        <v>1206</v>
      </c>
      <c r="C698">
        <v>12</v>
      </c>
      <c r="D698">
        <v>135</v>
      </c>
      <c r="E698">
        <v>488</v>
      </c>
      <c r="F698" t="s">
        <v>172</v>
      </c>
      <c r="G698" s="2" t="s">
        <v>156</v>
      </c>
      <c r="H698">
        <v>3</v>
      </c>
      <c r="I698">
        <v>18.57</v>
      </c>
      <c r="J698" s="2" t="s">
        <v>170</v>
      </c>
      <c r="K698" s="2" t="s">
        <v>74</v>
      </c>
      <c r="M698" t="s">
        <v>1477</v>
      </c>
      <c r="P698" s="19" t="s">
        <v>1142</v>
      </c>
      <c r="Q698" s="19" t="s">
        <v>25</v>
      </c>
      <c r="R698" s="19" t="s">
        <v>138</v>
      </c>
      <c r="W698" s="20">
        <v>17</v>
      </c>
      <c r="X698" s="65" t="s">
        <v>1141</v>
      </c>
      <c r="Z698" t="s">
        <v>307</v>
      </c>
      <c r="AB698" t="s">
        <v>178</v>
      </c>
      <c r="AC698" t="s">
        <v>1258</v>
      </c>
      <c r="AD698" s="2" t="s">
        <v>180</v>
      </c>
    </row>
    <row r="699" spans="1:30" hidden="1" x14ac:dyDescent="0.25">
      <c r="A699" s="2">
        <v>135</v>
      </c>
      <c r="B699" t="s">
        <v>1207</v>
      </c>
      <c r="C699">
        <v>12</v>
      </c>
      <c r="D699">
        <v>135</v>
      </c>
      <c r="E699">
        <v>488</v>
      </c>
      <c r="F699" t="s">
        <v>172</v>
      </c>
      <c r="G699" s="2" t="s">
        <v>156</v>
      </c>
      <c r="H699">
        <v>5</v>
      </c>
      <c r="I699">
        <v>30.95</v>
      </c>
      <c r="J699" s="2" t="s">
        <v>170</v>
      </c>
      <c r="K699" s="2" t="s">
        <v>74</v>
      </c>
      <c r="M699" t="s">
        <v>1477</v>
      </c>
      <c r="P699" s="19" t="s">
        <v>1142</v>
      </c>
      <c r="Q699" s="19" t="s">
        <v>25</v>
      </c>
      <c r="R699" s="19" t="s">
        <v>138</v>
      </c>
      <c r="W699" s="20">
        <v>17</v>
      </c>
      <c r="X699" s="65" t="s">
        <v>1141</v>
      </c>
      <c r="Z699" t="s">
        <v>307</v>
      </c>
      <c r="AB699" t="s">
        <v>178</v>
      </c>
      <c r="AC699" t="s">
        <v>1258</v>
      </c>
      <c r="AD699" s="2" t="s">
        <v>180</v>
      </c>
    </row>
    <row r="700" spans="1:30" hidden="1" x14ac:dyDescent="0.25">
      <c r="A700" s="2">
        <v>136</v>
      </c>
      <c r="B700" t="s">
        <v>1266</v>
      </c>
      <c r="C700">
        <v>12</v>
      </c>
      <c r="D700">
        <v>135</v>
      </c>
      <c r="E700">
        <v>488</v>
      </c>
      <c r="F700" t="s">
        <v>172</v>
      </c>
      <c r="G700" s="2" t="s">
        <v>156</v>
      </c>
      <c r="H700">
        <v>12</v>
      </c>
      <c r="I700">
        <v>74.28</v>
      </c>
      <c r="J700" s="2" t="s">
        <v>170</v>
      </c>
      <c r="K700" s="2" t="s">
        <v>74</v>
      </c>
      <c r="M700" t="s">
        <v>1477</v>
      </c>
      <c r="P700" s="19" t="s">
        <v>1142</v>
      </c>
      <c r="Q700" s="19" t="s">
        <v>25</v>
      </c>
      <c r="R700" s="19" t="s">
        <v>138</v>
      </c>
      <c r="W700" s="20">
        <v>17</v>
      </c>
      <c r="X700" s="65" t="s">
        <v>1141</v>
      </c>
      <c r="Z700" t="s">
        <v>307</v>
      </c>
      <c r="AB700" t="s">
        <v>178</v>
      </c>
      <c r="AC700" t="s">
        <v>1258</v>
      </c>
      <c r="AD700" s="2" t="s">
        <v>180</v>
      </c>
    </row>
    <row r="701" spans="1:30" hidden="1" x14ac:dyDescent="0.25">
      <c r="A701" s="2">
        <v>137</v>
      </c>
      <c r="B701" t="s">
        <v>1201</v>
      </c>
      <c r="C701">
        <v>12</v>
      </c>
      <c r="D701">
        <v>135</v>
      </c>
      <c r="E701">
        <v>488</v>
      </c>
      <c r="F701" t="s">
        <v>172</v>
      </c>
      <c r="G701" s="2" t="s">
        <v>156</v>
      </c>
      <c r="H701">
        <v>10</v>
      </c>
      <c r="I701">
        <v>61.9</v>
      </c>
      <c r="J701" s="2" t="s">
        <v>170</v>
      </c>
      <c r="K701" s="2" t="s">
        <v>74</v>
      </c>
      <c r="M701" t="s">
        <v>1477</v>
      </c>
      <c r="P701" s="19" t="s">
        <v>1142</v>
      </c>
      <c r="Q701" s="19" t="s">
        <v>25</v>
      </c>
      <c r="R701" s="19" t="s">
        <v>138</v>
      </c>
      <c r="W701" s="20">
        <v>17</v>
      </c>
      <c r="X701" s="65" t="s">
        <v>1141</v>
      </c>
      <c r="Z701" t="s">
        <v>307</v>
      </c>
      <c r="AB701" t="s">
        <v>178</v>
      </c>
      <c r="AC701" t="s">
        <v>1258</v>
      </c>
      <c r="AD701" s="2" t="s">
        <v>180</v>
      </c>
    </row>
    <row r="702" spans="1:30" hidden="1" x14ac:dyDescent="0.25">
      <c r="A702" s="2">
        <v>138</v>
      </c>
      <c r="B702" t="s">
        <v>1247</v>
      </c>
      <c r="C702">
        <v>12</v>
      </c>
      <c r="D702">
        <v>135</v>
      </c>
      <c r="E702">
        <v>488</v>
      </c>
      <c r="F702" t="s">
        <v>172</v>
      </c>
      <c r="G702" s="2" t="s">
        <v>156</v>
      </c>
      <c r="H702">
        <v>5</v>
      </c>
      <c r="I702">
        <v>30.95</v>
      </c>
      <c r="J702" s="2" t="s">
        <v>170</v>
      </c>
      <c r="K702" s="2" t="s">
        <v>74</v>
      </c>
      <c r="M702" t="s">
        <v>1477</v>
      </c>
      <c r="P702" s="19" t="s">
        <v>1142</v>
      </c>
      <c r="Q702" s="19" t="s">
        <v>25</v>
      </c>
      <c r="R702" s="19" t="s">
        <v>138</v>
      </c>
      <c r="W702" s="20">
        <v>17</v>
      </c>
      <c r="X702" s="65" t="s">
        <v>1141</v>
      </c>
      <c r="Z702" t="s">
        <v>307</v>
      </c>
      <c r="AB702" t="s">
        <v>178</v>
      </c>
      <c r="AC702" t="s">
        <v>1258</v>
      </c>
      <c r="AD702" s="2" t="s">
        <v>180</v>
      </c>
    </row>
    <row r="703" spans="1:30" hidden="1" x14ac:dyDescent="0.25">
      <c r="A703" s="2">
        <v>139</v>
      </c>
      <c r="B703" t="s">
        <v>1267</v>
      </c>
      <c r="C703">
        <v>12</v>
      </c>
      <c r="D703">
        <v>490</v>
      </c>
      <c r="E703">
        <v>6464</v>
      </c>
      <c r="F703" t="s">
        <v>172</v>
      </c>
      <c r="G703" s="2" t="s">
        <v>156</v>
      </c>
      <c r="H703">
        <v>1</v>
      </c>
      <c r="I703">
        <v>298.26</v>
      </c>
      <c r="J703" s="2" t="s">
        <v>170</v>
      </c>
      <c r="K703" s="2" t="s">
        <v>74</v>
      </c>
      <c r="M703" t="s">
        <v>1477</v>
      </c>
      <c r="P703" s="19" t="s">
        <v>1142</v>
      </c>
      <c r="Q703" s="19" t="s">
        <v>27</v>
      </c>
      <c r="R703" s="19" t="s">
        <v>138</v>
      </c>
      <c r="W703" s="20">
        <v>17</v>
      </c>
      <c r="X703" s="65" t="s">
        <v>1141</v>
      </c>
      <c r="Z703" t="s">
        <v>307</v>
      </c>
      <c r="AB703" t="s">
        <v>178</v>
      </c>
      <c r="AC703" t="s">
        <v>1258</v>
      </c>
      <c r="AD703" s="2" t="s">
        <v>180</v>
      </c>
    </row>
    <row r="704" spans="1:30" hidden="1" x14ac:dyDescent="0.25">
      <c r="A704" s="2">
        <v>140</v>
      </c>
      <c r="B704" t="s">
        <v>1268</v>
      </c>
      <c r="C704">
        <v>12</v>
      </c>
      <c r="D704">
        <v>490</v>
      </c>
      <c r="E704">
        <v>6464</v>
      </c>
      <c r="F704" t="s">
        <v>172</v>
      </c>
      <c r="G704" s="2" t="s">
        <v>156</v>
      </c>
      <c r="H704">
        <v>1</v>
      </c>
      <c r="I704">
        <v>298.16000000000003</v>
      </c>
      <c r="J704" s="2" t="s">
        <v>170</v>
      </c>
      <c r="K704" s="2" t="s">
        <v>74</v>
      </c>
      <c r="M704" t="s">
        <v>1477</v>
      </c>
      <c r="P704" s="19" t="s">
        <v>1142</v>
      </c>
      <c r="Q704" s="19" t="s">
        <v>27</v>
      </c>
      <c r="R704" s="19" t="s">
        <v>138</v>
      </c>
      <c r="W704" s="20">
        <v>17</v>
      </c>
      <c r="X704" s="65" t="s">
        <v>1141</v>
      </c>
      <c r="Z704" t="s">
        <v>307</v>
      </c>
      <c r="AB704" t="s">
        <v>178</v>
      </c>
      <c r="AC704" t="s">
        <v>1258</v>
      </c>
      <c r="AD704" s="2" t="s">
        <v>180</v>
      </c>
    </row>
    <row r="705" spans="1:30" hidden="1" x14ac:dyDescent="0.25">
      <c r="A705" s="2">
        <v>141</v>
      </c>
      <c r="B705" t="s">
        <v>1159</v>
      </c>
      <c r="C705">
        <v>12</v>
      </c>
      <c r="D705">
        <v>135</v>
      </c>
      <c r="E705">
        <v>488</v>
      </c>
      <c r="F705" t="s">
        <v>172</v>
      </c>
      <c r="G705" s="2" t="s">
        <v>156</v>
      </c>
      <c r="H705">
        <v>2</v>
      </c>
      <c r="I705">
        <v>12.38</v>
      </c>
      <c r="J705" s="2" t="s">
        <v>170</v>
      </c>
      <c r="K705" s="2" t="s">
        <v>74</v>
      </c>
      <c r="M705" t="s">
        <v>1477</v>
      </c>
      <c r="P705" s="19" t="s">
        <v>1142</v>
      </c>
      <c r="Q705" s="19" t="s">
        <v>25</v>
      </c>
      <c r="R705" s="19" t="s">
        <v>138</v>
      </c>
      <c r="W705" s="20">
        <v>17</v>
      </c>
      <c r="X705" s="65" t="s">
        <v>1141</v>
      </c>
      <c r="Z705" t="s">
        <v>307</v>
      </c>
      <c r="AB705" t="s">
        <v>178</v>
      </c>
      <c r="AC705" t="s">
        <v>1258</v>
      </c>
      <c r="AD705" s="2" t="s">
        <v>180</v>
      </c>
    </row>
    <row r="706" spans="1:30" hidden="1" x14ac:dyDescent="0.25">
      <c r="A706" s="2">
        <v>142</v>
      </c>
      <c r="B706" t="s">
        <v>1219</v>
      </c>
      <c r="C706">
        <v>12</v>
      </c>
      <c r="D706">
        <v>135</v>
      </c>
      <c r="E706">
        <v>488</v>
      </c>
      <c r="F706" t="s">
        <v>172</v>
      </c>
      <c r="G706" s="2" t="s">
        <v>156</v>
      </c>
      <c r="H706">
        <v>1</v>
      </c>
      <c r="I706">
        <v>6.19</v>
      </c>
      <c r="J706" s="2" t="s">
        <v>170</v>
      </c>
      <c r="K706" s="2" t="s">
        <v>74</v>
      </c>
      <c r="M706" t="s">
        <v>1477</v>
      </c>
      <c r="P706" s="19" t="s">
        <v>1142</v>
      </c>
      <c r="Q706" s="19" t="s">
        <v>25</v>
      </c>
      <c r="R706" s="19" t="s">
        <v>138</v>
      </c>
      <c r="W706" s="20">
        <v>17</v>
      </c>
      <c r="X706" s="65" t="s">
        <v>1141</v>
      </c>
      <c r="Z706" t="s">
        <v>307</v>
      </c>
      <c r="AB706" t="s">
        <v>178</v>
      </c>
      <c r="AC706" t="s">
        <v>1258</v>
      </c>
      <c r="AD706" s="2" t="s">
        <v>180</v>
      </c>
    </row>
    <row r="707" spans="1:30" hidden="1" x14ac:dyDescent="0.25">
      <c r="A707" s="2">
        <v>143</v>
      </c>
      <c r="B707" t="s">
        <v>1222</v>
      </c>
      <c r="C707">
        <v>12</v>
      </c>
      <c r="D707">
        <v>135</v>
      </c>
      <c r="E707">
        <v>488</v>
      </c>
      <c r="F707" t="s">
        <v>172</v>
      </c>
      <c r="G707" s="2" t="s">
        <v>156</v>
      </c>
      <c r="H707">
        <v>12</v>
      </c>
      <c r="I707">
        <v>74.28</v>
      </c>
      <c r="J707" s="2" t="s">
        <v>170</v>
      </c>
      <c r="K707" s="2" t="s">
        <v>74</v>
      </c>
      <c r="M707" t="s">
        <v>1477</v>
      </c>
      <c r="P707" s="19" t="s">
        <v>1142</v>
      </c>
      <c r="Q707" s="19" t="s">
        <v>25</v>
      </c>
      <c r="R707" s="19" t="s">
        <v>138</v>
      </c>
      <c r="W707" s="20">
        <v>17</v>
      </c>
      <c r="X707" s="65" t="s">
        <v>1141</v>
      </c>
      <c r="Z707" t="s">
        <v>307</v>
      </c>
      <c r="AB707" t="s">
        <v>178</v>
      </c>
      <c r="AC707" t="s">
        <v>1258</v>
      </c>
      <c r="AD707" s="2" t="s">
        <v>180</v>
      </c>
    </row>
    <row r="708" spans="1:30" hidden="1" x14ac:dyDescent="0.25">
      <c r="A708" s="2">
        <v>144</v>
      </c>
      <c r="B708" t="s">
        <v>1269</v>
      </c>
      <c r="C708">
        <v>12</v>
      </c>
      <c r="D708">
        <v>135</v>
      </c>
      <c r="E708">
        <v>488</v>
      </c>
      <c r="F708" t="s">
        <v>172</v>
      </c>
      <c r="G708" s="2" t="s">
        <v>156</v>
      </c>
      <c r="H708">
        <v>4</v>
      </c>
      <c r="I708">
        <v>24.76</v>
      </c>
      <c r="J708" s="2" t="s">
        <v>170</v>
      </c>
      <c r="K708" s="2" t="s">
        <v>74</v>
      </c>
      <c r="M708" t="s">
        <v>1477</v>
      </c>
      <c r="P708" s="19" t="s">
        <v>1142</v>
      </c>
      <c r="Q708" s="19" t="s">
        <v>25</v>
      </c>
      <c r="R708" s="19" t="s">
        <v>138</v>
      </c>
      <c r="W708" s="20">
        <v>17</v>
      </c>
      <c r="X708" s="65" t="s">
        <v>1141</v>
      </c>
      <c r="Z708" t="s">
        <v>307</v>
      </c>
      <c r="AB708" t="s">
        <v>178</v>
      </c>
      <c r="AC708" t="s">
        <v>1258</v>
      </c>
      <c r="AD708" s="2" t="s">
        <v>180</v>
      </c>
    </row>
    <row r="709" spans="1:30" hidden="1" x14ac:dyDescent="0.25">
      <c r="A709" s="2">
        <v>145</v>
      </c>
      <c r="B709" t="s">
        <v>1270</v>
      </c>
      <c r="C709">
        <v>12</v>
      </c>
      <c r="D709">
        <v>135</v>
      </c>
      <c r="E709">
        <v>488</v>
      </c>
      <c r="F709" t="s">
        <v>172</v>
      </c>
      <c r="G709" s="2" t="s">
        <v>156</v>
      </c>
      <c r="H709">
        <v>4</v>
      </c>
      <c r="I709">
        <v>24.76</v>
      </c>
      <c r="J709" s="2" t="s">
        <v>170</v>
      </c>
      <c r="K709" s="2" t="s">
        <v>74</v>
      </c>
      <c r="M709" t="s">
        <v>1477</v>
      </c>
      <c r="P709" s="19" t="s">
        <v>1142</v>
      </c>
      <c r="Q709" s="19" t="s">
        <v>25</v>
      </c>
      <c r="R709" s="19" t="s">
        <v>138</v>
      </c>
      <c r="W709" s="20">
        <v>17</v>
      </c>
      <c r="X709" s="65" t="s">
        <v>1141</v>
      </c>
      <c r="Z709" t="s">
        <v>307</v>
      </c>
      <c r="AB709" t="s">
        <v>178</v>
      </c>
      <c r="AC709" t="s">
        <v>1258</v>
      </c>
      <c r="AD709" s="2" t="s">
        <v>180</v>
      </c>
    </row>
    <row r="710" spans="1:30" hidden="1" x14ac:dyDescent="0.25">
      <c r="A710" s="2">
        <v>146</v>
      </c>
      <c r="B710" t="s">
        <v>1271</v>
      </c>
      <c r="C710">
        <v>12</v>
      </c>
      <c r="D710">
        <v>135</v>
      </c>
      <c r="E710">
        <v>488</v>
      </c>
      <c r="F710" t="s">
        <v>172</v>
      </c>
      <c r="G710" s="2" t="s">
        <v>156</v>
      </c>
      <c r="H710">
        <v>4</v>
      </c>
      <c r="I710">
        <v>24.76</v>
      </c>
      <c r="J710" s="2" t="s">
        <v>170</v>
      </c>
      <c r="K710" s="2" t="s">
        <v>74</v>
      </c>
      <c r="M710" t="s">
        <v>1477</v>
      </c>
      <c r="P710" s="19" t="s">
        <v>1142</v>
      </c>
      <c r="Q710" s="19" t="s">
        <v>25</v>
      </c>
      <c r="R710" s="19" t="s">
        <v>138</v>
      </c>
      <c r="W710" s="20">
        <v>17</v>
      </c>
      <c r="X710" s="65" t="s">
        <v>1141</v>
      </c>
      <c r="Z710" t="s">
        <v>307</v>
      </c>
      <c r="AB710" t="s">
        <v>178</v>
      </c>
      <c r="AC710" t="s">
        <v>1258</v>
      </c>
      <c r="AD710" s="2" t="s">
        <v>180</v>
      </c>
    </row>
    <row r="711" spans="1:30" hidden="1" x14ac:dyDescent="0.25">
      <c r="A711" s="2">
        <v>147</v>
      </c>
      <c r="B711" t="s">
        <v>1272</v>
      </c>
      <c r="C711">
        <v>12</v>
      </c>
      <c r="D711">
        <v>135</v>
      </c>
      <c r="E711">
        <v>488</v>
      </c>
      <c r="F711" t="s">
        <v>172</v>
      </c>
      <c r="G711" s="2" t="s">
        <v>156</v>
      </c>
      <c r="H711">
        <v>4</v>
      </c>
      <c r="I711">
        <v>24.76</v>
      </c>
      <c r="J711" s="2" t="s">
        <v>170</v>
      </c>
      <c r="K711" s="2" t="s">
        <v>74</v>
      </c>
      <c r="M711" t="s">
        <v>1477</v>
      </c>
      <c r="P711" s="19" t="s">
        <v>1142</v>
      </c>
      <c r="Q711" s="19" t="s">
        <v>25</v>
      </c>
      <c r="R711" s="19" t="s">
        <v>138</v>
      </c>
      <c r="W711" s="20">
        <v>17</v>
      </c>
      <c r="X711" s="65" t="s">
        <v>1141</v>
      </c>
      <c r="Z711" t="s">
        <v>307</v>
      </c>
      <c r="AB711" t="s">
        <v>178</v>
      </c>
      <c r="AC711" t="s">
        <v>1258</v>
      </c>
      <c r="AD711" s="2" t="s">
        <v>180</v>
      </c>
    </row>
    <row r="712" spans="1:30" hidden="1" x14ac:dyDescent="0.25">
      <c r="A712" s="2">
        <v>148</v>
      </c>
      <c r="B712" t="s">
        <v>1273</v>
      </c>
      <c r="C712">
        <v>12</v>
      </c>
      <c r="D712">
        <v>135</v>
      </c>
      <c r="E712">
        <v>488</v>
      </c>
      <c r="F712" t="s">
        <v>172</v>
      </c>
      <c r="G712" s="2" t="s">
        <v>156</v>
      </c>
      <c r="H712">
        <v>4</v>
      </c>
      <c r="I712">
        <v>24.76</v>
      </c>
      <c r="J712" s="2" t="s">
        <v>170</v>
      </c>
      <c r="K712" s="2" t="s">
        <v>74</v>
      </c>
      <c r="M712" t="s">
        <v>1477</v>
      </c>
      <c r="P712" s="19" t="s">
        <v>1142</v>
      </c>
      <c r="Q712" s="19" t="s">
        <v>25</v>
      </c>
      <c r="R712" s="19" t="s">
        <v>138</v>
      </c>
      <c r="W712" s="20">
        <v>17</v>
      </c>
      <c r="X712" s="65" t="s">
        <v>1141</v>
      </c>
      <c r="Z712" t="s">
        <v>307</v>
      </c>
      <c r="AB712" t="s">
        <v>178</v>
      </c>
      <c r="AC712" t="s">
        <v>1258</v>
      </c>
      <c r="AD712" s="2" t="s">
        <v>180</v>
      </c>
    </row>
    <row r="713" spans="1:30" hidden="1" x14ac:dyDescent="0.25">
      <c r="A713" s="2">
        <v>149</v>
      </c>
      <c r="B713" t="s">
        <v>1274</v>
      </c>
      <c r="C713">
        <v>12</v>
      </c>
      <c r="D713">
        <v>135</v>
      </c>
      <c r="E713">
        <v>488</v>
      </c>
      <c r="F713" t="s">
        <v>172</v>
      </c>
      <c r="G713" s="2" t="s">
        <v>156</v>
      </c>
      <c r="H713">
        <v>4</v>
      </c>
      <c r="I713">
        <v>24.76</v>
      </c>
      <c r="J713" s="2" t="s">
        <v>170</v>
      </c>
      <c r="K713" s="2" t="s">
        <v>74</v>
      </c>
      <c r="M713" t="s">
        <v>1477</v>
      </c>
      <c r="P713" s="19" t="s">
        <v>1142</v>
      </c>
      <c r="Q713" s="19" t="s">
        <v>25</v>
      </c>
      <c r="R713" s="19" t="s">
        <v>138</v>
      </c>
      <c r="W713" s="20">
        <v>17</v>
      </c>
      <c r="X713" s="65" t="s">
        <v>1141</v>
      </c>
      <c r="Z713" t="s">
        <v>307</v>
      </c>
      <c r="AB713" t="s">
        <v>178</v>
      </c>
      <c r="AC713" t="s">
        <v>1258</v>
      </c>
      <c r="AD713" s="2" t="s">
        <v>180</v>
      </c>
    </row>
    <row r="714" spans="1:30" hidden="1" x14ac:dyDescent="0.25">
      <c r="A714" s="2">
        <v>150</v>
      </c>
      <c r="B714" t="s">
        <v>1275</v>
      </c>
      <c r="C714">
        <v>12</v>
      </c>
      <c r="D714">
        <v>135</v>
      </c>
      <c r="E714">
        <v>488</v>
      </c>
      <c r="F714" t="s">
        <v>172</v>
      </c>
      <c r="G714" s="2" t="s">
        <v>156</v>
      </c>
      <c r="H714">
        <v>4</v>
      </c>
      <c r="I714">
        <v>24.76</v>
      </c>
      <c r="J714" s="2" t="s">
        <v>170</v>
      </c>
      <c r="K714" s="2" t="s">
        <v>74</v>
      </c>
      <c r="M714" t="s">
        <v>1477</v>
      </c>
      <c r="P714" s="19" t="s">
        <v>1142</v>
      </c>
      <c r="Q714" s="19" t="s">
        <v>25</v>
      </c>
      <c r="R714" s="19" t="s">
        <v>138</v>
      </c>
      <c r="W714" s="20">
        <v>17</v>
      </c>
      <c r="X714" s="65" t="s">
        <v>1141</v>
      </c>
      <c r="Z714" t="s">
        <v>307</v>
      </c>
      <c r="AB714" t="s">
        <v>178</v>
      </c>
      <c r="AC714" t="s">
        <v>1258</v>
      </c>
      <c r="AD714" s="2" t="s">
        <v>180</v>
      </c>
    </row>
    <row r="715" spans="1:30" hidden="1" x14ac:dyDescent="0.25">
      <c r="A715" s="2">
        <v>151</v>
      </c>
      <c r="B715" t="s">
        <v>1276</v>
      </c>
      <c r="C715">
        <v>12</v>
      </c>
      <c r="D715">
        <v>135</v>
      </c>
      <c r="E715">
        <v>488</v>
      </c>
      <c r="F715" t="s">
        <v>172</v>
      </c>
      <c r="G715" s="2" t="s">
        <v>156</v>
      </c>
      <c r="H715">
        <v>4</v>
      </c>
      <c r="I715">
        <v>24.76</v>
      </c>
      <c r="J715" s="2" t="s">
        <v>170</v>
      </c>
      <c r="K715" s="2" t="s">
        <v>74</v>
      </c>
      <c r="M715" t="s">
        <v>1477</v>
      </c>
      <c r="P715" s="19" t="s">
        <v>1142</v>
      </c>
      <c r="Q715" s="19" t="s">
        <v>25</v>
      </c>
      <c r="R715" s="19" t="s">
        <v>138</v>
      </c>
      <c r="W715" s="20">
        <v>17</v>
      </c>
      <c r="X715" s="65" t="s">
        <v>1141</v>
      </c>
      <c r="Z715" t="s">
        <v>307</v>
      </c>
      <c r="AB715" t="s">
        <v>178</v>
      </c>
      <c r="AC715" t="s">
        <v>1258</v>
      </c>
      <c r="AD715" s="2" t="s">
        <v>180</v>
      </c>
    </row>
    <row r="716" spans="1:30" hidden="1" x14ac:dyDescent="0.25">
      <c r="A716" s="2">
        <v>152</v>
      </c>
      <c r="B716" t="s">
        <v>1194</v>
      </c>
      <c r="C716">
        <v>12</v>
      </c>
      <c r="D716">
        <v>120</v>
      </c>
      <c r="E716">
        <v>129</v>
      </c>
      <c r="F716" t="s">
        <v>172</v>
      </c>
      <c r="G716" s="2" t="s">
        <v>156</v>
      </c>
      <c r="H716">
        <v>2</v>
      </c>
      <c r="I716">
        <v>2.65</v>
      </c>
      <c r="J716" s="2" t="s">
        <v>170</v>
      </c>
      <c r="K716" s="2" t="s">
        <v>74</v>
      </c>
      <c r="M716" t="s">
        <v>1477</v>
      </c>
      <c r="P716" s="19" t="s">
        <v>1142</v>
      </c>
      <c r="Q716" s="19" t="s">
        <v>25</v>
      </c>
      <c r="R716" s="19" t="s">
        <v>138</v>
      </c>
      <c r="W716" s="20">
        <v>17</v>
      </c>
      <c r="X716" s="65" t="s">
        <v>1141</v>
      </c>
      <c r="Z716" t="s">
        <v>307</v>
      </c>
      <c r="AB716" t="s">
        <v>178</v>
      </c>
      <c r="AC716" t="s">
        <v>1277</v>
      </c>
      <c r="AD716" s="2" t="s">
        <v>180</v>
      </c>
    </row>
    <row r="717" spans="1:30" hidden="1" x14ac:dyDescent="0.25">
      <c r="A717" s="2">
        <v>153</v>
      </c>
      <c r="B717" t="s">
        <v>1200</v>
      </c>
      <c r="C717">
        <v>12</v>
      </c>
      <c r="D717">
        <v>120</v>
      </c>
      <c r="E717">
        <v>129</v>
      </c>
      <c r="F717" t="s">
        <v>172</v>
      </c>
      <c r="G717" s="2" t="s">
        <v>156</v>
      </c>
      <c r="H717">
        <v>22</v>
      </c>
      <c r="I717">
        <v>29.13</v>
      </c>
      <c r="J717" s="2" t="s">
        <v>170</v>
      </c>
      <c r="K717" s="2" t="s">
        <v>74</v>
      </c>
      <c r="M717" t="s">
        <v>1477</v>
      </c>
      <c r="P717" s="19" t="s">
        <v>1142</v>
      </c>
      <c r="Q717" s="19" t="s">
        <v>25</v>
      </c>
      <c r="R717" s="19" t="s">
        <v>138</v>
      </c>
      <c r="W717" s="20">
        <v>17</v>
      </c>
      <c r="X717" s="65" t="s">
        <v>1141</v>
      </c>
      <c r="Z717" t="s">
        <v>307</v>
      </c>
      <c r="AB717" t="s">
        <v>178</v>
      </c>
      <c r="AC717" t="s">
        <v>1277</v>
      </c>
      <c r="AD717" s="2" t="s">
        <v>180</v>
      </c>
    </row>
    <row r="718" spans="1:30" hidden="1" x14ac:dyDescent="0.25">
      <c r="A718" s="2">
        <v>154</v>
      </c>
      <c r="B718" t="s">
        <v>1278</v>
      </c>
      <c r="C718">
        <v>12</v>
      </c>
      <c r="D718">
        <v>490</v>
      </c>
      <c r="E718">
        <v>6464</v>
      </c>
      <c r="F718" t="s">
        <v>172</v>
      </c>
      <c r="G718" s="2" t="s">
        <v>156</v>
      </c>
      <c r="H718">
        <v>1</v>
      </c>
      <c r="I718">
        <v>298.16000000000003</v>
      </c>
      <c r="J718" s="2" t="s">
        <v>170</v>
      </c>
      <c r="K718" s="2" t="s">
        <v>74</v>
      </c>
      <c r="M718" t="s">
        <v>1477</v>
      </c>
      <c r="P718" s="19" t="s">
        <v>1142</v>
      </c>
      <c r="Q718" s="19" t="s">
        <v>27</v>
      </c>
      <c r="R718" s="19" t="s">
        <v>138</v>
      </c>
      <c r="W718" s="20">
        <v>17</v>
      </c>
      <c r="X718" s="65" t="s">
        <v>1141</v>
      </c>
      <c r="Z718" t="s">
        <v>307</v>
      </c>
      <c r="AB718" t="s">
        <v>178</v>
      </c>
      <c r="AC718" t="s">
        <v>1277</v>
      </c>
      <c r="AD718" s="2" t="s">
        <v>180</v>
      </c>
    </row>
    <row r="719" spans="1:30" hidden="1" x14ac:dyDescent="0.25">
      <c r="A719" s="2">
        <v>155</v>
      </c>
      <c r="B719" t="s">
        <v>1279</v>
      </c>
      <c r="C719">
        <v>12</v>
      </c>
      <c r="D719">
        <v>120</v>
      </c>
      <c r="E719">
        <v>129</v>
      </c>
      <c r="F719" t="s">
        <v>172</v>
      </c>
      <c r="G719" s="2" t="s">
        <v>156</v>
      </c>
      <c r="H719">
        <v>24</v>
      </c>
      <c r="I719">
        <v>31.78</v>
      </c>
      <c r="J719" s="2" t="s">
        <v>170</v>
      </c>
      <c r="K719" s="2" t="s">
        <v>74</v>
      </c>
      <c r="M719" t="s">
        <v>1477</v>
      </c>
      <c r="P719" s="19" t="s">
        <v>1142</v>
      </c>
      <c r="Q719" s="19" t="s">
        <v>25</v>
      </c>
      <c r="R719" s="19" t="s">
        <v>138</v>
      </c>
      <c r="W719" s="20">
        <v>17</v>
      </c>
      <c r="X719" s="65" t="s">
        <v>1141</v>
      </c>
      <c r="Z719" t="s">
        <v>307</v>
      </c>
      <c r="AB719" t="s">
        <v>178</v>
      </c>
      <c r="AC719" t="s">
        <v>1277</v>
      </c>
      <c r="AD719" s="2" t="s">
        <v>180</v>
      </c>
    </row>
    <row r="720" spans="1:30" hidden="1" x14ac:dyDescent="0.25">
      <c r="A720" s="2">
        <v>156</v>
      </c>
      <c r="B720" t="s">
        <v>1280</v>
      </c>
      <c r="C720">
        <v>12</v>
      </c>
      <c r="D720">
        <v>120</v>
      </c>
      <c r="E720">
        <v>129</v>
      </c>
      <c r="F720" t="s">
        <v>172</v>
      </c>
      <c r="G720" s="2" t="s">
        <v>156</v>
      </c>
      <c r="H720">
        <v>24</v>
      </c>
      <c r="I720">
        <v>31.78</v>
      </c>
      <c r="J720" s="2" t="s">
        <v>170</v>
      </c>
      <c r="K720" s="2" t="s">
        <v>74</v>
      </c>
      <c r="M720" t="s">
        <v>1477</v>
      </c>
      <c r="P720" s="19" t="s">
        <v>1142</v>
      </c>
      <c r="Q720" s="19" t="s">
        <v>25</v>
      </c>
      <c r="R720" s="19" t="s">
        <v>138</v>
      </c>
      <c r="W720" s="20">
        <v>17</v>
      </c>
      <c r="X720" s="65" t="s">
        <v>1141</v>
      </c>
      <c r="Z720" t="s">
        <v>307</v>
      </c>
      <c r="AB720" t="s">
        <v>178</v>
      </c>
      <c r="AC720" t="s">
        <v>1277</v>
      </c>
      <c r="AD720" s="2" t="s">
        <v>180</v>
      </c>
    </row>
    <row r="721" spans="1:30" hidden="1" x14ac:dyDescent="0.25">
      <c r="A721" s="2">
        <v>157</v>
      </c>
      <c r="B721" t="s">
        <v>1281</v>
      </c>
      <c r="C721">
        <v>12</v>
      </c>
      <c r="D721">
        <v>120</v>
      </c>
      <c r="E721">
        <v>129</v>
      </c>
      <c r="F721" t="s">
        <v>172</v>
      </c>
      <c r="G721" s="2" t="s">
        <v>156</v>
      </c>
      <c r="H721">
        <v>24</v>
      </c>
      <c r="I721">
        <v>31.78</v>
      </c>
      <c r="J721" s="2" t="s">
        <v>170</v>
      </c>
      <c r="K721" s="2" t="s">
        <v>74</v>
      </c>
      <c r="M721" t="s">
        <v>1477</v>
      </c>
      <c r="P721" s="19" t="s">
        <v>1142</v>
      </c>
      <c r="Q721" s="19" t="s">
        <v>25</v>
      </c>
      <c r="R721" s="19" t="s">
        <v>138</v>
      </c>
      <c r="W721" s="20">
        <v>17</v>
      </c>
      <c r="X721" s="65" t="s">
        <v>1141</v>
      </c>
      <c r="Z721" t="s">
        <v>307</v>
      </c>
      <c r="AB721" t="s">
        <v>178</v>
      </c>
      <c r="AC721" t="s">
        <v>1277</v>
      </c>
      <c r="AD721" s="2" t="s">
        <v>180</v>
      </c>
    </row>
    <row r="722" spans="1:30" hidden="1" x14ac:dyDescent="0.25">
      <c r="A722" s="2">
        <v>158</v>
      </c>
      <c r="B722" t="s">
        <v>1282</v>
      </c>
      <c r="C722">
        <v>12</v>
      </c>
      <c r="D722">
        <v>120</v>
      </c>
      <c r="E722">
        <v>129</v>
      </c>
      <c r="F722" t="s">
        <v>172</v>
      </c>
      <c r="G722" s="2" t="s">
        <v>156</v>
      </c>
      <c r="H722">
        <v>24</v>
      </c>
      <c r="I722">
        <v>31.78</v>
      </c>
      <c r="J722" s="2" t="s">
        <v>170</v>
      </c>
      <c r="K722" s="2" t="s">
        <v>74</v>
      </c>
      <c r="M722" t="s">
        <v>1477</v>
      </c>
      <c r="P722" s="19" t="s">
        <v>1142</v>
      </c>
      <c r="Q722" s="19" t="s">
        <v>25</v>
      </c>
      <c r="R722" s="19" t="s">
        <v>138</v>
      </c>
      <c r="W722" s="20">
        <v>17</v>
      </c>
      <c r="X722" s="65" t="s">
        <v>1141</v>
      </c>
      <c r="Z722" t="s">
        <v>307</v>
      </c>
      <c r="AB722" t="s">
        <v>178</v>
      </c>
      <c r="AC722" t="s">
        <v>1277</v>
      </c>
      <c r="AD722" s="2" t="s">
        <v>180</v>
      </c>
    </row>
    <row r="723" spans="1:30" hidden="1" x14ac:dyDescent="0.25">
      <c r="A723" s="2">
        <v>159</v>
      </c>
      <c r="B723" t="s">
        <v>1283</v>
      </c>
      <c r="C723">
        <v>12</v>
      </c>
      <c r="D723">
        <v>120</v>
      </c>
      <c r="E723">
        <v>129</v>
      </c>
      <c r="F723" t="s">
        <v>172</v>
      </c>
      <c r="G723" s="2" t="s">
        <v>156</v>
      </c>
      <c r="H723">
        <v>24</v>
      </c>
      <c r="I723">
        <v>31.78</v>
      </c>
      <c r="J723" s="2" t="s">
        <v>170</v>
      </c>
      <c r="K723" s="2" t="s">
        <v>74</v>
      </c>
      <c r="M723" t="s">
        <v>1477</v>
      </c>
      <c r="P723" s="19" t="s">
        <v>1142</v>
      </c>
      <c r="Q723" s="19" t="s">
        <v>25</v>
      </c>
      <c r="R723" s="19" t="s">
        <v>138</v>
      </c>
      <c r="W723" s="20">
        <v>17</v>
      </c>
      <c r="X723" s="65" t="s">
        <v>1141</v>
      </c>
      <c r="Z723" t="s">
        <v>307</v>
      </c>
      <c r="AB723" t="s">
        <v>178</v>
      </c>
      <c r="AC723" t="s">
        <v>1277</v>
      </c>
      <c r="AD723" s="2" t="s">
        <v>180</v>
      </c>
    </row>
    <row r="724" spans="1:30" hidden="1" x14ac:dyDescent="0.25">
      <c r="A724" s="2">
        <v>160</v>
      </c>
      <c r="B724" t="s">
        <v>1284</v>
      </c>
      <c r="C724">
        <v>12</v>
      </c>
      <c r="D724">
        <v>120</v>
      </c>
      <c r="E724">
        <v>129</v>
      </c>
      <c r="F724" t="s">
        <v>172</v>
      </c>
      <c r="G724" s="2" t="s">
        <v>156</v>
      </c>
      <c r="H724">
        <v>24</v>
      </c>
      <c r="I724">
        <v>31.78</v>
      </c>
      <c r="J724" s="2" t="s">
        <v>170</v>
      </c>
      <c r="K724" s="2" t="s">
        <v>74</v>
      </c>
      <c r="M724" t="s">
        <v>1477</v>
      </c>
      <c r="P724" s="19" t="s">
        <v>1142</v>
      </c>
      <c r="Q724" s="19" t="s">
        <v>25</v>
      </c>
      <c r="R724" s="19" t="s">
        <v>138</v>
      </c>
      <c r="W724" s="20">
        <v>17</v>
      </c>
      <c r="X724" s="65" t="s">
        <v>1141</v>
      </c>
      <c r="Z724" t="s">
        <v>307</v>
      </c>
      <c r="AB724" t="s">
        <v>178</v>
      </c>
      <c r="AC724" t="s">
        <v>1277</v>
      </c>
      <c r="AD724" s="2" t="s">
        <v>180</v>
      </c>
    </row>
    <row r="725" spans="1:30" hidden="1" x14ac:dyDescent="0.25">
      <c r="A725" s="2">
        <v>161</v>
      </c>
      <c r="B725" t="s">
        <v>1201</v>
      </c>
      <c r="C725">
        <v>12</v>
      </c>
      <c r="D725">
        <v>135</v>
      </c>
      <c r="E725">
        <v>488</v>
      </c>
      <c r="F725" t="s">
        <v>172</v>
      </c>
      <c r="G725" s="2" t="s">
        <v>156</v>
      </c>
      <c r="H725">
        <v>2</v>
      </c>
      <c r="I725">
        <v>12.38</v>
      </c>
      <c r="J725" s="2" t="s">
        <v>170</v>
      </c>
      <c r="K725" s="2" t="s">
        <v>74</v>
      </c>
      <c r="M725" t="s">
        <v>1477</v>
      </c>
      <c r="P725" s="19" t="s">
        <v>1142</v>
      </c>
      <c r="Q725" s="19" t="s">
        <v>25</v>
      </c>
      <c r="R725" s="19" t="s">
        <v>138</v>
      </c>
      <c r="W725" s="20">
        <v>17</v>
      </c>
      <c r="X725" s="65" t="s">
        <v>1141</v>
      </c>
      <c r="Z725" t="s">
        <v>307</v>
      </c>
      <c r="AB725" t="s">
        <v>178</v>
      </c>
      <c r="AC725" t="s">
        <v>1277</v>
      </c>
      <c r="AD725" s="2" t="s">
        <v>180</v>
      </c>
    </row>
    <row r="726" spans="1:30" hidden="1" x14ac:dyDescent="0.25">
      <c r="A726" s="2">
        <v>162</v>
      </c>
      <c r="B726" t="s">
        <v>1285</v>
      </c>
      <c r="C726">
        <v>12</v>
      </c>
      <c r="D726">
        <v>120</v>
      </c>
      <c r="E726">
        <v>129</v>
      </c>
      <c r="F726" t="s">
        <v>172</v>
      </c>
      <c r="G726" s="2" t="s">
        <v>156</v>
      </c>
      <c r="H726">
        <v>18</v>
      </c>
      <c r="I726">
        <v>23.83</v>
      </c>
      <c r="J726" s="2" t="s">
        <v>170</v>
      </c>
      <c r="K726" s="2" t="s">
        <v>74</v>
      </c>
      <c r="M726" t="s">
        <v>1477</v>
      </c>
      <c r="P726" s="19" t="s">
        <v>1142</v>
      </c>
      <c r="Q726" s="19" t="s">
        <v>25</v>
      </c>
      <c r="R726" s="19" t="s">
        <v>138</v>
      </c>
      <c r="W726" s="20">
        <v>17</v>
      </c>
      <c r="X726" s="65" t="s">
        <v>1141</v>
      </c>
      <c r="Z726" t="s">
        <v>307</v>
      </c>
      <c r="AB726" t="s">
        <v>178</v>
      </c>
      <c r="AC726" t="s">
        <v>1277</v>
      </c>
      <c r="AD726" s="2" t="s">
        <v>180</v>
      </c>
    </row>
    <row r="727" spans="1:30" hidden="1" x14ac:dyDescent="0.25">
      <c r="A727" s="2">
        <v>163</v>
      </c>
      <c r="B727" t="s">
        <v>1286</v>
      </c>
      <c r="C727">
        <v>12</v>
      </c>
      <c r="D727">
        <v>120</v>
      </c>
      <c r="E727">
        <v>129</v>
      </c>
      <c r="F727" t="s">
        <v>172</v>
      </c>
      <c r="G727" s="2" t="s">
        <v>156</v>
      </c>
      <c r="H727">
        <v>18</v>
      </c>
      <c r="I727">
        <v>23.83</v>
      </c>
      <c r="J727" s="2" t="s">
        <v>170</v>
      </c>
      <c r="K727" s="2" t="s">
        <v>74</v>
      </c>
      <c r="M727" t="s">
        <v>1477</v>
      </c>
      <c r="P727" s="19" t="s">
        <v>1142</v>
      </c>
      <c r="Q727" s="19" t="s">
        <v>25</v>
      </c>
      <c r="R727" s="19" t="s">
        <v>138</v>
      </c>
      <c r="W727" s="20">
        <v>17</v>
      </c>
      <c r="X727" s="65" t="s">
        <v>1141</v>
      </c>
      <c r="Z727" t="s">
        <v>307</v>
      </c>
      <c r="AB727" t="s">
        <v>178</v>
      </c>
      <c r="AC727" t="s">
        <v>1277</v>
      </c>
      <c r="AD727" s="2" t="s">
        <v>180</v>
      </c>
    </row>
    <row r="728" spans="1:30" hidden="1" x14ac:dyDescent="0.25">
      <c r="A728" s="2">
        <v>164</v>
      </c>
      <c r="B728" t="s">
        <v>1287</v>
      </c>
      <c r="C728">
        <v>12</v>
      </c>
      <c r="D728">
        <v>120</v>
      </c>
      <c r="E728">
        <v>129</v>
      </c>
      <c r="F728" t="s">
        <v>172</v>
      </c>
      <c r="G728" s="2" t="s">
        <v>156</v>
      </c>
      <c r="H728">
        <v>18</v>
      </c>
      <c r="I728">
        <v>23.83</v>
      </c>
      <c r="J728" s="2" t="s">
        <v>170</v>
      </c>
      <c r="K728" s="2" t="s">
        <v>74</v>
      </c>
      <c r="M728" t="s">
        <v>1477</v>
      </c>
      <c r="P728" s="19" t="s">
        <v>1142</v>
      </c>
      <c r="Q728" s="19" t="s">
        <v>25</v>
      </c>
      <c r="R728" s="19" t="s">
        <v>138</v>
      </c>
      <c r="W728" s="20">
        <v>17</v>
      </c>
      <c r="X728" s="65" t="s">
        <v>1141</v>
      </c>
      <c r="Z728" t="s">
        <v>307</v>
      </c>
      <c r="AB728" t="s">
        <v>178</v>
      </c>
      <c r="AC728" t="s">
        <v>1277</v>
      </c>
      <c r="AD728" s="2" t="s">
        <v>180</v>
      </c>
    </row>
    <row r="729" spans="1:30" hidden="1" x14ac:dyDescent="0.25">
      <c r="A729" s="2">
        <v>165</v>
      </c>
      <c r="B729" t="s">
        <v>1288</v>
      </c>
      <c r="C729">
        <v>12</v>
      </c>
      <c r="D729">
        <v>120</v>
      </c>
      <c r="E729">
        <v>129</v>
      </c>
      <c r="F729" t="s">
        <v>172</v>
      </c>
      <c r="G729" s="2" t="s">
        <v>156</v>
      </c>
      <c r="H729">
        <v>18</v>
      </c>
      <c r="I729">
        <v>23.83</v>
      </c>
      <c r="J729" s="2" t="s">
        <v>170</v>
      </c>
      <c r="K729" s="2" t="s">
        <v>74</v>
      </c>
      <c r="M729" t="s">
        <v>1477</v>
      </c>
      <c r="P729" s="19" t="s">
        <v>1142</v>
      </c>
      <c r="Q729" s="19" t="s">
        <v>25</v>
      </c>
      <c r="R729" s="19" t="s">
        <v>138</v>
      </c>
      <c r="W729" s="20">
        <v>17</v>
      </c>
      <c r="X729" s="65" t="s">
        <v>1141</v>
      </c>
      <c r="Z729" t="s">
        <v>307</v>
      </c>
      <c r="AB729" t="s">
        <v>178</v>
      </c>
      <c r="AC729" t="s">
        <v>1277</v>
      </c>
      <c r="AD729" s="2" t="s">
        <v>180</v>
      </c>
    </row>
    <row r="730" spans="1:30" hidden="1" x14ac:dyDescent="0.25">
      <c r="A730" s="2">
        <v>166</v>
      </c>
      <c r="B730" t="s">
        <v>1289</v>
      </c>
      <c r="C730">
        <v>12</v>
      </c>
      <c r="D730">
        <v>120</v>
      </c>
      <c r="E730">
        <v>129</v>
      </c>
      <c r="F730" t="s">
        <v>172</v>
      </c>
      <c r="G730" s="2" t="s">
        <v>156</v>
      </c>
      <c r="H730">
        <v>18</v>
      </c>
      <c r="I730">
        <v>23.83</v>
      </c>
      <c r="J730" s="2" t="s">
        <v>170</v>
      </c>
      <c r="K730" s="2" t="s">
        <v>74</v>
      </c>
      <c r="M730" t="s">
        <v>1477</v>
      </c>
      <c r="P730" s="19" t="s">
        <v>1142</v>
      </c>
      <c r="Q730" s="19" t="s">
        <v>25</v>
      </c>
      <c r="R730" s="19" t="s">
        <v>138</v>
      </c>
      <c r="W730" s="20">
        <v>17</v>
      </c>
      <c r="X730" s="65" t="s">
        <v>1141</v>
      </c>
      <c r="Z730" t="s">
        <v>307</v>
      </c>
      <c r="AB730" t="s">
        <v>178</v>
      </c>
      <c r="AC730" t="s">
        <v>1277</v>
      </c>
      <c r="AD730" s="2" t="s">
        <v>180</v>
      </c>
    </row>
    <row r="731" spans="1:30" hidden="1" x14ac:dyDescent="0.25">
      <c r="A731" s="2">
        <v>167</v>
      </c>
      <c r="B731" t="s">
        <v>1290</v>
      </c>
      <c r="C731">
        <v>12</v>
      </c>
      <c r="D731">
        <v>120</v>
      </c>
      <c r="E731">
        <v>129</v>
      </c>
      <c r="F731" t="s">
        <v>172</v>
      </c>
      <c r="G731" s="2" t="s">
        <v>156</v>
      </c>
      <c r="H731">
        <v>4</v>
      </c>
      <c r="I731">
        <v>5.3</v>
      </c>
      <c r="J731" s="2" t="s">
        <v>170</v>
      </c>
      <c r="K731" s="2" t="s">
        <v>74</v>
      </c>
      <c r="M731" t="s">
        <v>1477</v>
      </c>
      <c r="P731" s="19" t="s">
        <v>1142</v>
      </c>
      <c r="Q731" s="19" t="s">
        <v>25</v>
      </c>
      <c r="R731" s="19" t="s">
        <v>138</v>
      </c>
      <c r="W731" s="20">
        <v>17</v>
      </c>
      <c r="X731" s="65" t="s">
        <v>1141</v>
      </c>
      <c r="Z731" t="s">
        <v>307</v>
      </c>
      <c r="AB731" t="s">
        <v>178</v>
      </c>
      <c r="AC731" t="s">
        <v>1277</v>
      </c>
      <c r="AD731" s="2" t="s">
        <v>180</v>
      </c>
    </row>
    <row r="732" spans="1:30" hidden="1" x14ac:dyDescent="0.25">
      <c r="A732" s="2">
        <v>168</v>
      </c>
      <c r="B732" t="s">
        <v>1291</v>
      </c>
      <c r="C732">
        <v>12</v>
      </c>
      <c r="D732">
        <v>120</v>
      </c>
      <c r="E732">
        <v>129</v>
      </c>
      <c r="F732" t="s">
        <v>172</v>
      </c>
      <c r="G732" s="2" t="s">
        <v>156</v>
      </c>
      <c r="H732">
        <v>4</v>
      </c>
      <c r="I732">
        <v>5.3</v>
      </c>
      <c r="J732" s="2" t="s">
        <v>170</v>
      </c>
      <c r="K732" s="2" t="s">
        <v>74</v>
      </c>
      <c r="M732" t="s">
        <v>1477</v>
      </c>
      <c r="P732" s="19" t="s">
        <v>1142</v>
      </c>
      <c r="Q732" s="19" t="s">
        <v>25</v>
      </c>
      <c r="R732" s="19" t="s">
        <v>138</v>
      </c>
      <c r="W732" s="20">
        <v>17</v>
      </c>
      <c r="X732" s="65" t="s">
        <v>1141</v>
      </c>
      <c r="Z732" t="s">
        <v>307</v>
      </c>
      <c r="AB732" t="s">
        <v>178</v>
      </c>
      <c r="AC732" t="s">
        <v>1277</v>
      </c>
      <c r="AD732" s="2" t="s">
        <v>180</v>
      </c>
    </row>
    <row r="733" spans="1:30" hidden="1" x14ac:dyDescent="0.25">
      <c r="A733" s="2">
        <v>169</v>
      </c>
      <c r="B733" t="s">
        <v>1292</v>
      </c>
      <c r="C733">
        <v>12</v>
      </c>
      <c r="D733">
        <v>120</v>
      </c>
      <c r="E733">
        <v>129</v>
      </c>
      <c r="F733" t="s">
        <v>172</v>
      </c>
      <c r="G733" s="2" t="s">
        <v>156</v>
      </c>
      <c r="H733">
        <v>4</v>
      </c>
      <c r="I733">
        <v>5.3</v>
      </c>
      <c r="J733" s="2" t="s">
        <v>170</v>
      </c>
      <c r="K733" s="2" t="s">
        <v>74</v>
      </c>
      <c r="M733" t="s">
        <v>1477</v>
      </c>
      <c r="P733" s="19" t="s">
        <v>1142</v>
      </c>
      <c r="Q733" s="19" t="s">
        <v>25</v>
      </c>
      <c r="R733" s="19" t="s">
        <v>138</v>
      </c>
      <c r="W733" s="20">
        <v>17</v>
      </c>
      <c r="X733" s="65" t="s">
        <v>1141</v>
      </c>
      <c r="Z733" t="s">
        <v>307</v>
      </c>
      <c r="AB733" t="s">
        <v>178</v>
      </c>
      <c r="AC733" t="s">
        <v>1277</v>
      </c>
      <c r="AD733" s="2" t="s">
        <v>180</v>
      </c>
    </row>
    <row r="734" spans="1:30" hidden="1" x14ac:dyDescent="0.25">
      <c r="A734" s="2">
        <v>170</v>
      </c>
      <c r="B734" t="s">
        <v>1293</v>
      </c>
      <c r="C734">
        <v>12</v>
      </c>
      <c r="D734">
        <v>120</v>
      </c>
      <c r="E734">
        <v>129</v>
      </c>
      <c r="F734" t="s">
        <v>172</v>
      </c>
      <c r="G734" s="2" t="s">
        <v>156</v>
      </c>
      <c r="H734">
        <v>4</v>
      </c>
      <c r="I734">
        <v>5.3</v>
      </c>
      <c r="J734" s="2" t="s">
        <v>170</v>
      </c>
      <c r="K734" s="2" t="s">
        <v>74</v>
      </c>
      <c r="M734" t="s">
        <v>1477</v>
      </c>
      <c r="P734" s="19" t="s">
        <v>1142</v>
      </c>
      <c r="Q734" s="19" t="s">
        <v>25</v>
      </c>
      <c r="R734" s="19" t="s">
        <v>138</v>
      </c>
      <c r="W734" s="20">
        <v>17</v>
      </c>
      <c r="X734" s="65" t="s">
        <v>1141</v>
      </c>
      <c r="Z734" t="s">
        <v>307</v>
      </c>
      <c r="AB734" t="s">
        <v>178</v>
      </c>
      <c r="AC734" t="s">
        <v>1277</v>
      </c>
      <c r="AD734" s="2" t="s">
        <v>180</v>
      </c>
    </row>
    <row r="735" spans="1:30" hidden="1" x14ac:dyDescent="0.25">
      <c r="A735" s="2">
        <v>171</v>
      </c>
      <c r="B735" t="s">
        <v>1294</v>
      </c>
      <c r="C735">
        <v>12</v>
      </c>
      <c r="D735">
        <v>120</v>
      </c>
      <c r="E735">
        <v>129</v>
      </c>
      <c r="F735" t="s">
        <v>172</v>
      </c>
      <c r="G735" s="2" t="s">
        <v>156</v>
      </c>
      <c r="H735">
        <v>4</v>
      </c>
      <c r="I735">
        <v>5.3</v>
      </c>
      <c r="J735" s="2" t="s">
        <v>170</v>
      </c>
      <c r="K735" s="2" t="s">
        <v>74</v>
      </c>
      <c r="M735" t="s">
        <v>1477</v>
      </c>
      <c r="P735" s="19" t="s">
        <v>1142</v>
      </c>
      <c r="Q735" s="19" t="s">
        <v>25</v>
      </c>
      <c r="R735" s="19" t="s">
        <v>138</v>
      </c>
      <c r="W735" s="20">
        <v>17</v>
      </c>
      <c r="X735" s="65" t="s">
        <v>1141</v>
      </c>
      <c r="Z735" t="s">
        <v>307</v>
      </c>
      <c r="AB735" t="s">
        <v>178</v>
      </c>
      <c r="AC735" t="s">
        <v>1277</v>
      </c>
      <c r="AD735" s="2" t="s">
        <v>180</v>
      </c>
    </row>
    <row r="736" spans="1:30" hidden="1" x14ac:dyDescent="0.25">
      <c r="A736" s="2">
        <v>172</v>
      </c>
      <c r="B736" t="s">
        <v>1295</v>
      </c>
      <c r="C736">
        <v>12</v>
      </c>
      <c r="D736">
        <v>120</v>
      </c>
      <c r="E736">
        <v>129</v>
      </c>
      <c r="F736" t="s">
        <v>172</v>
      </c>
      <c r="G736" s="2" t="s">
        <v>156</v>
      </c>
      <c r="H736">
        <v>4</v>
      </c>
      <c r="I736">
        <v>5.3</v>
      </c>
      <c r="J736" s="2" t="s">
        <v>170</v>
      </c>
      <c r="K736" s="2" t="s">
        <v>74</v>
      </c>
      <c r="M736" t="s">
        <v>1477</v>
      </c>
      <c r="P736" s="19" t="s">
        <v>1142</v>
      </c>
      <c r="Q736" s="19" t="s">
        <v>25</v>
      </c>
      <c r="R736" s="19" t="s">
        <v>138</v>
      </c>
      <c r="W736" s="20">
        <v>17</v>
      </c>
      <c r="X736" s="65" t="s">
        <v>1141</v>
      </c>
      <c r="Z736" t="s">
        <v>307</v>
      </c>
      <c r="AB736" t="s">
        <v>178</v>
      </c>
      <c r="AC736" t="s">
        <v>1277</v>
      </c>
      <c r="AD736" s="2" t="s">
        <v>180</v>
      </c>
    </row>
    <row r="737" spans="1:30" hidden="1" x14ac:dyDescent="0.25">
      <c r="A737" s="2">
        <v>173</v>
      </c>
      <c r="B737" t="s">
        <v>1296</v>
      </c>
      <c r="C737">
        <v>12</v>
      </c>
      <c r="D737">
        <v>120</v>
      </c>
      <c r="E737">
        <v>129</v>
      </c>
      <c r="F737" t="s">
        <v>172</v>
      </c>
      <c r="G737" s="2" t="s">
        <v>156</v>
      </c>
      <c r="H737">
        <v>4</v>
      </c>
      <c r="I737">
        <v>5.3</v>
      </c>
      <c r="J737" s="2" t="s">
        <v>170</v>
      </c>
      <c r="K737" s="2" t="s">
        <v>74</v>
      </c>
      <c r="M737" t="s">
        <v>1477</v>
      </c>
      <c r="P737" s="19" t="s">
        <v>1142</v>
      </c>
      <c r="Q737" s="19" t="s">
        <v>25</v>
      </c>
      <c r="R737" s="19" t="s">
        <v>138</v>
      </c>
      <c r="W737" s="20">
        <v>17</v>
      </c>
      <c r="X737" s="65" t="s">
        <v>1141</v>
      </c>
      <c r="Z737" t="s">
        <v>307</v>
      </c>
      <c r="AB737" t="s">
        <v>178</v>
      </c>
      <c r="AC737" t="s">
        <v>1277</v>
      </c>
      <c r="AD737" s="2" t="s">
        <v>180</v>
      </c>
    </row>
    <row r="738" spans="1:30" hidden="1" x14ac:dyDescent="0.25">
      <c r="A738" s="2">
        <v>174</v>
      </c>
      <c r="B738" t="s">
        <v>1297</v>
      </c>
      <c r="C738">
        <v>12</v>
      </c>
      <c r="D738">
        <v>120</v>
      </c>
      <c r="E738">
        <v>129</v>
      </c>
      <c r="F738" t="s">
        <v>172</v>
      </c>
      <c r="G738" s="2" t="s">
        <v>156</v>
      </c>
      <c r="H738">
        <v>4</v>
      </c>
      <c r="I738">
        <v>5.3</v>
      </c>
      <c r="J738" s="2" t="s">
        <v>170</v>
      </c>
      <c r="K738" s="2" t="s">
        <v>74</v>
      </c>
      <c r="M738" t="s">
        <v>1477</v>
      </c>
      <c r="P738" s="19" t="s">
        <v>1142</v>
      </c>
      <c r="Q738" s="19" t="s">
        <v>25</v>
      </c>
      <c r="R738" s="19" t="s">
        <v>138</v>
      </c>
      <c r="W738" s="20">
        <v>17</v>
      </c>
      <c r="X738" s="65" t="s">
        <v>1141</v>
      </c>
      <c r="Z738" t="s">
        <v>307</v>
      </c>
      <c r="AB738" t="s">
        <v>178</v>
      </c>
      <c r="AC738" t="s">
        <v>1277</v>
      </c>
      <c r="AD738" s="2" t="s">
        <v>180</v>
      </c>
    </row>
    <row r="739" spans="1:30" hidden="1" x14ac:dyDescent="0.25">
      <c r="A739" s="2">
        <v>175</v>
      </c>
      <c r="B739" t="s">
        <v>1298</v>
      </c>
      <c r="C739">
        <v>12</v>
      </c>
      <c r="D739">
        <v>120</v>
      </c>
      <c r="E739">
        <v>129</v>
      </c>
      <c r="F739" t="s">
        <v>172</v>
      </c>
      <c r="G739" s="2" t="s">
        <v>156</v>
      </c>
      <c r="H739">
        <v>24</v>
      </c>
      <c r="I739">
        <v>31.78</v>
      </c>
      <c r="J739" s="2" t="s">
        <v>170</v>
      </c>
      <c r="K739" s="2" t="s">
        <v>74</v>
      </c>
      <c r="M739" t="s">
        <v>1477</v>
      </c>
      <c r="P739" s="19" t="s">
        <v>1142</v>
      </c>
      <c r="Q739" s="19" t="s">
        <v>25</v>
      </c>
      <c r="R739" s="19" t="s">
        <v>138</v>
      </c>
      <c r="W739" s="20">
        <v>17</v>
      </c>
      <c r="X739" s="65" t="s">
        <v>1141</v>
      </c>
      <c r="Z739" t="s">
        <v>307</v>
      </c>
      <c r="AB739" t="s">
        <v>178</v>
      </c>
      <c r="AC739" t="s">
        <v>1277</v>
      </c>
      <c r="AD739" s="2" t="s">
        <v>180</v>
      </c>
    </row>
    <row r="740" spans="1:30" hidden="1" x14ac:dyDescent="0.25">
      <c r="A740" s="2">
        <v>176</v>
      </c>
      <c r="B740" t="s">
        <v>1299</v>
      </c>
      <c r="C740">
        <v>12</v>
      </c>
      <c r="D740">
        <v>120</v>
      </c>
      <c r="E740">
        <v>129</v>
      </c>
      <c r="F740" t="s">
        <v>172</v>
      </c>
      <c r="G740" s="2" t="s">
        <v>156</v>
      </c>
      <c r="H740">
        <v>24</v>
      </c>
      <c r="I740">
        <v>31.78</v>
      </c>
      <c r="J740" s="2" t="s">
        <v>170</v>
      </c>
      <c r="K740" s="2" t="s">
        <v>74</v>
      </c>
      <c r="M740" t="s">
        <v>1477</v>
      </c>
      <c r="P740" s="19" t="s">
        <v>1142</v>
      </c>
      <c r="Q740" s="19" t="s">
        <v>25</v>
      </c>
      <c r="R740" s="19" t="s">
        <v>138</v>
      </c>
      <c r="W740" s="20">
        <v>17</v>
      </c>
      <c r="X740" s="65" t="s">
        <v>1141</v>
      </c>
      <c r="Z740" t="s">
        <v>307</v>
      </c>
      <c r="AB740" t="s">
        <v>178</v>
      </c>
      <c r="AC740" t="s">
        <v>1277</v>
      </c>
      <c r="AD740" s="2" t="s">
        <v>180</v>
      </c>
    </row>
    <row r="741" spans="1:30" hidden="1" x14ac:dyDescent="0.25">
      <c r="A741" s="2">
        <v>177</v>
      </c>
      <c r="B741" t="s">
        <v>1300</v>
      </c>
      <c r="C741">
        <v>12</v>
      </c>
      <c r="D741">
        <v>120</v>
      </c>
      <c r="E741">
        <v>129</v>
      </c>
      <c r="F741" t="s">
        <v>172</v>
      </c>
      <c r="G741" s="2" t="s">
        <v>156</v>
      </c>
      <c r="H741">
        <v>24</v>
      </c>
      <c r="I741">
        <v>31.78</v>
      </c>
      <c r="J741" s="2" t="s">
        <v>170</v>
      </c>
      <c r="K741" s="2" t="s">
        <v>74</v>
      </c>
      <c r="M741" t="s">
        <v>1477</v>
      </c>
      <c r="P741" s="19" t="s">
        <v>1142</v>
      </c>
      <c r="Q741" s="19" t="s">
        <v>25</v>
      </c>
      <c r="R741" s="19" t="s">
        <v>138</v>
      </c>
      <c r="W741" s="20">
        <v>17</v>
      </c>
      <c r="X741" s="65" t="s">
        <v>1141</v>
      </c>
      <c r="Z741" t="s">
        <v>307</v>
      </c>
      <c r="AB741" t="s">
        <v>178</v>
      </c>
      <c r="AC741" t="s">
        <v>1277</v>
      </c>
      <c r="AD741" s="2" t="s">
        <v>180</v>
      </c>
    </row>
    <row r="742" spans="1:30" hidden="1" x14ac:dyDescent="0.25">
      <c r="A742" s="2">
        <v>178</v>
      </c>
      <c r="B742" t="s">
        <v>1301</v>
      </c>
      <c r="C742">
        <v>12</v>
      </c>
      <c r="D742">
        <v>120</v>
      </c>
      <c r="E742">
        <v>129</v>
      </c>
      <c r="F742" t="s">
        <v>172</v>
      </c>
      <c r="G742" s="2" t="s">
        <v>156</v>
      </c>
      <c r="H742">
        <v>24</v>
      </c>
      <c r="I742">
        <v>31.78</v>
      </c>
      <c r="J742" s="2" t="s">
        <v>170</v>
      </c>
      <c r="K742" s="2" t="s">
        <v>74</v>
      </c>
      <c r="M742" t="s">
        <v>1477</v>
      </c>
      <c r="P742" s="19" t="s">
        <v>1142</v>
      </c>
      <c r="Q742" s="19" t="s">
        <v>25</v>
      </c>
      <c r="R742" s="19" t="s">
        <v>138</v>
      </c>
      <c r="W742" s="20">
        <v>17</v>
      </c>
      <c r="X742" s="65" t="s">
        <v>1141</v>
      </c>
      <c r="Z742" t="s">
        <v>307</v>
      </c>
      <c r="AB742" t="s">
        <v>178</v>
      </c>
      <c r="AC742" t="s">
        <v>1277</v>
      </c>
      <c r="AD742" s="2" t="s">
        <v>180</v>
      </c>
    </row>
    <row r="743" spans="1:30" hidden="1" x14ac:dyDescent="0.25">
      <c r="A743" s="2">
        <v>179</v>
      </c>
      <c r="B743" t="s">
        <v>1302</v>
      </c>
      <c r="C743">
        <v>12</v>
      </c>
      <c r="D743">
        <v>120</v>
      </c>
      <c r="E743">
        <v>129</v>
      </c>
      <c r="F743" t="s">
        <v>172</v>
      </c>
      <c r="G743" s="2" t="s">
        <v>156</v>
      </c>
      <c r="H743">
        <v>24</v>
      </c>
      <c r="I743">
        <v>31.78</v>
      </c>
      <c r="J743" s="2" t="s">
        <v>170</v>
      </c>
      <c r="K743" s="2" t="s">
        <v>74</v>
      </c>
      <c r="M743" t="s">
        <v>1477</v>
      </c>
      <c r="P743" s="19" t="s">
        <v>1142</v>
      </c>
      <c r="Q743" s="19" t="s">
        <v>25</v>
      </c>
      <c r="R743" s="19" t="s">
        <v>138</v>
      </c>
      <c r="W743" s="20">
        <v>17</v>
      </c>
      <c r="X743" s="65" t="s">
        <v>1141</v>
      </c>
      <c r="Z743" t="s">
        <v>307</v>
      </c>
      <c r="AB743" t="s">
        <v>178</v>
      </c>
      <c r="AC743" t="s">
        <v>1277</v>
      </c>
      <c r="AD743" s="2" t="s">
        <v>180</v>
      </c>
    </row>
    <row r="744" spans="1:30" hidden="1" x14ac:dyDescent="0.25">
      <c r="A744" s="2">
        <v>180</v>
      </c>
      <c r="B744" t="s">
        <v>1303</v>
      </c>
      <c r="C744">
        <v>12</v>
      </c>
      <c r="D744">
        <v>120</v>
      </c>
      <c r="E744">
        <v>129</v>
      </c>
      <c r="F744" t="s">
        <v>172</v>
      </c>
      <c r="G744" s="2" t="s">
        <v>156</v>
      </c>
      <c r="H744">
        <v>24</v>
      </c>
      <c r="I744">
        <v>31.78</v>
      </c>
      <c r="J744" s="2" t="s">
        <v>170</v>
      </c>
      <c r="K744" s="2" t="s">
        <v>74</v>
      </c>
      <c r="M744" t="s">
        <v>1477</v>
      </c>
      <c r="P744" s="19" t="s">
        <v>1142</v>
      </c>
      <c r="Q744" s="19" t="s">
        <v>25</v>
      </c>
      <c r="R744" s="19" t="s">
        <v>138</v>
      </c>
      <c r="W744" s="20">
        <v>17</v>
      </c>
      <c r="X744" s="65" t="s">
        <v>1141</v>
      </c>
      <c r="Z744" t="s">
        <v>307</v>
      </c>
      <c r="AB744" t="s">
        <v>178</v>
      </c>
      <c r="AC744" t="s">
        <v>1277</v>
      </c>
      <c r="AD744" s="2" t="s">
        <v>180</v>
      </c>
    </row>
    <row r="745" spans="1:30" hidden="1" x14ac:dyDescent="0.25">
      <c r="A745" s="2">
        <v>181</v>
      </c>
      <c r="B745" t="s">
        <v>1304</v>
      </c>
      <c r="C745">
        <v>12</v>
      </c>
      <c r="D745">
        <v>120</v>
      </c>
      <c r="E745">
        <v>129</v>
      </c>
      <c r="F745" t="s">
        <v>172</v>
      </c>
      <c r="G745" s="2" t="s">
        <v>156</v>
      </c>
      <c r="H745">
        <v>24</v>
      </c>
      <c r="I745">
        <v>31.78</v>
      </c>
      <c r="J745" s="2" t="s">
        <v>170</v>
      </c>
      <c r="K745" s="2" t="s">
        <v>74</v>
      </c>
      <c r="M745" t="s">
        <v>1477</v>
      </c>
      <c r="P745" s="19" t="s">
        <v>1142</v>
      </c>
      <c r="Q745" s="19" t="s">
        <v>25</v>
      </c>
      <c r="R745" s="19" t="s">
        <v>138</v>
      </c>
      <c r="W745" s="20">
        <v>17</v>
      </c>
      <c r="X745" s="65" t="s">
        <v>1141</v>
      </c>
      <c r="Z745" t="s">
        <v>307</v>
      </c>
      <c r="AB745" t="s">
        <v>178</v>
      </c>
      <c r="AC745" t="s">
        <v>1277</v>
      </c>
      <c r="AD745" s="2" t="s">
        <v>180</v>
      </c>
    </row>
    <row r="746" spans="1:30" hidden="1" x14ac:dyDescent="0.25">
      <c r="A746" s="2">
        <v>182</v>
      </c>
      <c r="B746" t="s">
        <v>1305</v>
      </c>
      <c r="C746">
        <v>12</v>
      </c>
      <c r="D746">
        <v>120</v>
      </c>
      <c r="E746">
        <v>129</v>
      </c>
      <c r="F746" t="s">
        <v>172</v>
      </c>
      <c r="G746" s="2" t="s">
        <v>156</v>
      </c>
      <c r="H746">
        <v>24</v>
      </c>
      <c r="I746">
        <v>31.78</v>
      </c>
      <c r="J746" s="2" t="s">
        <v>170</v>
      </c>
      <c r="K746" s="2" t="s">
        <v>74</v>
      </c>
      <c r="M746" t="s">
        <v>1477</v>
      </c>
      <c r="P746" s="19" t="s">
        <v>1142</v>
      </c>
      <c r="Q746" s="19" t="s">
        <v>25</v>
      </c>
      <c r="R746" s="19" t="s">
        <v>138</v>
      </c>
      <c r="W746" s="20">
        <v>17</v>
      </c>
      <c r="X746" s="65" t="s">
        <v>1141</v>
      </c>
      <c r="Z746" t="s">
        <v>307</v>
      </c>
      <c r="AB746" t="s">
        <v>178</v>
      </c>
      <c r="AC746" t="s">
        <v>1277</v>
      </c>
      <c r="AD746" s="2" t="s">
        <v>180</v>
      </c>
    </row>
    <row r="747" spans="1:30" hidden="1" x14ac:dyDescent="0.25">
      <c r="A747" s="2">
        <v>183</v>
      </c>
      <c r="B747" t="s">
        <v>1306</v>
      </c>
      <c r="C747">
        <v>12</v>
      </c>
      <c r="D747">
        <v>120</v>
      </c>
      <c r="E747">
        <v>129</v>
      </c>
      <c r="F747" t="s">
        <v>172</v>
      </c>
      <c r="G747" s="2" t="s">
        <v>156</v>
      </c>
      <c r="H747">
        <v>24</v>
      </c>
      <c r="I747">
        <v>31.78</v>
      </c>
      <c r="J747" s="2" t="s">
        <v>170</v>
      </c>
      <c r="K747" s="2" t="s">
        <v>74</v>
      </c>
      <c r="M747" t="s">
        <v>1477</v>
      </c>
      <c r="P747" s="19" t="s">
        <v>1142</v>
      </c>
      <c r="Q747" s="19" t="s">
        <v>25</v>
      </c>
      <c r="R747" s="19" t="s">
        <v>138</v>
      </c>
      <c r="W747" s="20">
        <v>17</v>
      </c>
      <c r="X747" s="65" t="s">
        <v>1141</v>
      </c>
      <c r="Z747" t="s">
        <v>307</v>
      </c>
      <c r="AB747" t="s">
        <v>178</v>
      </c>
      <c r="AC747" t="s">
        <v>1277</v>
      </c>
      <c r="AD747" s="2" t="s">
        <v>180</v>
      </c>
    </row>
    <row r="748" spans="1:30" hidden="1" x14ac:dyDescent="0.25">
      <c r="A748" s="2">
        <v>184</v>
      </c>
      <c r="B748" t="s">
        <v>1307</v>
      </c>
      <c r="C748">
        <v>12</v>
      </c>
      <c r="D748">
        <v>120</v>
      </c>
      <c r="E748">
        <v>129</v>
      </c>
      <c r="F748" t="s">
        <v>172</v>
      </c>
      <c r="G748" s="2" t="s">
        <v>156</v>
      </c>
      <c r="H748">
        <v>24</v>
      </c>
      <c r="I748">
        <v>31.78</v>
      </c>
      <c r="J748" s="2" t="s">
        <v>170</v>
      </c>
      <c r="K748" s="2" t="s">
        <v>74</v>
      </c>
      <c r="M748" t="s">
        <v>1477</v>
      </c>
      <c r="P748" s="19" t="s">
        <v>1142</v>
      </c>
      <c r="Q748" s="19" t="s">
        <v>25</v>
      </c>
      <c r="R748" s="19" t="s">
        <v>138</v>
      </c>
      <c r="W748" s="20">
        <v>17</v>
      </c>
      <c r="X748" s="65" t="s">
        <v>1141</v>
      </c>
      <c r="Z748" t="s">
        <v>307</v>
      </c>
      <c r="AB748" t="s">
        <v>178</v>
      </c>
      <c r="AC748" t="s">
        <v>1277</v>
      </c>
      <c r="AD748" s="2" t="s">
        <v>180</v>
      </c>
    </row>
    <row r="749" spans="1:30" hidden="1" x14ac:dyDescent="0.25">
      <c r="A749" s="2">
        <v>185</v>
      </c>
      <c r="B749" t="s">
        <v>1308</v>
      </c>
      <c r="C749">
        <v>12</v>
      </c>
      <c r="D749">
        <v>120</v>
      </c>
      <c r="E749">
        <v>129</v>
      </c>
      <c r="F749" t="s">
        <v>172</v>
      </c>
      <c r="G749" s="2" t="s">
        <v>156</v>
      </c>
      <c r="H749">
        <v>18</v>
      </c>
      <c r="I749">
        <v>23.83</v>
      </c>
      <c r="J749" s="2" t="s">
        <v>170</v>
      </c>
      <c r="K749" s="2" t="s">
        <v>74</v>
      </c>
      <c r="M749" t="s">
        <v>1477</v>
      </c>
      <c r="P749" s="19" t="s">
        <v>1142</v>
      </c>
      <c r="Q749" s="19" t="s">
        <v>25</v>
      </c>
      <c r="R749" s="19" t="s">
        <v>138</v>
      </c>
      <c r="W749" s="20">
        <v>17</v>
      </c>
      <c r="X749" s="65" t="s">
        <v>1141</v>
      </c>
      <c r="Z749" t="s">
        <v>307</v>
      </c>
      <c r="AB749" t="s">
        <v>178</v>
      </c>
      <c r="AC749" t="s">
        <v>1277</v>
      </c>
      <c r="AD749" s="2" t="s">
        <v>180</v>
      </c>
    </row>
    <row r="750" spans="1:30" hidden="1" x14ac:dyDescent="0.25">
      <c r="A750" s="2">
        <v>186</v>
      </c>
      <c r="B750" t="s">
        <v>1309</v>
      </c>
      <c r="C750">
        <v>12</v>
      </c>
      <c r="D750">
        <v>120</v>
      </c>
      <c r="E750">
        <v>129</v>
      </c>
      <c r="F750" t="s">
        <v>172</v>
      </c>
      <c r="G750" s="2" t="s">
        <v>156</v>
      </c>
      <c r="H750">
        <v>18</v>
      </c>
      <c r="I750">
        <v>23.83</v>
      </c>
      <c r="J750" s="2" t="s">
        <v>170</v>
      </c>
      <c r="K750" s="2" t="s">
        <v>74</v>
      </c>
      <c r="M750" t="s">
        <v>1477</v>
      </c>
      <c r="P750" s="19" t="s">
        <v>1142</v>
      </c>
      <c r="Q750" s="19" t="s">
        <v>25</v>
      </c>
      <c r="R750" s="19" t="s">
        <v>138</v>
      </c>
      <c r="W750" s="20">
        <v>17</v>
      </c>
      <c r="X750" s="65" t="s">
        <v>1141</v>
      </c>
      <c r="Z750" t="s">
        <v>307</v>
      </c>
      <c r="AB750" t="s">
        <v>178</v>
      </c>
      <c r="AC750" t="s">
        <v>1277</v>
      </c>
      <c r="AD750" s="2" t="s">
        <v>180</v>
      </c>
    </row>
    <row r="751" spans="1:30" hidden="1" x14ac:dyDescent="0.25">
      <c r="A751" s="2">
        <v>187</v>
      </c>
      <c r="B751" t="s">
        <v>1310</v>
      </c>
      <c r="C751">
        <v>12</v>
      </c>
      <c r="D751">
        <v>120</v>
      </c>
      <c r="E751">
        <v>129</v>
      </c>
      <c r="F751" t="s">
        <v>172</v>
      </c>
      <c r="G751" s="2" t="s">
        <v>156</v>
      </c>
      <c r="H751">
        <v>18</v>
      </c>
      <c r="I751">
        <v>23.83</v>
      </c>
      <c r="J751" s="2" t="s">
        <v>170</v>
      </c>
      <c r="K751" s="2" t="s">
        <v>74</v>
      </c>
      <c r="M751" t="s">
        <v>1477</v>
      </c>
      <c r="P751" s="19" t="s">
        <v>1142</v>
      </c>
      <c r="Q751" s="19" t="s">
        <v>25</v>
      </c>
      <c r="R751" s="19" t="s">
        <v>138</v>
      </c>
      <c r="W751" s="20">
        <v>17</v>
      </c>
      <c r="X751" s="65" t="s">
        <v>1141</v>
      </c>
      <c r="Z751" t="s">
        <v>307</v>
      </c>
      <c r="AB751" t="s">
        <v>178</v>
      </c>
      <c r="AC751" t="s">
        <v>1277</v>
      </c>
      <c r="AD751" s="2" t="s">
        <v>180</v>
      </c>
    </row>
    <row r="752" spans="1:30" hidden="1" x14ac:dyDescent="0.25">
      <c r="A752" s="2">
        <v>188</v>
      </c>
      <c r="B752" t="s">
        <v>1311</v>
      </c>
      <c r="C752">
        <v>12</v>
      </c>
      <c r="D752">
        <v>120</v>
      </c>
      <c r="E752">
        <v>129</v>
      </c>
      <c r="F752" t="s">
        <v>172</v>
      </c>
      <c r="G752" s="2" t="s">
        <v>156</v>
      </c>
      <c r="H752">
        <v>18</v>
      </c>
      <c r="I752">
        <v>23.83</v>
      </c>
      <c r="J752" s="2" t="s">
        <v>170</v>
      </c>
      <c r="K752" s="2" t="s">
        <v>74</v>
      </c>
      <c r="M752" t="s">
        <v>1477</v>
      </c>
      <c r="P752" s="19" t="s">
        <v>1142</v>
      </c>
      <c r="Q752" s="19" t="s">
        <v>25</v>
      </c>
      <c r="R752" s="19" t="s">
        <v>138</v>
      </c>
      <c r="W752" s="20">
        <v>17</v>
      </c>
      <c r="X752" s="65" t="s">
        <v>1141</v>
      </c>
      <c r="Z752" t="s">
        <v>307</v>
      </c>
      <c r="AB752" t="s">
        <v>178</v>
      </c>
      <c r="AC752" t="s">
        <v>1277</v>
      </c>
      <c r="AD752" s="2" t="s">
        <v>180</v>
      </c>
    </row>
    <row r="753" spans="1:30" hidden="1" x14ac:dyDescent="0.25">
      <c r="A753" s="2">
        <v>189</v>
      </c>
      <c r="B753" t="s">
        <v>1312</v>
      </c>
      <c r="C753">
        <v>12</v>
      </c>
      <c r="D753">
        <v>120</v>
      </c>
      <c r="E753">
        <v>129</v>
      </c>
      <c r="F753" t="s">
        <v>172</v>
      </c>
      <c r="G753" s="2" t="s">
        <v>156</v>
      </c>
      <c r="H753">
        <v>18</v>
      </c>
      <c r="I753">
        <v>23.83</v>
      </c>
      <c r="J753" s="2" t="s">
        <v>170</v>
      </c>
      <c r="K753" s="2" t="s">
        <v>74</v>
      </c>
      <c r="M753" t="s">
        <v>1477</v>
      </c>
      <c r="P753" s="19" t="s">
        <v>1142</v>
      </c>
      <c r="Q753" s="19" t="s">
        <v>25</v>
      </c>
      <c r="R753" s="19" t="s">
        <v>138</v>
      </c>
      <c r="W753" s="20">
        <v>17</v>
      </c>
      <c r="X753" s="65" t="s">
        <v>1141</v>
      </c>
      <c r="Z753" t="s">
        <v>307</v>
      </c>
      <c r="AB753" t="s">
        <v>178</v>
      </c>
      <c r="AC753" t="s">
        <v>1277</v>
      </c>
      <c r="AD753" s="2" t="s">
        <v>180</v>
      </c>
    </row>
    <row r="754" spans="1:30" hidden="1" x14ac:dyDescent="0.25">
      <c r="A754" s="2">
        <v>190</v>
      </c>
      <c r="B754" t="s">
        <v>1313</v>
      </c>
      <c r="C754">
        <v>12</v>
      </c>
      <c r="D754">
        <v>120</v>
      </c>
      <c r="E754">
        <v>129</v>
      </c>
      <c r="F754" t="s">
        <v>172</v>
      </c>
      <c r="G754" s="2" t="s">
        <v>156</v>
      </c>
      <c r="H754">
        <v>4</v>
      </c>
      <c r="I754">
        <v>5.3</v>
      </c>
      <c r="J754" s="2" t="s">
        <v>170</v>
      </c>
      <c r="K754" s="2" t="s">
        <v>74</v>
      </c>
      <c r="M754" t="s">
        <v>1477</v>
      </c>
      <c r="P754" s="19" t="s">
        <v>1142</v>
      </c>
      <c r="Q754" s="19" t="s">
        <v>25</v>
      </c>
      <c r="R754" s="19" t="s">
        <v>138</v>
      </c>
      <c r="W754" s="20">
        <v>17</v>
      </c>
      <c r="X754" s="65" t="s">
        <v>1141</v>
      </c>
      <c r="Z754" t="s">
        <v>307</v>
      </c>
      <c r="AB754" t="s">
        <v>178</v>
      </c>
      <c r="AC754" t="s">
        <v>1277</v>
      </c>
      <c r="AD754" s="2" t="s">
        <v>180</v>
      </c>
    </row>
    <row r="755" spans="1:30" hidden="1" x14ac:dyDescent="0.25">
      <c r="A755" s="2">
        <v>191</v>
      </c>
      <c r="B755" t="s">
        <v>1314</v>
      </c>
      <c r="C755">
        <v>12</v>
      </c>
      <c r="D755">
        <v>120</v>
      </c>
      <c r="E755">
        <v>129</v>
      </c>
      <c r="F755" t="s">
        <v>172</v>
      </c>
      <c r="G755" s="2" t="s">
        <v>156</v>
      </c>
      <c r="H755">
        <v>4</v>
      </c>
      <c r="I755">
        <v>5.3</v>
      </c>
      <c r="J755" s="2" t="s">
        <v>170</v>
      </c>
      <c r="K755" s="2" t="s">
        <v>74</v>
      </c>
      <c r="M755" t="s">
        <v>1477</v>
      </c>
      <c r="P755" s="19" t="s">
        <v>1142</v>
      </c>
      <c r="Q755" s="19" t="s">
        <v>25</v>
      </c>
      <c r="R755" s="19" t="s">
        <v>138</v>
      </c>
      <c r="W755" s="20">
        <v>17</v>
      </c>
      <c r="X755" s="65" t="s">
        <v>1141</v>
      </c>
      <c r="Z755" t="s">
        <v>307</v>
      </c>
      <c r="AB755" t="s">
        <v>178</v>
      </c>
      <c r="AC755" t="s">
        <v>1277</v>
      </c>
      <c r="AD755" s="2" t="s">
        <v>180</v>
      </c>
    </row>
    <row r="756" spans="1:30" hidden="1" x14ac:dyDescent="0.25">
      <c r="A756" s="2">
        <v>192</v>
      </c>
      <c r="B756" t="s">
        <v>1315</v>
      </c>
      <c r="C756">
        <v>12</v>
      </c>
      <c r="D756">
        <v>120</v>
      </c>
      <c r="E756">
        <v>129</v>
      </c>
      <c r="F756" t="s">
        <v>172</v>
      </c>
      <c r="G756" s="2" t="s">
        <v>156</v>
      </c>
      <c r="H756">
        <v>4</v>
      </c>
      <c r="I756">
        <v>5.3</v>
      </c>
      <c r="J756" s="2" t="s">
        <v>170</v>
      </c>
      <c r="K756" s="2" t="s">
        <v>74</v>
      </c>
      <c r="M756" t="s">
        <v>1477</v>
      </c>
      <c r="P756" s="19" t="s">
        <v>1142</v>
      </c>
      <c r="Q756" s="19" t="s">
        <v>25</v>
      </c>
      <c r="R756" s="19" t="s">
        <v>138</v>
      </c>
      <c r="W756" s="20">
        <v>17</v>
      </c>
      <c r="X756" s="65" t="s">
        <v>1141</v>
      </c>
      <c r="Z756" t="s">
        <v>307</v>
      </c>
      <c r="AB756" t="s">
        <v>178</v>
      </c>
      <c r="AC756" t="s">
        <v>1277</v>
      </c>
      <c r="AD756" s="2" t="s">
        <v>180</v>
      </c>
    </row>
    <row r="757" spans="1:30" hidden="1" x14ac:dyDescent="0.25">
      <c r="A757" s="2">
        <v>193</v>
      </c>
      <c r="B757" t="s">
        <v>1316</v>
      </c>
      <c r="C757">
        <v>12</v>
      </c>
      <c r="D757">
        <v>120</v>
      </c>
      <c r="E757">
        <v>129</v>
      </c>
      <c r="F757" t="s">
        <v>172</v>
      </c>
      <c r="G757" s="2" t="s">
        <v>156</v>
      </c>
      <c r="H757">
        <v>4</v>
      </c>
      <c r="I757">
        <v>5.3</v>
      </c>
      <c r="J757" s="2" t="s">
        <v>170</v>
      </c>
      <c r="K757" s="2" t="s">
        <v>74</v>
      </c>
      <c r="M757" t="s">
        <v>1477</v>
      </c>
      <c r="P757" s="19" t="s">
        <v>1142</v>
      </c>
      <c r="Q757" s="19" t="s">
        <v>25</v>
      </c>
      <c r="R757" s="19" t="s">
        <v>138</v>
      </c>
      <c r="W757" s="20">
        <v>17</v>
      </c>
      <c r="X757" s="65" t="s">
        <v>1141</v>
      </c>
      <c r="Z757" t="s">
        <v>307</v>
      </c>
      <c r="AB757" t="s">
        <v>178</v>
      </c>
      <c r="AC757" t="s">
        <v>1277</v>
      </c>
      <c r="AD757" s="2" t="s">
        <v>180</v>
      </c>
    </row>
    <row r="758" spans="1:30" hidden="1" x14ac:dyDescent="0.25">
      <c r="A758" s="2">
        <v>194</v>
      </c>
      <c r="B758" t="s">
        <v>1317</v>
      </c>
      <c r="C758">
        <v>12</v>
      </c>
      <c r="D758">
        <v>120</v>
      </c>
      <c r="E758">
        <v>129</v>
      </c>
      <c r="F758" t="s">
        <v>172</v>
      </c>
      <c r="G758" s="2" t="s">
        <v>156</v>
      </c>
      <c r="H758">
        <v>4</v>
      </c>
      <c r="I758">
        <v>5.3</v>
      </c>
      <c r="J758" s="2" t="s">
        <v>170</v>
      </c>
      <c r="K758" s="2" t="s">
        <v>74</v>
      </c>
      <c r="M758" t="s">
        <v>1477</v>
      </c>
      <c r="P758" s="19" t="s">
        <v>1142</v>
      </c>
      <c r="Q758" s="19" t="s">
        <v>25</v>
      </c>
      <c r="R758" s="19" t="s">
        <v>138</v>
      </c>
      <c r="W758" s="20">
        <v>17</v>
      </c>
      <c r="X758" s="65" t="s">
        <v>1141</v>
      </c>
      <c r="Z758" t="s">
        <v>307</v>
      </c>
      <c r="AB758" t="s">
        <v>178</v>
      </c>
      <c r="AC758" t="s">
        <v>1277</v>
      </c>
      <c r="AD758" s="2" t="s">
        <v>180</v>
      </c>
    </row>
    <row r="759" spans="1:30" hidden="1" x14ac:dyDescent="0.25">
      <c r="A759" s="2">
        <v>195</v>
      </c>
      <c r="B759" t="s">
        <v>1318</v>
      </c>
      <c r="C759">
        <v>12</v>
      </c>
      <c r="D759">
        <v>120</v>
      </c>
      <c r="E759">
        <v>129</v>
      </c>
      <c r="F759" t="s">
        <v>172</v>
      </c>
      <c r="G759" s="2" t="s">
        <v>156</v>
      </c>
      <c r="H759">
        <v>4</v>
      </c>
      <c r="I759">
        <v>5.3</v>
      </c>
      <c r="J759" s="2" t="s">
        <v>170</v>
      </c>
      <c r="K759" s="2" t="s">
        <v>74</v>
      </c>
      <c r="M759" t="s">
        <v>1477</v>
      </c>
      <c r="P759" s="19" t="s">
        <v>1142</v>
      </c>
      <c r="Q759" s="19" t="s">
        <v>25</v>
      </c>
      <c r="R759" s="19" t="s">
        <v>138</v>
      </c>
      <c r="W759" s="20">
        <v>17</v>
      </c>
      <c r="X759" s="65" t="s">
        <v>1141</v>
      </c>
      <c r="Z759" t="s">
        <v>307</v>
      </c>
      <c r="AB759" t="s">
        <v>178</v>
      </c>
      <c r="AC759" t="s">
        <v>1277</v>
      </c>
      <c r="AD759" s="2" t="s">
        <v>180</v>
      </c>
    </row>
    <row r="760" spans="1:30" hidden="1" x14ac:dyDescent="0.25">
      <c r="A760" s="2">
        <v>196</v>
      </c>
      <c r="B760" t="s">
        <v>1319</v>
      </c>
      <c r="C760">
        <v>12</v>
      </c>
      <c r="D760">
        <v>120</v>
      </c>
      <c r="E760">
        <v>129</v>
      </c>
      <c r="F760" t="s">
        <v>172</v>
      </c>
      <c r="G760" s="2" t="s">
        <v>156</v>
      </c>
      <c r="H760">
        <v>4</v>
      </c>
      <c r="I760">
        <v>5.3</v>
      </c>
      <c r="J760" s="2" t="s">
        <v>170</v>
      </c>
      <c r="K760" s="2" t="s">
        <v>74</v>
      </c>
      <c r="M760" t="s">
        <v>1477</v>
      </c>
      <c r="P760" s="19" t="s">
        <v>1142</v>
      </c>
      <c r="Q760" s="19" t="s">
        <v>25</v>
      </c>
      <c r="R760" s="19" t="s">
        <v>138</v>
      </c>
      <c r="W760" s="20">
        <v>17</v>
      </c>
      <c r="X760" s="65" t="s">
        <v>1141</v>
      </c>
      <c r="Z760" t="s">
        <v>307</v>
      </c>
      <c r="AB760" t="s">
        <v>178</v>
      </c>
      <c r="AC760" t="s">
        <v>1277</v>
      </c>
      <c r="AD760" s="2" t="s">
        <v>180</v>
      </c>
    </row>
    <row r="761" spans="1:30" hidden="1" x14ac:dyDescent="0.25">
      <c r="A761" s="2">
        <v>197</v>
      </c>
      <c r="B761" t="s">
        <v>1320</v>
      </c>
      <c r="C761">
        <v>12</v>
      </c>
      <c r="D761">
        <v>120</v>
      </c>
      <c r="E761">
        <v>129</v>
      </c>
      <c r="F761" t="s">
        <v>172</v>
      </c>
      <c r="G761" s="2" t="s">
        <v>156</v>
      </c>
      <c r="H761">
        <v>4</v>
      </c>
      <c r="I761">
        <v>5.3</v>
      </c>
      <c r="J761" s="2" t="s">
        <v>170</v>
      </c>
      <c r="K761" s="2" t="s">
        <v>74</v>
      </c>
      <c r="M761" t="s">
        <v>1477</v>
      </c>
      <c r="P761" s="19" t="s">
        <v>1142</v>
      </c>
      <c r="Q761" s="19" t="s">
        <v>25</v>
      </c>
      <c r="R761" s="19" t="s">
        <v>138</v>
      </c>
      <c r="W761" s="20">
        <v>17</v>
      </c>
      <c r="X761" s="65" t="s">
        <v>1141</v>
      </c>
      <c r="Z761" t="s">
        <v>307</v>
      </c>
      <c r="AB761" t="s">
        <v>178</v>
      </c>
      <c r="AC761" t="s">
        <v>1277</v>
      </c>
      <c r="AD761" s="2" t="s">
        <v>180</v>
      </c>
    </row>
    <row r="762" spans="1:30" hidden="1" x14ac:dyDescent="0.25">
      <c r="A762" s="2">
        <v>198</v>
      </c>
      <c r="B762" t="s">
        <v>1321</v>
      </c>
      <c r="C762">
        <v>12</v>
      </c>
      <c r="D762">
        <v>130</v>
      </c>
      <c r="E762">
        <v>263</v>
      </c>
      <c r="F762" t="s">
        <v>172</v>
      </c>
      <c r="G762" s="2" t="s">
        <v>156</v>
      </c>
      <c r="H762">
        <v>1</v>
      </c>
      <c r="I762">
        <v>3.21</v>
      </c>
      <c r="J762" s="2" t="s">
        <v>170</v>
      </c>
      <c r="K762" s="2" t="s">
        <v>74</v>
      </c>
      <c r="M762" t="s">
        <v>1477</v>
      </c>
      <c r="P762" s="19" t="s">
        <v>1142</v>
      </c>
      <c r="Q762" s="19" t="s">
        <v>25</v>
      </c>
      <c r="R762" s="19" t="s">
        <v>138</v>
      </c>
      <c r="W762" s="20">
        <v>17</v>
      </c>
      <c r="X762" s="65" t="s">
        <v>1141</v>
      </c>
      <c r="Z762" t="s">
        <v>307</v>
      </c>
      <c r="AB762" t="s">
        <v>178</v>
      </c>
      <c r="AC762" t="s">
        <v>1277</v>
      </c>
      <c r="AD762" s="2" t="s">
        <v>180</v>
      </c>
    </row>
    <row r="763" spans="1:30" hidden="1" x14ac:dyDescent="0.25">
      <c r="A763" s="2">
        <v>199</v>
      </c>
      <c r="B763" t="s">
        <v>1322</v>
      </c>
      <c r="C763">
        <v>12</v>
      </c>
      <c r="D763">
        <v>490</v>
      </c>
      <c r="E763">
        <v>9980</v>
      </c>
      <c r="F763" t="s">
        <v>172</v>
      </c>
      <c r="G763" s="2" t="s">
        <v>156</v>
      </c>
      <c r="H763">
        <v>1</v>
      </c>
      <c r="I763">
        <v>460.46</v>
      </c>
      <c r="J763" s="2" t="s">
        <v>170</v>
      </c>
      <c r="K763" s="2" t="s">
        <v>74</v>
      </c>
      <c r="M763" t="s">
        <v>1477</v>
      </c>
      <c r="P763" s="19" t="s">
        <v>1142</v>
      </c>
      <c r="Q763" s="19" t="s">
        <v>27</v>
      </c>
      <c r="R763" s="19" t="s">
        <v>138</v>
      </c>
      <c r="W763" s="20">
        <v>17</v>
      </c>
      <c r="X763" s="65" t="s">
        <v>1141</v>
      </c>
      <c r="Z763" t="s">
        <v>307</v>
      </c>
      <c r="AB763" t="s">
        <v>178</v>
      </c>
      <c r="AC763" t="s">
        <v>1323</v>
      </c>
      <c r="AD763" s="2" t="s">
        <v>180</v>
      </c>
    </row>
    <row r="764" spans="1:30" hidden="1" x14ac:dyDescent="0.25">
      <c r="A764" s="2">
        <v>200</v>
      </c>
      <c r="B764" t="s">
        <v>1324</v>
      </c>
      <c r="C764">
        <v>12</v>
      </c>
      <c r="D764">
        <v>490</v>
      </c>
      <c r="E764">
        <v>9980</v>
      </c>
      <c r="F764" t="s">
        <v>172</v>
      </c>
      <c r="G764" s="2" t="s">
        <v>156</v>
      </c>
      <c r="H764">
        <v>1</v>
      </c>
      <c r="I764">
        <v>460.46</v>
      </c>
      <c r="J764" s="2" t="s">
        <v>170</v>
      </c>
      <c r="K764" s="2" t="s">
        <v>74</v>
      </c>
      <c r="M764" t="s">
        <v>1477</v>
      </c>
      <c r="P764" s="19" t="s">
        <v>1142</v>
      </c>
      <c r="Q764" s="19" t="s">
        <v>27</v>
      </c>
      <c r="R764" s="19" t="s">
        <v>138</v>
      </c>
      <c r="W764" s="20">
        <v>17</v>
      </c>
      <c r="X764" s="65" t="s">
        <v>1141</v>
      </c>
      <c r="Z764" t="s">
        <v>307</v>
      </c>
      <c r="AB764" t="s">
        <v>178</v>
      </c>
      <c r="AC764" t="s">
        <v>1323</v>
      </c>
      <c r="AD764" s="2" t="s">
        <v>180</v>
      </c>
    </row>
    <row r="765" spans="1:30" hidden="1" x14ac:dyDescent="0.25">
      <c r="A765" s="2">
        <v>201</v>
      </c>
      <c r="B765" t="s">
        <v>1325</v>
      </c>
      <c r="C765">
        <v>12</v>
      </c>
      <c r="D765">
        <v>490</v>
      </c>
      <c r="E765">
        <v>6464</v>
      </c>
      <c r="F765" t="s">
        <v>172</v>
      </c>
      <c r="G765" s="2" t="s">
        <v>156</v>
      </c>
      <c r="H765">
        <v>1</v>
      </c>
      <c r="I765">
        <v>298.16000000000003</v>
      </c>
      <c r="J765" s="2" t="s">
        <v>170</v>
      </c>
      <c r="K765" s="2" t="s">
        <v>74</v>
      </c>
      <c r="M765" t="s">
        <v>1477</v>
      </c>
      <c r="P765" s="19" t="s">
        <v>1142</v>
      </c>
      <c r="Q765" s="19" t="s">
        <v>27</v>
      </c>
      <c r="R765" s="19" t="s">
        <v>138</v>
      </c>
      <c r="W765" s="20">
        <v>17</v>
      </c>
      <c r="X765" s="65" t="s">
        <v>1141</v>
      </c>
      <c r="Z765" t="s">
        <v>307</v>
      </c>
      <c r="AB765" t="s">
        <v>178</v>
      </c>
      <c r="AC765" t="s">
        <v>1326</v>
      </c>
      <c r="AD765" s="2" t="s">
        <v>180</v>
      </c>
    </row>
    <row r="766" spans="1:30" hidden="1" x14ac:dyDescent="0.25">
      <c r="A766" s="2">
        <v>202</v>
      </c>
      <c r="B766" t="s">
        <v>1327</v>
      </c>
      <c r="C766">
        <v>12</v>
      </c>
      <c r="D766">
        <v>490</v>
      </c>
      <c r="E766">
        <v>6464</v>
      </c>
      <c r="F766" t="s">
        <v>172</v>
      </c>
      <c r="G766" s="2" t="s">
        <v>156</v>
      </c>
      <c r="H766">
        <v>1</v>
      </c>
      <c r="I766">
        <v>298.16000000000003</v>
      </c>
      <c r="J766" s="2" t="s">
        <v>170</v>
      </c>
      <c r="K766" s="2" t="s">
        <v>74</v>
      </c>
      <c r="M766" t="s">
        <v>1477</v>
      </c>
      <c r="P766" s="19" t="s">
        <v>1142</v>
      </c>
      <c r="Q766" s="19" t="s">
        <v>27</v>
      </c>
      <c r="R766" s="19" t="s">
        <v>138</v>
      </c>
      <c r="W766" s="20">
        <v>17</v>
      </c>
      <c r="X766" s="65" t="s">
        <v>1141</v>
      </c>
      <c r="Z766" t="s">
        <v>307</v>
      </c>
      <c r="AB766" t="s">
        <v>178</v>
      </c>
      <c r="AC766" t="s">
        <v>1326</v>
      </c>
      <c r="AD766" s="2" t="s">
        <v>180</v>
      </c>
    </row>
    <row r="767" spans="1:30" hidden="1" x14ac:dyDescent="0.25">
      <c r="A767" s="2">
        <v>203</v>
      </c>
      <c r="B767" t="s">
        <v>1328</v>
      </c>
      <c r="C767">
        <v>12</v>
      </c>
      <c r="D767">
        <v>490</v>
      </c>
      <c r="E767">
        <v>6464</v>
      </c>
      <c r="F767" t="s">
        <v>172</v>
      </c>
      <c r="G767" s="2" t="s">
        <v>156</v>
      </c>
      <c r="H767">
        <v>1</v>
      </c>
      <c r="I767">
        <v>298.16000000000003</v>
      </c>
      <c r="J767" s="2" t="s">
        <v>170</v>
      </c>
      <c r="K767" s="2" t="s">
        <v>74</v>
      </c>
      <c r="M767" t="s">
        <v>1477</v>
      </c>
      <c r="P767" s="19" t="s">
        <v>1142</v>
      </c>
      <c r="Q767" s="19" t="s">
        <v>27</v>
      </c>
      <c r="R767" s="19" t="s">
        <v>138</v>
      </c>
      <c r="W767" s="20">
        <v>17</v>
      </c>
      <c r="X767" s="65" t="s">
        <v>1141</v>
      </c>
      <c r="Z767" t="s">
        <v>307</v>
      </c>
      <c r="AB767" t="s">
        <v>178</v>
      </c>
      <c r="AC767" t="s">
        <v>1329</v>
      </c>
      <c r="AD767" s="2" t="s">
        <v>180</v>
      </c>
    </row>
    <row r="768" spans="1:30" hidden="1" x14ac:dyDescent="0.25">
      <c r="A768" s="2">
        <v>204</v>
      </c>
      <c r="B768" t="s">
        <v>1330</v>
      </c>
      <c r="C768">
        <v>12</v>
      </c>
      <c r="D768">
        <v>490</v>
      </c>
      <c r="E768">
        <v>6464</v>
      </c>
      <c r="F768" t="s">
        <v>172</v>
      </c>
      <c r="G768" s="2" t="s">
        <v>156</v>
      </c>
      <c r="H768">
        <v>1</v>
      </c>
      <c r="I768">
        <v>298.16000000000003</v>
      </c>
      <c r="J768" s="2" t="s">
        <v>170</v>
      </c>
      <c r="K768" s="2" t="s">
        <v>74</v>
      </c>
      <c r="M768" t="s">
        <v>1477</v>
      </c>
      <c r="P768" s="19" t="s">
        <v>1142</v>
      </c>
      <c r="Q768" s="19" t="s">
        <v>27</v>
      </c>
      <c r="R768" s="19" t="s">
        <v>138</v>
      </c>
      <c r="W768" s="20">
        <v>17</v>
      </c>
      <c r="X768" s="65" t="s">
        <v>1141</v>
      </c>
      <c r="Z768" t="s">
        <v>307</v>
      </c>
      <c r="AB768" t="s">
        <v>178</v>
      </c>
      <c r="AC768" t="s">
        <v>1329</v>
      </c>
      <c r="AD768" s="2" t="s">
        <v>180</v>
      </c>
    </row>
    <row r="769" spans="1:30" hidden="1" x14ac:dyDescent="0.25">
      <c r="A769" s="2">
        <v>205</v>
      </c>
      <c r="B769" t="s">
        <v>1331</v>
      </c>
      <c r="C769">
        <v>12</v>
      </c>
      <c r="D769">
        <v>490</v>
      </c>
      <c r="E769">
        <v>6464</v>
      </c>
      <c r="F769" t="s">
        <v>172</v>
      </c>
      <c r="G769" s="2" t="s">
        <v>156</v>
      </c>
      <c r="H769">
        <v>1</v>
      </c>
      <c r="I769">
        <v>298.16000000000003</v>
      </c>
      <c r="J769" s="2" t="s">
        <v>170</v>
      </c>
      <c r="K769" s="2" t="s">
        <v>74</v>
      </c>
      <c r="M769" t="s">
        <v>1477</v>
      </c>
      <c r="P769" s="19" t="s">
        <v>1142</v>
      </c>
      <c r="Q769" s="19" t="s">
        <v>27</v>
      </c>
      <c r="R769" s="19" t="s">
        <v>138</v>
      </c>
      <c r="W769" s="20">
        <v>17</v>
      </c>
      <c r="X769" s="65" t="s">
        <v>1141</v>
      </c>
      <c r="Z769" t="s">
        <v>307</v>
      </c>
      <c r="AB769" t="s">
        <v>178</v>
      </c>
      <c r="AC769" t="s">
        <v>1329</v>
      </c>
      <c r="AD769" s="2" t="s">
        <v>180</v>
      </c>
    </row>
    <row r="770" spans="1:30" hidden="1" x14ac:dyDescent="0.25">
      <c r="A770" s="2">
        <v>206</v>
      </c>
      <c r="B770" t="s">
        <v>1332</v>
      </c>
      <c r="C770">
        <v>12</v>
      </c>
      <c r="D770">
        <v>490</v>
      </c>
      <c r="E770">
        <v>6464</v>
      </c>
      <c r="F770" t="s">
        <v>172</v>
      </c>
      <c r="G770" s="2" t="s">
        <v>156</v>
      </c>
      <c r="H770">
        <v>1</v>
      </c>
      <c r="I770">
        <v>298.16000000000003</v>
      </c>
      <c r="J770" s="2" t="s">
        <v>170</v>
      </c>
      <c r="K770" s="2" t="s">
        <v>74</v>
      </c>
      <c r="M770" t="s">
        <v>1477</v>
      </c>
      <c r="P770" s="19" t="s">
        <v>1142</v>
      </c>
      <c r="Q770" s="19" t="s">
        <v>27</v>
      </c>
      <c r="R770" s="19" t="s">
        <v>138</v>
      </c>
      <c r="W770" s="20">
        <v>17</v>
      </c>
      <c r="X770" s="65" t="s">
        <v>1141</v>
      </c>
      <c r="Z770" t="s">
        <v>307</v>
      </c>
      <c r="AB770" t="s">
        <v>178</v>
      </c>
      <c r="AC770" t="s">
        <v>1329</v>
      </c>
      <c r="AD770" s="2" t="s">
        <v>180</v>
      </c>
    </row>
    <row r="771" spans="1:30" hidden="1" x14ac:dyDescent="0.25">
      <c r="A771" s="2">
        <v>207</v>
      </c>
      <c r="B771" t="s">
        <v>1333</v>
      </c>
      <c r="C771">
        <v>16</v>
      </c>
      <c r="D771">
        <v>210</v>
      </c>
      <c r="E771">
        <v>750</v>
      </c>
      <c r="F771" t="s">
        <v>172</v>
      </c>
      <c r="G771" s="2" t="s">
        <v>156</v>
      </c>
      <c r="H771">
        <v>2</v>
      </c>
      <c r="I771">
        <v>39.22</v>
      </c>
      <c r="J771" s="2" t="s">
        <v>170</v>
      </c>
      <c r="K771" s="2" t="s">
        <v>74</v>
      </c>
      <c r="M771" t="s">
        <v>1477</v>
      </c>
      <c r="P771" s="19" t="s">
        <v>1142</v>
      </c>
      <c r="Q771" s="19" t="s">
        <v>25</v>
      </c>
      <c r="S771" s="19" t="s">
        <v>138</v>
      </c>
      <c r="W771" s="20">
        <v>17</v>
      </c>
      <c r="X771" s="65" t="s">
        <v>1141</v>
      </c>
      <c r="Z771" t="s">
        <v>307</v>
      </c>
      <c r="AB771" t="s">
        <v>178</v>
      </c>
      <c r="AC771" t="s">
        <v>1335</v>
      </c>
      <c r="AD771" s="2" t="s">
        <v>1001</v>
      </c>
    </row>
    <row r="772" spans="1:30" hidden="1" x14ac:dyDescent="0.25">
      <c r="A772" s="2">
        <v>208</v>
      </c>
      <c r="B772" t="s">
        <v>1336</v>
      </c>
      <c r="C772">
        <v>16</v>
      </c>
      <c r="D772">
        <v>210</v>
      </c>
      <c r="E772">
        <v>750</v>
      </c>
      <c r="F772" t="s">
        <v>172</v>
      </c>
      <c r="G772" s="2" t="s">
        <v>156</v>
      </c>
      <c r="H772">
        <v>12</v>
      </c>
      <c r="I772">
        <v>235.33</v>
      </c>
      <c r="J772" s="2" t="s">
        <v>170</v>
      </c>
      <c r="K772" s="2" t="s">
        <v>74</v>
      </c>
      <c r="M772" t="s">
        <v>1477</v>
      </c>
      <c r="P772" s="19" t="s">
        <v>1142</v>
      </c>
      <c r="Q772" s="19" t="s">
        <v>25</v>
      </c>
      <c r="S772" s="19" t="s">
        <v>138</v>
      </c>
      <c r="W772" s="20">
        <v>17</v>
      </c>
      <c r="X772" s="65" t="s">
        <v>1141</v>
      </c>
      <c r="Z772" t="s">
        <v>307</v>
      </c>
      <c r="AB772" t="s">
        <v>178</v>
      </c>
      <c r="AC772" t="s">
        <v>1335</v>
      </c>
      <c r="AD772" s="2" t="s">
        <v>1001</v>
      </c>
    </row>
    <row r="773" spans="1:30" hidden="1" x14ac:dyDescent="0.25">
      <c r="A773" s="2">
        <v>209</v>
      </c>
      <c r="B773" t="s">
        <v>1337</v>
      </c>
      <c r="C773">
        <v>16</v>
      </c>
      <c r="D773">
        <v>210</v>
      </c>
      <c r="E773">
        <v>651</v>
      </c>
      <c r="F773" t="s">
        <v>172</v>
      </c>
      <c r="G773" s="2" t="s">
        <v>156</v>
      </c>
      <c r="H773">
        <v>10</v>
      </c>
      <c r="I773">
        <v>171.53</v>
      </c>
      <c r="J773" s="2" t="s">
        <v>170</v>
      </c>
      <c r="K773" s="2" t="s">
        <v>74</v>
      </c>
      <c r="M773" t="s">
        <v>1477</v>
      </c>
      <c r="P773" s="19" t="s">
        <v>1142</v>
      </c>
      <c r="Q773" s="19" t="s">
        <v>25</v>
      </c>
      <c r="S773" s="19" t="s">
        <v>138</v>
      </c>
      <c r="W773" s="20">
        <v>17</v>
      </c>
      <c r="X773" s="65" t="s">
        <v>1141</v>
      </c>
      <c r="Z773" t="s">
        <v>307</v>
      </c>
      <c r="AB773" t="s">
        <v>178</v>
      </c>
      <c r="AC773" t="s">
        <v>1335</v>
      </c>
      <c r="AD773" s="2" t="s">
        <v>1001</v>
      </c>
    </row>
    <row r="774" spans="1:30" hidden="1" x14ac:dyDescent="0.25">
      <c r="A774" s="2">
        <v>210</v>
      </c>
      <c r="B774" t="s">
        <v>1339</v>
      </c>
      <c r="C774">
        <v>16</v>
      </c>
      <c r="D774">
        <v>210</v>
      </c>
      <c r="E774">
        <v>750</v>
      </c>
      <c r="F774" t="s">
        <v>172</v>
      </c>
      <c r="G774" s="2" t="s">
        <v>156</v>
      </c>
      <c r="H774">
        <v>12</v>
      </c>
      <c r="I774">
        <v>235.33</v>
      </c>
      <c r="J774" s="2" t="s">
        <v>170</v>
      </c>
      <c r="K774" s="2" t="s">
        <v>74</v>
      </c>
      <c r="M774" t="s">
        <v>1477</v>
      </c>
      <c r="P774" s="19" t="s">
        <v>1142</v>
      </c>
      <c r="Q774" s="19" t="s">
        <v>25</v>
      </c>
      <c r="S774" s="19" t="s">
        <v>138</v>
      </c>
      <c r="W774" s="20">
        <v>17</v>
      </c>
      <c r="X774" s="65" t="s">
        <v>1141</v>
      </c>
      <c r="Z774" t="s">
        <v>307</v>
      </c>
      <c r="AB774" t="s">
        <v>178</v>
      </c>
      <c r="AC774" t="s">
        <v>1335</v>
      </c>
      <c r="AD774" s="2" t="s">
        <v>1001</v>
      </c>
    </row>
    <row r="775" spans="1:30" hidden="1" x14ac:dyDescent="0.25">
      <c r="A775" s="2">
        <v>211</v>
      </c>
      <c r="B775" t="s">
        <v>1340</v>
      </c>
      <c r="C775">
        <v>16</v>
      </c>
      <c r="D775">
        <v>210</v>
      </c>
      <c r="E775">
        <v>651</v>
      </c>
      <c r="F775" t="s">
        <v>172</v>
      </c>
      <c r="G775" s="2" t="s">
        <v>156</v>
      </c>
      <c r="H775">
        <v>6</v>
      </c>
      <c r="I775">
        <v>102.92</v>
      </c>
      <c r="J775" s="2" t="s">
        <v>170</v>
      </c>
      <c r="K775" s="2" t="s">
        <v>74</v>
      </c>
      <c r="M775" t="s">
        <v>1477</v>
      </c>
      <c r="P775" s="19" t="s">
        <v>1142</v>
      </c>
      <c r="Q775" s="19" t="s">
        <v>25</v>
      </c>
      <c r="S775" s="19" t="s">
        <v>138</v>
      </c>
      <c r="W775" s="20">
        <v>17</v>
      </c>
      <c r="X775" s="65" t="s">
        <v>1141</v>
      </c>
      <c r="Z775" t="s">
        <v>307</v>
      </c>
      <c r="AB775" t="s">
        <v>178</v>
      </c>
      <c r="AC775" t="s">
        <v>1335</v>
      </c>
      <c r="AD775" s="2" t="s">
        <v>1001</v>
      </c>
    </row>
    <row r="776" spans="1:30" hidden="1" x14ac:dyDescent="0.25">
      <c r="A776" s="2">
        <v>212</v>
      </c>
      <c r="B776" t="s">
        <v>1341</v>
      </c>
      <c r="C776">
        <v>20</v>
      </c>
      <c r="D776">
        <v>300</v>
      </c>
      <c r="E776">
        <v>1383</v>
      </c>
      <c r="F776" t="s">
        <v>172</v>
      </c>
      <c r="G776" s="2" t="s">
        <v>156</v>
      </c>
      <c r="H776">
        <v>1</v>
      </c>
      <c r="I776">
        <v>65.14</v>
      </c>
      <c r="J776" s="2" t="s">
        <v>170</v>
      </c>
      <c r="K776" s="2" t="s">
        <v>74</v>
      </c>
      <c r="M776" t="s">
        <v>1477</v>
      </c>
      <c r="P776" s="19" t="s">
        <v>1142</v>
      </c>
      <c r="Q776" s="19" t="s">
        <v>27</v>
      </c>
      <c r="S776" s="19" t="s">
        <v>138</v>
      </c>
      <c r="V776" s="19" t="s">
        <v>138</v>
      </c>
      <c r="W776" s="20">
        <v>17</v>
      </c>
      <c r="X776" s="65" t="s">
        <v>1141</v>
      </c>
      <c r="Z776" t="s">
        <v>307</v>
      </c>
      <c r="AB776" t="s">
        <v>178</v>
      </c>
      <c r="AC776" t="s">
        <v>1343</v>
      </c>
      <c r="AD776" s="2" t="s">
        <v>1082</v>
      </c>
    </row>
    <row r="777" spans="1:30" hidden="1" x14ac:dyDescent="0.25">
      <c r="A777" s="2">
        <v>213</v>
      </c>
      <c r="B777" t="s">
        <v>1344</v>
      </c>
      <c r="C777">
        <v>20</v>
      </c>
      <c r="D777">
        <v>300</v>
      </c>
      <c r="E777">
        <v>1383</v>
      </c>
      <c r="F777" t="s">
        <v>172</v>
      </c>
      <c r="G777" s="2" t="s">
        <v>156</v>
      </c>
      <c r="H777">
        <v>1</v>
      </c>
      <c r="I777">
        <v>65.14</v>
      </c>
      <c r="J777" s="2" t="s">
        <v>170</v>
      </c>
      <c r="K777" s="2" t="s">
        <v>74</v>
      </c>
      <c r="M777" t="s">
        <v>1477</v>
      </c>
      <c r="P777" s="19" t="s">
        <v>1142</v>
      </c>
      <c r="Q777" s="19" t="s">
        <v>27</v>
      </c>
      <c r="S777" s="19" t="s">
        <v>138</v>
      </c>
      <c r="V777" s="19" t="s">
        <v>138</v>
      </c>
      <c r="W777" s="20">
        <v>17</v>
      </c>
      <c r="X777" s="65" t="s">
        <v>1141</v>
      </c>
      <c r="Z777" t="s">
        <v>307</v>
      </c>
      <c r="AB777" t="s">
        <v>178</v>
      </c>
      <c r="AC777" t="s">
        <v>1343</v>
      </c>
      <c r="AD777" s="2" t="s">
        <v>1082</v>
      </c>
    </row>
    <row r="778" spans="1:30" hidden="1" x14ac:dyDescent="0.25">
      <c r="A778" s="2">
        <v>214</v>
      </c>
      <c r="B778" t="s">
        <v>1345</v>
      </c>
      <c r="C778">
        <v>20</v>
      </c>
      <c r="D778">
        <v>300</v>
      </c>
      <c r="E778">
        <v>1096</v>
      </c>
      <c r="F778" t="s">
        <v>172</v>
      </c>
      <c r="G778" s="2" t="s">
        <v>156</v>
      </c>
      <c r="H778">
        <v>2</v>
      </c>
      <c r="I778">
        <v>103.24</v>
      </c>
      <c r="J778" s="2" t="s">
        <v>170</v>
      </c>
      <c r="K778" s="2" t="s">
        <v>74</v>
      </c>
      <c r="M778" t="s">
        <v>1477</v>
      </c>
      <c r="P778" s="19" t="s">
        <v>1142</v>
      </c>
      <c r="Q778" s="19" t="s">
        <v>27</v>
      </c>
      <c r="S778" s="19" t="s">
        <v>138</v>
      </c>
      <c r="V778" s="19" t="s">
        <v>138</v>
      </c>
      <c r="W778" s="20">
        <v>17</v>
      </c>
      <c r="X778" s="65" t="s">
        <v>1141</v>
      </c>
      <c r="Z778" t="s">
        <v>307</v>
      </c>
      <c r="AB778" t="s">
        <v>178</v>
      </c>
      <c r="AC778" t="s">
        <v>1343</v>
      </c>
      <c r="AD778" s="2" t="s">
        <v>1082</v>
      </c>
    </row>
    <row r="779" spans="1:30" hidden="1" x14ac:dyDescent="0.25">
      <c r="A779" s="2">
        <v>215</v>
      </c>
      <c r="B779" t="s">
        <v>1346</v>
      </c>
      <c r="C779">
        <v>20</v>
      </c>
      <c r="D779">
        <v>300</v>
      </c>
      <c r="E779">
        <v>1096</v>
      </c>
      <c r="F779" t="s">
        <v>172</v>
      </c>
      <c r="G779" s="2" t="s">
        <v>156</v>
      </c>
      <c r="H779">
        <v>2</v>
      </c>
      <c r="I779">
        <v>103.24</v>
      </c>
      <c r="J779" s="2" t="s">
        <v>170</v>
      </c>
      <c r="K779" s="2" t="s">
        <v>74</v>
      </c>
      <c r="M779" t="s">
        <v>1477</v>
      </c>
      <c r="P779" s="19" t="s">
        <v>1142</v>
      </c>
      <c r="Q779" s="19" t="s">
        <v>27</v>
      </c>
      <c r="S779" s="19" t="s">
        <v>138</v>
      </c>
      <c r="V779" s="19" t="s">
        <v>138</v>
      </c>
      <c r="W779" s="20">
        <v>17</v>
      </c>
      <c r="X779" s="65" t="s">
        <v>1141</v>
      </c>
      <c r="Z779" t="s">
        <v>307</v>
      </c>
      <c r="AB779" t="s">
        <v>178</v>
      </c>
      <c r="AC779" t="s">
        <v>1343</v>
      </c>
      <c r="AD779" s="2" t="s">
        <v>1082</v>
      </c>
    </row>
    <row r="780" spans="1:30" hidden="1" x14ac:dyDescent="0.25">
      <c r="A780" s="2">
        <v>216</v>
      </c>
      <c r="B780" t="s">
        <v>1347</v>
      </c>
      <c r="C780">
        <v>20</v>
      </c>
      <c r="D780">
        <v>300</v>
      </c>
      <c r="E780">
        <v>1096</v>
      </c>
      <c r="F780" t="s">
        <v>172</v>
      </c>
      <c r="G780" s="2" t="s">
        <v>156</v>
      </c>
      <c r="H780">
        <v>2</v>
      </c>
      <c r="I780">
        <v>103.24</v>
      </c>
      <c r="J780" s="2" t="s">
        <v>170</v>
      </c>
      <c r="K780" s="2" t="s">
        <v>74</v>
      </c>
      <c r="M780" t="s">
        <v>1477</v>
      </c>
      <c r="P780" s="19" t="s">
        <v>1142</v>
      </c>
      <c r="Q780" s="19" t="s">
        <v>27</v>
      </c>
      <c r="S780" s="19" t="s">
        <v>138</v>
      </c>
      <c r="V780" s="19" t="s">
        <v>138</v>
      </c>
      <c r="W780" s="20">
        <v>17</v>
      </c>
      <c r="X780" s="65" t="s">
        <v>1141</v>
      </c>
      <c r="Z780" t="s">
        <v>307</v>
      </c>
      <c r="AB780" t="s">
        <v>178</v>
      </c>
      <c r="AC780" t="s">
        <v>1343</v>
      </c>
      <c r="AD780" s="2" t="s">
        <v>1082</v>
      </c>
    </row>
    <row r="781" spans="1:30" hidden="1" x14ac:dyDescent="0.25">
      <c r="A781" s="2">
        <v>217</v>
      </c>
      <c r="B781" t="s">
        <v>1348</v>
      </c>
      <c r="C781">
        <v>20</v>
      </c>
      <c r="D781">
        <v>300</v>
      </c>
      <c r="E781">
        <v>1096</v>
      </c>
      <c r="F781" t="s">
        <v>172</v>
      </c>
      <c r="G781" s="2" t="s">
        <v>156</v>
      </c>
      <c r="H781">
        <v>2</v>
      </c>
      <c r="I781">
        <v>103.24</v>
      </c>
      <c r="J781" s="2" t="s">
        <v>170</v>
      </c>
      <c r="K781" s="2" t="s">
        <v>74</v>
      </c>
      <c r="M781" t="s">
        <v>1477</v>
      </c>
      <c r="P781" s="19" t="s">
        <v>1142</v>
      </c>
      <c r="Q781" s="19" t="s">
        <v>27</v>
      </c>
      <c r="S781" s="19" t="s">
        <v>138</v>
      </c>
      <c r="V781" s="19" t="s">
        <v>138</v>
      </c>
      <c r="W781" s="20">
        <v>17</v>
      </c>
      <c r="X781" s="65" t="s">
        <v>1141</v>
      </c>
      <c r="Z781" t="s">
        <v>307</v>
      </c>
      <c r="AB781" t="s">
        <v>178</v>
      </c>
      <c r="AC781" t="s">
        <v>1343</v>
      </c>
      <c r="AD781" s="2" t="s">
        <v>1082</v>
      </c>
    </row>
    <row r="782" spans="1:30" hidden="1" x14ac:dyDescent="0.25">
      <c r="A782" s="2">
        <v>218</v>
      </c>
      <c r="B782" t="s">
        <v>1349</v>
      </c>
      <c r="C782">
        <v>20</v>
      </c>
      <c r="D782">
        <v>300</v>
      </c>
      <c r="E782">
        <v>6101</v>
      </c>
      <c r="F782" t="s">
        <v>172</v>
      </c>
      <c r="G782" s="2" t="s">
        <v>156</v>
      </c>
      <c r="H782">
        <v>1</v>
      </c>
      <c r="I782">
        <v>287.36</v>
      </c>
      <c r="J782" s="2" t="s">
        <v>170</v>
      </c>
      <c r="K782" s="2" t="s">
        <v>74</v>
      </c>
      <c r="M782" t="s">
        <v>1477</v>
      </c>
      <c r="P782" s="19" t="s">
        <v>1142</v>
      </c>
      <c r="Q782" s="19" t="s">
        <v>27</v>
      </c>
      <c r="S782" s="19" t="s">
        <v>138</v>
      </c>
      <c r="V782" s="19" t="s">
        <v>138</v>
      </c>
      <c r="W782" s="20">
        <v>17</v>
      </c>
      <c r="X782" s="65" t="s">
        <v>1141</v>
      </c>
      <c r="Z782" t="s">
        <v>307</v>
      </c>
      <c r="AB782" t="s">
        <v>178</v>
      </c>
      <c r="AC782" t="s">
        <v>1343</v>
      </c>
      <c r="AD782" s="2" t="s">
        <v>1082</v>
      </c>
    </row>
    <row r="783" spans="1:30" hidden="1" x14ac:dyDescent="0.25">
      <c r="A783" s="2">
        <v>219</v>
      </c>
      <c r="B783" t="s">
        <v>1350</v>
      </c>
      <c r="C783">
        <v>20</v>
      </c>
      <c r="D783">
        <v>300</v>
      </c>
      <c r="E783">
        <v>6101</v>
      </c>
      <c r="F783" t="s">
        <v>172</v>
      </c>
      <c r="G783" s="2" t="s">
        <v>156</v>
      </c>
      <c r="H783">
        <v>1</v>
      </c>
      <c r="I783">
        <v>287.36</v>
      </c>
      <c r="J783" s="2" t="s">
        <v>170</v>
      </c>
      <c r="K783" s="2" t="s">
        <v>74</v>
      </c>
      <c r="M783" t="s">
        <v>1477</v>
      </c>
      <c r="P783" s="19" t="s">
        <v>1142</v>
      </c>
      <c r="Q783" s="19" t="s">
        <v>27</v>
      </c>
      <c r="S783" s="19" t="s">
        <v>138</v>
      </c>
      <c r="V783" s="19" t="s">
        <v>138</v>
      </c>
      <c r="W783" s="20">
        <v>17</v>
      </c>
      <c r="X783" s="65" t="s">
        <v>1141</v>
      </c>
      <c r="Z783" t="s">
        <v>307</v>
      </c>
      <c r="AB783" t="s">
        <v>178</v>
      </c>
      <c r="AC783" t="s">
        <v>1343</v>
      </c>
      <c r="AD783" s="2" t="s">
        <v>1082</v>
      </c>
    </row>
    <row r="784" spans="1:30" hidden="1" x14ac:dyDescent="0.25">
      <c r="A784" s="2">
        <v>220</v>
      </c>
      <c r="B784" t="s">
        <v>1351</v>
      </c>
      <c r="C784">
        <v>20</v>
      </c>
      <c r="D784">
        <v>300</v>
      </c>
      <c r="E784">
        <v>6101</v>
      </c>
      <c r="F784" t="s">
        <v>172</v>
      </c>
      <c r="G784" s="2" t="s">
        <v>156</v>
      </c>
      <c r="H784">
        <v>1</v>
      </c>
      <c r="I784">
        <v>287.36</v>
      </c>
      <c r="J784" s="2" t="s">
        <v>170</v>
      </c>
      <c r="K784" s="2" t="s">
        <v>74</v>
      </c>
      <c r="M784" t="s">
        <v>1477</v>
      </c>
      <c r="P784" s="19" t="s">
        <v>1142</v>
      </c>
      <c r="Q784" s="19" t="s">
        <v>27</v>
      </c>
      <c r="S784" s="19" t="s">
        <v>138</v>
      </c>
      <c r="V784" s="19" t="s">
        <v>138</v>
      </c>
      <c r="W784" s="20">
        <v>17</v>
      </c>
      <c r="X784" s="65" t="s">
        <v>1141</v>
      </c>
      <c r="Z784" t="s">
        <v>307</v>
      </c>
      <c r="AB784" t="s">
        <v>178</v>
      </c>
      <c r="AC784" t="s">
        <v>1343</v>
      </c>
      <c r="AD784" s="2" t="s">
        <v>1082</v>
      </c>
    </row>
    <row r="785" spans="1:30" hidden="1" x14ac:dyDescent="0.25">
      <c r="A785" s="2">
        <v>221</v>
      </c>
      <c r="B785" t="s">
        <v>1352</v>
      </c>
      <c r="C785">
        <v>20</v>
      </c>
      <c r="D785">
        <v>300</v>
      </c>
      <c r="E785">
        <v>1383</v>
      </c>
      <c r="F785" t="s">
        <v>172</v>
      </c>
      <c r="G785" s="2" t="s">
        <v>156</v>
      </c>
      <c r="H785">
        <v>1</v>
      </c>
      <c r="I785">
        <v>65.14</v>
      </c>
      <c r="J785" s="2" t="s">
        <v>170</v>
      </c>
      <c r="K785" s="2" t="s">
        <v>74</v>
      </c>
      <c r="M785" t="s">
        <v>1477</v>
      </c>
      <c r="P785" s="19" t="s">
        <v>1142</v>
      </c>
      <c r="Q785" s="19" t="s">
        <v>27</v>
      </c>
      <c r="S785" s="19" t="s">
        <v>138</v>
      </c>
      <c r="V785" s="19" t="s">
        <v>138</v>
      </c>
      <c r="W785" s="20">
        <v>17</v>
      </c>
      <c r="X785" s="65" t="s">
        <v>1141</v>
      </c>
      <c r="Z785" t="s">
        <v>307</v>
      </c>
      <c r="AB785" t="s">
        <v>178</v>
      </c>
      <c r="AC785" t="s">
        <v>1343</v>
      </c>
      <c r="AD785" s="2" t="s">
        <v>1082</v>
      </c>
    </row>
    <row r="786" spans="1:30" hidden="1" x14ac:dyDescent="0.25">
      <c r="A786" s="2">
        <v>222</v>
      </c>
      <c r="B786" t="s">
        <v>1353</v>
      </c>
      <c r="C786">
        <v>20</v>
      </c>
      <c r="D786">
        <v>300</v>
      </c>
      <c r="E786">
        <v>1096</v>
      </c>
      <c r="F786" t="s">
        <v>172</v>
      </c>
      <c r="G786" s="2" t="s">
        <v>156</v>
      </c>
      <c r="H786">
        <v>1</v>
      </c>
      <c r="I786">
        <v>51.62</v>
      </c>
      <c r="J786" s="2" t="s">
        <v>170</v>
      </c>
      <c r="K786" s="2" t="s">
        <v>74</v>
      </c>
      <c r="M786" t="s">
        <v>1477</v>
      </c>
      <c r="P786" s="19" t="s">
        <v>1142</v>
      </c>
      <c r="Q786" s="19" t="s">
        <v>27</v>
      </c>
      <c r="S786" s="19" t="s">
        <v>138</v>
      </c>
      <c r="V786" s="19" t="s">
        <v>138</v>
      </c>
      <c r="W786" s="20">
        <v>17</v>
      </c>
      <c r="X786" s="65" t="s">
        <v>1141</v>
      </c>
      <c r="Z786" t="s">
        <v>307</v>
      </c>
      <c r="AB786" t="s">
        <v>178</v>
      </c>
      <c r="AC786" t="s">
        <v>1343</v>
      </c>
      <c r="AD786" s="2" t="s">
        <v>1082</v>
      </c>
    </row>
    <row r="787" spans="1:30" hidden="1" x14ac:dyDescent="0.25">
      <c r="A787" s="2">
        <v>223</v>
      </c>
      <c r="B787" t="s">
        <v>1354</v>
      </c>
      <c r="C787">
        <v>20</v>
      </c>
      <c r="D787">
        <v>300</v>
      </c>
      <c r="E787">
        <v>1096</v>
      </c>
      <c r="F787" t="s">
        <v>172</v>
      </c>
      <c r="G787" s="2" t="s">
        <v>156</v>
      </c>
      <c r="H787">
        <v>2</v>
      </c>
      <c r="I787">
        <v>103.24</v>
      </c>
      <c r="J787" s="2" t="s">
        <v>170</v>
      </c>
      <c r="K787" s="2" t="s">
        <v>74</v>
      </c>
      <c r="M787" t="s">
        <v>1477</v>
      </c>
      <c r="P787" s="19" t="s">
        <v>1142</v>
      </c>
      <c r="Q787" s="19" t="s">
        <v>27</v>
      </c>
      <c r="S787" s="19" t="s">
        <v>138</v>
      </c>
      <c r="V787" s="19" t="s">
        <v>138</v>
      </c>
      <c r="W787" s="20">
        <v>17</v>
      </c>
      <c r="X787" s="65" t="s">
        <v>1141</v>
      </c>
      <c r="Z787" t="s">
        <v>307</v>
      </c>
      <c r="AB787" t="s">
        <v>178</v>
      </c>
      <c r="AC787" t="s">
        <v>1343</v>
      </c>
      <c r="AD787" s="2" t="s">
        <v>1082</v>
      </c>
    </row>
    <row r="788" spans="1:30" hidden="1" x14ac:dyDescent="0.25">
      <c r="A788" s="2">
        <v>224</v>
      </c>
      <c r="B788" t="s">
        <v>1355</v>
      </c>
      <c r="C788">
        <v>20</v>
      </c>
      <c r="D788">
        <v>300</v>
      </c>
      <c r="E788">
        <v>1096</v>
      </c>
      <c r="F788" t="s">
        <v>172</v>
      </c>
      <c r="G788" s="2" t="s">
        <v>156</v>
      </c>
      <c r="H788">
        <v>2</v>
      </c>
      <c r="I788">
        <v>103.24</v>
      </c>
      <c r="J788" s="2" t="s">
        <v>170</v>
      </c>
      <c r="K788" s="2" t="s">
        <v>74</v>
      </c>
      <c r="M788" t="s">
        <v>1477</v>
      </c>
      <c r="P788" s="19" t="s">
        <v>1142</v>
      </c>
      <c r="Q788" s="19" t="s">
        <v>27</v>
      </c>
      <c r="S788" s="19" t="s">
        <v>138</v>
      </c>
      <c r="V788" s="19" t="s">
        <v>138</v>
      </c>
      <c r="W788" s="20">
        <v>17</v>
      </c>
      <c r="X788" s="65" t="s">
        <v>1141</v>
      </c>
      <c r="Z788" t="s">
        <v>307</v>
      </c>
      <c r="AB788" t="s">
        <v>178</v>
      </c>
      <c r="AC788" t="s">
        <v>1343</v>
      </c>
      <c r="AD788" s="2" t="s">
        <v>1082</v>
      </c>
    </row>
    <row r="789" spans="1:30" hidden="1" x14ac:dyDescent="0.25">
      <c r="A789" s="2">
        <v>225</v>
      </c>
      <c r="B789" t="s">
        <v>1356</v>
      </c>
      <c r="C789">
        <v>20</v>
      </c>
      <c r="D789">
        <v>300</v>
      </c>
      <c r="E789">
        <v>1096</v>
      </c>
      <c r="F789" t="s">
        <v>172</v>
      </c>
      <c r="G789" s="2" t="s">
        <v>156</v>
      </c>
      <c r="H789">
        <v>2</v>
      </c>
      <c r="I789">
        <v>103.24</v>
      </c>
      <c r="J789" s="2" t="s">
        <v>170</v>
      </c>
      <c r="K789" s="2" t="s">
        <v>74</v>
      </c>
      <c r="M789" t="s">
        <v>1477</v>
      </c>
      <c r="P789" s="19" t="s">
        <v>1142</v>
      </c>
      <c r="Q789" s="19" t="s">
        <v>27</v>
      </c>
      <c r="S789" s="19" t="s">
        <v>138</v>
      </c>
      <c r="V789" s="19" t="s">
        <v>138</v>
      </c>
      <c r="W789" s="20">
        <v>17</v>
      </c>
      <c r="X789" s="65" t="s">
        <v>1141</v>
      </c>
      <c r="Z789" t="s">
        <v>307</v>
      </c>
      <c r="AB789" t="s">
        <v>178</v>
      </c>
      <c r="AC789" t="s">
        <v>1343</v>
      </c>
      <c r="AD789" s="2" t="s">
        <v>1082</v>
      </c>
    </row>
    <row r="790" spans="1:30" hidden="1" x14ac:dyDescent="0.25">
      <c r="A790" s="2">
        <v>226</v>
      </c>
      <c r="B790" t="s">
        <v>1357</v>
      </c>
      <c r="C790">
        <v>20</v>
      </c>
      <c r="D790">
        <v>1436</v>
      </c>
      <c r="E790">
        <v>9068</v>
      </c>
      <c r="F790" t="s">
        <v>172</v>
      </c>
      <c r="G790" s="2" t="s">
        <v>156</v>
      </c>
      <c r="H790">
        <v>1</v>
      </c>
      <c r="I790">
        <v>2029.94</v>
      </c>
      <c r="J790" s="2" t="s">
        <v>170</v>
      </c>
      <c r="K790" s="2" t="s">
        <v>74</v>
      </c>
      <c r="M790" t="s">
        <v>1477</v>
      </c>
      <c r="P790" s="19" t="s">
        <v>1142</v>
      </c>
      <c r="Q790" s="19" t="s">
        <v>27</v>
      </c>
      <c r="S790" s="19" t="s">
        <v>138</v>
      </c>
      <c r="W790" s="20">
        <v>17</v>
      </c>
      <c r="X790" s="65" t="s">
        <v>1141</v>
      </c>
      <c r="Z790" t="s">
        <v>307</v>
      </c>
      <c r="AB790" t="s">
        <v>178</v>
      </c>
      <c r="AC790" t="s">
        <v>1359</v>
      </c>
      <c r="AD790" s="2" t="s">
        <v>1098</v>
      </c>
    </row>
    <row r="791" spans="1:30" hidden="1" x14ac:dyDescent="0.25">
      <c r="A791" s="2">
        <v>227</v>
      </c>
      <c r="B791" t="s">
        <v>1360</v>
      </c>
      <c r="C791">
        <v>20</v>
      </c>
      <c r="D791">
        <v>300</v>
      </c>
      <c r="E791">
        <v>9068</v>
      </c>
      <c r="F791" t="s">
        <v>172</v>
      </c>
      <c r="G791" s="2" t="s">
        <v>156</v>
      </c>
      <c r="H791">
        <v>1</v>
      </c>
      <c r="I791">
        <v>427.1</v>
      </c>
      <c r="J791" s="2" t="s">
        <v>170</v>
      </c>
      <c r="K791" s="2" t="s">
        <v>74</v>
      </c>
      <c r="M791" t="s">
        <v>1477</v>
      </c>
      <c r="P791" s="19" t="s">
        <v>1142</v>
      </c>
      <c r="Q791" s="19" t="s">
        <v>27</v>
      </c>
      <c r="S791" s="19" t="s">
        <v>138</v>
      </c>
      <c r="W791" s="20">
        <v>17</v>
      </c>
      <c r="X791" s="65" t="s">
        <v>1141</v>
      </c>
      <c r="Z791" t="s">
        <v>307</v>
      </c>
      <c r="AB791" t="s">
        <v>178</v>
      </c>
      <c r="AC791" t="s">
        <v>1359</v>
      </c>
      <c r="AD791" s="2" t="s">
        <v>1098</v>
      </c>
    </row>
    <row r="792" spans="1:30" hidden="1" x14ac:dyDescent="0.25">
      <c r="A792" s="2">
        <v>228</v>
      </c>
      <c r="B792" t="s">
        <v>1361</v>
      </c>
      <c r="C792">
        <v>20</v>
      </c>
      <c r="D792">
        <v>300</v>
      </c>
      <c r="E792">
        <v>1383</v>
      </c>
      <c r="F792" t="s">
        <v>172</v>
      </c>
      <c r="G792" s="2" t="s">
        <v>156</v>
      </c>
      <c r="H792">
        <v>1</v>
      </c>
      <c r="I792">
        <v>65.14</v>
      </c>
      <c r="J792" s="2" t="s">
        <v>170</v>
      </c>
      <c r="K792" s="2" t="s">
        <v>74</v>
      </c>
      <c r="M792" t="s">
        <v>1477</v>
      </c>
      <c r="P792" s="19" t="s">
        <v>1142</v>
      </c>
      <c r="Q792" s="19" t="s">
        <v>27</v>
      </c>
      <c r="S792" s="19" t="s">
        <v>138</v>
      </c>
      <c r="V792" s="19" t="s">
        <v>138</v>
      </c>
      <c r="W792" s="20">
        <v>17</v>
      </c>
      <c r="X792" s="65" t="s">
        <v>1141</v>
      </c>
      <c r="Z792" t="s">
        <v>307</v>
      </c>
      <c r="AB792" t="s">
        <v>178</v>
      </c>
      <c r="AC792" t="s">
        <v>1359</v>
      </c>
      <c r="AD792" s="2" t="s">
        <v>1098</v>
      </c>
    </row>
    <row r="793" spans="1:30" hidden="1" x14ac:dyDescent="0.25">
      <c r="A793" s="2">
        <v>229</v>
      </c>
      <c r="B793" t="s">
        <v>1362</v>
      </c>
      <c r="C793">
        <v>20</v>
      </c>
      <c r="D793">
        <v>270</v>
      </c>
      <c r="E793">
        <v>300</v>
      </c>
      <c r="F793" t="s">
        <v>172</v>
      </c>
      <c r="G793" s="2" t="s">
        <v>156</v>
      </c>
      <c r="H793">
        <v>1</v>
      </c>
      <c r="I793">
        <v>12.72</v>
      </c>
      <c r="J793" s="2" t="s">
        <v>170</v>
      </c>
      <c r="K793" s="2" t="s">
        <v>74</v>
      </c>
      <c r="M793" t="s">
        <v>1477</v>
      </c>
      <c r="P793" s="19" t="s">
        <v>1142</v>
      </c>
      <c r="Q793" s="19" t="s">
        <v>25</v>
      </c>
      <c r="S793" s="19" t="s">
        <v>138</v>
      </c>
      <c r="W793" s="20">
        <v>17</v>
      </c>
      <c r="X793" s="65" t="s">
        <v>1141</v>
      </c>
      <c r="Z793" t="s">
        <v>307</v>
      </c>
      <c r="AB793" t="s">
        <v>178</v>
      </c>
      <c r="AC793" t="s">
        <v>1359</v>
      </c>
      <c r="AD793" s="2" t="s">
        <v>1098</v>
      </c>
    </row>
    <row r="794" spans="1:30" hidden="1" x14ac:dyDescent="0.25">
      <c r="A794" s="2">
        <v>230</v>
      </c>
      <c r="B794" t="s">
        <v>1364</v>
      </c>
      <c r="C794">
        <v>20</v>
      </c>
      <c r="D794">
        <v>300</v>
      </c>
      <c r="E794">
        <v>1514</v>
      </c>
      <c r="F794" t="s">
        <v>172</v>
      </c>
      <c r="G794" s="2" t="s">
        <v>156</v>
      </c>
      <c r="H794">
        <v>1</v>
      </c>
      <c r="I794">
        <v>71.31</v>
      </c>
      <c r="J794" s="2" t="s">
        <v>170</v>
      </c>
      <c r="K794" s="2" t="s">
        <v>74</v>
      </c>
      <c r="M794" t="s">
        <v>1477</v>
      </c>
      <c r="P794" s="19" t="s">
        <v>1142</v>
      </c>
      <c r="Q794" s="19" t="s">
        <v>27</v>
      </c>
      <c r="R794" s="19" t="s">
        <v>138</v>
      </c>
      <c r="W794" s="20">
        <v>17</v>
      </c>
      <c r="X794" s="65" t="s">
        <v>1141</v>
      </c>
      <c r="Z794" t="s">
        <v>307</v>
      </c>
      <c r="AB794" t="s">
        <v>178</v>
      </c>
      <c r="AC794" t="s">
        <v>1365</v>
      </c>
      <c r="AD794" s="2" t="s">
        <v>180</v>
      </c>
    </row>
    <row r="795" spans="1:30" hidden="1" x14ac:dyDescent="0.25">
      <c r="A795" s="2">
        <v>231</v>
      </c>
      <c r="B795" t="s">
        <v>1366</v>
      </c>
      <c r="C795">
        <v>20</v>
      </c>
      <c r="D795">
        <v>300</v>
      </c>
      <c r="E795">
        <v>1514</v>
      </c>
      <c r="F795" t="s">
        <v>172</v>
      </c>
      <c r="G795" s="2" t="s">
        <v>156</v>
      </c>
      <c r="H795">
        <v>1</v>
      </c>
      <c r="I795">
        <v>71.31</v>
      </c>
      <c r="J795" s="2" t="s">
        <v>170</v>
      </c>
      <c r="K795" s="2" t="s">
        <v>74</v>
      </c>
      <c r="M795" t="s">
        <v>1477</v>
      </c>
      <c r="P795" s="19" t="s">
        <v>1142</v>
      </c>
      <c r="Q795" s="19" t="s">
        <v>27</v>
      </c>
      <c r="R795" s="19" t="s">
        <v>138</v>
      </c>
      <c r="W795" s="20">
        <v>17</v>
      </c>
      <c r="X795" s="65" t="s">
        <v>1141</v>
      </c>
      <c r="Z795" t="s">
        <v>307</v>
      </c>
      <c r="AB795" t="s">
        <v>178</v>
      </c>
      <c r="AC795" t="s">
        <v>1365</v>
      </c>
      <c r="AD795" s="2" t="s">
        <v>180</v>
      </c>
    </row>
    <row r="796" spans="1:30" hidden="1" x14ac:dyDescent="0.25">
      <c r="A796" s="2">
        <v>232</v>
      </c>
      <c r="B796" t="s">
        <v>1367</v>
      </c>
      <c r="C796">
        <v>20</v>
      </c>
      <c r="D796">
        <v>300</v>
      </c>
      <c r="E796">
        <v>1514</v>
      </c>
      <c r="F796" t="s">
        <v>172</v>
      </c>
      <c r="G796" s="2" t="s">
        <v>156</v>
      </c>
      <c r="H796">
        <v>1</v>
      </c>
      <c r="I796">
        <v>71.31</v>
      </c>
      <c r="J796" s="2" t="s">
        <v>170</v>
      </c>
      <c r="K796" s="2" t="s">
        <v>74</v>
      </c>
      <c r="M796" t="s">
        <v>1477</v>
      </c>
      <c r="P796" s="19" t="s">
        <v>1142</v>
      </c>
      <c r="Q796" s="19" t="s">
        <v>27</v>
      </c>
      <c r="R796" s="19" t="s">
        <v>138</v>
      </c>
      <c r="W796" s="20">
        <v>17</v>
      </c>
      <c r="X796" s="65" t="s">
        <v>1141</v>
      </c>
      <c r="Z796" t="s">
        <v>307</v>
      </c>
      <c r="AB796" t="s">
        <v>178</v>
      </c>
      <c r="AC796" t="s">
        <v>1365</v>
      </c>
      <c r="AD796" s="2" t="s">
        <v>180</v>
      </c>
    </row>
    <row r="797" spans="1:30" hidden="1" x14ac:dyDescent="0.25">
      <c r="A797" s="2">
        <v>233</v>
      </c>
      <c r="B797" t="s">
        <v>1368</v>
      </c>
      <c r="C797">
        <v>20</v>
      </c>
      <c r="D797">
        <v>300</v>
      </c>
      <c r="E797">
        <v>8016</v>
      </c>
      <c r="F797" t="s">
        <v>172</v>
      </c>
      <c r="G797" s="2" t="s">
        <v>156</v>
      </c>
      <c r="H797">
        <v>1</v>
      </c>
      <c r="I797">
        <v>377.55</v>
      </c>
      <c r="J797" s="2" t="s">
        <v>170</v>
      </c>
      <c r="K797" s="2" t="s">
        <v>74</v>
      </c>
      <c r="M797" t="s">
        <v>1477</v>
      </c>
      <c r="P797" s="19" t="s">
        <v>1142</v>
      </c>
      <c r="Q797" s="19" t="s">
        <v>27</v>
      </c>
      <c r="R797" s="19" t="s">
        <v>138</v>
      </c>
      <c r="V797" s="19" t="s">
        <v>138</v>
      </c>
      <c r="W797" s="20">
        <v>17</v>
      </c>
      <c r="X797" s="65" t="s">
        <v>1141</v>
      </c>
      <c r="Z797" t="s">
        <v>307</v>
      </c>
      <c r="AB797" t="s">
        <v>178</v>
      </c>
      <c r="AC797" t="s">
        <v>1365</v>
      </c>
      <c r="AD797" s="2" t="s">
        <v>180</v>
      </c>
    </row>
    <row r="798" spans="1:30" hidden="1" x14ac:dyDescent="0.25">
      <c r="A798" s="2">
        <v>234</v>
      </c>
      <c r="B798" t="s">
        <v>1369</v>
      </c>
      <c r="C798">
        <v>20</v>
      </c>
      <c r="D798">
        <v>300</v>
      </c>
      <c r="E798">
        <v>480</v>
      </c>
      <c r="F798" t="s">
        <v>172</v>
      </c>
      <c r="G798" s="2" t="s">
        <v>156</v>
      </c>
      <c r="H798">
        <v>2</v>
      </c>
      <c r="I798">
        <v>45.22</v>
      </c>
      <c r="J798" s="2" t="s">
        <v>170</v>
      </c>
      <c r="K798" s="2" t="s">
        <v>74</v>
      </c>
      <c r="M798" t="s">
        <v>1477</v>
      </c>
      <c r="P798" s="19" t="s">
        <v>1142</v>
      </c>
      <c r="Q798" s="19" t="s">
        <v>25</v>
      </c>
      <c r="R798" s="19" t="s">
        <v>138</v>
      </c>
      <c r="W798" s="20">
        <v>17</v>
      </c>
      <c r="X798" s="65" t="s">
        <v>1141</v>
      </c>
      <c r="Z798" t="s">
        <v>307</v>
      </c>
      <c r="AB798" t="s">
        <v>178</v>
      </c>
      <c r="AC798" t="s">
        <v>1365</v>
      </c>
      <c r="AD798" s="2" t="s">
        <v>180</v>
      </c>
    </row>
    <row r="799" spans="1:30" hidden="1" x14ac:dyDescent="0.25">
      <c r="A799" s="2">
        <v>235</v>
      </c>
      <c r="B799" t="s">
        <v>1371</v>
      </c>
      <c r="C799">
        <v>20</v>
      </c>
      <c r="D799">
        <v>1436</v>
      </c>
      <c r="E799">
        <v>9068</v>
      </c>
      <c r="F799" t="s">
        <v>172</v>
      </c>
      <c r="G799" s="2" t="s">
        <v>156</v>
      </c>
      <c r="H799">
        <v>1</v>
      </c>
      <c r="I799">
        <v>2029.94</v>
      </c>
      <c r="J799" s="2" t="s">
        <v>170</v>
      </c>
      <c r="K799" s="2" t="s">
        <v>74</v>
      </c>
      <c r="M799" t="s">
        <v>1477</v>
      </c>
      <c r="P799" s="19" t="s">
        <v>1142</v>
      </c>
      <c r="Q799" s="19" t="s">
        <v>27</v>
      </c>
      <c r="R799" s="19" t="s">
        <v>138</v>
      </c>
      <c r="W799" s="20">
        <v>17</v>
      </c>
      <c r="X799" s="65" t="s">
        <v>1141</v>
      </c>
      <c r="Z799" t="s">
        <v>307</v>
      </c>
      <c r="AB799" t="s">
        <v>178</v>
      </c>
      <c r="AC799" t="s">
        <v>1365</v>
      </c>
      <c r="AD799" s="2" t="s">
        <v>180</v>
      </c>
    </row>
    <row r="800" spans="1:30" hidden="1" x14ac:dyDescent="0.25">
      <c r="A800" s="2">
        <v>236</v>
      </c>
      <c r="B800" t="s">
        <v>1372</v>
      </c>
      <c r="C800">
        <v>20</v>
      </c>
      <c r="D800">
        <v>300</v>
      </c>
      <c r="E800">
        <v>480</v>
      </c>
      <c r="F800" t="s">
        <v>172</v>
      </c>
      <c r="G800" s="2" t="s">
        <v>156</v>
      </c>
      <c r="H800">
        <v>2</v>
      </c>
      <c r="I800">
        <v>45.22</v>
      </c>
      <c r="J800" s="2" t="s">
        <v>170</v>
      </c>
      <c r="K800" s="2" t="s">
        <v>74</v>
      </c>
      <c r="M800" t="s">
        <v>1477</v>
      </c>
      <c r="P800" s="19" t="s">
        <v>1142</v>
      </c>
      <c r="Q800" s="19" t="s">
        <v>25</v>
      </c>
      <c r="R800" s="19" t="s">
        <v>138</v>
      </c>
      <c r="W800" s="20">
        <v>17</v>
      </c>
      <c r="X800" s="65" t="s">
        <v>1141</v>
      </c>
      <c r="Z800" t="s">
        <v>307</v>
      </c>
      <c r="AB800" t="s">
        <v>178</v>
      </c>
      <c r="AC800" t="s">
        <v>1365</v>
      </c>
      <c r="AD800" s="2" t="s">
        <v>180</v>
      </c>
    </row>
    <row r="801" spans="1:30" hidden="1" x14ac:dyDescent="0.25">
      <c r="A801" s="2">
        <v>237</v>
      </c>
      <c r="B801" t="s">
        <v>1373</v>
      </c>
      <c r="C801">
        <v>20</v>
      </c>
      <c r="D801">
        <v>300</v>
      </c>
      <c r="E801">
        <v>9980</v>
      </c>
      <c r="F801" t="s">
        <v>172</v>
      </c>
      <c r="G801" s="2" t="s">
        <v>156</v>
      </c>
      <c r="H801">
        <v>1</v>
      </c>
      <c r="I801">
        <v>470.06</v>
      </c>
      <c r="J801" s="2" t="s">
        <v>170</v>
      </c>
      <c r="K801" s="2" t="s">
        <v>74</v>
      </c>
      <c r="M801" t="s">
        <v>1477</v>
      </c>
      <c r="P801" s="19" t="s">
        <v>1142</v>
      </c>
      <c r="Q801" s="19" t="s">
        <v>27</v>
      </c>
      <c r="R801" s="19" t="s">
        <v>138</v>
      </c>
      <c r="W801" s="20">
        <v>17</v>
      </c>
      <c r="X801" s="65" t="s">
        <v>1141</v>
      </c>
      <c r="Z801" t="s">
        <v>307</v>
      </c>
      <c r="AB801" t="s">
        <v>178</v>
      </c>
      <c r="AC801" t="s">
        <v>1365</v>
      </c>
      <c r="AD801" s="2" t="s">
        <v>180</v>
      </c>
    </row>
    <row r="802" spans="1:30" hidden="1" x14ac:dyDescent="0.25">
      <c r="A802" s="2">
        <v>238</v>
      </c>
      <c r="B802" t="s">
        <v>1374</v>
      </c>
      <c r="C802">
        <v>20</v>
      </c>
      <c r="D802">
        <v>300</v>
      </c>
      <c r="E802">
        <v>9980</v>
      </c>
      <c r="F802" t="s">
        <v>172</v>
      </c>
      <c r="G802" s="2" t="s">
        <v>156</v>
      </c>
      <c r="H802">
        <v>1</v>
      </c>
      <c r="I802">
        <v>470.06</v>
      </c>
      <c r="J802" s="2" t="s">
        <v>170</v>
      </c>
      <c r="K802" s="2" t="s">
        <v>74</v>
      </c>
      <c r="M802" t="s">
        <v>1477</v>
      </c>
      <c r="P802" s="19" t="s">
        <v>1142</v>
      </c>
      <c r="Q802" s="19" t="s">
        <v>27</v>
      </c>
      <c r="R802" s="19" t="s">
        <v>138</v>
      </c>
      <c r="W802" s="20">
        <v>17</v>
      </c>
      <c r="X802" s="65" t="s">
        <v>1141</v>
      </c>
      <c r="Z802" t="s">
        <v>307</v>
      </c>
      <c r="AB802" t="s">
        <v>178</v>
      </c>
      <c r="AC802" t="s">
        <v>1365</v>
      </c>
      <c r="AD802" s="2" t="s">
        <v>180</v>
      </c>
    </row>
    <row r="803" spans="1:30" hidden="1" x14ac:dyDescent="0.25">
      <c r="A803" s="2">
        <v>239</v>
      </c>
      <c r="B803" t="s">
        <v>1375</v>
      </c>
      <c r="C803">
        <v>20</v>
      </c>
      <c r="D803">
        <v>300</v>
      </c>
      <c r="E803">
        <v>1514</v>
      </c>
      <c r="F803" t="s">
        <v>172</v>
      </c>
      <c r="G803" s="2" t="s">
        <v>156</v>
      </c>
      <c r="H803">
        <v>1</v>
      </c>
      <c r="I803">
        <v>71.31</v>
      </c>
      <c r="J803" s="2" t="s">
        <v>170</v>
      </c>
      <c r="K803" s="2" t="s">
        <v>74</v>
      </c>
      <c r="M803" t="s">
        <v>1477</v>
      </c>
      <c r="P803" s="19" t="s">
        <v>1142</v>
      </c>
      <c r="Q803" s="19" t="s">
        <v>27</v>
      </c>
      <c r="R803" s="19" t="s">
        <v>138</v>
      </c>
      <c r="W803" s="20">
        <v>17</v>
      </c>
      <c r="X803" s="65" t="s">
        <v>1141</v>
      </c>
      <c r="Z803" t="s">
        <v>307</v>
      </c>
      <c r="AB803" t="s">
        <v>178</v>
      </c>
      <c r="AC803" t="s">
        <v>1365</v>
      </c>
      <c r="AD803" s="2" t="s">
        <v>180</v>
      </c>
    </row>
    <row r="804" spans="1:30" hidden="1" x14ac:dyDescent="0.25">
      <c r="A804" s="2">
        <v>240</v>
      </c>
      <c r="B804" t="s">
        <v>1376</v>
      </c>
      <c r="C804">
        <v>20</v>
      </c>
      <c r="D804">
        <v>300</v>
      </c>
      <c r="E804">
        <v>1514</v>
      </c>
      <c r="F804" t="s">
        <v>172</v>
      </c>
      <c r="G804" s="2" t="s">
        <v>156</v>
      </c>
      <c r="H804">
        <v>1</v>
      </c>
      <c r="I804">
        <v>71.31</v>
      </c>
      <c r="J804" s="2" t="s">
        <v>170</v>
      </c>
      <c r="K804" s="2" t="s">
        <v>74</v>
      </c>
      <c r="M804" t="s">
        <v>1477</v>
      </c>
      <c r="P804" s="19" t="s">
        <v>1142</v>
      </c>
      <c r="Q804" s="19" t="s">
        <v>27</v>
      </c>
      <c r="R804" s="19" t="s">
        <v>138</v>
      </c>
      <c r="W804" s="20">
        <v>17</v>
      </c>
      <c r="X804" s="65" t="s">
        <v>1141</v>
      </c>
      <c r="Z804" t="s">
        <v>307</v>
      </c>
      <c r="AB804" t="s">
        <v>178</v>
      </c>
      <c r="AC804" t="s">
        <v>1365</v>
      </c>
      <c r="AD804" s="2" t="s">
        <v>180</v>
      </c>
    </row>
    <row r="805" spans="1:30" hidden="1" x14ac:dyDescent="0.25">
      <c r="A805" s="2">
        <v>241</v>
      </c>
      <c r="B805" t="s">
        <v>1377</v>
      </c>
      <c r="C805">
        <v>20</v>
      </c>
      <c r="D805">
        <v>300</v>
      </c>
      <c r="E805">
        <v>1514</v>
      </c>
      <c r="F805" t="s">
        <v>172</v>
      </c>
      <c r="G805" s="2" t="s">
        <v>156</v>
      </c>
      <c r="H805">
        <v>1</v>
      </c>
      <c r="I805">
        <v>71.31</v>
      </c>
      <c r="J805" s="2" t="s">
        <v>170</v>
      </c>
      <c r="K805" s="2" t="s">
        <v>74</v>
      </c>
      <c r="M805" t="s">
        <v>1477</v>
      </c>
      <c r="P805" s="19" t="s">
        <v>1142</v>
      </c>
      <c r="Q805" s="19" t="s">
        <v>27</v>
      </c>
      <c r="R805" s="19" t="s">
        <v>138</v>
      </c>
      <c r="W805" s="20">
        <v>17</v>
      </c>
      <c r="X805" s="65" t="s">
        <v>1141</v>
      </c>
      <c r="Z805" t="s">
        <v>307</v>
      </c>
      <c r="AB805" t="s">
        <v>178</v>
      </c>
      <c r="AC805" t="s">
        <v>1365</v>
      </c>
      <c r="AD805" s="2" t="s">
        <v>180</v>
      </c>
    </row>
    <row r="806" spans="1:30" hidden="1" x14ac:dyDescent="0.25">
      <c r="A806" s="2">
        <v>242</v>
      </c>
      <c r="B806" t="s">
        <v>1378</v>
      </c>
      <c r="C806">
        <v>20</v>
      </c>
      <c r="D806">
        <v>300</v>
      </c>
      <c r="E806">
        <v>1514</v>
      </c>
      <c r="F806" t="s">
        <v>172</v>
      </c>
      <c r="G806" s="2" t="s">
        <v>156</v>
      </c>
      <c r="H806">
        <v>1</v>
      </c>
      <c r="I806">
        <v>71.31</v>
      </c>
      <c r="J806" s="2" t="s">
        <v>170</v>
      </c>
      <c r="K806" s="2" t="s">
        <v>74</v>
      </c>
      <c r="M806" t="s">
        <v>1477</v>
      </c>
      <c r="P806" s="19" t="s">
        <v>1142</v>
      </c>
      <c r="Q806" s="19" t="s">
        <v>27</v>
      </c>
      <c r="R806" s="19" t="s">
        <v>138</v>
      </c>
      <c r="W806" s="20">
        <v>17</v>
      </c>
      <c r="X806" s="65" t="s">
        <v>1141</v>
      </c>
      <c r="Z806" t="s">
        <v>307</v>
      </c>
      <c r="AB806" t="s">
        <v>178</v>
      </c>
      <c r="AC806" t="s">
        <v>1365</v>
      </c>
      <c r="AD806" s="2" t="s">
        <v>180</v>
      </c>
    </row>
    <row r="807" spans="1:30" hidden="1" x14ac:dyDescent="0.25">
      <c r="A807" s="2">
        <v>243</v>
      </c>
      <c r="B807" t="s">
        <v>1362</v>
      </c>
      <c r="C807">
        <v>20</v>
      </c>
      <c r="D807">
        <v>270</v>
      </c>
      <c r="E807">
        <v>300</v>
      </c>
      <c r="F807" t="s">
        <v>172</v>
      </c>
      <c r="G807" s="2" t="s">
        <v>156</v>
      </c>
      <c r="H807">
        <v>1</v>
      </c>
      <c r="I807">
        <v>12.72</v>
      </c>
      <c r="J807" s="2" t="s">
        <v>170</v>
      </c>
      <c r="K807" s="2" t="s">
        <v>74</v>
      </c>
      <c r="M807" t="s">
        <v>1477</v>
      </c>
      <c r="P807" s="19" t="s">
        <v>1142</v>
      </c>
      <c r="Q807" s="19" t="s">
        <v>25</v>
      </c>
      <c r="R807" s="19" t="s">
        <v>138</v>
      </c>
      <c r="W807" s="20">
        <v>17</v>
      </c>
      <c r="X807" s="65" t="s">
        <v>1141</v>
      </c>
      <c r="Z807" t="s">
        <v>307</v>
      </c>
      <c r="AB807" t="s">
        <v>178</v>
      </c>
      <c r="AC807" t="s">
        <v>1365</v>
      </c>
      <c r="AD807" s="2" t="s">
        <v>180</v>
      </c>
    </row>
    <row r="808" spans="1:30" hidden="1" x14ac:dyDescent="0.25">
      <c r="A808" s="2">
        <v>244</v>
      </c>
      <c r="B808" t="s">
        <v>1353</v>
      </c>
      <c r="C808">
        <v>20</v>
      </c>
      <c r="D808">
        <v>300</v>
      </c>
      <c r="E808">
        <v>1096</v>
      </c>
      <c r="F808" t="s">
        <v>172</v>
      </c>
      <c r="G808" s="2" t="s">
        <v>156</v>
      </c>
      <c r="H808">
        <v>1</v>
      </c>
      <c r="I808">
        <v>51.62</v>
      </c>
      <c r="J808" s="2" t="s">
        <v>170</v>
      </c>
      <c r="K808" s="2" t="s">
        <v>74</v>
      </c>
      <c r="M808" t="s">
        <v>1477</v>
      </c>
      <c r="P808" s="19" t="s">
        <v>1142</v>
      </c>
      <c r="Q808" s="19" t="s">
        <v>27</v>
      </c>
      <c r="R808" s="19" t="s">
        <v>138</v>
      </c>
      <c r="V808" s="19" t="s">
        <v>138</v>
      </c>
      <c r="W808" s="20">
        <v>17</v>
      </c>
      <c r="X808" s="65" t="s">
        <v>1141</v>
      </c>
      <c r="Z808" t="s">
        <v>307</v>
      </c>
      <c r="AB808" t="s">
        <v>178</v>
      </c>
      <c r="AC808" t="s">
        <v>1365</v>
      </c>
      <c r="AD808" s="2" t="s">
        <v>180</v>
      </c>
    </row>
    <row r="809" spans="1:30" hidden="1" x14ac:dyDescent="0.25">
      <c r="A809" s="2">
        <v>245</v>
      </c>
      <c r="B809" t="s">
        <v>1379</v>
      </c>
      <c r="C809">
        <v>20</v>
      </c>
      <c r="D809">
        <v>300</v>
      </c>
      <c r="E809">
        <v>9516</v>
      </c>
      <c r="F809" t="s">
        <v>172</v>
      </c>
      <c r="G809" s="2" t="s">
        <v>156</v>
      </c>
      <c r="H809">
        <v>1</v>
      </c>
      <c r="I809">
        <v>448.2</v>
      </c>
      <c r="J809" s="2" t="s">
        <v>170</v>
      </c>
      <c r="K809" s="2" t="s">
        <v>74</v>
      </c>
      <c r="M809" t="s">
        <v>1477</v>
      </c>
      <c r="P809" s="19" t="s">
        <v>1142</v>
      </c>
      <c r="Q809" s="19" t="s">
        <v>27</v>
      </c>
      <c r="R809" s="19" t="s">
        <v>138</v>
      </c>
      <c r="V809" s="19" t="s">
        <v>138</v>
      </c>
      <c r="W809" s="20">
        <v>17</v>
      </c>
      <c r="X809" s="65" t="s">
        <v>1141</v>
      </c>
      <c r="Z809" t="s">
        <v>307</v>
      </c>
      <c r="AB809" t="s">
        <v>178</v>
      </c>
      <c r="AC809" t="s">
        <v>1380</v>
      </c>
      <c r="AD809" s="2" t="s">
        <v>180</v>
      </c>
    </row>
    <row r="810" spans="1:30" hidden="1" x14ac:dyDescent="0.25">
      <c r="A810" s="2">
        <v>246</v>
      </c>
      <c r="B810" t="s">
        <v>1381</v>
      </c>
      <c r="C810">
        <v>20</v>
      </c>
      <c r="D810">
        <v>300</v>
      </c>
      <c r="E810">
        <v>9516</v>
      </c>
      <c r="F810" t="s">
        <v>172</v>
      </c>
      <c r="G810" s="2" t="s">
        <v>156</v>
      </c>
      <c r="H810">
        <v>1</v>
      </c>
      <c r="I810">
        <v>448.2</v>
      </c>
      <c r="J810" s="2" t="s">
        <v>170</v>
      </c>
      <c r="K810" s="2" t="s">
        <v>74</v>
      </c>
      <c r="M810" t="s">
        <v>1477</v>
      </c>
      <c r="P810" s="19" t="s">
        <v>1142</v>
      </c>
      <c r="Q810" s="19" t="s">
        <v>27</v>
      </c>
      <c r="R810" s="19" t="s">
        <v>138</v>
      </c>
      <c r="V810" s="19" t="s">
        <v>138</v>
      </c>
      <c r="W810" s="20">
        <v>17</v>
      </c>
      <c r="X810" s="65" t="s">
        <v>1141</v>
      </c>
      <c r="Z810" t="s">
        <v>307</v>
      </c>
      <c r="AB810" t="s">
        <v>178</v>
      </c>
      <c r="AC810" t="s">
        <v>1380</v>
      </c>
      <c r="AD810" s="2" t="s">
        <v>180</v>
      </c>
    </row>
    <row r="811" spans="1:30" hidden="1" x14ac:dyDescent="0.25">
      <c r="A811" s="2">
        <v>247</v>
      </c>
      <c r="B811" t="s">
        <v>1382</v>
      </c>
      <c r="C811">
        <v>20</v>
      </c>
      <c r="D811">
        <v>300</v>
      </c>
      <c r="E811">
        <v>9516</v>
      </c>
      <c r="F811" t="s">
        <v>172</v>
      </c>
      <c r="G811" s="2" t="s">
        <v>156</v>
      </c>
      <c r="H811">
        <v>1</v>
      </c>
      <c r="I811">
        <v>448.2</v>
      </c>
      <c r="J811" s="2" t="s">
        <v>170</v>
      </c>
      <c r="K811" s="2" t="s">
        <v>74</v>
      </c>
      <c r="M811" t="s">
        <v>1477</v>
      </c>
      <c r="P811" s="19" t="s">
        <v>1142</v>
      </c>
      <c r="Q811" s="19" t="s">
        <v>27</v>
      </c>
      <c r="R811" s="19" t="s">
        <v>138</v>
      </c>
      <c r="V811" s="19" t="s">
        <v>138</v>
      </c>
      <c r="W811" s="20">
        <v>17</v>
      </c>
      <c r="X811" s="65" t="s">
        <v>1141</v>
      </c>
      <c r="Z811" t="s">
        <v>307</v>
      </c>
      <c r="AB811" t="s">
        <v>178</v>
      </c>
      <c r="AC811" t="s">
        <v>1380</v>
      </c>
      <c r="AD811" s="2" t="s">
        <v>180</v>
      </c>
    </row>
    <row r="812" spans="1:30" hidden="1" x14ac:dyDescent="0.25">
      <c r="A812" s="2">
        <v>248</v>
      </c>
      <c r="B812" t="s">
        <v>1383</v>
      </c>
      <c r="C812">
        <v>20</v>
      </c>
      <c r="D812">
        <v>300</v>
      </c>
      <c r="E812">
        <v>9516</v>
      </c>
      <c r="F812" t="s">
        <v>172</v>
      </c>
      <c r="G812" s="2" t="s">
        <v>156</v>
      </c>
      <c r="H812">
        <v>1</v>
      </c>
      <c r="I812">
        <v>448.2</v>
      </c>
      <c r="J812" s="2" t="s">
        <v>170</v>
      </c>
      <c r="K812" s="2" t="s">
        <v>74</v>
      </c>
      <c r="M812" t="s">
        <v>1477</v>
      </c>
      <c r="P812" s="19" t="s">
        <v>1142</v>
      </c>
      <c r="Q812" s="19" t="s">
        <v>27</v>
      </c>
      <c r="R812" s="19" t="s">
        <v>138</v>
      </c>
      <c r="V812" s="19" t="s">
        <v>138</v>
      </c>
      <c r="W812" s="20">
        <v>17</v>
      </c>
      <c r="X812" s="65" t="s">
        <v>1141</v>
      </c>
      <c r="Z812" t="s">
        <v>307</v>
      </c>
      <c r="AB812" t="s">
        <v>178</v>
      </c>
      <c r="AC812" t="s">
        <v>1380</v>
      </c>
      <c r="AD812" s="2" t="s">
        <v>180</v>
      </c>
    </row>
    <row r="813" spans="1:30" hidden="1" x14ac:dyDescent="0.25">
      <c r="A813" s="2">
        <v>249</v>
      </c>
      <c r="B813" t="s">
        <v>1384</v>
      </c>
      <c r="C813">
        <v>20</v>
      </c>
      <c r="D813">
        <v>300</v>
      </c>
      <c r="E813">
        <v>1514</v>
      </c>
      <c r="F813" t="s">
        <v>172</v>
      </c>
      <c r="G813" s="2" t="s">
        <v>156</v>
      </c>
      <c r="H813">
        <v>1</v>
      </c>
      <c r="I813">
        <v>71.31</v>
      </c>
      <c r="J813" s="2" t="s">
        <v>170</v>
      </c>
      <c r="K813" s="2" t="s">
        <v>74</v>
      </c>
      <c r="M813" t="s">
        <v>1477</v>
      </c>
      <c r="P813" s="19" t="s">
        <v>1142</v>
      </c>
      <c r="Q813" s="19" t="s">
        <v>27</v>
      </c>
      <c r="R813" s="19" t="s">
        <v>138</v>
      </c>
      <c r="W813" s="20">
        <v>17</v>
      </c>
      <c r="X813" s="65" t="s">
        <v>1141</v>
      </c>
      <c r="Z813" t="s">
        <v>307</v>
      </c>
      <c r="AB813" t="s">
        <v>178</v>
      </c>
      <c r="AC813" t="s">
        <v>1380</v>
      </c>
      <c r="AD813" s="2" t="s">
        <v>180</v>
      </c>
    </row>
    <row r="814" spans="1:30" hidden="1" x14ac:dyDescent="0.25">
      <c r="A814" s="2">
        <v>250</v>
      </c>
      <c r="B814" t="s">
        <v>1385</v>
      </c>
      <c r="C814">
        <v>20</v>
      </c>
      <c r="D814">
        <v>300</v>
      </c>
      <c r="E814">
        <v>1514</v>
      </c>
      <c r="F814" t="s">
        <v>172</v>
      </c>
      <c r="G814" s="2" t="s">
        <v>156</v>
      </c>
      <c r="H814">
        <v>1</v>
      </c>
      <c r="I814">
        <v>71.31</v>
      </c>
      <c r="J814" s="2" t="s">
        <v>170</v>
      </c>
      <c r="K814" s="2" t="s">
        <v>74</v>
      </c>
      <c r="M814" t="s">
        <v>1477</v>
      </c>
      <c r="P814" s="19" t="s">
        <v>1142</v>
      </c>
      <c r="Q814" s="19" t="s">
        <v>27</v>
      </c>
      <c r="R814" s="19" t="s">
        <v>138</v>
      </c>
      <c r="W814" s="20">
        <v>17</v>
      </c>
      <c r="X814" s="65" t="s">
        <v>1141</v>
      </c>
      <c r="Z814" t="s">
        <v>307</v>
      </c>
      <c r="AB814" t="s">
        <v>178</v>
      </c>
      <c r="AC814" t="s">
        <v>1380</v>
      </c>
      <c r="AD814" s="2" t="s">
        <v>180</v>
      </c>
    </row>
    <row r="815" spans="1:30" hidden="1" x14ac:dyDescent="0.25">
      <c r="A815" s="2">
        <v>251</v>
      </c>
      <c r="B815" t="s">
        <v>1386</v>
      </c>
      <c r="C815">
        <v>20</v>
      </c>
      <c r="D815">
        <v>300</v>
      </c>
      <c r="E815">
        <v>1514</v>
      </c>
      <c r="F815" t="s">
        <v>172</v>
      </c>
      <c r="G815" s="2" t="s">
        <v>156</v>
      </c>
      <c r="H815">
        <v>1</v>
      </c>
      <c r="I815">
        <v>71.31</v>
      </c>
      <c r="J815" s="2" t="s">
        <v>170</v>
      </c>
      <c r="K815" s="2" t="s">
        <v>74</v>
      </c>
      <c r="M815" t="s">
        <v>1477</v>
      </c>
      <c r="P815" s="19" t="s">
        <v>1142</v>
      </c>
      <c r="Q815" s="19" t="s">
        <v>27</v>
      </c>
      <c r="R815" s="19" t="s">
        <v>138</v>
      </c>
      <c r="W815" s="20">
        <v>17</v>
      </c>
      <c r="X815" s="65" t="s">
        <v>1141</v>
      </c>
      <c r="Z815" t="s">
        <v>307</v>
      </c>
      <c r="AB815" t="s">
        <v>178</v>
      </c>
      <c r="AC815" t="s">
        <v>1380</v>
      </c>
      <c r="AD815" s="2" t="s">
        <v>180</v>
      </c>
    </row>
    <row r="816" spans="1:30" hidden="1" x14ac:dyDescent="0.25">
      <c r="A816" s="2">
        <v>252</v>
      </c>
      <c r="B816" t="s">
        <v>1387</v>
      </c>
      <c r="C816">
        <v>20</v>
      </c>
      <c r="D816">
        <v>300</v>
      </c>
      <c r="E816">
        <v>1514</v>
      </c>
      <c r="F816" t="s">
        <v>172</v>
      </c>
      <c r="G816" s="2" t="s">
        <v>156</v>
      </c>
      <c r="H816">
        <v>1</v>
      </c>
      <c r="I816">
        <v>71.31</v>
      </c>
      <c r="J816" s="2" t="s">
        <v>170</v>
      </c>
      <c r="K816" s="2" t="s">
        <v>74</v>
      </c>
      <c r="M816" t="s">
        <v>1477</v>
      </c>
      <c r="P816" s="19" t="s">
        <v>1142</v>
      </c>
      <c r="Q816" s="19" t="s">
        <v>27</v>
      </c>
      <c r="R816" s="19" t="s">
        <v>138</v>
      </c>
      <c r="W816" s="20">
        <v>17</v>
      </c>
      <c r="X816" s="65" t="s">
        <v>1141</v>
      </c>
      <c r="Z816" t="s">
        <v>307</v>
      </c>
      <c r="AB816" t="s">
        <v>178</v>
      </c>
      <c r="AC816" t="s">
        <v>1380</v>
      </c>
      <c r="AD816" s="2" t="s">
        <v>180</v>
      </c>
    </row>
    <row r="817" spans="1:30" hidden="1" x14ac:dyDescent="0.25">
      <c r="A817" s="2">
        <v>253</v>
      </c>
      <c r="B817" t="s">
        <v>1388</v>
      </c>
      <c r="C817">
        <v>20</v>
      </c>
      <c r="D817">
        <v>300</v>
      </c>
      <c r="E817">
        <v>1514</v>
      </c>
      <c r="F817" t="s">
        <v>172</v>
      </c>
      <c r="G817" s="2" t="s">
        <v>156</v>
      </c>
      <c r="H817">
        <v>1</v>
      </c>
      <c r="I817">
        <v>71.31</v>
      </c>
      <c r="J817" s="2" t="s">
        <v>170</v>
      </c>
      <c r="K817" s="2" t="s">
        <v>74</v>
      </c>
      <c r="M817" t="s">
        <v>1477</v>
      </c>
      <c r="P817" s="19" t="s">
        <v>1142</v>
      </c>
      <c r="Q817" s="19" t="s">
        <v>27</v>
      </c>
      <c r="R817" s="19" t="s">
        <v>138</v>
      </c>
      <c r="W817" s="20">
        <v>17</v>
      </c>
      <c r="X817" s="65" t="s">
        <v>1141</v>
      </c>
      <c r="Z817" t="s">
        <v>307</v>
      </c>
      <c r="AB817" t="s">
        <v>178</v>
      </c>
      <c r="AC817" t="s">
        <v>1380</v>
      </c>
      <c r="AD817" s="2" t="s">
        <v>180</v>
      </c>
    </row>
    <row r="818" spans="1:30" hidden="1" x14ac:dyDescent="0.25">
      <c r="A818" s="2">
        <v>254</v>
      </c>
      <c r="B818" t="s">
        <v>1389</v>
      </c>
      <c r="C818">
        <v>20</v>
      </c>
      <c r="D818">
        <v>300</v>
      </c>
      <c r="E818">
        <v>9516</v>
      </c>
      <c r="F818" t="s">
        <v>172</v>
      </c>
      <c r="G818" s="2" t="s">
        <v>156</v>
      </c>
      <c r="H818">
        <v>1</v>
      </c>
      <c r="I818">
        <v>448.2</v>
      </c>
      <c r="J818" s="2" t="s">
        <v>170</v>
      </c>
      <c r="K818" s="2" t="s">
        <v>74</v>
      </c>
      <c r="M818" t="s">
        <v>1477</v>
      </c>
      <c r="P818" s="19" t="s">
        <v>1142</v>
      </c>
      <c r="Q818" s="19" t="s">
        <v>27</v>
      </c>
      <c r="R818" s="19" t="s">
        <v>138</v>
      </c>
      <c r="V818" s="19" t="s">
        <v>138</v>
      </c>
      <c r="W818" s="20">
        <v>17</v>
      </c>
      <c r="X818" s="65" t="s">
        <v>1141</v>
      </c>
      <c r="Z818" t="s">
        <v>307</v>
      </c>
      <c r="AB818" t="s">
        <v>178</v>
      </c>
      <c r="AC818" t="s">
        <v>1380</v>
      </c>
      <c r="AD818" s="2" t="s">
        <v>180</v>
      </c>
    </row>
    <row r="819" spans="1:30" hidden="1" x14ac:dyDescent="0.25">
      <c r="A819" s="2">
        <v>255</v>
      </c>
      <c r="B819" t="s">
        <v>1390</v>
      </c>
      <c r="C819">
        <v>20</v>
      </c>
      <c r="D819">
        <v>300</v>
      </c>
      <c r="E819">
        <v>9516</v>
      </c>
      <c r="F819" t="s">
        <v>172</v>
      </c>
      <c r="G819" s="2" t="s">
        <v>156</v>
      </c>
      <c r="H819">
        <v>1</v>
      </c>
      <c r="I819">
        <v>448.2</v>
      </c>
      <c r="J819" s="2" t="s">
        <v>170</v>
      </c>
      <c r="K819" s="2" t="s">
        <v>74</v>
      </c>
      <c r="M819" t="s">
        <v>1477</v>
      </c>
      <c r="P819" s="19" t="s">
        <v>1142</v>
      </c>
      <c r="Q819" s="19" t="s">
        <v>27</v>
      </c>
      <c r="R819" s="19" t="s">
        <v>138</v>
      </c>
      <c r="V819" s="19" t="s">
        <v>138</v>
      </c>
      <c r="W819" s="20">
        <v>17</v>
      </c>
      <c r="X819" s="65" t="s">
        <v>1141</v>
      </c>
      <c r="Z819" t="s">
        <v>307</v>
      </c>
      <c r="AB819" t="s">
        <v>178</v>
      </c>
      <c r="AC819" t="s">
        <v>1380</v>
      </c>
      <c r="AD819" s="2" t="s">
        <v>180</v>
      </c>
    </row>
    <row r="820" spans="1:30" hidden="1" x14ac:dyDescent="0.25">
      <c r="A820" s="2">
        <v>256</v>
      </c>
      <c r="B820" t="s">
        <v>1391</v>
      </c>
      <c r="C820">
        <v>20</v>
      </c>
      <c r="D820">
        <v>300</v>
      </c>
      <c r="E820">
        <v>9516</v>
      </c>
      <c r="F820" t="s">
        <v>172</v>
      </c>
      <c r="G820" s="2" t="s">
        <v>156</v>
      </c>
      <c r="H820">
        <v>1</v>
      </c>
      <c r="I820">
        <v>448.2</v>
      </c>
      <c r="J820" s="2" t="s">
        <v>170</v>
      </c>
      <c r="K820" s="2" t="s">
        <v>74</v>
      </c>
      <c r="M820" t="s">
        <v>1477</v>
      </c>
      <c r="P820" s="19" t="s">
        <v>1142</v>
      </c>
      <c r="Q820" s="19" t="s">
        <v>27</v>
      </c>
      <c r="R820" s="19" t="s">
        <v>138</v>
      </c>
      <c r="V820" s="19" t="s">
        <v>138</v>
      </c>
      <c r="W820" s="20">
        <v>17</v>
      </c>
      <c r="X820" s="65" t="s">
        <v>1141</v>
      </c>
      <c r="Z820" t="s">
        <v>307</v>
      </c>
      <c r="AB820" t="s">
        <v>178</v>
      </c>
      <c r="AC820" t="s">
        <v>1380</v>
      </c>
      <c r="AD820" s="2" t="s">
        <v>180</v>
      </c>
    </row>
    <row r="821" spans="1:30" hidden="1" x14ac:dyDescent="0.25">
      <c r="A821" s="2">
        <v>257</v>
      </c>
      <c r="B821" t="s">
        <v>1392</v>
      </c>
      <c r="C821">
        <v>20</v>
      </c>
      <c r="D821">
        <v>300</v>
      </c>
      <c r="E821">
        <v>9516</v>
      </c>
      <c r="F821" t="s">
        <v>172</v>
      </c>
      <c r="G821" s="2" t="s">
        <v>156</v>
      </c>
      <c r="H821">
        <v>1</v>
      </c>
      <c r="I821">
        <v>448.2</v>
      </c>
      <c r="J821" s="2" t="s">
        <v>170</v>
      </c>
      <c r="K821" s="2" t="s">
        <v>74</v>
      </c>
      <c r="M821" t="s">
        <v>1477</v>
      </c>
      <c r="P821" s="19" t="s">
        <v>1142</v>
      </c>
      <c r="Q821" s="19" t="s">
        <v>27</v>
      </c>
      <c r="R821" s="19" t="s">
        <v>138</v>
      </c>
      <c r="V821" s="19" t="s">
        <v>138</v>
      </c>
      <c r="W821" s="20">
        <v>17</v>
      </c>
      <c r="X821" s="65" t="s">
        <v>1141</v>
      </c>
      <c r="Z821" t="s">
        <v>307</v>
      </c>
      <c r="AB821" t="s">
        <v>178</v>
      </c>
      <c r="AC821" t="s">
        <v>1380</v>
      </c>
      <c r="AD821" s="2" t="s">
        <v>180</v>
      </c>
    </row>
    <row r="822" spans="1:30" hidden="1" x14ac:dyDescent="0.25">
      <c r="A822" s="2">
        <v>258</v>
      </c>
      <c r="B822" t="s">
        <v>1393</v>
      </c>
      <c r="C822">
        <v>20</v>
      </c>
      <c r="D822">
        <v>300</v>
      </c>
      <c r="E822">
        <v>1514</v>
      </c>
      <c r="F822" t="s">
        <v>172</v>
      </c>
      <c r="G822" s="2" t="s">
        <v>156</v>
      </c>
      <c r="H822">
        <v>1</v>
      </c>
      <c r="I822">
        <v>71.31</v>
      </c>
      <c r="J822" s="2" t="s">
        <v>170</v>
      </c>
      <c r="K822" s="2" t="s">
        <v>74</v>
      </c>
      <c r="M822" t="s">
        <v>1477</v>
      </c>
      <c r="P822" s="19" t="s">
        <v>1142</v>
      </c>
      <c r="Q822" s="19" t="s">
        <v>27</v>
      </c>
      <c r="R822" s="19" t="s">
        <v>138</v>
      </c>
      <c r="W822" s="20">
        <v>17</v>
      </c>
      <c r="X822" s="65" t="s">
        <v>1141</v>
      </c>
      <c r="Z822" t="s">
        <v>307</v>
      </c>
      <c r="AB822" t="s">
        <v>178</v>
      </c>
      <c r="AC822" t="s">
        <v>1380</v>
      </c>
      <c r="AD822" s="2" t="s">
        <v>180</v>
      </c>
    </row>
    <row r="823" spans="1:30" hidden="1" x14ac:dyDescent="0.25">
      <c r="A823" s="2">
        <v>259</v>
      </c>
      <c r="B823" t="s">
        <v>1394</v>
      </c>
      <c r="C823">
        <v>20</v>
      </c>
      <c r="D823">
        <v>300</v>
      </c>
      <c r="E823">
        <v>1514</v>
      </c>
      <c r="F823" t="s">
        <v>172</v>
      </c>
      <c r="G823" s="2" t="s">
        <v>156</v>
      </c>
      <c r="H823">
        <v>1</v>
      </c>
      <c r="I823">
        <v>71.31</v>
      </c>
      <c r="J823" s="2" t="s">
        <v>170</v>
      </c>
      <c r="K823" s="2" t="s">
        <v>74</v>
      </c>
      <c r="M823" t="s">
        <v>1477</v>
      </c>
      <c r="P823" s="19" t="s">
        <v>1142</v>
      </c>
      <c r="Q823" s="19" t="s">
        <v>27</v>
      </c>
      <c r="R823" s="19" t="s">
        <v>138</v>
      </c>
      <c r="W823" s="20">
        <v>17</v>
      </c>
      <c r="X823" s="65" t="s">
        <v>1141</v>
      </c>
      <c r="Z823" t="s">
        <v>307</v>
      </c>
      <c r="AB823" t="s">
        <v>178</v>
      </c>
      <c r="AC823" t="s">
        <v>1380</v>
      </c>
      <c r="AD823" s="2" t="s">
        <v>180</v>
      </c>
    </row>
    <row r="824" spans="1:30" hidden="1" x14ac:dyDescent="0.25">
      <c r="A824" s="2">
        <v>260</v>
      </c>
      <c r="B824" t="s">
        <v>1395</v>
      </c>
      <c r="C824">
        <v>20</v>
      </c>
      <c r="D824">
        <v>300</v>
      </c>
      <c r="E824">
        <v>1514</v>
      </c>
      <c r="F824" t="s">
        <v>172</v>
      </c>
      <c r="G824" s="2" t="s">
        <v>156</v>
      </c>
      <c r="H824">
        <v>1</v>
      </c>
      <c r="I824">
        <v>71.31</v>
      </c>
      <c r="J824" s="2" t="s">
        <v>170</v>
      </c>
      <c r="K824" s="2" t="s">
        <v>74</v>
      </c>
      <c r="M824" t="s">
        <v>1477</v>
      </c>
      <c r="P824" s="19" t="s">
        <v>1142</v>
      </c>
      <c r="Q824" s="19" t="s">
        <v>27</v>
      </c>
      <c r="R824" s="19" t="s">
        <v>138</v>
      </c>
      <c r="W824" s="20">
        <v>17</v>
      </c>
      <c r="X824" s="65" t="s">
        <v>1141</v>
      </c>
      <c r="Z824" t="s">
        <v>307</v>
      </c>
      <c r="AB824" t="s">
        <v>178</v>
      </c>
      <c r="AC824" t="s">
        <v>1380</v>
      </c>
      <c r="AD824" s="2" t="s">
        <v>180</v>
      </c>
    </row>
    <row r="825" spans="1:30" hidden="1" x14ac:dyDescent="0.25">
      <c r="A825" s="2">
        <v>261</v>
      </c>
      <c r="B825" t="s">
        <v>1396</v>
      </c>
      <c r="C825">
        <v>20</v>
      </c>
      <c r="D825">
        <v>300</v>
      </c>
      <c r="E825">
        <v>9516</v>
      </c>
      <c r="F825" t="s">
        <v>172</v>
      </c>
      <c r="G825" s="2" t="s">
        <v>156</v>
      </c>
      <c r="H825">
        <v>1</v>
      </c>
      <c r="I825">
        <v>448.2</v>
      </c>
      <c r="J825" s="2" t="s">
        <v>170</v>
      </c>
      <c r="K825" s="2" t="s">
        <v>74</v>
      </c>
      <c r="M825" t="s">
        <v>1477</v>
      </c>
      <c r="P825" s="19" t="s">
        <v>1142</v>
      </c>
      <c r="Q825" s="19" t="s">
        <v>27</v>
      </c>
      <c r="R825" s="19" t="s">
        <v>138</v>
      </c>
      <c r="V825" s="19" t="s">
        <v>138</v>
      </c>
      <c r="W825" s="20">
        <v>17</v>
      </c>
      <c r="X825" s="65" t="s">
        <v>1141</v>
      </c>
      <c r="Z825" t="s">
        <v>307</v>
      </c>
      <c r="AB825" t="s">
        <v>178</v>
      </c>
      <c r="AC825" t="s">
        <v>1397</v>
      </c>
      <c r="AD825" s="2" t="s">
        <v>180</v>
      </c>
    </row>
    <row r="826" spans="1:30" hidden="1" x14ac:dyDescent="0.25">
      <c r="A826" s="2">
        <v>262</v>
      </c>
      <c r="B826" t="s">
        <v>1398</v>
      </c>
      <c r="C826">
        <v>20</v>
      </c>
      <c r="D826">
        <v>300</v>
      </c>
      <c r="E826">
        <v>1383</v>
      </c>
      <c r="F826" t="s">
        <v>172</v>
      </c>
      <c r="G826" s="2" t="s">
        <v>156</v>
      </c>
      <c r="H826">
        <v>1</v>
      </c>
      <c r="I826">
        <v>65.14</v>
      </c>
      <c r="J826" s="2" t="s">
        <v>170</v>
      </c>
      <c r="K826" s="2" t="s">
        <v>74</v>
      </c>
      <c r="M826" t="s">
        <v>1477</v>
      </c>
      <c r="P826" s="19" t="s">
        <v>1142</v>
      </c>
      <c r="Q826" s="19" t="s">
        <v>27</v>
      </c>
      <c r="R826" s="19" t="s">
        <v>138</v>
      </c>
      <c r="V826" s="19" t="s">
        <v>138</v>
      </c>
      <c r="W826" s="20">
        <v>17</v>
      </c>
      <c r="X826" s="65" t="s">
        <v>1141</v>
      </c>
      <c r="Z826" t="s">
        <v>307</v>
      </c>
      <c r="AB826" t="s">
        <v>178</v>
      </c>
      <c r="AC826" t="s">
        <v>1397</v>
      </c>
      <c r="AD826" s="2" t="s">
        <v>180</v>
      </c>
    </row>
    <row r="827" spans="1:30" hidden="1" x14ac:dyDescent="0.25">
      <c r="A827" s="2">
        <v>263</v>
      </c>
      <c r="B827" t="s">
        <v>1399</v>
      </c>
      <c r="C827">
        <v>20</v>
      </c>
      <c r="D827">
        <v>300</v>
      </c>
      <c r="E827">
        <v>1383</v>
      </c>
      <c r="F827" t="s">
        <v>172</v>
      </c>
      <c r="G827" s="2" t="s">
        <v>156</v>
      </c>
      <c r="H827">
        <v>1</v>
      </c>
      <c r="I827">
        <v>65.14</v>
      </c>
      <c r="J827" s="2" t="s">
        <v>170</v>
      </c>
      <c r="K827" s="2" t="s">
        <v>74</v>
      </c>
      <c r="M827" t="s">
        <v>1477</v>
      </c>
      <c r="P827" s="19" t="s">
        <v>1142</v>
      </c>
      <c r="Q827" s="19" t="s">
        <v>27</v>
      </c>
      <c r="R827" s="19" t="s">
        <v>138</v>
      </c>
      <c r="V827" s="19" t="s">
        <v>138</v>
      </c>
      <c r="W827" s="20">
        <v>17</v>
      </c>
      <c r="X827" s="65" t="s">
        <v>1141</v>
      </c>
      <c r="Z827" t="s">
        <v>307</v>
      </c>
      <c r="AB827" t="s">
        <v>178</v>
      </c>
      <c r="AC827" t="s">
        <v>1397</v>
      </c>
      <c r="AD827" s="2" t="s">
        <v>180</v>
      </c>
    </row>
    <row r="828" spans="1:30" hidden="1" x14ac:dyDescent="0.25">
      <c r="A828" s="2">
        <v>264</v>
      </c>
      <c r="B828" t="s">
        <v>1400</v>
      </c>
      <c r="C828">
        <v>20</v>
      </c>
      <c r="D828">
        <v>300</v>
      </c>
      <c r="E828">
        <v>1383</v>
      </c>
      <c r="F828" t="s">
        <v>172</v>
      </c>
      <c r="G828" s="2" t="s">
        <v>156</v>
      </c>
      <c r="H828">
        <v>1</v>
      </c>
      <c r="I828">
        <v>65.14</v>
      </c>
      <c r="J828" s="2" t="s">
        <v>170</v>
      </c>
      <c r="K828" s="2" t="s">
        <v>74</v>
      </c>
      <c r="M828" t="s">
        <v>1477</v>
      </c>
      <c r="P828" s="19" t="s">
        <v>1142</v>
      </c>
      <c r="Q828" s="19" t="s">
        <v>27</v>
      </c>
      <c r="R828" s="19" t="s">
        <v>138</v>
      </c>
      <c r="V828" s="19" t="s">
        <v>138</v>
      </c>
      <c r="W828" s="20">
        <v>17</v>
      </c>
      <c r="X828" s="65" t="s">
        <v>1141</v>
      </c>
      <c r="Z828" t="s">
        <v>307</v>
      </c>
      <c r="AB828" t="s">
        <v>178</v>
      </c>
      <c r="AC828" t="s">
        <v>1397</v>
      </c>
      <c r="AD828" s="2" t="s">
        <v>180</v>
      </c>
    </row>
    <row r="829" spans="1:30" hidden="1" x14ac:dyDescent="0.25">
      <c r="A829" s="2">
        <v>265</v>
      </c>
      <c r="B829" t="s">
        <v>1401</v>
      </c>
      <c r="C829">
        <v>20</v>
      </c>
      <c r="D829">
        <v>300</v>
      </c>
      <c r="E829">
        <v>1383</v>
      </c>
      <c r="F829" t="s">
        <v>172</v>
      </c>
      <c r="G829" s="2" t="s">
        <v>156</v>
      </c>
      <c r="H829">
        <v>1</v>
      </c>
      <c r="I829">
        <v>65.14</v>
      </c>
      <c r="J829" s="2" t="s">
        <v>170</v>
      </c>
      <c r="K829" s="2" t="s">
        <v>74</v>
      </c>
      <c r="M829" t="s">
        <v>1477</v>
      </c>
      <c r="P829" s="19" t="s">
        <v>1142</v>
      </c>
      <c r="Q829" s="19" t="s">
        <v>27</v>
      </c>
      <c r="R829" s="19" t="s">
        <v>138</v>
      </c>
      <c r="V829" s="19" t="s">
        <v>138</v>
      </c>
      <c r="W829" s="20">
        <v>17</v>
      </c>
      <c r="X829" s="65" t="s">
        <v>1141</v>
      </c>
      <c r="Z829" t="s">
        <v>307</v>
      </c>
      <c r="AB829" t="s">
        <v>178</v>
      </c>
      <c r="AC829" t="s">
        <v>1397</v>
      </c>
      <c r="AD829" s="2" t="s">
        <v>180</v>
      </c>
    </row>
    <row r="830" spans="1:30" hidden="1" x14ac:dyDescent="0.25">
      <c r="A830" s="2">
        <v>266</v>
      </c>
      <c r="B830" t="s">
        <v>1402</v>
      </c>
      <c r="C830">
        <v>20</v>
      </c>
      <c r="D830">
        <v>300</v>
      </c>
      <c r="E830">
        <v>1383</v>
      </c>
      <c r="F830" t="s">
        <v>172</v>
      </c>
      <c r="G830" s="2" t="s">
        <v>156</v>
      </c>
      <c r="H830">
        <v>1</v>
      </c>
      <c r="I830">
        <v>65.14</v>
      </c>
      <c r="J830" s="2" t="s">
        <v>170</v>
      </c>
      <c r="K830" s="2" t="s">
        <v>74</v>
      </c>
      <c r="M830" t="s">
        <v>1477</v>
      </c>
      <c r="P830" s="19" t="s">
        <v>1142</v>
      </c>
      <c r="Q830" s="19" t="s">
        <v>27</v>
      </c>
      <c r="R830" s="19" t="s">
        <v>138</v>
      </c>
      <c r="V830" s="19" t="s">
        <v>138</v>
      </c>
      <c r="W830" s="20">
        <v>17</v>
      </c>
      <c r="X830" s="65" t="s">
        <v>1141</v>
      </c>
      <c r="Z830" t="s">
        <v>307</v>
      </c>
      <c r="AB830" t="s">
        <v>178</v>
      </c>
      <c r="AC830" t="s">
        <v>1397</v>
      </c>
      <c r="AD830" s="2" t="s">
        <v>180</v>
      </c>
    </row>
    <row r="831" spans="1:30" hidden="1" x14ac:dyDescent="0.25">
      <c r="A831" s="2">
        <v>267</v>
      </c>
      <c r="B831" t="s">
        <v>1403</v>
      </c>
      <c r="C831">
        <v>20</v>
      </c>
      <c r="D831">
        <v>300</v>
      </c>
      <c r="E831">
        <v>1383</v>
      </c>
      <c r="F831" t="s">
        <v>172</v>
      </c>
      <c r="G831" s="2" t="s">
        <v>156</v>
      </c>
      <c r="H831">
        <v>1</v>
      </c>
      <c r="I831">
        <v>65.14</v>
      </c>
      <c r="J831" s="2" t="s">
        <v>170</v>
      </c>
      <c r="K831" s="2" t="s">
        <v>74</v>
      </c>
      <c r="M831" t="s">
        <v>1477</v>
      </c>
      <c r="P831" s="19" t="s">
        <v>1142</v>
      </c>
      <c r="Q831" s="19" t="s">
        <v>27</v>
      </c>
      <c r="R831" s="19" t="s">
        <v>138</v>
      </c>
      <c r="V831" s="19" t="s">
        <v>138</v>
      </c>
      <c r="W831" s="20">
        <v>17</v>
      </c>
      <c r="X831" s="65" t="s">
        <v>1141</v>
      </c>
      <c r="Z831" t="s">
        <v>307</v>
      </c>
      <c r="AB831" t="s">
        <v>178</v>
      </c>
      <c r="AC831" t="s">
        <v>1397</v>
      </c>
      <c r="AD831" s="2" t="s">
        <v>180</v>
      </c>
    </row>
    <row r="832" spans="1:30" hidden="1" x14ac:dyDescent="0.25">
      <c r="A832" s="2">
        <v>268</v>
      </c>
      <c r="B832" t="s">
        <v>1404</v>
      </c>
      <c r="C832">
        <v>20</v>
      </c>
      <c r="D832">
        <v>300</v>
      </c>
      <c r="E832">
        <v>9068</v>
      </c>
      <c r="F832" t="s">
        <v>172</v>
      </c>
      <c r="G832" s="2" t="s">
        <v>156</v>
      </c>
      <c r="H832">
        <v>1</v>
      </c>
      <c r="I832">
        <v>427.1</v>
      </c>
      <c r="J832" s="2" t="s">
        <v>170</v>
      </c>
      <c r="K832" s="2" t="s">
        <v>74</v>
      </c>
      <c r="M832" t="s">
        <v>1477</v>
      </c>
      <c r="P832" s="19" t="s">
        <v>1142</v>
      </c>
      <c r="Q832" s="19" t="s">
        <v>27</v>
      </c>
      <c r="R832" s="19" t="s">
        <v>138</v>
      </c>
      <c r="W832" s="20">
        <v>17</v>
      </c>
      <c r="X832" s="65" t="s">
        <v>1141</v>
      </c>
      <c r="Z832" t="s">
        <v>307</v>
      </c>
      <c r="AB832" t="s">
        <v>178</v>
      </c>
      <c r="AC832" t="s">
        <v>1397</v>
      </c>
      <c r="AD832" s="2" t="s">
        <v>180</v>
      </c>
    </row>
    <row r="833" spans="1:30" hidden="1" x14ac:dyDescent="0.25">
      <c r="A833" s="2">
        <v>269</v>
      </c>
      <c r="B833" t="s">
        <v>1372</v>
      </c>
      <c r="C833">
        <v>20</v>
      </c>
      <c r="D833">
        <v>300</v>
      </c>
      <c r="E833">
        <v>480</v>
      </c>
      <c r="F833" t="s">
        <v>172</v>
      </c>
      <c r="G833" s="2" t="s">
        <v>156</v>
      </c>
      <c r="H833">
        <v>1</v>
      </c>
      <c r="I833">
        <v>22.61</v>
      </c>
      <c r="J833" s="2" t="s">
        <v>170</v>
      </c>
      <c r="K833" s="2" t="s">
        <v>74</v>
      </c>
      <c r="M833" t="s">
        <v>1477</v>
      </c>
      <c r="P833" s="19" t="s">
        <v>1142</v>
      </c>
      <c r="Q833" s="19" t="s">
        <v>25</v>
      </c>
      <c r="R833" s="19" t="s">
        <v>138</v>
      </c>
      <c r="W833" s="20">
        <v>17</v>
      </c>
      <c r="X833" s="65" t="s">
        <v>1141</v>
      </c>
      <c r="Z833" t="s">
        <v>307</v>
      </c>
      <c r="AB833" t="s">
        <v>178</v>
      </c>
      <c r="AC833" t="s">
        <v>1397</v>
      </c>
      <c r="AD833" s="2" t="s">
        <v>180</v>
      </c>
    </row>
    <row r="834" spans="1:30" hidden="1" x14ac:dyDescent="0.25">
      <c r="A834" s="2">
        <v>270</v>
      </c>
      <c r="B834" t="s">
        <v>1405</v>
      </c>
      <c r="C834">
        <v>20</v>
      </c>
      <c r="D834">
        <v>300</v>
      </c>
      <c r="E834">
        <v>8016</v>
      </c>
      <c r="F834" t="s">
        <v>172</v>
      </c>
      <c r="G834" s="2" t="s">
        <v>156</v>
      </c>
      <c r="H834">
        <v>1</v>
      </c>
      <c r="I834">
        <v>377.55</v>
      </c>
      <c r="J834" s="2" t="s">
        <v>170</v>
      </c>
      <c r="K834" s="2" t="s">
        <v>74</v>
      </c>
      <c r="M834" t="s">
        <v>1477</v>
      </c>
      <c r="P834" s="19" t="s">
        <v>1142</v>
      </c>
      <c r="Q834" s="19" t="s">
        <v>27</v>
      </c>
      <c r="R834" s="19" t="s">
        <v>138</v>
      </c>
      <c r="V834" s="19" t="s">
        <v>138</v>
      </c>
      <c r="W834" s="20">
        <v>17</v>
      </c>
      <c r="X834" s="65" t="s">
        <v>1141</v>
      </c>
      <c r="Z834" t="s">
        <v>307</v>
      </c>
      <c r="AB834" t="s">
        <v>178</v>
      </c>
      <c r="AC834" t="s">
        <v>1397</v>
      </c>
      <c r="AD834" s="2" t="s">
        <v>180</v>
      </c>
    </row>
    <row r="835" spans="1:30" hidden="1" x14ac:dyDescent="0.25">
      <c r="A835" s="2">
        <v>271</v>
      </c>
      <c r="B835" t="s">
        <v>1406</v>
      </c>
      <c r="C835">
        <v>20</v>
      </c>
      <c r="D835">
        <v>300</v>
      </c>
      <c r="E835">
        <v>9516</v>
      </c>
      <c r="F835" t="s">
        <v>172</v>
      </c>
      <c r="G835" s="2" t="s">
        <v>156</v>
      </c>
      <c r="H835">
        <v>1</v>
      </c>
      <c r="I835">
        <v>448.2</v>
      </c>
      <c r="J835" s="2" t="s">
        <v>170</v>
      </c>
      <c r="K835" s="2" t="s">
        <v>74</v>
      </c>
      <c r="M835" t="s">
        <v>1477</v>
      </c>
      <c r="P835" s="19" t="s">
        <v>1142</v>
      </c>
      <c r="Q835" s="19" t="s">
        <v>27</v>
      </c>
      <c r="R835" s="19" t="s">
        <v>138</v>
      </c>
      <c r="V835" s="19" t="s">
        <v>138</v>
      </c>
      <c r="W835" s="20">
        <v>17</v>
      </c>
      <c r="X835" s="65" t="s">
        <v>1141</v>
      </c>
      <c r="Z835" t="s">
        <v>307</v>
      </c>
      <c r="AB835" t="s">
        <v>178</v>
      </c>
      <c r="AC835" t="s">
        <v>1397</v>
      </c>
      <c r="AD835" s="2" t="s">
        <v>180</v>
      </c>
    </row>
    <row r="836" spans="1:30" hidden="1" x14ac:dyDescent="0.25">
      <c r="A836" s="2">
        <v>272</v>
      </c>
      <c r="B836" t="s">
        <v>1407</v>
      </c>
      <c r="C836">
        <v>20</v>
      </c>
      <c r="D836">
        <v>300</v>
      </c>
      <c r="E836">
        <v>1383</v>
      </c>
      <c r="F836" t="s">
        <v>172</v>
      </c>
      <c r="G836" s="2" t="s">
        <v>156</v>
      </c>
      <c r="H836">
        <v>1</v>
      </c>
      <c r="I836">
        <v>65.14</v>
      </c>
      <c r="J836" s="2" t="s">
        <v>170</v>
      </c>
      <c r="K836" s="2" t="s">
        <v>74</v>
      </c>
      <c r="M836" t="s">
        <v>1477</v>
      </c>
      <c r="P836" s="19" t="s">
        <v>1142</v>
      </c>
      <c r="Q836" s="19" t="s">
        <v>27</v>
      </c>
      <c r="R836" s="19" t="s">
        <v>138</v>
      </c>
      <c r="V836" s="19" t="s">
        <v>138</v>
      </c>
      <c r="W836" s="20">
        <v>17</v>
      </c>
      <c r="X836" s="65" t="s">
        <v>1141</v>
      </c>
      <c r="Z836" t="s">
        <v>307</v>
      </c>
      <c r="AB836" t="s">
        <v>178</v>
      </c>
      <c r="AC836" t="s">
        <v>1397</v>
      </c>
      <c r="AD836" s="2" t="s">
        <v>180</v>
      </c>
    </row>
    <row r="837" spans="1:30" hidden="1" x14ac:dyDescent="0.25">
      <c r="A837" s="2">
        <v>273</v>
      </c>
      <c r="B837" t="s">
        <v>1408</v>
      </c>
      <c r="C837">
        <v>20</v>
      </c>
      <c r="D837">
        <v>300</v>
      </c>
      <c r="E837">
        <v>1383</v>
      </c>
      <c r="F837" t="s">
        <v>172</v>
      </c>
      <c r="G837" s="2" t="s">
        <v>156</v>
      </c>
      <c r="H837">
        <v>1</v>
      </c>
      <c r="I837">
        <v>65.14</v>
      </c>
      <c r="J837" s="2" t="s">
        <v>170</v>
      </c>
      <c r="K837" s="2" t="s">
        <v>74</v>
      </c>
      <c r="M837" t="s">
        <v>1477</v>
      </c>
      <c r="P837" s="19" t="s">
        <v>1142</v>
      </c>
      <c r="Q837" s="19" t="s">
        <v>27</v>
      </c>
      <c r="R837" s="19" t="s">
        <v>138</v>
      </c>
      <c r="V837" s="19" t="s">
        <v>138</v>
      </c>
      <c r="W837" s="20">
        <v>17</v>
      </c>
      <c r="X837" s="65" t="s">
        <v>1141</v>
      </c>
      <c r="Z837" t="s">
        <v>307</v>
      </c>
      <c r="AB837" t="s">
        <v>178</v>
      </c>
      <c r="AC837" t="s">
        <v>1397</v>
      </c>
      <c r="AD837" s="2" t="s">
        <v>180</v>
      </c>
    </row>
    <row r="838" spans="1:30" hidden="1" x14ac:dyDescent="0.25">
      <c r="A838" s="2">
        <v>274</v>
      </c>
      <c r="B838" t="s">
        <v>1409</v>
      </c>
      <c r="C838">
        <v>20</v>
      </c>
      <c r="D838">
        <v>300</v>
      </c>
      <c r="E838">
        <v>1383</v>
      </c>
      <c r="F838" t="s">
        <v>172</v>
      </c>
      <c r="G838" s="2" t="s">
        <v>156</v>
      </c>
      <c r="H838">
        <v>1</v>
      </c>
      <c r="I838">
        <v>65.14</v>
      </c>
      <c r="J838" s="2" t="s">
        <v>170</v>
      </c>
      <c r="K838" s="2" t="s">
        <v>74</v>
      </c>
      <c r="M838" t="s">
        <v>1477</v>
      </c>
      <c r="P838" s="19" t="s">
        <v>1142</v>
      </c>
      <c r="Q838" s="19" t="s">
        <v>27</v>
      </c>
      <c r="R838" s="19" t="s">
        <v>138</v>
      </c>
      <c r="V838" s="19" t="s">
        <v>138</v>
      </c>
      <c r="W838" s="20">
        <v>17</v>
      </c>
      <c r="X838" s="65" t="s">
        <v>1141</v>
      </c>
      <c r="Z838" t="s">
        <v>307</v>
      </c>
      <c r="AB838" t="s">
        <v>178</v>
      </c>
      <c r="AC838" t="s">
        <v>1397</v>
      </c>
      <c r="AD838" s="2" t="s">
        <v>180</v>
      </c>
    </row>
    <row r="839" spans="1:30" hidden="1" x14ac:dyDescent="0.25">
      <c r="A839" s="2">
        <v>275</v>
      </c>
      <c r="B839" t="s">
        <v>1410</v>
      </c>
      <c r="C839">
        <v>20</v>
      </c>
      <c r="D839">
        <v>300</v>
      </c>
      <c r="E839">
        <v>1383</v>
      </c>
      <c r="F839" t="s">
        <v>172</v>
      </c>
      <c r="G839" s="2" t="s">
        <v>156</v>
      </c>
      <c r="H839">
        <v>1</v>
      </c>
      <c r="I839">
        <v>65.14</v>
      </c>
      <c r="J839" s="2" t="s">
        <v>170</v>
      </c>
      <c r="K839" s="2" t="s">
        <v>74</v>
      </c>
      <c r="M839" t="s">
        <v>1477</v>
      </c>
      <c r="P839" s="19" t="s">
        <v>1142</v>
      </c>
      <c r="Q839" s="19" t="s">
        <v>27</v>
      </c>
      <c r="R839" s="19" t="s">
        <v>138</v>
      </c>
      <c r="V839" s="19" t="s">
        <v>138</v>
      </c>
      <c r="W839" s="20">
        <v>17</v>
      </c>
      <c r="X839" s="65" t="s">
        <v>1141</v>
      </c>
      <c r="Z839" t="s">
        <v>307</v>
      </c>
      <c r="AB839" t="s">
        <v>178</v>
      </c>
      <c r="AC839" t="s">
        <v>1397</v>
      </c>
      <c r="AD839" s="2" t="s">
        <v>180</v>
      </c>
    </row>
    <row r="840" spans="1:30" hidden="1" x14ac:dyDescent="0.25">
      <c r="A840" s="2">
        <v>276</v>
      </c>
      <c r="B840" t="s">
        <v>1411</v>
      </c>
      <c r="C840">
        <v>20</v>
      </c>
      <c r="D840">
        <v>300</v>
      </c>
      <c r="E840">
        <v>1383</v>
      </c>
      <c r="F840" t="s">
        <v>172</v>
      </c>
      <c r="G840" s="2" t="s">
        <v>156</v>
      </c>
      <c r="H840">
        <v>1</v>
      </c>
      <c r="I840">
        <v>65.14</v>
      </c>
      <c r="J840" s="2" t="s">
        <v>170</v>
      </c>
      <c r="K840" s="2" t="s">
        <v>74</v>
      </c>
      <c r="M840" t="s">
        <v>1477</v>
      </c>
      <c r="P840" s="19" t="s">
        <v>1142</v>
      </c>
      <c r="Q840" s="19" t="s">
        <v>27</v>
      </c>
      <c r="R840" s="19" t="s">
        <v>138</v>
      </c>
      <c r="V840" s="19" t="s">
        <v>138</v>
      </c>
      <c r="W840" s="20">
        <v>17</v>
      </c>
      <c r="X840" s="65" t="s">
        <v>1141</v>
      </c>
      <c r="Z840" t="s">
        <v>307</v>
      </c>
      <c r="AB840" t="s">
        <v>178</v>
      </c>
      <c r="AC840" t="s">
        <v>1397</v>
      </c>
      <c r="AD840" s="2" t="s">
        <v>180</v>
      </c>
    </row>
    <row r="841" spans="1:30" hidden="1" x14ac:dyDescent="0.25">
      <c r="A841" s="2">
        <v>277</v>
      </c>
      <c r="B841" t="s">
        <v>1412</v>
      </c>
      <c r="C841">
        <v>20</v>
      </c>
      <c r="D841">
        <v>300</v>
      </c>
      <c r="E841">
        <v>1514</v>
      </c>
      <c r="F841" t="s">
        <v>172</v>
      </c>
      <c r="G841" s="2" t="s">
        <v>156</v>
      </c>
      <c r="H841">
        <v>1</v>
      </c>
      <c r="I841">
        <v>71.31</v>
      </c>
      <c r="J841" s="2" t="s">
        <v>170</v>
      </c>
      <c r="K841" s="2" t="s">
        <v>74</v>
      </c>
      <c r="M841" t="s">
        <v>1477</v>
      </c>
      <c r="P841" s="19" t="s">
        <v>1142</v>
      </c>
      <c r="Q841" s="19" t="s">
        <v>27</v>
      </c>
      <c r="R841" s="19" t="s">
        <v>138</v>
      </c>
      <c r="W841" s="20">
        <v>17</v>
      </c>
      <c r="X841" s="65" t="s">
        <v>1141</v>
      </c>
      <c r="Z841" t="s">
        <v>307</v>
      </c>
      <c r="AB841" t="s">
        <v>178</v>
      </c>
      <c r="AC841" t="s">
        <v>1397</v>
      </c>
      <c r="AD841" s="2" t="s">
        <v>180</v>
      </c>
    </row>
    <row r="842" spans="1:30" hidden="1" x14ac:dyDescent="0.25">
      <c r="A842" s="2">
        <v>278</v>
      </c>
      <c r="B842" t="s">
        <v>1413</v>
      </c>
      <c r="C842">
        <v>20</v>
      </c>
      <c r="D842">
        <v>300</v>
      </c>
      <c r="E842">
        <v>1383</v>
      </c>
      <c r="F842" t="s">
        <v>172</v>
      </c>
      <c r="G842" s="2" t="s">
        <v>156</v>
      </c>
      <c r="H842">
        <v>1</v>
      </c>
      <c r="I842">
        <v>65.14</v>
      </c>
      <c r="J842" s="2" t="s">
        <v>170</v>
      </c>
      <c r="K842" s="2" t="s">
        <v>74</v>
      </c>
      <c r="M842" t="s">
        <v>1477</v>
      </c>
      <c r="P842" s="19" t="s">
        <v>1142</v>
      </c>
      <c r="Q842" s="19" t="s">
        <v>27</v>
      </c>
      <c r="R842" s="19" t="s">
        <v>138</v>
      </c>
      <c r="V842" s="19" t="s">
        <v>138</v>
      </c>
      <c r="W842" s="20">
        <v>17</v>
      </c>
      <c r="X842" s="65" t="s">
        <v>1141</v>
      </c>
      <c r="Z842" t="s">
        <v>307</v>
      </c>
      <c r="AB842" t="s">
        <v>178</v>
      </c>
      <c r="AC842" t="s">
        <v>1397</v>
      </c>
      <c r="AD842" s="2" t="s">
        <v>180</v>
      </c>
    </row>
    <row r="843" spans="1:30" hidden="1" x14ac:dyDescent="0.25">
      <c r="A843" s="2">
        <v>279</v>
      </c>
      <c r="B843" t="s">
        <v>1414</v>
      </c>
      <c r="C843">
        <v>20</v>
      </c>
      <c r="D843">
        <v>300</v>
      </c>
      <c r="E843">
        <v>7800</v>
      </c>
      <c r="F843" t="s">
        <v>172</v>
      </c>
      <c r="G843" s="2" t="s">
        <v>156</v>
      </c>
      <c r="H843">
        <v>2</v>
      </c>
      <c r="I843">
        <v>734.76</v>
      </c>
      <c r="J843" s="2" t="s">
        <v>170</v>
      </c>
      <c r="K843" s="2" t="s">
        <v>74</v>
      </c>
      <c r="M843" t="s">
        <v>1477</v>
      </c>
      <c r="P843" s="19" t="s">
        <v>1142</v>
      </c>
      <c r="Q843" s="19" t="s">
        <v>27</v>
      </c>
      <c r="R843" s="19" t="s">
        <v>138</v>
      </c>
      <c r="W843" s="20">
        <v>17</v>
      </c>
      <c r="X843" s="65" t="s">
        <v>1141</v>
      </c>
      <c r="Z843" t="s">
        <v>307</v>
      </c>
      <c r="AB843" t="s">
        <v>178</v>
      </c>
      <c r="AC843" t="s">
        <v>1397</v>
      </c>
      <c r="AD843" s="2" t="s">
        <v>180</v>
      </c>
    </row>
    <row r="844" spans="1:30" hidden="1" x14ac:dyDescent="0.25">
      <c r="A844" s="2">
        <v>280</v>
      </c>
      <c r="B844" t="s">
        <v>1415</v>
      </c>
      <c r="C844">
        <v>20</v>
      </c>
      <c r="D844">
        <v>270</v>
      </c>
      <c r="E844">
        <v>300</v>
      </c>
      <c r="F844" t="s">
        <v>172</v>
      </c>
      <c r="G844" s="2" t="s">
        <v>156</v>
      </c>
      <c r="H844">
        <v>3</v>
      </c>
      <c r="I844">
        <v>38.15</v>
      </c>
      <c r="J844" s="2" t="s">
        <v>170</v>
      </c>
      <c r="K844" s="2" t="s">
        <v>74</v>
      </c>
      <c r="M844" t="s">
        <v>1477</v>
      </c>
      <c r="P844" s="19" t="s">
        <v>1142</v>
      </c>
      <c r="Q844" s="19" t="s">
        <v>25</v>
      </c>
      <c r="R844" s="19" t="s">
        <v>138</v>
      </c>
      <c r="W844" s="20">
        <v>17</v>
      </c>
      <c r="X844" s="65" t="s">
        <v>1141</v>
      </c>
      <c r="Z844" t="s">
        <v>307</v>
      </c>
      <c r="AB844" t="s">
        <v>178</v>
      </c>
      <c r="AC844" t="s">
        <v>1397</v>
      </c>
      <c r="AD844" s="2" t="s">
        <v>180</v>
      </c>
    </row>
    <row r="845" spans="1:30" hidden="1" x14ac:dyDescent="0.25">
      <c r="A845" s="2">
        <v>281</v>
      </c>
      <c r="B845" t="s">
        <v>1416</v>
      </c>
      <c r="C845">
        <v>20</v>
      </c>
      <c r="D845">
        <v>300</v>
      </c>
      <c r="E845">
        <v>480</v>
      </c>
      <c r="F845" t="s">
        <v>172</v>
      </c>
      <c r="G845" s="2" t="s">
        <v>156</v>
      </c>
      <c r="H845">
        <v>1</v>
      </c>
      <c r="I845">
        <v>22.61</v>
      </c>
      <c r="J845" s="2" t="s">
        <v>170</v>
      </c>
      <c r="K845" s="2" t="s">
        <v>74</v>
      </c>
      <c r="M845" t="s">
        <v>1477</v>
      </c>
      <c r="P845" s="19" t="s">
        <v>1142</v>
      </c>
      <c r="Q845" s="19" t="s">
        <v>25</v>
      </c>
      <c r="R845" s="19" t="s">
        <v>138</v>
      </c>
      <c r="W845" s="20">
        <v>17</v>
      </c>
      <c r="X845" s="65" t="s">
        <v>1141</v>
      </c>
      <c r="Z845" t="s">
        <v>307</v>
      </c>
      <c r="AB845" t="s">
        <v>178</v>
      </c>
      <c r="AC845" t="s">
        <v>1397</v>
      </c>
      <c r="AD845" s="2" t="s">
        <v>180</v>
      </c>
    </row>
    <row r="846" spans="1:30" hidden="1" x14ac:dyDescent="0.25">
      <c r="A846" s="2">
        <v>282</v>
      </c>
      <c r="B846" t="s">
        <v>1417</v>
      </c>
      <c r="C846">
        <v>20</v>
      </c>
      <c r="D846">
        <v>300</v>
      </c>
      <c r="E846">
        <v>7800</v>
      </c>
      <c r="F846" t="s">
        <v>172</v>
      </c>
      <c r="G846" s="2" t="s">
        <v>156</v>
      </c>
      <c r="H846">
        <v>2</v>
      </c>
      <c r="I846">
        <v>734.76</v>
      </c>
      <c r="J846" s="2" t="s">
        <v>170</v>
      </c>
      <c r="K846" s="2" t="s">
        <v>74</v>
      </c>
      <c r="M846" t="s">
        <v>1477</v>
      </c>
      <c r="P846" s="19" t="s">
        <v>1142</v>
      </c>
      <c r="Q846" s="19" t="s">
        <v>27</v>
      </c>
      <c r="R846" s="19" t="s">
        <v>138</v>
      </c>
      <c r="W846" s="20">
        <v>17</v>
      </c>
      <c r="X846" s="65" t="s">
        <v>1141</v>
      </c>
      <c r="Z846" t="s">
        <v>307</v>
      </c>
      <c r="AB846" t="s">
        <v>178</v>
      </c>
      <c r="AC846" t="s">
        <v>1397</v>
      </c>
      <c r="AD846" s="2" t="s">
        <v>180</v>
      </c>
    </row>
    <row r="847" spans="1:30" hidden="1" x14ac:dyDescent="0.25">
      <c r="A847" s="2">
        <v>283</v>
      </c>
      <c r="B847" t="s">
        <v>1418</v>
      </c>
      <c r="C847">
        <v>20</v>
      </c>
      <c r="D847">
        <v>300</v>
      </c>
      <c r="E847">
        <v>6101</v>
      </c>
      <c r="F847" t="s">
        <v>172</v>
      </c>
      <c r="G847" s="2" t="s">
        <v>156</v>
      </c>
      <c r="H847">
        <v>1</v>
      </c>
      <c r="I847">
        <v>287.36</v>
      </c>
      <c r="J847" s="2" t="s">
        <v>170</v>
      </c>
      <c r="K847" s="2" t="s">
        <v>74</v>
      </c>
      <c r="M847" t="s">
        <v>1477</v>
      </c>
      <c r="P847" s="19" t="s">
        <v>1142</v>
      </c>
      <c r="Q847" s="19" t="s">
        <v>27</v>
      </c>
      <c r="R847" s="19" t="s">
        <v>138</v>
      </c>
      <c r="V847" s="19" t="s">
        <v>138</v>
      </c>
      <c r="W847" s="20">
        <v>17</v>
      </c>
      <c r="X847" s="65" t="s">
        <v>1141</v>
      </c>
      <c r="Z847" t="s">
        <v>307</v>
      </c>
      <c r="AB847" t="s">
        <v>178</v>
      </c>
      <c r="AC847" t="s">
        <v>1419</v>
      </c>
      <c r="AD847" s="2" t="s">
        <v>180</v>
      </c>
    </row>
    <row r="848" spans="1:30" hidden="1" x14ac:dyDescent="0.25">
      <c r="A848" s="2">
        <v>284</v>
      </c>
      <c r="B848" t="s">
        <v>1420</v>
      </c>
      <c r="C848">
        <v>20</v>
      </c>
      <c r="D848">
        <v>270</v>
      </c>
      <c r="E848">
        <v>300</v>
      </c>
      <c r="F848" t="s">
        <v>172</v>
      </c>
      <c r="G848" s="2" t="s">
        <v>156</v>
      </c>
      <c r="H848">
        <v>2</v>
      </c>
      <c r="I848">
        <v>25.43</v>
      </c>
      <c r="J848" s="2" t="s">
        <v>170</v>
      </c>
      <c r="K848" s="2" t="s">
        <v>74</v>
      </c>
      <c r="M848" t="s">
        <v>1477</v>
      </c>
      <c r="P848" s="19" t="s">
        <v>1142</v>
      </c>
      <c r="Q848" s="19" t="s">
        <v>25</v>
      </c>
      <c r="R848" s="19" t="s">
        <v>138</v>
      </c>
      <c r="W848" s="20">
        <v>17</v>
      </c>
      <c r="X848" s="65" t="s">
        <v>1141</v>
      </c>
      <c r="Z848" t="s">
        <v>307</v>
      </c>
      <c r="AB848" t="s">
        <v>178</v>
      </c>
      <c r="AC848" t="s">
        <v>1421</v>
      </c>
      <c r="AD848" s="2" t="s">
        <v>180</v>
      </c>
    </row>
    <row r="849" spans="1:30" hidden="1" x14ac:dyDescent="0.25">
      <c r="A849" s="2">
        <v>285</v>
      </c>
      <c r="B849" t="s">
        <v>1422</v>
      </c>
      <c r="C849">
        <v>20</v>
      </c>
      <c r="D849">
        <v>300</v>
      </c>
      <c r="E849">
        <v>6464</v>
      </c>
      <c r="F849" t="s">
        <v>172</v>
      </c>
      <c r="G849" s="2" t="s">
        <v>156</v>
      </c>
      <c r="H849">
        <v>1</v>
      </c>
      <c r="I849">
        <v>304.45</v>
      </c>
      <c r="J849" s="2" t="s">
        <v>170</v>
      </c>
      <c r="K849" s="2" t="s">
        <v>74</v>
      </c>
      <c r="M849" t="s">
        <v>1477</v>
      </c>
      <c r="P849" s="19" t="s">
        <v>1142</v>
      </c>
      <c r="Q849" s="19" t="s">
        <v>27</v>
      </c>
      <c r="R849" s="19" t="s">
        <v>138</v>
      </c>
      <c r="W849" s="20">
        <v>17</v>
      </c>
      <c r="X849" s="65" t="s">
        <v>1141</v>
      </c>
      <c r="Z849" t="s">
        <v>307</v>
      </c>
      <c r="AB849" t="s">
        <v>178</v>
      </c>
      <c r="AC849" t="s">
        <v>1421</v>
      </c>
      <c r="AD849" s="2" t="s">
        <v>180</v>
      </c>
    </row>
    <row r="850" spans="1:30" hidden="1" x14ac:dyDescent="0.25">
      <c r="A850" s="2">
        <v>286</v>
      </c>
      <c r="B850" t="s">
        <v>1423</v>
      </c>
      <c r="C850">
        <v>20</v>
      </c>
      <c r="D850">
        <v>300</v>
      </c>
      <c r="E850">
        <v>6464</v>
      </c>
      <c r="F850" t="s">
        <v>172</v>
      </c>
      <c r="G850" s="2" t="s">
        <v>156</v>
      </c>
      <c r="H850">
        <v>1</v>
      </c>
      <c r="I850">
        <v>304.45</v>
      </c>
      <c r="J850" s="2" t="s">
        <v>170</v>
      </c>
      <c r="K850" s="2" t="s">
        <v>74</v>
      </c>
      <c r="M850" t="s">
        <v>1477</v>
      </c>
      <c r="P850" s="19" t="s">
        <v>1142</v>
      </c>
      <c r="Q850" s="19" t="s">
        <v>27</v>
      </c>
      <c r="R850" s="19" t="s">
        <v>138</v>
      </c>
      <c r="W850" s="20">
        <v>17</v>
      </c>
      <c r="X850" s="65" t="s">
        <v>1141</v>
      </c>
      <c r="Z850" t="s">
        <v>307</v>
      </c>
      <c r="AB850" t="s">
        <v>178</v>
      </c>
      <c r="AC850" t="s">
        <v>1421</v>
      </c>
      <c r="AD850" s="2" t="s">
        <v>180</v>
      </c>
    </row>
    <row r="851" spans="1:30" hidden="1" x14ac:dyDescent="0.25">
      <c r="A851" s="2">
        <v>287</v>
      </c>
      <c r="B851" t="s">
        <v>1424</v>
      </c>
      <c r="C851">
        <v>20</v>
      </c>
      <c r="D851">
        <v>300</v>
      </c>
      <c r="E851">
        <v>6464</v>
      </c>
      <c r="F851" t="s">
        <v>172</v>
      </c>
      <c r="G851" s="2" t="s">
        <v>156</v>
      </c>
      <c r="H851">
        <v>1</v>
      </c>
      <c r="I851">
        <v>304.45</v>
      </c>
      <c r="J851" s="2" t="s">
        <v>170</v>
      </c>
      <c r="K851" s="2" t="s">
        <v>74</v>
      </c>
      <c r="M851" t="s">
        <v>1477</v>
      </c>
      <c r="P851" s="19" t="s">
        <v>1142</v>
      </c>
      <c r="Q851" s="19" t="s">
        <v>27</v>
      </c>
      <c r="R851" s="19" t="s">
        <v>138</v>
      </c>
      <c r="W851" s="20">
        <v>17</v>
      </c>
      <c r="X851" s="65" t="s">
        <v>1141</v>
      </c>
      <c r="Z851" t="s">
        <v>307</v>
      </c>
      <c r="AB851" t="s">
        <v>178</v>
      </c>
      <c r="AC851" t="s">
        <v>1421</v>
      </c>
      <c r="AD851" s="2" t="s">
        <v>180</v>
      </c>
    </row>
    <row r="852" spans="1:30" hidden="1" x14ac:dyDescent="0.25">
      <c r="A852" s="2">
        <v>288</v>
      </c>
      <c r="B852" t="s">
        <v>1425</v>
      </c>
      <c r="C852">
        <v>20</v>
      </c>
      <c r="D852">
        <v>300</v>
      </c>
      <c r="E852">
        <v>6464</v>
      </c>
      <c r="F852" t="s">
        <v>172</v>
      </c>
      <c r="G852" s="2" t="s">
        <v>156</v>
      </c>
      <c r="H852">
        <v>1</v>
      </c>
      <c r="I852">
        <v>304.45</v>
      </c>
      <c r="J852" s="2" t="s">
        <v>170</v>
      </c>
      <c r="K852" s="2" t="s">
        <v>74</v>
      </c>
      <c r="M852" t="s">
        <v>1477</v>
      </c>
      <c r="P852" s="19" t="s">
        <v>1142</v>
      </c>
      <c r="Q852" s="19" t="s">
        <v>27</v>
      </c>
      <c r="R852" s="19" t="s">
        <v>138</v>
      </c>
      <c r="W852" s="20">
        <v>17</v>
      </c>
      <c r="X852" s="65" t="s">
        <v>1141</v>
      </c>
      <c r="Z852" t="s">
        <v>307</v>
      </c>
      <c r="AB852" t="s">
        <v>178</v>
      </c>
      <c r="AC852" t="s">
        <v>1421</v>
      </c>
      <c r="AD852" s="2" t="s">
        <v>180</v>
      </c>
    </row>
    <row r="853" spans="1:30" hidden="1" x14ac:dyDescent="0.25">
      <c r="A853" s="2">
        <v>289</v>
      </c>
      <c r="B853" t="s">
        <v>1426</v>
      </c>
      <c r="C853">
        <v>20</v>
      </c>
      <c r="D853">
        <v>300</v>
      </c>
      <c r="E853">
        <v>6464</v>
      </c>
      <c r="F853" t="s">
        <v>172</v>
      </c>
      <c r="G853" s="2" t="s">
        <v>156</v>
      </c>
      <c r="H853">
        <v>1</v>
      </c>
      <c r="I853">
        <v>304.45</v>
      </c>
      <c r="J853" s="2" t="s">
        <v>170</v>
      </c>
      <c r="K853" s="2" t="s">
        <v>74</v>
      </c>
      <c r="M853" t="s">
        <v>1477</v>
      </c>
      <c r="P853" s="19" t="s">
        <v>1142</v>
      </c>
      <c r="Q853" s="19" t="s">
        <v>27</v>
      </c>
      <c r="R853" s="19" t="s">
        <v>138</v>
      </c>
      <c r="W853" s="20">
        <v>17</v>
      </c>
      <c r="X853" s="65" t="s">
        <v>1141</v>
      </c>
      <c r="Z853" t="s">
        <v>307</v>
      </c>
      <c r="AB853" t="s">
        <v>178</v>
      </c>
      <c r="AC853" t="s">
        <v>1421</v>
      </c>
      <c r="AD853" s="2" t="s">
        <v>180</v>
      </c>
    </row>
    <row r="854" spans="1:30" hidden="1" x14ac:dyDescent="0.25">
      <c r="A854" s="2">
        <v>290</v>
      </c>
      <c r="B854" t="s">
        <v>1427</v>
      </c>
      <c r="C854">
        <v>20</v>
      </c>
      <c r="D854">
        <v>300</v>
      </c>
      <c r="E854">
        <v>6464</v>
      </c>
      <c r="F854" t="s">
        <v>172</v>
      </c>
      <c r="G854" s="2" t="s">
        <v>156</v>
      </c>
      <c r="H854">
        <v>1</v>
      </c>
      <c r="I854">
        <v>304.45</v>
      </c>
      <c r="J854" s="2" t="s">
        <v>170</v>
      </c>
      <c r="K854" s="2" t="s">
        <v>74</v>
      </c>
      <c r="M854" t="s">
        <v>1477</v>
      </c>
      <c r="P854" s="19" t="s">
        <v>1142</v>
      </c>
      <c r="Q854" s="19" t="s">
        <v>27</v>
      </c>
      <c r="R854" s="19" t="s">
        <v>138</v>
      </c>
      <c r="W854" s="20">
        <v>17</v>
      </c>
      <c r="X854" s="65" t="s">
        <v>1141</v>
      </c>
      <c r="Z854" t="s">
        <v>307</v>
      </c>
      <c r="AB854" t="s">
        <v>178</v>
      </c>
      <c r="AC854" t="s">
        <v>1421</v>
      </c>
      <c r="AD854" s="2" t="s">
        <v>180</v>
      </c>
    </row>
    <row r="855" spans="1:30" hidden="1" x14ac:dyDescent="0.25">
      <c r="A855" s="2">
        <v>291</v>
      </c>
      <c r="B855" t="s">
        <v>1415</v>
      </c>
      <c r="C855">
        <v>20</v>
      </c>
      <c r="D855">
        <v>270</v>
      </c>
      <c r="E855">
        <v>300</v>
      </c>
      <c r="F855" t="s">
        <v>172</v>
      </c>
      <c r="G855" s="2" t="s">
        <v>156</v>
      </c>
      <c r="H855">
        <v>1</v>
      </c>
      <c r="I855">
        <v>12.72</v>
      </c>
      <c r="J855" s="2" t="s">
        <v>170</v>
      </c>
      <c r="K855" s="2" t="s">
        <v>74</v>
      </c>
      <c r="M855" t="s">
        <v>1477</v>
      </c>
      <c r="P855" s="19" t="s">
        <v>1142</v>
      </c>
      <c r="Q855" s="19" t="s">
        <v>25</v>
      </c>
      <c r="R855" s="19" t="s">
        <v>138</v>
      </c>
      <c r="W855" s="20">
        <v>17</v>
      </c>
      <c r="X855" s="65" t="s">
        <v>1141</v>
      </c>
      <c r="Z855" t="s">
        <v>307</v>
      </c>
      <c r="AB855" t="s">
        <v>178</v>
      </c>
      <c r="AC855" t="s">
        <v>1421</v>
      </c>
      <c r="AD855" s="2" t="s">
        <v>180</v>
      </c>
    </row>
    <row r="856" spans="1:30" hidden="1" x14ac:dyDescent="0.25">
      <c r="A856" s="2">
        <v>292</v>
      </c>
      <c r="B856" t="s">
        <v>1428</v>
      </c>
      <c r="C856">
        <v>20</v>
      </c>
      <c r="D856">
        <v>1436</v>
      </c>
      <c r="E856">
        <v>6298</v>
      </c>
      <c r="F856" t="s">
        <v>172</v>
      </c>
      <c r="G856" s="2" t="s">
        <v>156</v>
      </c>
      <c r="H856">
        <v>1</v>
      </c>
      <c r="I856">
        <v>1414.64</v>
      </c>
      <c r="J856" s="2" t="s">
        <v>170</v>
      </c>
      <c r="K856" s="2" t="s">
        <v>74</v>
      </c>
      <c r="M856" t="s">
        <v>1477</v>
      </c>
      <c r="P856" s="19" t="s">
        <v>1142</v>
      </c>
      <c r="Q856" s="19" t="s">
        <v>27</v>
      </c>
      <c r="R856" s="19" t="s">
        <v>138</v>
      </c>
      <c r="V856" s="19" t="s">
        <v>138</v>
      </c>
      <c r="W856" s="20">
        <v>17</v>
      </c>
      <c r="X856" s="65" t="s">
        <v>1141</v>
      </c>
      <c r="Z856" t="s">
        <v>307</v>
      </c>
      <c r="AB856" t="s">
        <v>178</v>
      </c>
      <c r="AC856" t="s">
        <v>1421</v>
      </c>
      <c r="AD856" s="2" t="s">
        <v>180</v>
      </c>
    </row>
    <row r="857" spans="1:30" hidden="1" x14ac:dyDescent="0.25">
      <c r="A857" s="2">
        <v>293</v>
      </c>
      <c r="B857" t="s">
        <v>1429</v>
      </c>
      <c r="C857">
        <v>20</v>
      </c>
      <c r="D857">
        <v>1436</v>
      </c>
      <c r="E857">
        <v>6298</v>
      </c>
      <c r="F857" t="s">
        <v>172</v>
      </c>
      <c r="G857" s="2" t="s">
        <v>156</v>
      </c>
      <c r="H857">
        <v>1</v>
      </c>
      <c r="I857">
        <v>1414.64</v>
      </c>
      <c r="J857" s="2" t="s">
        <v>170</v>
      </c>
      <c r="K857" s="2" t="s">
        <v>74</v>
      </c>
      <c r="M857" t="s">
        <v>1477</v>
      </c>
      <c r="P857" s="19" t="s">
        <v>1142</v>
      </c>
      <c r="Q857" s="19" t="s">
        <v>27</v>
      </c>
      <c r="R857" s="19" t="s">
        <v>138</v>
      </c>
      <c r="V857" s="19" t="s">
        <v>138</v>
      </c>
      <c r="W857" s="20">
        <v>17</v>
      </c>
      <c r="X857" s="65" t="s">
        <v>1141</v>
      </c>
      <c r="Z857" t="s">
        <v>307</v>
      </c>
      <c r="AB857" t="s">
        <v>178</v>
      </c>
      <c r="AC857" t="s">
        <v>1421</v>
      </c>
      <c r="AD857" s="2" t="s">
        <v>180</v>
      </c>
    </row>
    <row r="858" spans="1:30" hidden="1" x14ac:dyDescent="0.25">
      <c r="A858" s="2">
        <v>294</v>
      </c>
      <c r="B858" t="s">
        <v>1362</v>
      </c>
      <c r="C858">
        <v>20</v>
      </c>
      <c r="D858">
        <v>270</v>
      </c>
      <c r="E858">
        <v>300</v>
      </c>
      <c r="F858" t="s">
        <v>172</v>
      </c>
      <c r="G858" s="2" t="s">
        <v>156</v>
      </c>
      <c r="H858">
        <v>2</v>
      </c>
      <c r="I858">
        <v>25.43</v>
      </c>
      <c r="J858" s="2" t="s">
        <v>170</v>
      </c>
      <c r="K858" s="2" t="s">
        <v>74</v>
      </c>
      <c r="M858" t="s">
        <v>1477</v>
      </c>
      <c r="P858" s="19" t="s">
        <v>1142</v>
      </c>
      <c r="Q858" s="19" t="s">
        <v>25</v>
      </c>
      <c r="R858" s="19" t="s">
        <v>138</v>
      </c>
      <c r="W858" s="20">
        <v>17</v>
      </c>
      <c r="X858" s="65" t="s">
        <v>1141</v>
      </c>
      <c r="Z858" t="s">
        <v>307</v>
      </c>
      <c r="AB858" t="s">
        <v>178</v>
      </c>
      <c r="AC858" t="s">
        <v>1421</v>
      </c>
      <c r="AD858" s="2" t="s">
        <v>180</v>
      </c>
    </row>
    <row r="859" spans="1:30" hidden="1" x14ac:dyDescent="0.25">
      <c r="A859" s="2">
        <v>295</v>
      </c>
      <c r="B859" t="s">
        <v>1430</v>
      </c>
      <c r="C859">
        <v>20</v>
      </c>
      <c r="D859">
        <v>300</v>
      </c>
      <c r="E859">
        <v>6232</v>
      </c>
      <c r="F859" t="s">
        <v>172</v>
      </c>
      <c r="G859" s="2" t="s">
        <v>156</v>
      </c>
      <c r="H859">
        <v>1</v>
      </c>
      <c r="I859">
        <v>293.52999999999997</v>
      </c>
      <c r="J859" s="2" t="s">
        <v>170</v>
      </c>
      <c r="K859" s="2" t="s">
        <v>74</v>
      </c>
      <c r="M859" t="s">
        <v>1477</v>
      </c>
      <c r="P859" s="19" t="s">
        <v>1142</v>
      </c>
      <c r="Q859" s="19" t="s">
        <v>27</v>
      </c>
      <c r="R859" s="19" t="s">
        <v>138</v>
      </c>
      <c r="W859" s="20">
        <v>17</v>
      </c>
      <c r="X859" s="65" t="s">
        <v>1141</v>
      </c>
      <c r="Z859" t="s">
        <v>307</v>
      </c>
      <c r="AB859" t="s">
        <v>178</v>
      </c>
      <c r="AC859" t="s">
        <v>1431</v>
      </c>
      <c r="AD859" s="2" t="s">
        <v>180</v>
      </c>
    </row>
    <row r="860" spans="1:30" hidden="1" x14ac:dyDescent="0.25">
      <c r="A860" s="2">
        <v>296</v>
      </c>
      <c r="B860" t="s">
        <v>1432</v>
      </c>
      <c r="C860">
        <v>20</v>
      </c>
      <c r="D860">
        <v>300</v>
      </c>
      <c r="E860">
        <v>6232</v>
      </c>
      <c r="F860" t="s">
        <v>172</v>
      </c>
      <c r="G860" s="2" t="s">
        <v>156</v>
      </c>
      <c r="H860">
        <v>1</v>
      </c>
      <c r="I860">
        <v>293.52999999999997</v>
      </c>
      <c r="J860" s="2" t="s">
        <v>170</v>
      </c>
      <c r="K860" s="2" t="s">
        <v>74</v>
      </c>
      <c r="M860" t="s">
        <v>1477</v>
      </c>
      <c r="P860" s="19" t="s">
        <v>1142</v>
      </c>
      <c r="Q860" s="19" t="s">
        <v>27</v>
      </c>
      <c r="R860" s="19" t="s">
        <v>138</v>
      </c>
      <c r="W860" s="20">
        <v>17</v>
      </c>
      <c r="X860" s="65" t="s">
        <v>1141</v>
      </c>
      <c r="Z860" t="s">
        <v>307</v>
      </c>
      <c r="AB860" t="s">
        <v>178</v>
      </c>
      <c r="AC860" t="s">
        <v>1431</v>
      </c>
      <c r="AD860" s="2" t="s">
        <v>180</v>
      </c>
    </row>
    <row r="861" spans="1:30" hidden="1" x14ac:dyDescent="0.25">
      <c r="A861" s="2">
        <v>297</v>
      </c>
      <c r="B861" t="s">
        <v>1433</v>
      </c>
      <c r="C861">
        <v>20</v>
      </c>
      <c r="D861">
        <v>300</v>
      </c>
      <c r="E861">
        <v>6101</v>
      </c>
      <c r="F861" t="s">
        <v>172</v>
      </c>
      <c r="G861" s="2" t="s">
        <v>156</v>
      </c>
      <c r="H861">
        <v>1</v>
      </c>
      <c r="I861">
        <v>287.36</v>
      </c>
      <c r="J861" s="2" t="s">
        <v>170</v>
      </c>
      <c r="K861" s="2" t="s">
        <v>74</v>
      </c>
      <c r="M861" t="s">
        <v>1477</v>
      </c>
      <c r="P861" s="19" t="s">
        <v>1142</v>
      </c>
      <c r="Q861" s="19" t="s">
        <v>27</v>
      </c>
      <c r="R861" s="19" t="s">
        <v>138</v>
      </c>
      <c r="V861" s="19" t="s">
        <v>138</v>
      </c>
      <c r="W861" s="20">
        <v>17</v>
      </c>
      <c r="X861" s="65" t="s">
        <v>1141</v>
      </c>
      <c r="Z861" t="s">
        <v>307</v>
      </c>
      <c r="AB861" t="s">
        <v>178</v>
      </c>
      <c r="AC861" t="s">
        <v>1431</v>
      </c>
      <c r="AD861" s="2" t="s">
        <v>180</v>
      </c>
    </row>
    <row r="862" spans="1:30" hidden="1" x14ac:dyDescent="0.25">
      <c r="A862" s="2">
        <v>298</v>
      </c>
      <c r="B862" t="s">
        <v>1434</v>
      </c>
      <c r="C862">
        <v>20</v>
      </c>
      <c r="D862">
        <v>300</v>
      </c>
      <c r="E862">
        <v>6101</v>
      </c>
      <c r="F862" t="s">
        <v>172</v>
      </c>
      <c r="G862" s="2" t="s">
        <v>156</v>
      </c>
      <c r="H862">
        <v>1</v>
      </c>
      <c r="I862">
        <v>287.36</v>
      </c>
      <c r="J862" s="2" t="s">
        <v>170</v>
      </c>
      <c r="K862" s="2" t="s">
        <v>74</v>
      </c>
      <c r="M862" t="s">
        <v>1477</v>
      </c>
      <c r="P862" s="19" t="s">
        <v>1142</v>
      </c>
      <c r="Q862" s="19" t="s">
        <v>27</v>
      </c>
      <c r="R862" s="19" t="s">
        <v>138</v>
      </c>
      <c r="V862" s="19" t="s">
        <v>138</v>
      </c>
      <c r="W862" s="20">
        <v>17</v>
      </c>
      <c r="X862" s="65" t="s">
        <v>1141</v>
      </c>
      <c r="Z862" t="s">
        <v>307</v>
      </c>
      <c r="AB862" t="s">
        <v>178</v>
      </c>
      <c r="AC862" t="s">
        <v>1431</v>
      </c>
      <c r="AD862" s="2" t="s">
        <v>180</v>
      </c>
    </row>
    <row r="863" spans="1:30" hidden="1" x14ac:dyDescent="0.25">
      <c r="A863" s="2">
        <v>299</v>
      </c>
      <c r="B863" t="s">
        <v>1435</v>
      </c>
      <c r="C863">
        <v>20</v>
      </c>
      <c r="D863">
        <v>300</v>
      </c>
      <c r="E863">
        <v>6101</v>
      </c>
      <c r="F863" t="s">
        <v>172</v>
      </c>
      <c r="G863" s="2" t="s">
        <v>156</v>
      </c>
      <c r="H863">
        <v>1</v>
      </c>
      <c r="I863">
        <v>287.36</v>
      </c>
      <c r="J863" s="2" t="s">
        <v>170</v>
      </c>
      <c r="K863" s="2" t="s">
        <v>74</v>
      </c>
      <c r="M863" t="s">
        <v>1477</v>
      </c>
      <c r="P863" s="19" t="s">
        <v>1142</v>
      </c>
      <c r="Q863" s="19" t="s">
        <v>27</v>
      </c>
      <c r="R863" s="19" t="s">
        <v>138</v>
      </c>
      <c r="V863" s="19" t="s">
        <v>138</v>
      </c>
      <c r="W863" s="20">
        <v>17</v>
      </c>
      <c r="X863" s="65" t="s">
        <v>1141</v>
      </c>
      <c r="Z863" t="s">
        <v>307</v>
      </c>
      <c r="AB863" t="s">
        <v>178</v>
      </c>
      <c r="AC863" t="s">
        <v>1431</v>
      </c>
      <c r="AD863" s="2" t="s">
        <v>180</v>
      </c>
    </row>
    <row r="864" spans="1:30" hidden="1" x14ac:dyDescent="0.25">
      <c r="A864" s="2">
        <v>300</v>
      </c>
      <c r="B864" t="s">
        <v>1436</v>
      </c>
      <c r="C864">
        <v>20</v>
      </c>
      <c r="D864">
        <v>300</v>
      </c>
      <c r="E864">
        <v>6101</v>
      </c>
      <c r="F864" t="s">
        <v>172</v>
      </c>
      <c r="G864" s="2" t="s">
        <v>156</v>
      </c>
      <c r="H864">
        <v>1</v>
      </c>
      <c r="I864">
        <v>287.36</v>
      </c>
      <c r="J864" s="2" t="s">
        <v>170</v>
      </c>
      <c r="K864" s="2" t="s">
        <v>74</v>
      </c>
      <c r="M864" t="s">
        <v>1477</v>
      </c>
      <c r="P864" s="19" t="s">
        <v>1142</v>
      </c>
      <c r="Q864" s="19" t="s">
        <v>27</v>
      </c>
      <c r="R864" s="19" t="s">
        <v>138</v>
      </c>
      <c r="V864" s="19" t="s">
        <v>138</v>
      </c>
      <c r="W864" s="20">
        <v>17</v>
      </c>
      <c r="X864" s="65" t="s">
        <v>1141</v>
      </c>
      <c r="Z864" t="s">
        <v>307</v>
      </c>
      <c r="AB864" t="s">
        <v>178</v>
      </c>
      <c r="AC864" t="s">
        <v>1431</v>
      </c>
      <c r="AD864" s="2" t="s">
        <v>180</v>
      </c>
    </row>
    <row r="865" spans="1:30" hidden="1" x14ac:dyDescent="0.25">
      <c r="A865" s="2">
        <v>301</v>
      </c>
      <c r="B865" t="s">
        <v>1437</v>
      </c>
      <c r="C865">
        <v>20</v>
      </c>
      <c r="D865">
        <v>300</v>
      </c>
      <c r="E865">
        <v>6101</v>
      </c>
      <c r="F865" t="s">
        <v>172</v>
      </c>
      <c r="G865" s="2" t="s">
        <v>156</v>
      </c>
      <c r="H865">
        <v>1</v>
      </c>
      <c r="I865">
        <v>287.36</v>
      </c>
      <c r="J865" s="2" t="s">
        <v>170</v>
      </c>
      <c r="K865" s="2" t="s">
        <v>74</v>
      </c>
      <c r="M865" t="s">
        <v>1477</v>
      </c>
      <c r="P865" s="19" t="s">
        <v>1142</v>
      </c>
      <c r="Q865" s="19" t="s">
        <v>27</v>
      </c>
      <c r="R865" s="19" t="s">
        <v>138</v>
      </c>
      <c r="V865" s="19" t="s">
        <v>138</v>
      </c>
      <c r="W865" s="20">
        <v>17</v>
      </c>
      <c r="X865" s="65" t="s">
        <v>1141</v>
      </c>
      <c r="Z865" t="s">
        <v>307</v>
      </c>
      <c r="AB865" t="s">
        <v>178</v>
      </c>
      <c r="AC865" t="s">
        <v>1431</v>
      </c>
      <c r="AD865" s="2" t="s">
        <v>180</v>
      </c>
    </row>
    <row r="866" spans="1:30" hidden="1" x14ac:dyDescent="0.25">
      <c r="A866" s="2">
        <v>302</v>
      </c>
      <c r="B866" t="s">
        <v>1438</v>
      </c>
      <c r="C866">
        <v>20</v>
      </c>
      <c r="D866">
        <v>300</v>
      </c>
      <c r="E866">
        <v>6101</v>
      </c>
      <c r="F866" t="s">
        <v>172</v>
      </c>
      <c r="G866" s="2" t="s">
        <v>156</v>
      </c>
      <c r="H866">
        <v>1</v>
      </c>
      <c r="I866">
        <v>287.36</v>
      </c>
      <c r="J866" s="2" t="s">
        <v>170</v>
      </c>
      <c r="K866" s="2" t="s">
        <v>74</v>
      </c>
      <c r="M866" t="s">
        <v>1477</v>
      </c>
      <c r="P866" s="19" t="s">
        <v>1142</v>
      </c>
      <c r="Q866" s="19" t="s">
        <v>27</v>
      </c>
      <c r="R866" s="19" t="s">
        <v>138</v>
      </c>
      <c r="V866" s="19" t="s">
        <v>138</v>
      </c>
      <c r="W866" s="20">
        <v>17</v>
      </c>
      <c r="X866" s="65" t="s">
        <v>1141</v>
      </c>
      <c r="Z866" t="s">
        <v>307</v>
      </c>
      <c r="AB866" t="s">
        <v>178</v>
      </c>
      <c r="AC866" t="s">
        <v>1431</v>
      </c>
      <c r="AD866" s="2" t="s">
        <v>180</v>
      </c>
    </row>
    <row r="867" spans="1:30" hidden="1" x14ac:dyDescent="0.25">
      <c r="A867" s="2">
        <v>303</v>
      </c>
      <c r="B867" t="s">
        <v>1439</v>
      </c>
      <c r="C867">
        <v>20</v>
      </c>
      <c r="D867">
        <v>300</v>
      </c>
      <c r="E867">
        <v>6101</v>
      </c>
      <c r="F867" t="s">
        <v>172</v>
      </c>
      <c r="G867" s="2" t="s">
        <v>156</v>
      </c>
      <c r="H867">
        <v>1</v>
      </c>
      <c r="I867">
        <v>287.36</v>
      </c>
      <c r="J867" s="2" t="s">
        <v>170</v>
      </c>
      <c r="K867" s="2" t="s">
        <v>74</v>
      </c>
      <c r="M867" t="s">
        <v>1477</v>
      </c>
      <c r="P867" s="19" t="s">
        <v>1142</v>
      </c>
      <c r="Q867" s="19" t="s">
        <v>27</v>
      </c>
      <c r="R867" s="19" t="s">
        <v>138</v>
      </c>
      <c r="V867" s="19" t="s">
        <v>138</v>
      </c>
      <c r="W867" s="20">
        <v>17</v>
      </c>
      <c r="X867" s="65" t="s">
        <v>1141</v>
      </c>
      <c r="Z867" t="s">
        <v>307</v>
      </c>
      <c r="AB867" t="s">
        <v>178</v>
      </c>
      <c r="AC867" t="s">
        <v>1431</v>
      </c>
      <c r="AD867" s="2" t="s">
        <v>180</v>
      </c>
    </row>
    <row r="868" spans="1:30" hidden="1" x14ac:dyDescent="0.25">
      <c r="A868" s="2">
        <v>304</v>
      </c>
      <c r="B868" t="s">
        <v>1440</v>
      </c>
      <c r="C868">
        <v>20</v>
      </c>
      <c r="D868">
        <v>300</v>
      </c>
      <c r="E868">
        <v>6101</v>
      </c>
      <c r="F868" t="s">
        <v>172</v>
      </c>
      <c r="G868" s="2" t="s">
        <v>156</v>
      </c>
      <c r="H868">
        <v>1</v>
      </c>
      <c r="I868">
        <v>287.36</v>
      </c>
      <c r="J868" s="2" t="s">
        <v>170</v>
      </c>
      <c r="K868" s="2" t="s">
        <v>74</v>
      </c>
      <c r="M868" t="s">
        <v>1477</v>
      </c>
      <c r="P868" s="19" t="s">
        <v>1142</v>
      </c>
      <c r="Q868" s="19" t="s">
        <v>27</v>
      </c>
      <c r="R868" s="19" t="s">
        <v>138</v>
      </c>
      <c r="V868" s="19" t="s">
        <v>138</v>
      </c>
      <c r="W868" s="20">
        <v>17</v>
      </c>
      <c r="X868" s="65" t="s">
        <v>1141</v>
      </c>
      <c r="Z868" t="s">
        <v>307</v>
      </c>
      <c r="AB868" t="s">
        <v>178</v>
      </c>
      <c r="AC868" t="s">
        <v>1431</v>
      </c>
      <c r="AD868" s="2" t="s">
        <v>180</v>
      </c>
    </row>
    <row r="869" spans="1:30" hidden="1" x14ac:dyDescent="0.25">
      <c r="A869" s="2">
        <v>305</v>
      </c>
      <c r="B869" t="s">
        <v>1369</v>
      </c>
      <c r="C869">
        <v>20</v>
      </c>
      <c r="D869">
        <v>300</v>
      </c>
      <c r="E869">
        <v>480</v>
      </c>
      <c r="F869" t="s">
        <v>172</v>
      </c>
      <c r="G869" s="2" t="s">
        <v>156</v>
      </c>
      <c r="H869">
        <v>3</v>
      </c>
      <c r="I869">
        <v>67.819999999999993</v>
      </c>
      <c r="J869" s="2" t="s">
        <v>170</v>
      </c>
      <c r="K869" s="2" t="s">
        <v>74</v>
      </c>
      <c r="M869" t="s">
        <v>1477</v>
      </c>
      <c r="P869" s="19" t="s">
        <v>1142</v>
      </c>
      <c r="Q869" s="19" t="s">
        <v>25</v>
      </c>
      <c r="R869" s="19" t="s">
        <v>138</v>
      </c>
      <c r="W869" s="20">
        <v>17</v>
      </c>
      <c r="X869" s="65" t="s">
        <v>1141</v>
      </c>
      <c r="Z869" t="s">
        <v>307</v>
      </c>
      <c r="AB869" t="s">
        <v>178</v>
      </c>
      <c r="AC869" t="s">
        <v>1431</v>
      </c>
      <c r="AD869" s="2" t="s">
        <v>180</v>
      </c>
    </row>
    <row r="870" spans="1:30" hidden="1" x14ac:dyDescent="0.25">
      <c r="A870" s="2">
        <v>306</v>
      </c>
      <c r="B870" t="s">
        <v>1441</v>
      </c>
      <c r="C870">
        <v>20</v>
      </c>
      <c r="D870">
        <v>300</v>
      </c>
      <c r="E870">
        <v>6232</v>
      </c>
      <c r="F870" t="s">
        <v>172</v>
      </c>
      <c r="G870" s="2" t="s">
        <v>156</v>
      </c>
      <c r="H870">
        <v>1</v>
      </c>
      <c r="I870">
        <v>293.52999999999997</v>
      </c>
      <c r="J870" s="2" t="s">
        <v>170</v>
      </c>
      <c r="K870" s="2" t="s">
        <v>74</v>
      </c>
      <c r="M870" t="s">
        <v>1477</v>
      </c>
      <c r="P870" s="19" t="s">
        <v>1142</v>
      </c>
      <c r="Q870" s="19" t="s">
        <v>27</v>
      </c>
      <c r="R870" s="19" t="s">
        <v>138</v>
      </c>
      <c r="W870" s="20">
        <v>17</v>
      </c>
      <c r="X870" s="65" t="s">
        <v>1141</v>
      </c>
      <c r="Z870" t="s">
        <v>307</v>
      </c>
      <c r="AB870" t="s">
        <v>178</v>
      </c>
      <c r="AC870" t="s">
        <v>1431</v>
      </c>
      <c r="AD870" s="2" t="s">
        <v>180</v>
      </c>
    </row>
    <row r="871" spans="1:30" hidden="1" x14ac:dyDescent="0.25">
      <c r="A871" s="2">
        <v>307</v>
      </c>
      <c r="B871" t="s">
        <v>1442</v>
      </c>
      <c r="C871">
        <v>20</v>
      </c>
      <c r="D871">
        <v>300</v>
      </c>
      <c r="E871">
        <v>6232</v>
      </c>
      <c r="F871" t="s">
        <v>172</v>
      </c>
      <c r="G871" s="2" t="s">
        <v>156</v>
      </c>
      <c r="H871">
        <v>1</v>
      </c>
      <c r="I871">
        <v>293.52999999999997</v>
      </c>
      <c r="J871" s="2" t="s">
        <v>170</v>
      </c>
      <c r="K871" s="2" t="s">
        <v>74</v>
      </c>
      <c r="M871" t="s">
        <v>1477</v>
      </c>
      <c r="P871" s="19" t="s">
        <v>1142</v>
      </c>
      <c r="Q871" s="19" t="s">
        <v>27</v>
      </c>
      <c r="R871" s="19" t="s">
        <v>138</v>
      </c>
      <c r="W871" s="20">
        <v>17</v>
      </c>
      <c r="X871" s="65" t="s">
        <v>1141</v>
      </c>
      <c r="Z871" t="s">
        <v>307</v>
      </c>
      <c r="AB871" t="s">
        <v>178</v>
      </c>
      <c r="AC871" t="s">
        <v>1431</v>
      </c>
      <c r="AD871" s="2" t="s">
        <v>180</v>
      </c>
    </row>
    <row r="872" spans="1:30" hidden="1" x14ac:dyDescent="0.25">
      <c r="A872" s="2">
        <v>308</v>
      </c>
      <c r="B872" t="s">
        <v>1443</v>
      </c>
      <c r="C872">
        <v>20</v>
      </c>
      <c r="D872">
        <v>300</v>
      </c>
      <c r="E872">
        <v>6101</v>
      </c>
      <c r="F872" t="s">
        <v>172</v>
      </c>
      <c r="G872" s="2" t="s">
        <v>156</v>
      </c>
      <c r="H872">
        <v>1</v>
      </c>
      <c r="I872">
        <v>287.36</v>
      </c>
      <c r="J872" s="2" t="s">
        <v>170</v>
      </c>
      <c r="K872" s="2" t="s">
        <v>74</v>
      </c>
      <c r="M872" t="s">
        <v>1477</v>
      </c>
      <c r="P872" s="19" t="s">
        <v>1142</v>
      </c>
      <c r="Q872" s="19" t="s">
        <v>27</v>
      </c>
      <c r="R872" s="19" t="s">
        <v>138</v>
      </c>
      <c r="V872" s="19" t="s">
        <v>138</v>
      </c>
      <c r="W872" s="20">
        <v>17</v>
      </c>
      <c r="X872" s="65" t="s">
        <v>1141</v>
      </c>
      <c r="Z872" t="s">
        <v>307</v>
      </c>
      <c r="AB872" t="s">
        <v>178</v>
      </c>
      <c r="AC872" t="s">
        <v>1431</v>
      </c>
      <c r="AD872" s="2" t="s">
        <v>180</v>
      </c>
    </row>
    <row r="873" spans="1:30" hidden="1" x14ac:dyDescent="0.25">
      <c r="A873" s="2">
        <v>309</v>
      </c>
      <c r="B873" t="s">
        <v>1444</v>
      </c>
      <c r="C873">
        <v>20</v>
      </c>
      <c r="D873">
        <v>300</v>
      </c>
      <c r="E873">
        <v>6101</v>
      </c>
      <c r="F873" t="s">
        <v>172</v>
      </c>
      <c r="G873" s="2" t="s">
        <v>156</v>
      </c>
      <c r="H873">
        <v>1</v>
      </c>
      <c r="I873">
        <v>287.36</v>
      </c>
      <c r="J873" s="2" t="s">
        <v>170</v>
      </c>
      <c r="K873" s="2" t="s">
        <v>74</v>
      </c>
      <c r="M873" t="s">
        <v>1477</v>
      </c>
      <c r="P873" s="19" t="s">
        <v>1142</v>
      </c>
      <c r="Q873" s="19" t="s">
        <v>27</v>
      </c>
      <c r="R873" s="19" t="s">
        <v>138</v>
      </c>
      <c r="V873" s="19" t="s">
        <v>138</v>
      </c>
      <c r="W873" s="20">
        <v>17</v>
      </c>
      <c r="X873" s="65" t="s">
        <v>1141</v>
      </c>
      <c r="Z873" t="s">
        <v>307</v>
      </c>
      <c r="AB873" t="s">
        <v>178</v>
      </c>
      <c r="AC873" t="s">
        <v>1431</v>
      </c>
      <c r="AD873" s="2" t="s">
        <v>180</v>
      </c>
    </row>
    <row r="874" spans="1:30" hidden="1" x14ac:dyDescent="0.25">
      <c r="A874" s="2">
        <v>310</v>
      </c>
      <c r="B874" t="s">
        <v>1445</v>
      </c>
      <c r="C874">
        <v>20</v>
      </c>
      <c r="D874">
        <v>300</v>
      </c>
      <c r="E874">
        <v>6101</v>
      </c>
      <c r="F874" t="s">
        <v>172</v>
      </c>
      <c r="G874" s="2" t="s">
        <v>156</v>
      </c>
      <c r="H874">
        <v>1</v>
      </c>
      <c r="I874">
        <v>287.36</v>
      </c>
      <c r="J874" s="2" t="s">
        <v>170</v>
      </c>
      <c r="K874" s="2" t="s">
        <v>74</v>
      </c>
      <c r="M874" t="s">
        <v>1477</v>
      </c>
      <c r="P874" s="19" t="s">
        <v>1142</v>
      </c>
      <c r="Q874" s="19" t="s">
        <v>27</v>
      </c>
      <c r="R874" s="19" t="s">
        <v>138</v>
      </c>
      <c r="V874" s="19" t="s">
        <v>138</v>
      </c>
      <c r="W874" s="20">
        <v>17</v>
      </c>
      <c r="X874" s="65" t="s">
        <v>1141</v>
      </c>
      <c r="Z874" t="s">
        <v>307</v>
      </c>
      <c r="AB874" t="s">
        <v>178</v>
      </c>
      <c r="AC874" t="s">
        <v>1431</v>
      </c>
      <c r="AD874" s="2" t="s">
        <v>180</v>
      </c>
    </row>
    <row r="875" spans="1:30" hidden="1" x14ac:dyDescent="0.25">
      <c r="A875" s="2">
        <v>311</v>
      </c>
      <c r="B875" t="s">
        <v>1446</v>
      </c>
      <c r="C875">
        <v>20</v>
      </c>
      <c r="D875">
        <v>300</v>
      </c>
      <c r="E875">
        <v>6101</v>
      </c>
      <c r="F875" t="s">
        <v>172</v>
      </c>
      <c r="G875" s="2" t="s">
        <v>156</v>
      </c>
      <c r="H875">
        <v>1</v>
      </c>
      <c r="I875">
        <v>287.36</v>
      </c>
      <c r="J875" s="2" t="s">
        <v>170</v>
      </c>
      <c r="K875" s="2" t="s">
        <v>74</v>
      </c>
      <c r="M875" t="s">
        <v>1477</v>
      </c>
      <c r="P875" s="19" t="s">
        <v>1142</v>
      </c>
      <c r="Q875" s="19" t="s">
        <v>27</v>
      </c>
      <c r="R875" s="19" t="s">
        <v>138</v>
      </c>
      <c r="V875" s="19" t="s">
        <v>138</v>
      </c>
      <c r="W875" s="20">
        <v>17</v>
      </c>
      <c r="X875" s="65" t="s">
        <v>1141</v>
      </c>
      <c r="Z875" t="s">
        <v>307</v>
      </c>
      <c r="AB875" t="s">
        <v>178</v>
      </c>
      <c r="AC875" t="s">
        <v>1431</v>
      </c>
      <c r="AD875" s="2" t="s">
        <v>180</v>
      </c>
    </row>
    <row r="876" spans="1:30" hidden="1" x14ac:dyDescent="0.25">
      <c r="A876" s="2">
        <v>312</v>
      </c>
      <c r="B876" t="s">
        <v>1447</v>
      </c>
      <c r="C876">
        <v>20</v>
      </c>
      <c r="D876">
        <v>300</v>
      </c>
      <c r="E876">
        <v>480</v>
      </c>
      <c r="F876" t="s">
        <v>172</v>
      </c>
      <c r="G876" s="2" t="s">
        <v>156</v>
      </c>
      <c r="H876">
        <v>5</v>
      </c>
      <c r="I876">
        <v>113.04</v>
      </c>
      <c r="J876" s="2" t="s">
        <v>170</v>
      </c>
      <c r="K876" s="2" t="s">
        <v>74</v>
      </c>
      <c r="M876" t="s">
        <v>1477</v>
      </c>
      <c r="P876" s="19" t="s">
        <v>1142</v>
      </c>
      <c r="Q876" s="19" t="s">
        <v>25</v>
      </c>
      <c r="R876" s="19" t="s">
        <v>138</v>
      </c>
      <c r="W876" s="20">
        <v>17</v>
      </c>
      <c r="X876" s="65" t="s">
        <v>1141</v>
      </c>
      <c r="Z876" t="s">
        <v>307</v>
      </c>
      <c r="AB876" t="s">
        <v>178</v>
      </c>
      <c r="AC876" t="s">
        <v>1431</v>
      </c>
      <c r="AD876" s="2" t="s">
        <v>180</v>
      </c>
    </row>
    <row r="877" spans="1:30" hidden="1" x14ac:dyDescent="0.25">
      <c r="A877" s="2">
        <v>313</v>
      </c>
      <c r="B877" t="s">
        <v>1416</v>
      </c>
      <c r="C877">
        <v>20</v>
      </c>
      <c r="D877">
        <v>300</v>
      </c>
      <c r="E877">
        <v>480</v>
      </c>
      <c r="F877" t="s">
        <v>172</v>
      </c>
      <c r="G877" s="2" t="s">
        <v>156</v>
      </c>
      <c r="H877">
        <v>4</v>
      </c>
      <c r="I877">
        <v>90.43</v>
      </c>
      <c r="J877" s="2" t="s">
        <v>170</v>
      </c>
      <c r="K877" s="2" t="s">
        <v>74</v>
      </c>
      <c r="M877" t="s">
        <v>1477</v>
      </c>
      <c r="P877" s="19" t="s">
        <v>1142</v>
      </c>
      <c r="Q877" s="19" t="s">
        <v>25</v>
      </c>
      <c r="R877" s="19" t="s">
        <v>138</v>
      </c>
      <c r="W877" s="20">
        <v>17</v>
      </c>
      <c r="X877" s="65" t="s">
        <v>1141</v>
      </c>
      <c r="Z877" t="s">
        <v>307</v>
      </c>
      <c r="AB877" t="s">
        <v>178</v>
      </c>
      <c r="AC877" t="s">
        <v>1431</v>
      </c>
      <c r="AD877" s="2" t="s">
        <v>180</v>
      </c>
    </row>
    <row r="878" spans="1:30" hidden="1" x14ac:dyDescent="0.25">
      <c r="A878" s="2">
        <v>314</v>
      </c>
      <c r="B878" t="s">
        <v>1448</v>
      </c>
      <c r="C878">
        <v>32</v>
      </c>
      <c r="D878">
        <v>550</v>
      </c>
      <c r="E878">
        <v>7896</v>
      </c>
      <c r="F878" t="s">
        <v>172</v>
      </c>
      <c r="G878" s="2" t="s">
        <v>156</v>
      </c>
      <c r="H878">
        <v>1</v>
      </c>
      <c r="I878">
        <v>1090.9100000000001</v>
      </c>
      <c r="J878" s="2" t="s">
        <v>170</v>
      </c>
      <c r="K878" s="2" t="s">
        <v>74</v>
      </c>
      <c r="M878" t="s">
        <v>1477</v>
      </c>
      <c r="P878" s="19" t="s">
        <v>1142</v>
      </c>
      <c r="Q878" s="19" t="s">
        <v>27</v>
      </c>
      <c r="S878" s="19" t="s">
        <v>138</v>
      </c>
      <c r="V878" s="19" t="s">
        <v>138</v>
      </c>
      <c r="W878" s="20">
        <v>17</v>
      </c>
      <c r="X878" s="65" t="s">
        <v>1141</v>
      </c>
      <c r="Z878" t="s">
        <v>307</v>
      </c>
      <c r="AB878" t="s">
        <v>178</v>
      </c>
      <c r="AC878" t="s">
        <v>1450</v>
      </c>
      <c r="AD878" s="2" t="s">
        <v>1112</v>
      </c>
    </row>
    <row r="879" spans="1:30" hidden="1" x14ac:dyDescent="0.25">
      <c r="A879" s="2">
        <v>315</v>
      </c>
      <c r="B879" t="s">
        <v>1451</v>
      </c>
      <c r="C879">
        <v>32</v>
      </c>
      <c r="D879">
        <v>550</v>
      </c>
      <c r="E879">
        <v>7896</v>
      </c>
      <c r="F879" t="s">
        <v>172</v>
      </c>
      <c r="G879" s="2" t="s">
        <v>156</v>
      </c>
      <c r="H879">
        <v>1</v>
      </c>
      <c r="I879">
        <v>1090.9100000000001</v>
      </c>
      <c r="J879" s="2" t="s">
        <v>170</v>
      </c>
      <c r="K879" s="2" t="s">
        <v>74</v>
      </c>
      <c r="M879" t="s">
        <v>1477</v>
      </c>
      <c r="P879" s="19" t="s">
        <v>1142</v>
      </c>
      <c r="Q879" s="19" t="s">
        <v>27</v>
      </c>
      <c r="S879" s="19" t="s">
        <v>138</v>
      </c>
      <c r="V879" s="19" t="s">
        <v>138</v>
      </c>
      <c r="W879" s="20">
        <v>17</v>
      </c>
      <c r="X879" s="65" t="s">
        <v>1141</v>
      </c>
      <c r="Z879" t="s">
        <v>307</v>
      </c>
      <c r="AB879" t="s">
        <v>178</v>
      </c>
      <c r="AC879" t="s">
        <v>1450</v>
      </c>
      <c r="AD879" s="2" t="s">
        <v>1112</v>
      </c>
    </row>
    <row r="880" spans="1:30" hidden="1" x14ac:dyDescent="0.25">
      <c r="A880" s="2">
        <v>316</v>
      </c>
      <c r="B880" t="s">
        <v>1452</v>
      </c>
      <c r="C880">
        <v>32</v>
      </c>
      <c r="D880">
        <v>550</v>
      </c>
      <c r="E880">
        <v>7660</v>
      </c>
      <c r="F880" t="s">
        <v>172</v>
      </c>
      <c r="G880" s="2" t="s">
        <v>156</v>
      </c>
      <c r="H880">
        <v>2</v>
      </c>
      <c r="I880">
        <v>2116.61</v>
      </c>
      <c r="J880" s="2" t="s">
        <v>170</v>
      </c>
      <c r="K880" s="2" t="s">
        <v>74</v>
      </c>
      <c r="M880" t="s">
        <v>1477</v>
      </c>
      <c r="P880" s="19" t="s">
        <v>1142</v>
      </c>
      <c r="Q880" s="19" t="s">
        <v>27</v>
      </c>
      <c r="R880" s="19" t="s">
        <v>138</v>
      </c>
      <c r="W880" s="20">
        <v>17</v>
      </c>
      <c r="X880" s="65" t="s">
        <v>1141</v>
      </c>
      <c r="Z880" t="s">
        <v>307</v>
      </c>
      <c r="AB880" t="s">
        <v>178</v>
      </c>
      <c r="AC880" t="s">
        <v>1453</v>
      </c>
      <c r="AD880" s="2" t="s">
        <v>180</v>
      </c>
    </row>
    <row r="881" spans="1:30" hidden="1" x14ac:dyDescent="0.25">
      <c r="A881" s="2">
        <v>317</v>
      </c>
      <c r="B881" t="s">
        <v>1454</v>
      </c>
      <c r="C881">
        <v>32</v>
      </c>
      <c r="D881">
        <v>550</v>
      </c>
      <c r="E881">
        <v>7660</v>
      </c>
      <c r="F881" t="s">
        <v>172</v>
      </c>
      <c r="G881" s="2" t="s">
        <v>156</v>
      </c>
      <c r="H881">
        <v>2</v>
      </c>
      <c r="I881">
        <v>2116.61</v>
      </c>
      <c r="J881" s="2" t="s">
        <v>170</v>
      </c>
      <c r="K881" s="2" t="s">
        <v>74</v>
      </c>
      <c r="M881" t="s">
        <v>1477</v>
      </c>
      <c r="P881" s="19" t="s">
        <v>1142</v>
      </c>
      <c r="Q881" s="19" t="s">
        <v>27</v>
      </c>
      <c r="R881" s="19" t="s">
        <v>138</v>
      </c>
      <c r="W881" s="20">
        <v>17</v>
      </c>
      <c r="X881" s="65" t="s">
        <v>1141</v>
      </c>
      <c r="Z881" t="s">
        <v>307</v>
      </c>
      <c r="AB881" t="s">
        <v>178</v>
      </c>
      <c r="AC881" t="s">
        <v>1453</v>
      </c>
      <c r="AD881" s="2" t="s">
        <v>180</v>
      </c>
    </row>
    <row r="882" spans="1:30" hidden="1" x14ac:dyDescent="0.25">
      <c r="A882" s="2">
        <v>318</v>
      </c>
      <c r="B882" t="s">
        <v>1455</v>
      </c>
      <c r="C882">
        <v>40</v>
      </c>
      <c r="D882">
        <v>899</v>
      </c>
      <c r="E882">
        <v>1460</v>
      </c>
      <c r="F882" t="s">
        <v>273</v>
      </c>
      <c r="G882" s="2" t="s">
        <v>156</v>
      </c>
      <c r="H882">
        <v>2</v>
      </c>
      <c r="I882">
        <v>666.47</v>
      </c>
      <c r="J882" s="2" t="s">
        <v>170</v>
      </c>
      <c r="K882" s="2" t="s">
        <v>74</v>
      </c>
      <c r="M882" t="s">
        <v>1477</v>
      </c>
      <c r="P882" s="19" t="s">
        <v>1142</v>
      </c>
      <c r="Q882" s="19" t="s">
        <v>25</v>
      </c>
      <c r="S882" s="19" t="s">
        <v>138</v>
      </c>
      <c r="V882" s="19" t="s">
        <v>138</v>
      </c>
      <c r="W882" s="20">
        <v>17</v>
      </c>
      <c r="X882" s="65" t="s">
        <v>1141</v>
      </c>
      <c r="Z882" t="s">
        <v>307</v>
      </c>
      <c r="AB882" t="s">
        <v>178</v>
      </c>
      <c r="AC882" t="s">
        <v>1458</v>
      </c>
      <c r="AD882" s="2" t="s">
        <v>722</v>
      </c>
    </row>
    <row r="883" spans="1:30" hidden="1" x14ac:dyDescent="0.25">
      <c r="A883" s="2">
        <v>319</v>
      </c>
      <c r="B883" t="s">
        <v>1459</v>
      </c>
      <c r="C883">
        <v>40</v>
      </c>
      <c r="D883">
        <v>899</v>
      </c>
      <c r="E883">
        <v>1460</v>
      </c>
      <c r="F883" t="s">
        <v>273</v>
      </c>
      <c r="G883" s="2" t="s">
        <v>156</v>
      </c>
      <c r="H883">
        <v>2</v>
      </c>
      <c r="I883">
        <v>666.47</v>
      </c>
      <c r="J883" s="2" t="s">
        <v>170</v>
      </c>
      <c r="K883" s="2" t="s">
        <v>74</v>
      </c>
      <c r="M883" t="s">
        <v>1477</v>
      </c>
      <c r="P883" s="19" t="s">
        <v>1142</v>
      </c>
      <c r="Q883" s="19" t="s">
        <v>25</v>
      </c>
      <c r="S883" s="19" t="s">
        <v>138</v>
      </c>
      <c r="V883" s="19" t="s">
        <v>138</v>
      </c>
      <c r="W883" s="20">
        <v>17</v>
      </c>
      <c r="X883" s="65" t="s">
        <v>1141</v>
      </c>
      <c r="Z883" t="s">
        <v>307</v>
      </c>
      <c r="AB883" t="s">
        <v>178</v>
      </c>
      <c r="AC883" t="s">
        <v>1458</v>
      </c>
      <c r="AD883" s="2" t="s">
        <v>722</v>
      </c>
    </row>
    <row r="884" spans="1:30" hidden="1" x14ac:dyDescent="0.25">
      <c r="A884" s="2">
        <v>320</v>
      </c>
      <c r="B884" t="s">
        <v>1460</v>
      </c>
      <c r="C884">
        <v>40</v>
      </c>
      <c r="D884">
        <v>899</v>
      </c>
      <c r="E884">
        <v>1460</v>
      </c>
      <c r="F884" t="s">
        <v>273</v>
      </c>
      <c r="G884" s="2" t="s">
        <v>156</v>
      </c>
      <c r="H884">
        <v>2</v>
      </c>
      <c r="I884">
        <v>666.47</v>
      </c>
      <c r="J884" s="2" t="s">
        <v>170</v>
      </c>
      <c r="K884" s="2" t="s">
        <v>74</v>
      </c>
      <c r="M884" t="s">
        <v>1477</v>
      </c>
      <c r="P884" s="19" t="s">
        <v>1142</v>
      </c>
      <c r="Q884" s="19" t="s">
        <v>25</v>
      </c>
      <c r="S884" s="19" t="s">
        <v>138</v>
      </c>
      <c r="V884" s="19" t="s">
        <v>138</v>
      </c>
      <c r="W884" s="20">
        <v>17</v>
      </c>
      <c r="X884" s="65" t="s">
        <v>1141</v>
      </c>
      <c r="Z884" t="s">
        <v>307</v>
      </c>
      <c r="AB884" t="s">
        <v>178</v>
      </c>
      <c r="AC884" t="s">
        <v>1458</v>
      </c>
      <c r="AD884" s="2" t="s">
        <v>722</v>
      </c>
    </row>
    <row r="885" spans="1:30" hidden="1" x14ac:dyDescent="0.25">
      <c r="A885" s="2">
        <v>321</v>
      </c>
      <c r="B885" t="s">
        <v>1461</v>
      </c>
      <c r="C885">
        <v>40</v>
      </c>
      <c r="D885">
        <v>899</v>
      </c>
      <c r="E885">
        <v>1460</v>
      </c>
      <c r="F885" t="s">
        <v>273</v>
      </c>
      <c r="G885" s="2" t="s">
        <v>156</v>
      </c>
      <c r="H885">
        <v>2</v>
      </c>
      <c r="I885">
        <v>666.47</v>
      </c>
      <c r="J885" s="2" t="s">
        <v>170</v>
      </c>
      <c r="K885" s="2" t="s">
        <v>74</v>
      </c>
      <c r="M885" t="s">
        <v>1477</v>
      </c>
      <c r="P885" s="19" t="s">
        <v>1142</v>
      </c>
      <c r="Q885" s="19" t="s">
        <v>25</v>
      </c>
      <c r="S885" s="19" t="s">
        <v>138</v>
      </c>
      <c r="V885" s="19" t="s">
        <v>138</v>
      </c>
      <c r="W885" s="20">
        <v>17</v>
      </c>
      <c r="X885" s="65" t="s">
        <v>1141</v>
      </c>
      <c r="Z885" t="s">
        <v>307</v>
      </c>
      <c r="AB885" t="s">
        <v>178</v>
      </c>
      <c r="AC885" t="s">
        <v>1458</v>
      </c>
      <c r="AD885" s="2" t="s">
        <v>722</v>
      </c>
    </row>
    <row r="886" spans="1:30" hidden="1" x14ac:dyDescent="0.25">
      <c r="A886" s="2">
        <v>322</v>
      </c>
      <c r="B886" t="s">
        <v>1462</v>
      </c>
      <c r="C886">
        <v>40</v>
      </c>
      <c r="D886">
        <v>899</v>
      </c>
      <c r="E886">
        <v>1460</v>
      </c>
      <c r="F886" t="s">
        <v>273</v>
      </c>
      <c r="G886" s="2" t="s">
        <v>156</v>
      </c>
      <c r="H886">
        <v>2</v>
      </c>
      <c r="I886">
        <v>666.47</v>
      </c>
      <c r="J886" s="2" t="s">
        <v>170</v>
      </c>
      <c r="K886" s="2" t="s">
        <v>74</v>
      </c>
      <c r="M886" t="s">
        <v>1477</v>
      </c>
      <c r="P886" s="19" t="s">
        <v>1142</v>
      </c>
      <c r="Q886" s="19" t="s">
        <v>25</v>
      </c>
      <c r="S886" s="19" t="s">
        <v>138</v>
      </c>
      <c r="V886" s="19" t="s">
        <v>138</v>
      </c>
      <c r="W886" s="20">
        <v>17</v>
      </c>
      <c r="X886" s="65" t="s">
        <v>1141</v>
      </c>
      <c r="Z886" t="s">
        <v>307</v>
      </c>
      <c r="AB886" t="s">
        <v>178</v>
      </c>
      <c r="AC886" t="s">
        <v>1458</v>
      </c>
      <c r="AD886" s="2" t="s">
        <v>722</v>
      </c>
    </row>
    <row r="887" spans="1:30" hidden="1" x14ac:dyDescent="0.25">
      <c r="A887" s="2">
        <v>323</v>
      </c>
      <c r="B887" t="s">
        <v>1463</v>
      </c>
      <c r="C887">
        <v>50</v>
      </c>
      <c r="D887">
        <v>1089</v>
      </c>
      <c r="E887">
        <v>1436</v>
      </c>
      <c r="F887" t="s">
        <v>257</v>
      </c>
      <c r="G887" s="2" t="s">
        <v>156</v>
      </c>
      <c r="H887">
        <v>2</v>
      </c>
      <c r="I887">
        <v>992.86</v>
      </c>
      <c r="J887" s="2" t="s">
        <v>170</v>
      </c>
      <c r="K887" s="2" t="s">
        <v>74</v>
      </c>
      <c r="M887" t="s">
        <v>1477</v>
      </c>
      <c r="P887" s="19" t="s">
        <v>1142</v>
      </c>
      <c r="Q887" s="19" t="s">
        <v>25</v>
      </c>
      <c r="S887" s="19" t="s">
        <v>138</v>
      </c>
      <c r="V887" s="19" t="s">
        <v>138</v>
      </c>
      <c r="W887" s="20">
        <v>17</v>
      </c>
      <c r="X887" s="65" t="s">
        <v>1141</v>
      </c>
      <c r="Z887" t="s">
        <v>307</v>
      </c>
      <c r="AB887" t="s">
        <v>178</v>
      </c>
      <c r="AC887" t="s">
        <v>1465</v>
      </c>
      <c r="AD887" s="2" t="s">
        <v>1466</v>
      </c>
    </row>
    <row r="888" spans="1:30" hidden="1" x14ac:dyDescent="0.25">
      <c r="A888" s="2">
        <v>324</v>
      </c>
      <c r="B888" t="s">
        <v>1467</v>
      </c>
      <c r="C888">
        <v>50</v>
      </c>
      <c r="D888">
        <v>1089</v>
      </c>
      <c r="E888">
        <v>1436</v>
      </c>
      <c r="F888" t="s">
        <v>257</v>
      </c>
      <c r="G888" s="2" t="s">
        <v>156</v>
      </c>
      <c r="H888">
        <v>2</v>
      </c>
      <c r="I888">
        <v>992.86</v>
      </c>
      <c r="J888" s="2" t="s">
        <v>170</v>
      </c>
      <c r="K888" s="2" t="s">
        <v>74</v>
      </c>
      <c r="M888" t="s">
        <v>1477</v>
      </c>
      <c r="P888" s="19" t="s">
        <v>1142</v>
      </c>
      <c r="Q888" s="19" t="s">
        <v>25</v>
      </c>
      <c r="R888" s="19" t="s">
        <v>138</v>
      </c>
      <c r="V888" s="19" t="s">
        <v>138</v>
      </c>
      <c r="W888" s="20">
        <v>17</v>
      </c>
      <c r="X888" s="65" t="s">
        <v>1141</v>
      </c>
      <c r="Z888" t="s">
        <v>307</v>
      </c>
      <c r="AB888" t="s">
        <v>178</v>
      </c>
      <c r="AC888" t="s">
        <v>1468</v>
      </c>
      <c r="AD888" s="2" t="s">
        <v>180</v>
      </c>
    </row>
    <row r="889" spans="1:30" hidden="1" x14ac:dyDescent="0.25">
      <c r="A889" s="2">
        <v>325</v>
      </c>
      <c r="B889" t="s">
        <v>1469</v>
      </c>
      <c r="C889">
        <v>50</v>
      </c>
      <c r="D889">
        <v>1089</v>
      </c>
      <c r="E889">
        <v>1436</v>
      </c>
      <c r="F889" t="s">
        <v>257</v>
      </c>
      <c r="G889" s="2" t="s">
        <v>156</v>
      </c>
      <c r="H889">
        <v>2</v>
      </c>
      <c r="I889">
        <v>992.86</v>
      </c>
      <c r="J889" s="2" t="s">
        <v>170</v>
      </c>
      <c r="K889" s="2" t="s">
        <v>74</v>
      </c>
      <c r="M889" t="s">
        <v>1477</v>
      </c>
      <c r="P889" s="19" t="s">
        <v>1142</v>
      </c>
      <c r="Q889" s="19" t="s">
        <v>25</v>
      </c>
      <c r="R889" s="19" t="s">
        <v>138</v>
      </c>
      <c r="V889" s="19" t="s">
        <v>138</v>
      </c>
      <c r="W889" s="20">
        <v>17</v>
      </c>
      <c r="X889" s="65" t="s">
        <v>1141</v>
      </c>
      <c r="Z889" t="s">
        <v>307</v>
      </c>
      <c r="AB889" t="s">
        <v>178</v>
      </c>
      <c r="AC889" t="s">
        <v>1468</v>
      </c>
      <c r="AD889" s="2" t="s">
        <v>180</v>
      </c>
    </row>
    <row r="890" spans="1:30" hidden="1" x14ac:dyDescent="0.25">
      <c r="A890" s="2">
        <v>326</v>
      </c>
      <c r="B890" t="s">
        <v>1470</v>
      </c>
      <c r="C890">
        <v>50</v>
      </c>
      <c r="D890">
        <v>1089</v>
      </c>
      <c r="E890">
        <v>1436</v>
      </c>
      <c r="F890" t="s">
        <v>257</v>
      </c>
      <c r="G890" s="2" t="s">
        <v>156</v>
      </c>
      <c r="H890">
        <v>2</v>
      </c>
      <c r="I890">
        <v>992.86</v>
      </c>
      <c r="J890" s="2" t="s">
        <v>170</v>
      </c>
      <c r="K890" s="2" t="s">
        <v>74</v>
      </c>
      <c r="M890" t="s">
        <v>1477</v>
      </c>
      <c r="P890" s="19" t="s">
        <v>1142</v>
      </c>
      <c r="Q890" s="19" t="s">
        <v>25</v>
      </c>
      <c r="R890" s="19" t="s">
        <v>138</v>
      </c>
      <c r="V890" s="19" t="s">
        <v>138</v>
      </c>
      <c r="W890" s="20">
        <v>17</v>
      </c>
      <c r="X890" s="65" t="s">
        <v>1141</v>
      </c>
      <c r="Z890" t="s">
        <v>307</v>
      </c>
      <c r="AB890" t="s">
        <v>178</v>
      </c>
      <c r="AC890" t="s">
        <v>1468</v>
      </c>
      <c r="AD890" s="2" t="s">
        <v>180</v>
      </c>
    </row>
    <row r="891" spans="1:30" hidden="1" x14ac:dyDescent="0.25">
      <c r="A891" s="2">
        <v>327</v>
      </c>
      <c r="B891" t="s">
        <v>1471</v>
      </c>
      <c r="C891">
        <v>50</v>
      </c>
      <c r="D891">
        <v>1089</v>
      </c>
      <c r="E891">
        <v>1436</v>
      </c>
      <c r="F891" t="s">
        <v>257</v>
      </c>
      <c r="G891" s="2" t="s">
        <v>156</v>
      </c>
      <c r="H891">
        <v>2</v>
      </c>
      <c r="I891">
        <v>992.86</v>
      </c>
      <c r="J891" s="2" t="s">
        <v>170</v>
      </c>
      <c r="K891" s="2" t="s">
        <v>74</v>
      </c>
      <c r="M891" t="s">
        <v>1477</v>
      </c>
      <c r="P891" s="19" t="s">
        <v>1142</v>
      </c>
      <c r="Q891" s="19" t="s">
        <v>25</v>
      </c>
      <c r="R891" s="19" t="s">
        <v>138</v>
      </c>
      <c r="V891" s="19" t="s">
        <v>138</v>
      </c>
      <c r="W891" s="20">
        <v>17</v>
      </c>
      <c r="X891" s="65" t="s">
        <v>1141</v>
      </c>
      <c r="Z891" t="s">
        <v>307</v>
      </c>
      <c r="AB891" t="s">
        <v>178</v>
      </c>
      <c r="AC891" t="s">
        <v>1468</v>
      </c>
      <c r="AD891" s="2" t="s">
        <v>180</v>
      </c>
    </row>
    <row r="892" spans="1:30" hidden="1" x14ac:dyDescent="0.25">
      <c r="A892" s="2">
        <v>328</v>
      </c>
      <c r="B892" t="s">
        <v>1472</v>
      </c>
      <c r="C892">
        <v>50</v>
      </c>
      <c r="D892">
        <v>1089</v>
      </c>
      <c r="E892">
        <v>1436</v>
      </c>
      <c r="F892" t="s">
        <v>257</v>
      </c>
      <c r="G892" s="2" t="s">
        <v>156</v>
      </c>
      <c r="H892">
        <v>1</v>
      </c>
      <c r="I892">
        <v>496.43</v>
      </c>
      <c r="J892" s="2" t="s">
        <v>170</v>
      </c>
      <c r="K892" s="2" t="s">
        <v>74</v>
      </c>
      <c r="M892" t="s">
        <v>1477</v>
      </c>
      <c r="P892" s="19" t="s">
        <v>1142</v>
      </c>
      <c r="Q892" s="19" t="s">
        <v>25</v>
      </c>
      <c r="R892" s="19" t="s">
        <v>138</v>
      </c>
      <c r="V892" s="19" t="s">
        <v>138</v>
      </c>
      <c r="W892" s="20">
        <v>17</v>
      </c>
      <c r="X892" s="65" t="s">
        <v>1141</v>
      </c>
      <c r="Z892" t="s">
        <v>307</v>
      </c>
      <c r="AB892" t="s">
        <v>178</v>
      </c>
      <c r="AC892" t="s">
        <v>1468</v>
      </c>
      <c r="AD892" s="2" t="s">
        <v>180</v>
      </c>
    </row>
    <row r="893" spans="1:30" hidden="1" x14ac:dyDescent="0.25">
      <c r="A893" s="2">
        <v>329</v>
      </c>
      <c r="B893" t="s">
        <v>1472</v>
      </c>
      <c r="C893">
        <v>50</v>
      </c>
      <c r="D893">
        <v>1089</v>
      </c>
      <c r="E893">
        <v>1436</v>
      </c>
      <c r="F893" t="s">
        <v>257</v>
      </c>
      <c r="G893" s="2" t="s">
        <v>156</v>
      </c>
      <c r="H893">
        <v>1</v>
      </c>
      <c r="I893">
        <v>496.43</v>
      </c>
      <c r="J893" s="2" t="s">
        <v>170</v>
      </c>
      <c r="K893" s="2" t="s">
        <v>74</v>
      </c>
      <c r="M893" t="s">
        <v>1477</v>
      </c>
      <c r="P893" s="19" t="s">
        <v>1142</v>
      </c>
      <c r="Q893" s="19" t="s">
        <v>25</v>
      </c>
      <c r="R893" s="19" t="s">
        <v>138</v>
      </c>
      <c r="V893" s="19" t="s">
        <v>138</v>
      </c>
      <c r="W893" s="20">
        <v>17</v>
      </c>
      <c r="X893" s="65" t="s">
        <v>1141</v>
      </c>
      <c r="Z893" t="s">
        <v>307</v>
      </c>
      <c r="AB893" t="s">
        <v>178</v>
      </c>
      <c r="AC893" t="s">
        <v>1473</v>
      </c>
      <c r="AD893" s="2" t="s">
        <v>180</v>
      </c>
    </row>
    <row r="894" spans="1:30" hidden="1" x14ac:dyDescent="0.25">
      <c r="A894" s="2">
        <v>330</v>
      </c>
      <c r="B894" t="s">
        <v>1474</v>
      </c>
      <c r="C894">
        <v>50</v>
      </c>
      <c r="D894">
        <v>1089</v>
      </c>
      <c r="E894">
        <v>1436</v>
      </c>
      <c r="F894" t="s">
        <v>257</v>
      </c>
      <c r="G894" s="2" t="s">
        <v>156</v>
      </c>
      <c r="H894">
        <v>2</v>
      </c>
      <c r="I894">
        <v>992.86</v>
      </c>
      <c r="J894" s="2" t="s">
        <v>170</v>
      </c>
      <c r="K894" s="2" t="s">
        <v>74</v>
      </c>
      <c r="M894" t="s">
        <v>1477</v>
      </c>
      <c r="P894" s="19" t="s">
        <v>1142</v>
      </c>
      <c r="Q894" s="19" t="s">
        <v>25</v>
      </c>
      <c r="R894" s="19" t="s">
        <v>138</v>
      </c>
      <c r="V894" s="19" t="s">
        <v>138</v>
      </c>
      <c r="W894" s="20">
        <v>17</v>
      </c>
      <c r="X894" s="65" t="s">
        <v>1141</v>
      </c>
      <c r="Z894" t="s">
        <v>307</v>
      </c>
      <c r="AB894" t="s">
        <v>178</v>
      </c>
      <c r="AC894" t="s">
        <v>1473</v>
      </c>
      <c r="AD894" s="2" t="s">
        <v>180</v>
      </c>
    </row>
    <row r="895" spans="1:30" hidden="1" x14ac:dyDescent="0.25">
      <c r="A895" s="2">
        <v>331</v>
      </c>
      <c r="B895" t="s">
        <v>1475</v>
      </c>
      <c r="C895">
        <v>50</v>
      </c>
      <c r="D895">
        <v>1089</v>
      </c>
      <c r="E895">
        <v>1436</v>
      </c>
      <c r="F895" t="s">
        <v>257</v>
      </c>
      <c r="G895" s="2" t="s">
        <v>156</v>
      </c>
      <c r="H895">
        <v>2</v>
      </c>
      <c r="I895">
        <v>992.86</v>
      </c>
      <c r="J895" s="2" t="s">
        <v>170</v>
      </c>
      <c r="K895" s="2" t="s">
        <v>74</v>
      </c>
      <c r="M895" t="s">
        <v>1477</v>
      </c>
      <c r="P895" s="19" t="s">
        <v>1142</v>
      </c>
      <c r="Q895" s="19" t="s">
        <v>25</v>
      </c>
      <c r="R895" s="19" t="s">
        <v>138</v>
      </c>
      <c r="V895" s="19" t="s">
        <v>138</v>
      </c>
      <c r="W895" s="20">
        <v>17</v>
      </c>
      <c r="X895" s="65" t="s">
        <v>1141</v>
      </c>
      <c r="Z895" t="s">
        <v>307</v>
      </c>
      <c r="AB895" t="s">
        <v>178</v>
      </c>
      <c r="AC895" t="s">
        <v>1473</v>
      </c>
      <c r="AD895" s="2" t="s">
        <v>180</v>
      </c>
    </row>
    <row r="896" spans="1:30" hidden="1" x14ac:dyDescent="0.25">
      <c r="A896" s="2">
        <v>1</v>
      </c>
      <c r="B896" t="s">
        <v>1486</v>
      </c>
      <c r="C896">
        <v>40</v>
      </c>
      <c r="D896">
        <v>350</v>
      </c>
      <c r="E896">
        <v>400</v>
      </c>
      <c r="F896" t="s">
        <v>273</v>
      </c>
      <c r="G896" s="2" t="s">
        <v>156</v>
      </c>
      <c r="H896">
        <v>2</v>
      </c>
      <c r="I896">
        <v>87.92</v>
      </c>
      <c r="J896" s="2" t="s">
        <v>170</v>
      </c>
      <c r="K896" s="2" t="s">
        <v>74</v>
      </c>
      <c r="M896" t="s">
        <v>1491</v>
      </c>
      <c r="P896" s="19" t="s">
        <v>1490</v>
      </c>
      <c r="S896" s="19" t="s">
        <v>138</v>
      </c>
      <c r="W896" s="20">
        <v>18</v>
      </c>
      <c r="X896" s="65" t="s">
        <v>1489</v>
      </c>
      <c r="Z896" t="s">
        <v>307</v>
      </c>
      <c r="AB896" t="s">
        <v>178</v>
      </c>
      <c r="AC896" t="s">
        <v>1488</v>
      </c>
      <c r="AD896" s="2" t="s">
        <v>655</v>
      </c>
    </row>
    <row r="897" spans="1:30" hidden="1" x14ac:dyDescent="0.25">
      <c r="A897" s="2">
        <v>1</v>
      </c>
      <c r="B897" t="s">
        <v>1492</v>
      </c>
      <c r="C897">
        <v>12</v>
      </c>
      <c r="D897">
        <v>238</v>
      </c>
      <c r="E897">
        <v>1280</v>
      </c>
      <c r="F897" t="s">
        <v>273</v>
      </c>
      <c r="G897" s="2" t="s">
        <v>156</v>
      </c>
      <c r="H897">
        <v>1</v>
      </c>
      <c r="I897">
        <v>28.7</v>
      </c>
      <c r="J897" s="2" t="s">
        <v>170</v>
      </c>
      <c r="K897" s="2" t="s">
        <v>74</v>
      </c>
      <c r="M897" t="s">
        <v>1529</v>
      </c>
      <c r="P897" s="19" t="s">
        <v>1496</v>
      </c>
      <c r="R897" s="19" t="s">
        <v>138</v>
      </c>
      <c r="U897" s="19" t="s">
        <v>138</v>
      </c>
      <c r="W897" s="20">
        <v>20</v>
      </c>
      <c r="X897" s="65" t="s">
        <v>1495</v>
      </c>
      <c r="Z897" t="s">
        <v>307</v>
      </c>
      <c r="AB897" t="s">
        <v>178</v>
      </c>
      <c r="AC897" t="s">
        <v>1494</v>
      </c>
      <c r="AD897" s="2" t="s">
        <v>180</v>
      </c>
    </row>
    <row r="898" spans="1:30" hidden="1" x14ac:dyDescent="0.25">
      <c r="A898" s="2">
        <v>2</v>
      </c>
      <c r="B898" t="s">
        <v>1498</v>
      </c>
      <c r="C898">
        <v>12</v>
      </c>
      <c r="D898">
        <v>238</v>
      </c>
      <c r="E898">
        <v>1280</v>
      </c>
      <c r="F898" t="s">
        <v>273</v>
      </c>
      <c r="G898" s="2" t="s">
        <v>156</v>
      </c>
      <c r="H898">
        <v>1</v>
      </c>
      <c r="I898">
        <v>28.7</v>
      </c>
      <c r="J898" s="2" t="s">
        <v>170</v>
      </c>
      <c r="K898" s="2" t="s">
        <v>74</v>
      </c>
      <c r="M898" t="s">
        <v>1529</v>
      </c>
      <c r="P898" s="19" t="s">
        <v>1496</v>
      </c>
      <c r="R898" s="19" t="s">
        <v>138</v>
      </c>
      <c r="U898" s="19" t="s">
        <v>138</v>
      </c>
      <c r="W898" s="20">
        <v>20</v>
      </c>
      <c r="X898" s="65" t="s">
        <v>1495</v>
      </c>
      <c r="Z898" t="s">
        <v>307</v>
      </c>
      <c r="AB898" t="s">
        <v>178</v>
      </c>
      <c r="AC898" t="s">
        <v>1494</v>
      </c>
      <c r="AD898" s="2" t="s">
        <v>180</v>
      </c>
    </row>
    <row r="899" spans="1:30" hidden="1" x14ac:dyDescent="0.25">
      <c r="A899" s="2">
        <v>3</v>
      </c>
      <c r="B899" t="s">
        <v>1499</v>
      </c>
      <c r="C899">
        <v>12</v>
      </c>
      <c r="D899">
        <v>238</v>
      </c>
      <c r="E899">
        <v>1280</v>
      </c>
      <c r="F899" t="s">
        <v>273</v>
      </c>
      <c r="G899" s="2" t="s">
        <v>156</v>
      </c>
      <c r="H899">
        <v>1</v>
      </c>
      <c r="I899">
        <v>28.7</v>
      </c>
      <c r="J899" s="2" t="s">
        <v>170</v>
      </c>
      <c r="K899" s="2" t="s">
        <v>74</v>
      </c>
      <c r="M899" t="s">
        <v>1529</v>
      </c>
      <c r="P899" s="19" t="s">
        <v>1496</v>
      </c>
      <c r="R899" s="19" t="s">
        <v>138</v>
      </c>
      <c r="U899" s="19" t="s">
        <v>138</v>
      </c>
      <c r="W899" s="20">
        <v>20</v>
      </c>
      <c r="X899" s="65" t="s">
        <v>1495</v>
      </c>
      <c r="Z899" t="s">
        <v>307</v>
      </c>
      <c r="AB899" t="s">
        <v>178</v>
      </c>
      <c r="AC899" t="s">
        <v>1494</v>
      </c>
      <c r="AD899" s="2" t="s">
        <v>180</v>
      </c>
    </row>
    <row r="900" spans="1:30" hidden="1" x14ac:dyDescent="0.25">
      <c r="A900" s="2">
        <v>4</v>
      </c>
      <c r="B900" t="s">
        <v>1500</v>
      </c>
      <c r="C900">
        <v>12</v>
      </c>
      <c r="D900">
        <v>238</v>
      </c>
      <c r="E900">
        <v>1280</v>
      </c>
      <c r="F900" t="s">
        <v>273</v>
      </c>
      <c r="G900" s="2" t="s">
        <v>156</v>
      </c>
      <c r="H900">
        <v>1</v>
      </c>
      <c r="I900">
        <v>28.7</v>
      </c>
      <c r="J900" s="2" t="s">
        <v>170</v>
      </c>
      <c r="K900" s="2" t="s">
        <v>74</v>
      </c>
      <c r="M900" t="s">
        <v>1529</v>
      </c>
      <c r="P900" s="19" t="s">
        <v>1496</v>
      </c>
      <c r="R900" s="19" t="s">
        <v>138</v>
      </c>
      <c r="U900" s="19" t="s">
        <v>138</v>
      </c>
      <c r="W900" s="20">
        <v>20</v>
      </c>
      <c r="X900" s="65" t="s">
        <v>1495</v>
      </c>
      <c r="Z900" t="s">
        <v>307</v>
      </c>
      <c r="AB900" t="s">
        <v>178</v>
      </c>
      <c r="AC900" t="s">
        <v>1494</v>
      </c>
      <c r="AD900" s="2" t="s">
        <v>180</v>
      </c>
    </row>
    <row r="901" spans="1:30" hidden="1" x14ac:dyDescent="0.25">
      <c r="A901" s="2">
        <v>5</v>
      </c>
      <c r="B901" t="s">
        <v>1501</v>
      </c>
      <c r="C901">
        <v>12</v>
      </c>
      <c r="D901">
        <v>238</v>
      </c>
      <c r="E901">
        <v>1280</v>
      </c>
      <c r="F901" t="s">
        <v>273</v>
      </c>
      <c r="G901" s="2" t="s">
        <v>156</v>
      </c>
      <c r="H901">
        <v>1</v>
      </c>
      <c r="I901">
        <v>28.7</v>
      </c>
      <c r="J901" s="2" t="s">
        <v>170</v>
      </c>
      <c r="K901" s="2" t="s">
        <v>74</v>
      </c>
      <c r="M901" t="s">
        <v>1529</v>
      </c>
      <c r="P901" s="19" t="s">
        <v>1496</v>
      </c>
      <c r="R901" s="19" t="s">
        <v>138</v>
      </c>
      <c r="U901" s="19" t="s">
        <v>138</v>
      </c>
      <c r="W901" s="20">
        <v>20</v>
      </c>
      <c r="X901" s="65" t="s">
        <v>1495</v>
      </c>
      <c r="Z901" t="s">
        <v>307</v>
      </c>
      <c r="AB901" t="s">
        <v>178</v>
      </c>
      <c r="AC901" t="s">
        <v>1494</v>
      </c>
      <c r="AD901" s="2" t="s">
        <v>180</v>
      </c>
    </row>
    <row r="902" spans="1:30" hidden="1" x14ac:dyDescent="0.25">
      <c r="A902" s="2">
        <v>6</v>
      </c>
      <c r="B902" t="s">
        <v>1502</v>
      </c>
      <c r="C902">
        <v>12</v>
      </c>
      <c r="D902">
        <v>238</v>
      </c>
      <c r="E902">
        <v>1280</v>
      </c>
      <c r="F902" t="s">
        <v>273</v>
      </c>
      <c r="G902" s="2" t="s">
        <v>156</v>
      </c>
      <c r="H902">
        <v>1</v>
      </c>
      <c r="I902">
        <v>28.7</v>
      </c>
      <c r="J902" s="2" t="s">
        <v>170</v>
      </c>
      <c r="K902" s="2" t="s">
        <v>74</v>
      </c>
      <c r="M902" t="s">
        <v>1529</v>
      </c>
      <c r="P902" s="19" t="s">
        <v>1496</v>
      </c>
      <c r="R902" s="19" t="s">
        <v>138</v>
      </c>
      <c r="U902" s="19" t="s">
        <v>138</v>
      </c>
      <c r="W902" s="20">
        <v>20</v>
      </c>
      <c r="X902" s="65" t="s">
        <v>1495</v>
      </c>
      <c r="Z902" t="s">
        <v>307</v>
      </c>
      <c r="AB902" t="s">
        <v>178</v>
      </c>
      <c r="AC902" t="s">
        <v>1494</v>
      </c>
      <c r="AD902" s="2" t="s">
        <v>180</v>
      </c>
    </row>
    <row r="903" spans="1:30" hidden="1" x14ac:dyDescent="0.25">
      <c r="A903" s="2">
        <v>7</v>
      </c>
      <c r="B903" t="s">
        <v>1503</v>
      </c>
      <c r="C903">
        <v>12</v>
      </c>
      <c r="D903">
        <v>238</v>
      </c>
      <c r="E903">
        <v>1280</v>
      </c>
      <c r="F903" t="s">
        <v>273</v>
      </c>
      <c r="G903" s="2" t="s">
        <v>156</v>
      </c>
      <c r="H903">
        <v>1</v>
      </c>
      <c r="I903">
        <v>28.7</v>
      </c>
      <c r="J903" s="2" t="s">
        <v>170</v>
      </c>
      <c r="K903" s="2" t="s">
        <v>74</v>
      </c>
      <c r="M903" t="s">
        <v>1529</v>
      </c>
      <c r="P903" s="19" t="s">
        <v>1496</v>
      </c>
      <c r="R903" s="19" t="s">
        <v>138</v>
      </c>
      <c r="U903" s="19" t="s">
        <v>138</v>
      </c>
      <c r="W903" s="20">
        <v>20</v>
      </c>
      <c r="X903" s="65" t="s">
        <v>1495</v>
      </c>
      <c r="Z903" t="s">
        <v>307</v>
      </c>
      <c r="AB903" t="s">
        <v>178</v>
      </c>
      <c r="AC903" t="s">
        <v>1494</v>
      </c>
      <c r="AD903" s="2" t="s">
        <v>180</v>
      </c>
    </row>
    <row r="904" spans="1:30" hidden="1" x14ac:dyDescent="0.25">
      <c r="A904" s="2">
        <v>8</v>
      </c>
      <c r="B904" t="s">
        <v>1504</v>
      </c>
      <c r="C904">
        <v>12</v>
      </c>
      <c r="D904">
        <v>238</v>
      </c>
      <c r="E904">
        <v>1280</v>
      </c>
      <c r="F904" t="s">
        <v>273</v>
      </c>
      <c r="G904" s="2" t="s">
        <v>156</v>
      </c>
      <c r="H904">
        <v>1</v>
      </c>
      <c r="I904">
        <v>28.7</v>
      </c>
      <c r="J904" s="2" t="s">
        <v>170</v>
      </c>
      <c r="K904" s="2" t="s">
        <v>74</v>
      </c>
      <c r="M904" t="s">
        <v>1529</v>
      </c>
      <c r="P904" s="19" t="s">
        <v>1496</v>
      </c>
      <c r="R904" s="19" t="s">
        <v>138</v>
      </c>
      <c r="U904" s="19" t="s">
        <v>138</v>
      </c>
      <c r="W904" s="20">
        <v>20</v>
      </c>
      <c r="X904" s="65" t="s">
        <v>1495</v>
      </c>
      <c r="Z904" t="s">
        <v>307</v>
      </c>
      <c r="AB904" t="s">
        <v>178</v>
      </c>
      <c r="AC904" t="s">
        <v>1494</v>
      </c>
      <c r="AD904" s="2" t="s">
        <v>180</v>
      </c>
    </row>
    <row r="905" spans="1:30" hidden="1" x14ac:dyDescent="0.25">
      <c r="A905" s="2">
        <v>9</v>
      </c>
      <c r="B905" t="s">
        <v>1505</v>
      </c>
      <c r="C905">
        <v>12</v>
      </c>
      <c r="D905">
        <v>238</v>
      </c>
      <c r="E905">
        <v>1280</v>
      </c>
      <c r="F905" t="s">
        <v>273</v>
      </c>
      <c r="G905" s="2" t="s">
        <v>156</v>
      </c>
      <c r="H905">
        <v>1</v>
      </c>
      <c r="I905">
        <v>28.7</v>
      </c>
      <c r="J905" s="2" t="s">
        <v>170</v>
      </c>
      <c r="K905" s="2" t="s">
        <v>74</v>
      </c>
      <c r="M905" t="s">
        <v>1529</v>
      </c>
      <c r="P905" s="19" t="s">
        <v>1496</v>
      </c>
      <c r="R905" s="19" t="s">
        <v>138</v>
      </c>
      <c r="U905" s="19" t="s">
        <v>138</v>
      </c>
      <c r="W905" s="20">
        <v>20</v>
      </c>
      <c r="X905" s="65" t="s">
        <v>1495</v>
      </c>
      <c r="Z905" t="s">
        <v>307</v>
      </c>
      <c r="AB905" t="s">
        <v>178</v>
      </c>
      <c r="AC905" t="s">
        <v>1494</v>
      </c>
      <c r="AD905" s="2" t="s">
        <v>180</v>
      </c>
    </row>
    <row r="906" spans="1:30" hidden="1" x14ac:dyDescent="0.25">
      <c r="A906" s="2">
        <v>10</v>
      </c>
      <c r="B906" t="s">
        <v>1506</v>
      </c>
      <c r="C906">
        <v>12</v>
      </c>
      <c r="D906">
        <v>238</v>
      </c>
      <c r="E906">
        <v>1280</v>
      </c>
      <c r="F906" t="s">
        <v>273</v>
      </c>
      <c r="G906" s="2" t="s">
        <v>156</v>
      </c>
      <c r="H906">
        <v>1</v>
      </c>
      <c r="I906">
        <v>28.7</v>
      </c>
      <c r="J906" s="2" t="s">
        <v>170</v>
      </c>
      <c r="K906" s="2" t="s">
        <v>74</v>
      </c>
      <c r="M906" t="s">
        <v>1529</v>
      </c>
      <c r="P906" s="19" t="s">
        <v>1496</v>
      </c>
      <c r="R906" s="19" t="s">
        <v>138</v>
      </c>
      <c r="U906" s="19" t="s">
        <v>138</v>
      </c>
      <c r="W906" s="20">
        <v>20</v>
      </c>
      <c r="X906" s="65" t="s">
        <v>1495</v>
      </c>
      <c r="Z906" t="s">
        <v>307</v>
      </c>
      <c r="AB906" t="s">
        <v>178</v>
      </c>
      <c r="AC906" t="s">
        <v>1494</v>
      </c>
      <c r="AD906" s="2" t="s">
        <v>180</v>
      </c>
    </row>
    <row r="907" spans="1:30" hidden="1" x14ac:dyDescent="0.25">
      <c r="A907" s="2">
        <v>11</v>
      </c>
      <c r="B907" t="s">
        <v>1507</v>
      </c>
      <c r="C907">
        <v>12</v>
      </c>
      <c r="D907">
        <v>238</v>
      </c>
      <c r="E907">
        <v>1280</v>
      </c>
      <c r="F907" t="s">
        <v>273</v>
      </c>
      <c r="G907" s="2" t="s">
        <v>156</v>
      </c>
      <c r="H907">
        <v>1</v>
      </c>
      <c r="I907">
        <v>28.7</v>
      </c>
      <c r="J907" s="2" t="s">
        <v>170</v>
      </c>
      <c r="K907" s="2" t="s">
        <v>74</v>
      </c>
      <c r="M907" t="s">
        <v>1529</v>
      </c>
      <c r="P907" s="19" t="s">
        <v>1496</v>
      </c>
      <c r="R907" s="19" t="s">
        <v>138</v>
      </c>
      <c r="U907" s="19" t="s">
        <v>138</v>
      </c>
      <c r="W907" s="20">
        <v>20</v>
      </c>
      <c r="X907" s="65" t="s">
        <v>1495</v>
      </c>
      <c r="Z907" t="s">
        <v>307</v>
      </c>
      <c r="AB907" t="s">
        <v>178</v>
      </c>
      <c r="AC907" t="s">
        <v>1494</v>
      </c>
      <c r="AD907" s="2" t="s">
        <v>180</v>
      </c>
    </row>
    <row r="908" spans="1:30" hidden="1" x14ac:dyDescent="0.25">
      <c r="A908" s="2">
        <v>12</v>
      </c>
      <c r="B908" t="s">
        <v>1508</v>
      </c>
      <c r="C908">
        <v>12</v>
      </c>
      <c r="D908">
        <v>238</v>
      </c>
      <c r="E908">
        <v>1280</v>
      </c>
      <c r="F908" t="s">
        <v>273</v>
      </c>
      <c r="G908" s="2" t="s">
        <v>156</v>
      </c>
      <c r="H908">
        <v>1</v>
      </c>
      <c r="I908">
        <v>28.7</v>
      </c>
      <c r="J908" s="2" t="s">
        <v>170</v>
      </c>
      <c r="K908" s="2" t="s">
        <v>74</v>
      </c>
      <c r="M908" t="s">
        <v>1529</v>
      </c>
      <c r="P908" s="19" t="s">
        <v>1496</v>
      </c>
      <c r="R908" s="19" t="s">
        <v>138</v>
      </c>
      <c r="U908" s="19" t="s">
        <v>138</v>
      </c>
      <c r="W908" s="20">
        <v>20</v>
      </c>
      <c r="X908" s="65" t="s">
        <v>1495</v>
      </c>
      <c r="Z908" t="s">
        <v>307</v>
      </c>
      <c r="AB908" t="s">
        <v>178</v>
      </c>
      <c r="AC908" t="s">
        <v>1494</v>
      </c>
      <c r="AD908" s="2" t="s">
        <v>180</v>
      </c>
    </row>
    <row r="909" spans="1:30" hidden="1" x14ac:dyDescent="0.25">
      <c r="A909" s="2">
        <v>13</v>
      </c>
      <c r="B909" t="s">
        <v>1509</v>
      </c>
      <c r="C909">
        <v>12</v>
      </c>
      <c r="D909">
        <v>238</v>
      </c>
      <c r="E909">
        <v>1280</v>
      </c>
      <c r="F909" t="s">
        <v>273</v>
      </c>
      <c r="G909" s="2" t="s">
        <v>156</v>
      </c>
      <c r="H909">
        <v>1</v>
      </c>
      <c r="I909">
        <v>28.7</v>
      </c>
      <c r="J909" s="2" t="s">
        <v>170</v>
      </c>
      <c r="K909" s="2" t="s">
        <v>74</v>
      </c>
      <c r="M909" t="s">
        <v>1529</v>
      </c>
      <c r="P909" s="19" t="s">
        <v>1496</v>
      </c>
      <c r="R909" s="19" t="s">
        <v>138</v>
      </c>
      <c r="U909" s="19" t="s">
        <v>138</v>
      </c>
      <c r="W909" s="20">
        <v>20</v>
      </c>
      <c r="X909" s="65" t="s">
        <v>1495</v>
      </c>
      <c r="Z909" t="s">
        <v>307</v>
      </c>
      <c r="AB909" t="s">
        <v>178</v>
      </c>
      <c r="AC909" t="s">
        <v>1494</v>
      </c>
      <c r="AD909" s="2" t="s">
        <v>180</v>
      </c>
    </row>
    <row r="910" spans="1:30" hidden="1" x14ac:dyDescent="0.25">
      <c r="A910" s="2">
        <v>14</v>
      </c>
      <c r="B910" t="s">
        <v>1510</v>
      </c>
      <c r="C910">
        <v>12</v>
      </c>
      <c r="D910">
        <v>238</v>
      </c>
      <c r="E910">
        <v>1280</v>
      </c>
      <c r="F910" t="s">
        <v>273</v>
      </c>
      <c r="G910" s="2" t="s">
        <v>156</v>
      </c>
      <c r="H910">
        <v>1</v>
      </c>
      <c r="I910">
        <v>28.7</v>
      </c>
      <c r="J910" s="2" t="s">
        <v>170</v>
      </c>
      <c r="K910" s="2" t="s">
        <v>74</v>
      </c>
      <c r="M910" t="s">
        <v>1529</v>
      </c>
      <c r="P910" s="19" t="s">
        <v>1496</v>
      </c>
      <c r="R910" s="19" t="s">
        <v>138</v>
      </c>
      <c r="U910" s="19" t="s">
        <v>138</v>
      </c>
      <c r="W910" s="20">
        <v>20</v>
      </c>
      <c r="X910" s="65" t="s">
        <v>1495</v>
      </c>
      <c r="Z910" t="s">
        <v>307</v>
      </c>
      <c r="AB910" t="s">
        <v>178</v>
      </c>
      <c r="AC910" t="s">
        <v>1494</v>
      </c>
      <c r="AD910" s="2" t="s">
        <v>180</v>
      </c>
    </row>
    <row r="911" spans="1:30" hidden="1" x14ac:dyDescent="0.25">
      <c r="A911" s="2">
        <v>15</v>
      </c>
      <c r="B911" t="s">
        <v>1511</v>
      </c>
      <c r="C911">
        <v>12</v>
      </c>
      <c r="D911">
        <v>238</v>
      </c>
      <c r="E911">
        <v>1280</v>
      </c>
      <c r="F911" t="s">
        <v>273</v>
      </c>
      <c r="G911" s="2" t="s">
        <v>156</v>
      </c>
      <c r="H911">
        <v>1</v>
      </c>
      <c r="I911">
        <v>28.7</v>
      </c>
      <c r="J911" s="2" t="s">
        <v>170</v>
      </c>
      <c r="K911" s="2" t="s">
        <v>74</v>
      </c>
      <c r="M911" t="s">
        <v>1529</v>
      </c>
      <c r="P911" s="19" t="s">
        <v>1496</v>
      </c>
      <c r="R911" s="19" t="s">
        <v>138</v>
      </c>
      <c r="U911" s="19" t="s">
        <v>138</v>
      </c>
      <c r="W911" s="20">
        <v>20</v>
      </c>
      <c r="X911" s="65" t="s">
        <v>1495</v>
      </c>
      <c r="Z911" t="s">
        <v>307</v>
      </c>
      <c r="AB911" t="s">
        <v>178</v>
      </c>
      <c r="AC911" t="s">
        <v>1494</v>
      </c>
      <c r="AD911" s="2" t="s">
        <v>180</v>
      </c>
    </row>
    <row r="912" spans="1:30" hidden="1" x14ac:dyDescent="0.25">
      <c r="A912" s="2">
        <v>16</v>
      </c>
      <c r="B912" t="s">
        <v>1512</v>
      </c>
      <c r="C912">
        <v>12</v>
      </c>
      <c r="D912">
        <v>238</v>
      </c>
      <c r="E912">
        <v>1280</v>
      </c>
      <c r="F912" t="s">
        <v>273</v>
      </c>
      <c r="G912" s="2" t="s">
        <v>156</v>
      </c>
      <c r="H912">
        <v>1</v>
      </c>
      <c r="I912">
        <v>28.7</v>
      </c>
      <c r="J912" s="2" t="s">
        <v>170</v>
      </c>
      <c r="K912" s="2" t="s">
        <v>74</v>
      </c>
      <c r="M912" t="s">
        <v>1529</v>
      </c>
      <c r="P912" s="19" t="s">
        <v>1496</v>
      </c>
      <c r="R912" s="19" t="s">
        <v>138</v>
      </c>
      <c r="U912" s="19" t="s">
        <v>138</v>
      </c>
      <c r="W912" s="20">
        <v>20</v>
      </c>
      <c r="X912" s="65" t="s">
        <v>1495</v>
      </c>
      <c r="Z912" t="s">
        <v>307</v>
      </c>
      <c r="AB912" t="s">
        <v>178</v>
      </c>
      <c r="AC912" t="s">
        <v>1494</v>
      </c>
      <c r="AD912" s="2" t="s">
        <v>180</v>
      </c>
    </row>
    <row r="913" spans="1:30" hidden="1" x14ac:dyDescent="0.25">
      <c r="A913" s="2">
        <v>17</v>
      </c>
      <c r="B913" t="s">
        <v>1513</v>
      </c>
      <c r="C913">
        <v>12</v>
      </c>
      <c r="D913">
        <v>238</v>
      </c>
      <c r="E913">
        <v>1280</v>
      </c>
      <c r="F913" t="s">
        <v>273</v>
      </c>
      <c r="G913" s="2" t="s">
        <v>156</v>
      </c>
      <c r="H913">
        <v>1</v>
      </c>
      <c r="I913">
        <v>28.7</v>
      </c>
      <c r="J913" s="2" t="s">
        <v>170</v>
      </c>
      <c r="K913" s="2" t="s">
        <v>74</v>
      </c>
      <c r="M913" t="s">
        <v>1529</v>
      </c>
      <c r="P913" s="19" t="s">
        <v>1496</v>
      </c>
      <c r="R913" s="19" t="s">
        <v>138</v>
      </c>
      <c r="U913" s="19" t="s">
        <v>138</v>
      </c>
      <c r="W913" s="20">
        <v>20</v>
      </c>
      <c r="X913" s="65" t="s">
        <v>1495</v>
      </c>
      <c r="Z913" t="s">
        <v>307</v>
      </c>
      <c r="AB913" t="s">
        <v>178</v>
      </c>
      <c r="AC913" t="s">
        <v>1494</v>
      </c>
      <c r="AD913" s="2" t="s">
        <v>180</v>
      </c>
    </row>
    <row r="914" spans="1:30" hidden="1" x14ac:dyDescent="0.25">
      <c r="A914" s="2">
        <v>18</v>
      </c>
      <c r="B914" t="s">
        <v>1514</v>
      </c>
      <c r="C914">
        <v>12</v>
      </c>
      <c r="D914">
        <v>238</v>
      </c>
      <c r="E914">
        <v>1280</v>
      </c>
      <c r="F914" t="s">
        <v>273</v>
      </c>
      <c r="G914" s="2" t="s">
        <v>156</v>
      </c>
      <c r="H914">
        <v>1</v>
      </c>
      <c r="I914">
        <v>28.7</v>
      </c>
      <c r="J914" s="2" t="s">
        <v>170</v>
      </c>
      <c r="K914" s="2" t="s">
        <v>74</v>
      </c>
      <c r="M914" t="s">
        <v>1529</v>
      </c>
      <c r="P914" s="19" t="s">
        <v>1496</v>
      </c>
      <c r="R914" s="19" t="s">
        <v>138</v>
      </c>
      <c r="U914" s="19" t="s">
        <v>138</v>
      </c>
      <c r="W914" s="20">
        <v>20</v>
      </c>
      <c r="X914" s="65" t="s">
        <v>1495</v>
      </c>
      <c r="Z914" t="s">
        <v>307</v>
      </c>
      <c r="AB914" t="s">
        <v>178</v>
      </c>
      <c r="AC914" t="s">
        <v>1494</v>
      </c>
      <c r="AD914" s="2" t="s">
        <v>180</v>
      </c>
    </row>
    <row r="915" spans="1:30" hidden="1" x14ac:dyDescent="0.25">
      <c r="A915" s="2">
        <v>19</v>
      </c>
      <c r="B915" t="s">
        <v>1515</v>
      </c>
      <c r="C915">
        <v>12</v>
      </c>
      <c r="D915">
        <v>238</v>
      </c>
      <c r="E915">
        <v>1280</v>
      </c>
      <c r="F915" t="s">
        <v>273</v>
      </c>
      <c r="G915" s="2" t="s">
        <v>156</v>
      </c>
      <c r="H915">
        <v>1</v>
      </c>
      <c r="I915">
        <v>28.7</v>
      </c>
      <c r="J915" s="2" t="s">
        <v>170</v>
      </c>
      <c r="K915" s="2" t="s">
        <v>74</v>
      </c>
      <c r="M915" t="s">
        <v>1529</v>
      </c>
      <c r="P915" s="19" t="s">
        <v>1496</v>
      </c>
      <c r="R915" s="19" t="s">
        <v>138</v>
      </c>
      <c r="U915" s="19" t="s">
        <v>138</v>
      </c>
      <c r="W915" s="20">
        <v>20</v>
      </c>
      <c r="X915" s="65" t="s">
        <v>1495</v>
      </c>
      <c r="Z915" t="s">
        <v>307</v>
      </c>
      <c r="AB915" t="s">
        <v>178</v>
      </c>
      <c r="AC915" t="s">
        <v>1494</v>
      </c>
      <c r="AD915" s="2" t="s">
        <v>180</v>
      </c>
    </row>
    <row r="916" spans="1:30" hidden="1" x14ac:dyDescent="0.25">
      <c r="A916" s="2">
        <v>20</v>
      </c>
      <c r="B916" t="s">
        <v>1516</v>
      </c>
      <c r="C916">
        <v>12</v>
      </c>
      <c r="D916">
        <v>238</v>
      </c>
      <c r="E916">
        <v>1280</v>
      </c>
      <c r="F916" t="s">
        <v>273</v>
      </c>
      <c r="G916" s="2" t="s">
        <v>156</v>
      </c>
      <c r="H916">
        <v>1</v>
      </c>
      <c r="I916">
        <v>28.7</v>
      </c>
      <c r="J916" s="2" t="s">
        <v>170</v>
      </c>
      <c r="K916" s="2" t="s">
        <v>74</v>
      </c>
      <c r="M916" t="s">
        <v>1529</v>
      </c>
      <c r="P916" s="19" t="s">
        <v>1496</v>
      </c>
      <c r="R916" s="19" t="s">
        <v>138</v>
      </c>
      <c r="U916" s="19" t="s">
        <v>138</v>
      </c>
      <c r="W916" s="20">
        <v>20</v>
      </c>
      <c r="X916" s="65" t="s">
        <v>1495</v>
      </c>
      <c r="Z916" t="s">
        <v>307</v>
      </c>
      <c r="AB916" t="s">
        <v>178</v>
      </c>
      <c r="AC916" t="s">
        <v>1494</v>
      </c>
      <c r="AD916" s="2" t="s">
        <v>180</v>
      </c>
    </row>
    <row r="917" spans="1:30" hidden="1" x14ac:dyDescent="0.25">
      <c r="A917" s="2">
        <v>21</v>
      </c>
      <c r="B917" t="s">
        <v>1517</v>
      </c>
      <c r="C917">
        <v>12</v>
      </c>
      <c r="D917">
        <v>238</v>
      </c>
      <c r="E917">
        <v>1280</v>
      </c>
      <c r="F917" t="s">
        <v>273</v>
      </c>
      <c r="G917" s="2" t="s">
        <v>156</v>
      </c>
      <c r="H917">
        <v>1</v>
      </c>
      <c r="I917">
        <v>28.7</v>
      </c>
      <c r="J917" s="2" t="s">
        <v>170</v>
      </c>
      <c r="K917" s="2" t="s">
        <v>74</v>
      </c>
      <c r="M917" t="s">
        <v>1529</v>
      </c>
      <c r="P917" s="19" t="s">
        <v>1496</v>
      </c>
      <c r="R917" s="19" t="s">
        <v>138</v>
      </c>
      <c r="U917" s="19" t="s">
        <v>138</v>
      </c>
      <c r="W917" s="20">
        <v>20</v>
      </c>
      <c r="X917" s="65" t="s">
        <v>1495</v>
      </c>
      <c r="Z917" t="s">
        <v>307</v>
      </c>
      <c r="AB917" t="s">
        <v>178</v>
      </c>
      <c r="AC917" t="s">
        <v>1494</v>
      </c>
      <c r="AD917" s="2" t="s">
        <v>180</v>
      </c>
    </row>
    <row r="918" spans="1:30" hidden="1" x14ac:dyDescent="0.25">
      <c r="A918" s="2">
        <v>22</v>
      </c>
      <c r="B918" t="s">
        <v>1518</v>
      </c>
      <c r="C918">
        <v>12</v>
      </c>
      <c r="D918">
        <v>238</v>
      </c>
      <c r="E918">
        <v>1280</v>
      </c>
      <c r="F918" t="s">
        <v>273</v>
      </c>
      <c r="G918" s="2" t="s">
        <v>156</v>
      </c>
      <c r="H918">
        <v>1</v>
      </c>
      <c r="I918">
        <v>28.7</v>
      </c>
      <c r="J918" s="2" t="s">
        <v>170</v>
      </c>
      <c r="K918" s="2" t="s">
        <v>74</v>
      </c>
      <c r="M918" t="s">
        <v>1529</v>
      </c>
      <c r="P918" s="19" t="s">
        <v>1496</v>
      </c>
      <c r="R918" s="19" t="s">
        <v>138</v>
      </c>
      <c r="U918" s="19" t="s">
        <v>138</v>
      </c>
      <c r="W918" s="20">
        <v>20</v>
      </c>
      <c r="X918" s="65" t="s">
        <v>1495</v>
      </c>
      <c r="Z918" t="s">
        <v>307</v>
      </c>
      <c r="AB918" t="s">
        <v>178</v>
      </c>
      <c r="AC918" t="s">
        <v>1494</v>
      </c>
      <c r="AD918" s="2" t="s">
        <v>180</v>
      </c>
    </row>
    <row r="919" spans="1:30" hidden="1" x14ac:dyDescent="0.25">
      <c r="A919" s="2">
        <v>23</v>
      </c>
      <c r="B919" t="s">
        <v>1519</v>
      </c>
      <c r="C919">
        <v>12</v>
      </c>
      <c r="D919">
        <v>238</v>
      </c>
      <c r="E919">
        <v>1280</v>
      </c>
      <c r="F919" t="s">
        <v>273</v>
      </c>
      <c r="G919" s="2" t="s">
        <v>156</v>
      </c>
      <c r="H919">
        <v>1</v>
      </c>
      <c r="I919">
        <v>28.7</v>
      </c>
      <c r="J919" s="2" t="s">
        <v>170</v>
      </c>
      <c r="K919" s="2" t="s">
        <v>74</v>
      </c>
      <c r="M919" t="s">
        <v>1529</v>
      </c>
      <c r="P919" s="19" t="s">
        <v>1496</v>
      </c>
      <c r="R919" s="19" t="s">
        <v>138</v>
      </c>
      <c r="U919" s="19" t="s">
        <v>138</v>
      </c>
      <c r="W919" s="20">
        <v>20</v>
      </c>
      <c r="X919" s="65" t="s">
        <v>1495</v>
      </c>
      <c r="Z919" t="s">
        <v>307</v>
      </c>
      <c r="AB919" t="s">
        <v>178</v>
      </c>
      <c r="AC919" t="s">
        <v>1494</v>
      </c>
      <c r="AD919" s="2" t="s">
        <v>180</v>
      </c>
    </row>
    <row r="920" spans="1:30" hidden="1" x14ac:dyDescent="0.25">
      <c r="A920" s="2">
        <v>24</v>
      </c>
      <c r="B920" t="s">
        <v>1520</v>
      </c>
      <c r="C920">
        <v>12</v>
      </c>
      <c r="D920">
        <v>238</v>
      </c>
      <c r="E920">
        <v>1280</v>
      </c>
      <c r="F920" t="s">
        <v>273</v>
      </c>
      <c r="G920" s="2" t="s">
        <v>156</v>
      </c>
      <c r="H920">
        <v>1</v>
      </c>
      <c r="I920">
        <v>28.7</v>
      </c>
      <c r="J920" s="2" t="s">
        <v>170</v>
      </c>
      <c r="K920" s="2" t="s">
        <v>74</v>
      </c>
      <c r="M920" t="s">
        <v>1529</v>
      </c>
      <c r="P920" s="19" t="s">
        <v>1496</v>
      </c>
      <c r="R920" s="19" t="s">
        <v>138</v>
      </c>
      <c r="U920" s="19" t="s">
        <v>138</v>
      </c>
      <c r="W920" s="20">
        <v>20</v>
      </c>
      <c r="X920" s="65" t="s">
        <v>1495</v>
      </c>
      <c r="Z920" t="s">
        <v>307</v>
      </c>
      <c r="AB920" t="s">
        <v>178</v>
      </c>
      <c r="AC920" t="s">
        <v>1494</v>
      </c>
      <c r="AD920" s="2" t="s">
        <v>180</v>
      </c>
    </row>
    <row r="921" spans="1:30" hidden="1" x14ac:dyDescent="0.25">
      <c r="A921" s="2">
        <v>25</v>
      </c>
      <c r="B921" t="s">
        <v>1521</v>
      </c>
      <c r="C921">
        <v>12</v>
      </c>
      <c r="D921">
        <v>238</v>
      </c>
      <c r="E921">
        <v>1280</v>
      </c>
      <c r="F921" t="s">
        <v>273</v>
      </c>
      <c r="G921" s="2" t="s">
        <v>156</v>
      </c>
      <c r="H921">
        <v>1</v>
      </c>
      <c r="I921">
        <v>28.7</v>
      </c>
      <c r="J921" s="2" t="s">
        <v>170</v>
      </c>
      <c r="K921" s="2" t="s">
        <v>74</v>
      </c>
      <c r="M921" t="s">
        <v>1529</v>
      </c>
      <c r="P921" s="19" t="s">
        <v>1496</v>
      </c>
      <c r="R921" s="19" t="s">
        <v>138</v>
      </c>
      <c r="U921" s="19" t="s">
        <v>138</v>
      </c>
      <c r="W921" s="20">
        <v>20</v>
      </c>
      <c r="X921" s="65" t="s">
        <v>1495</v>
      </c>
      <c r="Z921" t="s">
        <v>307</v>
      </c>
      <c r="AB921" t="s">
        <v>178</v>
      </c>
      <c r="AC921" t="s">
        <v>1494</v>
      </c>
      <c r="AD921" s="2" t="s">
        <v>180</v>
      </c>
    </row>
    <row r="922" spans="1:30" hidden="1" x14ac:dyDescent="0.25">
      <c r="A922" s="2">
        <v>26</v>
      </c>
      <c r="B922" t="s">
        <v>1522</v>
      </c>
      <c r="C922">
        <v>12</v>
      </c>
      <c r="D922">
        <v>238</v>
      </c>
      <c r="E922">
        <v>1280</v>
      </c>
      <c r="F922" t="s">
        <v>273</v>
      </c>
      <c r="G922" s="2" t="s">
        <v>156</v>
      </c>
      <c r="H922">
        <v>1</v>
      </c>
      <c r="I922">
        <v>28.7</v>
      </c>
      <c r="J922" s="2" t="s">
        <v>170</v>
      </c>
      <c r="K922" s="2" t="s">
        <v>74</v>
      </c>
      <c r="M922" t="s">
        <v>1529</v>
      </c>
      <c r="P922" s="19" t="s">
        <v>1496</v>
      </c>
      <c r="R922" s="19" t="s">
        <v>138</v>
      </c>
      <c r="U922" s="19" t="s">
        <v>138</v>
      </c>
      <c r="W922" s="20">
        <v>20</v>
      </c>
      <c r="X922" s="65" t="s">
        <v>1495</v>
      </c>
      <c r="Z922" t="s">
        <v>307</v>
      </c>
      <c r="AB922" t="s">
        <v>178</v>
      </c>
      <c r="AC922" t="s">
        <v>1494</v>
      </c>
      <c r="AD922" s="2" t="s">
        <v>180</v>
      </c>
    </row>
    <row r="923" spans="1:30" hidden="1" x14ac:dyDescent="0.25">
      <c r="A923" s="2">
        <v>27</v>
      </c>
      <c r="B923" t="s">
        <v>1523</v>
      </c>
      <c r="C923">
        <v>12</v>
      </c>
      <c r="D923">
        <v>238</v>
      </c>
      <c r="E923">
        <v>1280</v>
      </c>
      <c r="F923" t="s">
        <v>273</v>
      </c>
      <c r="G923" s="2" t="s">
        <v>156</v>
      </c>
      <c r="H923">
        <v>1</v>
      </c>
      <c r="I923">
        <v>28.7</v>
      </c>
      <c r="J923" s="2" t="s">
        <v>170</v>
      </c>
      <c r="K923" s="2" t="s">
        <v>74</v>
      </c>
      <c r="M923" t="s">
        <v>1529</v>
      </c>
      <c r="P923" s="19" t="s">
        <v>1496</v>
      </c>
      <c r="R923" s="19" t="s">
        <v>138</v>
      </c>
      <c r="U923" s="19" t="s">
        <v>138</v>
      </c>
      <c r="W923" s="20">
        <v>20</v>
      </c>
      <c r="X923" s="65" t="s">
        <v>1495</v>
      </c>
      <c r="Z923" t="s">
        <v>307</v>
      </c>
      <c r="AB923" t="s">
        <v>178</v>
      </c>
      <c r="AC923" t="s">
        <v>1494</v>
      </c>
      <c r="AD923" s="2" t="s">
        <v>180</v>
      </c>
    </row>
    <row r="924" spans="1:30" hidden="1" x14ac:dyDescent="0.25">
      <c r="A924" s="2">
        <v>28</v>
      </c>
      <c r="B924" t="s">
        <v>1524</v>
      </c>
      <c r="C924">
        <v>12</v>
      </c>
      <c r="D924">
        <v>238</v>
      </c>
      <c r="E924">
        <v>1280</v>
      </c>
      <c r="F924" t="s">
        <v>273</v>
      </c>
      <c r="G924" s="2" t="s">
        <v>156</v>
      </c>
      <c r="H924">
        <v>1</v>
      </c>
      <c r="I924">
        <v>28.7</v>
      </c>
      <c r="J924" s="2" t="s">
        <v>170</v>
      </c>
      <c r="K924" s="2" t="s">
        <v>74</v>
      </c>
      <c r="M924" t="s">
        <v>1529</v>
      </c>
      <c r="P924" s="19" t="s">
        <v>1496</v>
      </c>
      <c r="R924" s="19" t="s">
        <v>138</v>
      </c>
      <c r="U924" s="19" t="s">
        <v>138</v>
      </c>
      <c r="W924" s="20">
        <v>20</v>
      </c>
      <c r="X924" s="65" t="s">
        <v>1495</v>
      </c>
      <c r="Z924" t="s">
        <v>307</v>
      </c>
      <c r="AB924" t="s">
        <v>178</v>
      </c>
      <c r="AC924" t="s">
        <v>1494</v>
      </c>
      <c r="AD924" s="2" t="s">
        <v>180</v>
      </c>
    </row>
    <row r="925" spans="1:30" hidden="1" x14ac:dyDescent="0.25">
      <c r="A925" s="2">
        <v>29</v>
      </c>
      <c r="B925" t="s">
        <v>1525</v>
      </c>
      <c r="C925">
        <v>12</v>
      </c>
      <c r="D925">
        <v>238</v>
      </c>
      <c r="E925">
        <v>1280</v>
      </c>
      <c r="F925" t="s">
        <v>273</v>
      </c>
      <c r="G925" s="2" t="s">
        <v>156</v>
      </c>
      <c r="H925">
        <v>1</v>
      </c>
      <c r="I925">
        <v>28.7</v>
      </c>
      <c r="J925" s="2" t="s">
        <v>170</v>
      </c>
      <c r="K925" s="2" t="s">
        <v>74</v>
      </c>
      <c r="M925" t="s">
        <v>1529</v>
      </c>
      <c r="P925" s="19" t="s">
        <v>1496</v>
      </c>
      <c r="R925" s="19" t="s">
        <v>138</v>
      </c>
      <c r="U925" s="19" t="s">
        <v>138</v>
      </c>
      <c r="W925" s="20">
        <v>20</v>
      </c>
      <c r="X925" s="65" t="s">
        <v>1495</v>
      </c>
      <c r="Z925" t="s">
        <v>307</v>
      </c>
      <c r="AB925" t="s">
        <v>178</v>
      </c>
      <c r="AC925" t="s">
        <v>1494</v>
      </c>
      <c r="AD925" s="2" t="s">
        <v>180</v>
      </c>
    </row>
    <row r="926" spans="1:30" hidden="1" x14ac:dyDescent="0.25">
      <c r="A926" s="2">
        <v>30</v>
      </c>
      <c r="B926" t="s">
        <v>1526</v>
      </c>
      <c r="C926">
        <v>12</v>
      </c>
      <c r="D926">
        <v>238</v>
      </c>
      <c r="E926">
        <v>1280</v>
      </c>
      <c r="F926" t="s">
        <v>273</v>
      </c>
      <c r="G926" s="2" t="s">
        <v>156</v>
      </c>
      <c r="H926">
        <v>1</v>
      </c>
      <c r="I926">
        <v>28.7</v>
      </c>
      <c r="J926" s="2" t="s">
        <v>170</v>
      </c>
      <c r="K926" s="2" t="s">
        <v>74</v>
      </c>
      <c r="M926" t="s">
        <v>1529</v>
      </c>
      <c r="P926" s="19" t="s">
        <v>1496</v>
      </c>
      <c r="R926" s="19" t="s">
        <v>138</v>
      </c>
      <c r="U926" s="19" t="s">
        <v>138</v>
      </c>
      <c r="W926" s="20">
        <v>20</v>
      </c>
      <c r="X926" s="65" t="s">
        <v>1495</v>
      </c>
      <c r="Z926" t="s">
        <v>307</v>
      </c>
      <c r="AB926" t="s">
        <v>178</v>
      </c>
      <c r="AC926" t="s">
        <v>1494</v>
      </c>
      <c r="AD926" s="2" t="s">
        <v>180</v>
      </c>
    </row>
    <row r="927" spans="1:30" hidden="1" x14ac:dyDescent="0.25">
      <c r="A927" s="2">
        <v>31</v>
      </c>
      <c r="B927" t="s">
        <v>1527</v>
      </c>
      <c r="C927">
        <v>12</v>
      </c>
      <c r="D927">
        <v>238</v>
      </c>
      <c r="E927">
        <v>1280</v>
      </c>
      <c r="F927" t="s">
        <v>273</v>
      </c>
      <c r="G927" s="2" t="s">
        <v>156</v>
      </c>
      <c r="H927">
        <v>1</v>
      </c>
      <c r="I927">
        <v>28.7</v>
      </c>
      <c r="J927" s="2" t="s">
        <v>170</v>
      </c>
      <c r="K927" s="2" t="s">
        <v>74</v>
      </c>
      <c r="M927" t="s">
        <v>1529</v>
      </c>
      <c r="P927" s="19" t="s">
        <v>1496</v>
      </c>
      <c r="R927" s="19" t="s">
        <v>138</v>
      </c>
      <c r="U927" s="19" t="s">
        <v>138</v>
      </c>
      <c r="W927" s="20">
        <v>20</v>
      </c>
      <c r="X927" s="65" t="s">
        <v>1495</v>
      </c>
      <c r="Z927" t="s">
        <v>307</v>
      </c>
      <c r="AB927" t="s">
        <v>178</v>
      </c>
      <c r="AC927" t="s">
        <v>1494</v>
      </c>
      <c r="AD927" s="2" t="s">
        <v>180</v>
      </c>
    </row>
    <row r="928" spans="1:30" hidden="1" x14ac:dyDescent="0.25">
      <c r="A928" s="2">
        <v>32</v>
      </c>
      <c r="B928" t="s">
        <v>1528</v>
      </c>
      <c r="C928">
        <v>12</v>
      </c>
      <c r="D928">
        <v>238</v>
      </c>
      <c r="E928">
        <v>1280</v>
      </c>
      <c r="F928" t="s">
        <v>273</v>
      </c>
      <c r="G928" s="2" t="s">
        <v>156</v>
      </c>
      <c r="H928">
        <v>1</v>
      </c>
      <c r="I928">
        <v>28.7</v>
      </c>
      <c r="J928" s="2" t="s">
        <v>170</v>
      </c>
      <c r="K928" s="2" t="s">
        <v>74</v>
      </c>
      <c r="M928" t="s">
        <v>1529</v>
      </c>
      <c r="P928" s="19" t="s">
        <v>1496</v>
      </c>
      <c r="R928" s="19" t="s">
        <v>138</v>
      </c>
      <c r="U928" s="19" t="s">
        <v>138</v>
      </c>
      <c r="W928" s="20">
        <v>20</v>
      </c>
      <c r="X928" s="65" t="s">
        <v>1495</v>
      </c>
      <c r="Z928" t="s">
        <v>307</v>
      </c>
      <c r="AB928" t="s">
        <v>178</v>
      </c>
      <c r="AC928" t="s">
        <v>1494</v>
      </c>
      <c r="AD928" s="2" t="s">
        <v>180</v>
      </c>
    </row>
    <row r="929" spans="1:30" hidden="1" x14ac:dyDescent="0.25">
      <c r="A929" s="2">
        <v>1</v>
      </c>
      <c r="B929" t="s">
        <v>1530</v>
      </c>
      <c r="C929">
        <v>12</v>
      </c>
      <c r="D929">
        <v>238</v>
      </c>
      <c r="E929">
        <v>1280</v>
      </c>
      <c r="F929" t="s">
        <v>273</v>
      </c>
      <c r="G929" s="2" t="s">
        <v>156</v>
      </c>
      <c r="H929">
        <v>1</v>
      </c>
      <c r="I929">
        <v>28.7</v>
      </c>
      <c r="J929" s="2" t="s">
        <v>170</v>
      </c>
      <c r="K929" s="2" t="s">
        <v>74</v>
      </c>
      <c r="M929" t="s">
        <v>1567</v>
      </c>
      <c r="P929" s="19" t="s">
        <v>1142</v>
      </c>
      <c r="S929" s="19" t="s">
        <v>138</v>
      </c>
      <c r="U929" s="19" t="s">
        <v>138</v>
      </c>
      <c r="W929" s="20">
        <v>21</v>
      </c>
      <c r="X929" s="65" t="s">
        <v>1495</v>
      </c>
      <c r="Z929" t="s">
        <v>307</v>
      </c>
      <c r="AB929" t="s">
        <v>178</v>
      </c>
      <c r="AC929" t="s">
        <v>1532</v>
      </c>
      <c r="AD929" s="2" t="s">
        <v>1533</v>
      </c>
    </row>
    <row r="930" spans="1:30" hidden="1" x14ac:dyDescent="0.25">
      <c r="A930" s="2">
        <v>2</v>
      </c>
      <c r="B930" t="s">
        <v>1535</v>
      </c>
      <c r="C930">
        <v>12</v>
      </c>
      <c r="D930">
        <v>238</v>
      </c>
      <c r="E930">
        <v>1280</v>
      </c>
      <c r="F930" t="s">
        <v>273</v>
      </c>
      <c r="G930" s="2" t="s">
        <v>156</v>
      </c>
      <c r="H930">
        <v>1</v>
      </c>
      <c r="I930">
        <v>28.7</v>
      </c>
      <c r="J930" s="2" t="s">
        <v>170</v>
      </c>
      <c r="K930" s="2" t="s">
        <v>74</v>
      </c>
      <c r="M930" t="s">
        <v>1567</v>
      </c>
      <c r="P930" s="19" t="s">
        <v>1142</v>
      </c>
      <c r="S930" s="19" t="s">
        <v>138</v>
      </c>
      <c r="U930" s="19" t="s">
        <v>138</v>
      </c>
      <c r="W930" s="20">
        <v>21</v>
      </c>
      <c r="X930" s="65" t="s">
        <v>1495</v>
      </c>
      <c r="Z930" t="s">
        <v>307</v>
      </c>
      <c r="AB930" t="s">
        <v>178</v>
      </c>
      <c r="AC930" t="s">
        <v>1532</v>
      </c>
      <c r="AD930" s="2" t="s">
        <v>1533</v>
      </c>
    </row>
    <row r="931" spans="1:30" hidden="1" x14ac:dyDescent="0.25">
      <c r="A931" s="2">
        <v>3</v>
      </c>
      <c r="B931" t="s">
        <v>1536</v>
      </c>
      <c r="C931">
        <v>12</v>
      </c>
      <c r="D931">
        <v>238</v>
      </c>
      <c r="E931">
        <v>1280</v>
      </c>
      <c r="F931" t="s">
        <v>273</v>
      </c>
      <c r="G931" s="2" t="s">
        <v>156</v>
      </c>
      <c r="H931">
        <v>1</v>
      </c>
      <c r="I931">
        <v>28.7</v>
      </c>
      <c r="J931" s="2" t="s">
        <v>170</v>
      </c>
      <c r="K931" s="2" t="s">
        <v>74</v>
      </c>
      <c r="M931" t="s">
        <v>1567</v>
      </c>
      <c r="P931" s="19" t="s">
        <v>1142</v>
      </c>
      <c r="S931" s="19" t="s">
        <v>138</v>
      </c>
      <c r="U931" s="19" t="s">
        <v>138</v>
      </c>
      <c r="W931" s="20">
        <v>21</v>
      </c>
      <c r="X931" s="65" t="s">
        <v>1495</v>
      </c>
      <c r="Z931" t="s">
        <v>307</v>
      </c>
      <c r="AB931" t="s">
        <v>178</v>
      </c>
      <c r="AC931" t="s">
        <v>1532</v>
      </c>
      <c r="AD931" s="2" t="s">
        <v>1533</v>
      </c>
    </row>
    <row r="932" spans="1:30" hidden="1" x14ac:dyDescent="0.25">
      <c r="A932" s="2">
        <v>4</v>
      </c>
      <c r="B932" t="s">
        <v>1537</v>
      </c>
      <c r="C932">
        <v>12</v>
      </c>
      <c r="D932">
        <v>238</v>
      </c>
      <c r="E932">
        <v>1280</v>
      </c>
      <c r="F932" t="s">
        <v>273</v>
      </c>
      <c r="G932" s="2" t="s">
        <v>156</v>
      </c>
      <c r="H932">
        <v>1</v>
      </c>
      <c r="I932">
        <v>28.7</v>
      </c>
      <c r="J932" s="2" t="s">
        <v>170</v>
      </c>
      <c r="K932" s="2" t="s">
        <v>74</v>
      </c>
      <c r="M932" t="s">
        <v>1567</v>
      </c>
      <c r="P932" s="19" t="s">
        <v>1142</v>
      </c>
      <c r="S932" s="19" t="s">
        <v>138</v>
      </c>
      <c r="U932" s="19" t="s">
        <v>138</v>
      </c>
      <c r="W932" s="20">
        <v>21</v>
      </c>
      <c r="X932" s="65" t="s">
        <v>1495</v>
      </c>
      <c r="Z932" t="s">
        <v>307</v>
      </c>
      <c r="AB932" t="s">
        <v>178</v>
      </c>
      <c r="AC932" t="s">
        <v>1532</v>
      </c>
      <c r="AD932" s="2" t="s">
        <v>1533</v>
      </c>
    </row>
    <row r="933" spans="1:30" hidden="1" x14ac:dyDescent="0.25">
      <c r="A933" s="2">
        <v>5</v>
      </c>
      <c r="B933" t="s">
        <v>1538</v>
      </c>
      <c r="C933">
        <v>12</v>
      </c>
      <c r="D933">
        <v>238</v>
      </c>
      <c r="E933">
        <v>1280</v>
      </c>
      <c r="F933" t="s">
        <v>273</v>
      </c>
      <c r="G933" s="2" t="s">
        <v>156</v>
      </c>
      <c r="H933">
        <v>1</v>
      </c>
      <c r="I933">
        <v>28.7</v>
      </c>
      <c r="J933" s="2" t="s">
        <v>170</v>
      </c>
      <c r="K933" s="2" t="s">
        <v>74</v>
      </c>
      <c r="M933" t="s">
        <v>1567</v>
      </c>
      <c r="P933" s="19" t="s">
        <v>1142</v>
      </c>
      <c r="S933" s="19" t="s">
        <v>138</v>
      </c>
      <c r="U933" s="19" t="s">
        <v>138</v>
      </c>
      <c r="W933" s="20">
        <v>21</v>
      </c>
      <c r="X933" s="65" t="s">
        <v>1495</v>
      </c>
      <c r="Z933" t="s">
        <v>307</v>
      </c>
      <c r="AB933" t="s">
        <v>178</v>
      </c>
      <c r="AC933" t="s">
        <v>1532</v>
      </c>
      <c r="AD933" s="2" t="s">
        <v>1533</v>
      </c>
    </row>
    <row r="934" spans="1:30" hidden="1" x14ac:dyDescent="0.25">
      <c r="A934" s="2">
        <v>6</v>
      </c>
      <c r="B934" t="s">
        <v>1539</v>
      </c>
      <c r="C934">
        <v>12</v>
      </c>
      <c r="D934">
        <v>238</v>
      </c>
      <c r="E934">
        <v>1280</v>
      </c>
      <c r="F934" t="s">
        <v>273</v>
      </c>
      <c r="G934" s="2" t="s">
        <v>156</v>
      </c>
      <c r="H934">
        <v>1</v>
      </c>
      <c r="I934">
        <v>28.7</v>
      </c>
      <c r="J934" s="2" t="s">
        <v>170</v>
      </c>
      <c r="K934" s="2" t="s">
        <v>74</v>
      </c>
      <c r="M934" t="s">
        <v>1567</v>
      </c>
      <c r="P934" s="19" t="s">
        <v>1142</v>
      </c>
      <c r="S934" s="19" t="s">
        <v>138</v>
      </c>
      <c r="U934" s="19" t="s">
        <v>138</v>
      </c>
      <c r="W934" s="20">
        <v>21</v>
      </c>
      <c r="X934" s="65" t="s">
        <v>1495</v>
      </c>
      <c r="Z934" t="s">
        <v>307</v>
      </c>
      <c r="AB934" t="s">
        <v>178</v>
      </c>
      <c r="AC934" t="s">
        <v>1532</v>
      </c>
      <c r="AD934" s="2" t="s">
        <v>1533</v>
      </c>
    </row>
    <row r="935" spans="1:30" hidden="1" x14ac:dyDescent="0.25">
      <c r="A935" s="2">
        <v>7</v>
      </c>
      <c r="B935" t="s">
        <v>1540</v>
      </c>
      <c r="C935">
        <v>12</v>
      </c>
      <c r="D935">
        <v>238</v>
      </c>
      <c r="E935">
        <v>1280</v>
      </c>
      <c r="F935" t="s">
        <v>273</v>
      </c>
      <c r="G935" s="2" t="s">
        <v>156</v>
      </c>
      <c r="H935">
        <v>1</v>
      </c>
      <c r="I935">
        <v>28.7</v>
      </c>
      <c r="J935" s="2" t="s">
        <v>170</v>
      </c>
      <c r="K935" s="2" t="s">
        <v>74</v>
      </c>
      <c r="M935" t="s">
        <v>1567</v>
      </c>
      <c r="P935" s="19" t="s">
        <v>1142</v>
      </c>
      <c r="S935" s="19" t="s">
        <v>138</v>
      </c>
      <c r="U935" s="19" t="s">
        <v>138</v>
      </c>
      <c r="W935" s="20">
        <v>21</v>
      </c>
      <c r="X935" s="65" t="s">
        <v>1495</v>
      </c>
      <c r="Z935" t="s">
        <v>307</v>
      </c>
      <c r="AB935" t="s">
        <v>178</v>
      </c>
      <c r="AC935" t="s">
        <v>1532</v>
      </c>
      <c r="AD935" s="2" t="s">
        <v>1533</v>
      </c>
    </row>
    <row r="936" spans="1:30" hidden="1" x14ac:dyDescent="0.25">
      <c r="A936" s="2">
        <v>8</v>
      </c>
      <c r="B936" t="s">
        <v>1541</v>
      </c>
      <c r="C936">
        <v>12</v>
      </c>
      <c r="D936">
        <v>238</v>
      </c>
      <c r="E936">
        <v>1280</v>
      </c>
      <c r="F936" t="s">
        <v>273</v>
      </c>
      <c r="G936" s="2" t="s">
        <v>156</v>
      </c>
      <c r="H936">
        <v>1</v>
      </c>
      <c r="I936">
        <v>28.7</v>
      </c>
      <c r="J936" s="2" t="s">
        <v>170</v>
      </c>
      <c r="K936" s="2" t="s">
        <v>74</v>
      </c>
      <c r="M936" t="s">
        <v>1567</v>
      </c>
      <c r="P936" s="19" t="s">
        <v>1142</v>
      </c>
      <c r="S936" s="19" t="s">
        <v>138</v>
      </c>
      <c r="U936" s="19" t="s">
        <v>138</v>
      </c>
      <c r="W936" s="20">
        <v>21</v>
      </c>
      <c r="X936" s="65" t="s">
        <v>1495</v>
      </c>
      <c r="Z936" t="s">
        <v>307</v>
      </c>
      <c r="AB936" t="s">
        <v>178</v>
      </c>
      <c r="AC936" t="s">
        <v>1532</v>
      </c>
      <c r="AD936" s="2" t="s">
        <v>1533</v>
      </c>
    </row>
    <row r="937" spans="1:30" hidden="1" x14ac:dyDescent="0.25">
      <c r="A937" s="2">
        <v>9</v>
      </c>
      <c r="B937" t="s">
        <v>1542</v>
      </c>
      <c r="C937">
        <v>12</v>
      </c>
      <c r="D937">
        <v>238</v>
      </c>
      <c r="E937">
        <v>1280</v>
      </c>
      <c r="F937" t="s">
        <v>273</v>
      </c>
      <c r="G937" s="2" t="s">
        <v>156</v>
      </c>
      <c r="H937">
        <v>1</v>
      </c>
      <c r="I937">
        <v>28.7</v>
      </c>
      <c r="J937" s="2" t="s">
        <v>170</v>
      </c>
      <c r="K937" s="2" t="s">
        <v>74</v>
      </c>
      <c r="M937" t="s">
        <v>1567</v>
      </c>
      <c r="P937" s="19" t="s">
        <v>1142</v>
      </c>
      <c r="S937" s="19" t="s">
        <v>138</v>
      </c>
      <c r="U937" s="19" t="s">
        <v>138</v>
      </c>
      <c r="W937" s="20">
        <v>21</v>
      </c>
      <c r="X937" s="65" t="s">
        <v>1495</v>
      </c>
      <c r="Z937" t="s">
        <v>307</v>
      </c>
      <c r="AB937" t="s">
        <v>178</v>
      </c>
      <c r="AC937" t="s">
        <v>1532</v>
      </c>
      <c r="AD937" s="2" t="s">
        <v>1533</v>
      </c>
    </row>
    <row r="938" spans="1:30" hidden="1" x14ac:dyDescent="0.25">
      <c r="A938" s="2">
        <v>10</v>
      </c>
      <c r="B938" t="s">
        <v>1543</v>
      </c>
      <c r="C938">
        <v>12</v>
      </c>
      <c r="D938">
        <v>238</v>
      </c>
      <c r="E938">
        <v>1280</v>
      </c>
      <c r="F938" t="s">
        <v>273</v>
      </c>
      <c r="G938" s="2" t="s">
        <v>156</v>
      </c>
      <c r="H938">
        <v>1</v>
      </c>
      <c r="I938">
        <v>28.7</v>
      </c>
      <c r="J938" s="2" t="s">
        <v>170</v>
      </c>
      <c r="K938" s="2" t="s">
        <v>74</v>
      </c>
      <c r="M938" t="s">
        <v>1567</v>
      </c>
      <c r="P938" s="19" t="s">
        <v>1142</v>
      </c>
      <c r="S938" s="19" t="s">
        <v>138</v>
      </c>
      <c r="U938" s="19" t="s">
        <v>138</v>
      </c>
      <c r="W938" s="20">
        <v>21</v>
      </c>
      <c r="X938" s="65" t="s">
        <v>1495</v>
      </c>
      <c r="Z938" t="s">
        <v>307</v>
      </c>
      <c r="AB938" t="s">
        <v>178</v>
      </c>
      <c r="AC938" t="s">
        <v>1532</v>
      </c>
      <c r="AD938" s="2" t="s">
        <v>1533</v>
      </c>
    </row>
    <row r="939" spans="1:30" hidden="1" x14ac:dyDescent="0.25">
      <c r="A939" s="2">
        <v>11</v>
      </c>
      <c r="B939" t="s">
        <v>1544</v>
      </c>
      <c r="C939">
        <v>12</v>
      </c>
      <c r="D939">
        <v>238</v>
      </c>
      <c r="E939">
        <v>1280</v>
      </c>
      <c r="F939" t="s">
        <v>273</v>
      </c>
      <c r="G939" s="2" t="s">
        <v>156</v>
      </c>
      <c r="H939">
        <v>1</v>
      </c>
      <c r="I939">
        <v>28.7</v>
      </c>
      <c r="J939" s="2" t="s">
        <v>170</v>
      </c>
      <c r="K939" s="2" t="s">
        <v>74</v>
      </c>
      <c r="M939" t="s">
        <v>1567</v>
      </c>
      <c r="P939" s="19" t="s">
        <v>1142</v>
      </c>
      <c r="S939" s="19" t="s">
        <v>138</v>
      </c>
      <c r="U939" s="19" t="s">
        <v>138</v>
      </c>
      <c r="W939" s="20">
        <v>21</v>
      </c>
      <c r="X939" s="65" t="s">
        <v>1495</v>
      </c>
      <c r="Z939" t="s">
        <v>307</v>
      </c>
      <c r="AB939" t="s">
        <v>178</v>
      </c>
      <c r="AC939" t="s">
        <v>1532</v>
      </c>
      <c r="AD939" s="2" t="s">
        <v>1533</v>
      </c>
    </row>
    <row r="940" spans="1:30" hidden="1" x14ac:dyDescent="0.25">
      <c r="A940" s="2">
        <v>12</v>
      </c>
      <c r="B940" t="s">
        <v>1545</v>
      </c>
      <c r="C940">
        <v>12</v>
      </c>
      <c r="D940">
        <v>238</v>
      </c>
      <c r="E940">
        <v>1280</v>
      </c>
      <c r="F940" t="s">
        <v>273</v>
      </c>
      <c r="G940" s="2" t="s">
        <v>156</v>
      </c>
      <c r="H940">
        <v>1</v>
      </c>
      <c r="I940">
        <v>28.7</v>
      </c>
      <c r="J940" s="2" t="s">
        <v>170</v>
      </c>
      <c r="K940" s="2" t="s">
        <v>74</v>
      </c>
      <c r="M940" t="s">
        <v>1567</v>
      </c>
      <c r="P940" s="19" t="s">
        <v>1142</v>
      </c>
      <c r="S940" s="19" t="s">
        <v>138</v>
      </c>
      <c r="U940" s="19" t="s">
        <v>138</v>
      </c>
      <c r="W940" s="20">
        <v>21</v>
      </c>
      <c r="X940" s="65" t="s">
        <v>1495</v>
      </c>
      <c r="Z940" t="s">
        <v>307</v>
      </c>
      <c r="AB940" t="s">
        <v>178</v>
      </c>
      <c r="AC940" t="s">
        <v>1532</v>
      </c>
      <c r="AD940" s="2" t="s">
        <v>1533</v>
      </c>
    </row>
    <row r="941" spans="1:30" hidden="1" x14ac:dyDescent="0.25">
      <c r="A941" s="2">
        <v>13</v>
      </c>
      <c r="B941" t="s">
        <v>1546</v>
      </c>
      <c r="C941">
        <v>12</v>
      </c>
      <c r="D941">
        <v>238</v>
      </c>
      <c r="E941">
        <v>1280</v>
      </c>
      <c r="F941" t="s">
        <v>273</v>
      </c>
      <c r="G941" s="2" t="s">
        <v>156</v>
      </c>
      <c r="H941">
        <v>1</v>
      </c>
      <c r="I941">
        <v>28.7</v>
      </c>
      <c r="J941" s="2" t="s">
        <v>170</v>
      </c>
      <c r="K941" s="2" t="s">
        <v>74</v>
      </c>
      <c r="M941" t="s">
        <v>1567</v>
      </c>
      <c r="P941" s="19" t="s">
        <v>1142</v>
      </c>
      <c r="S941" s="19" t="s">
        <v>138</v>
      </c>
      <c r="U941" s="19" t="s">
        <v>138</v>
      </c>
      <c r="W941" s="20">
        <v>21</v>
      </c>
      <c r="X941" s="65" t="s">
        <v>1495</v>
      </c>
      <c r="Z941" t="s">
        <v>307</v>
      </c>
      <c r="AB941" t="s">
        <v>178</v>
      </c>
      <c r="AC941" t="s">
        <v>1532</v>
      </c>
      <c r="AD941" s="2" t="s">
        <v>1533</v>
      </c>
    </row>
    <row r="942" spans="1:30" hidden="1" x14ac:dyDescent="0.25">
      <c r="A942" s="2">
        <v>14</v>
      </c>
      <c r="B942" t="s">
        <v>1547</v>
      </c>
      <c r="C942">
        <v>12</v>
      </c>
      <c r="D942">
        <v>238</v>
      </c>
      <c r="E942">
        <v>1280</v>
      </c>
      <c r="F942" t="s">
        <v>273</v>
      </c>
      <c r="G942" s="2" t="s">
        <v>156</v>
      </c>
      <c r="H942">
        <v>1</v>
      </c>
      <c r="I942">
        <v>28.7</v>
      </c>
      <c r="J942" s="2" t="s">
        <v>170</v>
      </c>
      <c r="K942" s="2" t="s">
        <v>74</v>
      </c>
      <c r="M942" t="s">
        <v>1567</v>
      </c>
      <c r="P942" s="19" t="s">
        <v>1142</v>
      </c>
      <c r="S942" s="19" t="s">
        <v>138</v>
      </c>
      <c r="U942" s="19" t="s">
        <v>138</v>
      </c>
      <c r="W942" s="20">
        <v>21</v>
      </c>
      <c r="X942" s="65" t="s">
        <v>1495</v>
      </c>
      <c r="Z942" t="s">
        <v>307</v>
      </c>
      <c r="AB942" t="s">
        <v>178</v>
      </c>
      <c r="AC942" t="s">
        <v>1532</v>
      </c>
      <c r="AD942" s="2" t="s">
        <v>1533</v>
      </c>
    </row>
    <row r="943" spans="1:30" hidden="1" x14ac:dyDescent="0.25">
      <c r="A943" s="2">
        <v>15</v>
      </c>
      <c r="B943" t="s">
        <v>1548</v>
      </c>
      <c r="C943">
        <v>12</v>
      </c>
      <c r="D943">
        <v>238</v>
      </c>
      <c r="E943">
        <v>1280</v>
      </c>
      <c r="F943" t="s">
        <v>273</v>
      </c>
      <c r="G943" s="2" t="s">
        <v>156</v>
      </c>
      <c r="H943">
        <v>1</v>
      </c>
      <c r="I943">
        <v>28.7</v>
      </c>
      <c r="J943" s="2" t="s">
        <v>170</v>
      </c>
      <c r="K943" s="2" t="s">
        <v>74</v>
      </c>
      <c r="M943" t="s">
        <v>1567</v>
      </c>
      <c r="P943" s="19" t="s">
        <v>1142</v>
      </c>
      <c r="S943" s="19" t="s">
        <v>138</v>
      </c>
      <c r="U943" s="19" t="s">
        <v>138</v>
      </c>
      <c r="W943" s="20">
        <v>21</v>
      </c>
      <c r="X943" s="65" t="s">
        <v>1495</v>
      </c>
      <c r="Z943" t="s">
        <v>307</v>
      </c>
      <c r="AB943" t="s">
        <v>178</v>
      </c>
      <c r="AC943" t="s">
        <v>1532</v>
      </c>
      <c r="AD943" s="2" t="s">
        <v>1533</v>
      </c>
    </row>
    <row r="944" spans="1:30" hidden="1" x14ac:dyDescent="0.25">
      <c r="A944" s="2">
        <v>16</v>
      </c>
      <c r="B944" t="s">
        <v>1549</v>
      </c>
      <c r="C944">
        <v>12</v>
      </c>
      <c r="D944">
        <v>238</v>
      </c>
      <c r="E944">
        <v>1280</v>
      </c>
      <c r="F944" t="s">
        <v>273</v>
      </c>
      <c r="G944" s="2" t="s">
        <v>156</v>
      </c>
      <c r="H944">
        <v>1</v>
      </c>
      <c r="I944">
        <v>28.7</v>
      </c>
      <c r="J944" s="2" t="s">
        <v>170</v>
      </c>
      <c r="K944" s="2" t="s">
        <v>74</v>
      </c>
      <c r="M944" t="s">
        <v>1567</v>
      </c>
      <c r="P944" s="19" t="s">
        <v>1142</v>
      </c>
      <c r="S944" s="19" t="s">
        <v>138</v>
      </c>
      <c r="U944" s="19" t="s">
        <v>138</v>
      </c>
      <c r="W944" s="20">
        <v>21</v>
      </c>
      <c r="X944" s="65" t="s">
        <v>1495</v>
      </c>
      <c r="Z944" t="s">
        <v>307</v>
      </c>
      <c r="AB944" t="s">
        <v>178</v>
      </c>
      <c r="AC944" t="s">
        <v>1532</v>
      </c>
      <c r="AD944" s="2" t="s">
        <v>1533</v>
      </c>
    </row>
    <row r="945" spans="1:30" hidden="1" x14ac:dyDescent="0.25">
      <c r="A945" s="2">
        <v>17</v>
      </c>
      <c r="B945" t="s">
        <v>1550</v>
      </c>
      <c r="C945">
        <v>12</v>
      </c>
      <c r="D945">
        <v>238</v>
      </c>
      <c r="E945">
        <v>1280</v>
      </c>
      <c r="F945" t="s">
        <v>273</v>
      </c>
      <c r="G945" s="2" t="s">
        <v>156</v>
      </c>
      <c r="H945">
        <v>1</v>
      </c>
      <c r="I945">
        <v>28.7</v>
      </c>
      <c r="J945" s="2" t="s">
        <v>170</v>
      </c>
      <c r="K945" s="2" t="s">
        <v>74</v>
      </c>
      <c r="M945" t="s">
        <v>1567</v>
      </c>
      <c r="P945" s="19" t="s">
        <v>1142</v>
      </c>
      <c r="S945" s="19" t="s">
        <v>138</v>
      </c>
      <c r="U945" s="19" t="s">
        <v>138</v>
      </c>
      <c r="W945" s="20">
        <v>21</v>
      </c>
      <c r="X945" s="65" t="s">
        <v>1495</v>
      </c>
      <c r="Z945" t="s">
        <v>307</v>
      </c>
      <c r="AB945" t="s">
        <v>178</v>
      </c>
      <c r="AC945" t="s">
        <v>1532</v>
      </c>
      <c r="AD945" s="2" t="s">
        <v>1533</v>
      </c>
    </row>
    <row r="946" spans="1:30" hidden="1" x14ac:dyDescent="0.25">
      <c r="A946" s="2">
        <v>18</v>
      </c>
      <c r="B946" t="s">
        <v>1551</v>
      </c>
      <c r="C946">
        <v>12</v>
      </c>
      <c r="D946">
        <v>238</v>
      </c>
      <c r="E946">
        <v>1280</v>
      </c>
      <c r="F946" t="s">
        <v>273</v>
      </c>
      <c r="G946" s="2" t="s">
        <v>156</v>
      </c>
      <c r="H946">
        <v>1</v>
      </c>
      <c r="I946">
        <v>28.7</v>
      </c>
      <c r="J946" s="2" t="s">
        <v>170</v>
      </c>
      <c r="K946" s="2" t="s">
        <v>74</v>
      </c>
      <c r="M946" t="s">
        <v>1567</v>
      </c>
      <c r="P946" s="19" t="s">
        <v>1142</v>
      </c>
      <c r="S946" s="19" t="s">
        <v>138</v>
      </c>
      <c r="U946" s="19" t="s">
        <v>138</v>
      </c>
      <c r="W946" s="20">
        <v>21</v>
      </c>
      <c r="X946" s="65" t="s">
        <v>1495</v>
      </c>
      <c r="Z946" t="s">
        <v>307</v>
      </c>
      <c r="AB946" t="s">
        <v>178</v>
      </c>
      <c r="AC946" t="s">
        <v>1532</v>
      </c>
      <c r="AD946" s="2" t="s">
        <v>1533</v>
      </c>
    </row>
    <row r="947" spans="1:30" hidden="1" x14ac:dyDescent="0.25">
      <c r="A947" s="2">
        <v>19</v>
      </c>
      <c r="B947" t="s">
        <v>1552</v>
      </c>
      <c r="C947">
        <v>12</v>
      </c>
      <c r="D947">
        <v>238</v>
      </c>
      <c r="E947">
        <v>1280</v>
      </c>
      <c r="F947" t="s">
        <v>273</v>
      </c>
      <c r="G947" s="2" t="s">
        <v>156</v>
      </c>
      <c r="H947">
        <v>1</v>
      </c>
      <c r="I947">
        <v>28.7</v>
      </c>
      <c r="J947" s="2" t="s">
        <v>170</v>
      </c>
      <c r="K947" s="2" t="s">
        <v>74</v>
      </c>
      <c r="M947" t="s">
        <v>1567</v>
      </c>
      <c r="P947" s="19" t="s">
        <v>1142</v>
      </c>
      <c r="S947" s="19" t="s">
        <v>138</v>
      </c>
      <c r="U947" s="19" t="s">
        <v>138</v>
      </c>
      <c r="W947" s="20">
        <v>21</v>
      </c>
      <c r="X947" s="65" t="s">
        <v>1495</v>
      </c>
      <c r="Z947" t="s">
        <v>307</v>
      </c>
      <c r="AB947" t="s">
        <v>178</v>
      </c>
      <c r="AC947" t="s">
        <v>1532</v>
      </c>
      <c r="AD947" s="2" t="s">
        <v>1533</v>
      </c>
    </row>
    <row r="948" spans="1:30" hidden="1" x14ac:dyDescent="0.25">
      <c r="A948" s="2">
        <v>20</v>
      </c>
      <c r="B948" t="s">
        <v>1553</v>
      </c>
      <c r="C948">
        <v>12</v>
      </c>
      <c r="D948">
        <v>238</v>
      </c>
      <c r="E948">
        <v>1280</v>
      </c>
      <c r="F948" t="s">
        <v>273</v>
      </c>
      <c r="G948" s="2" t="s">
        <v>156</v>
      </c>
      <c r="H948">
        <v>1</v>
      </c>
      <c r="I948">
        <v>28.7</v>
      </c>
      <c r="J948" s="2" t="s">
        <v>170</v>
      </c>
      <c r="K948" s="2" t="s">
        <v>74</v>
      </c>
      <c r="M948" t="s">
        <v>1567</v>
      </c>
      <c r="P948" s="19" t="s">
        <v>1142</v>
      </c>
      <c r="S948" s="19" t="s">
        <v>138</v>
      </c>
      <c r="U948" s="19" t="s">
        <v>138</v>
      </c>
      <c r="W948" s="20">
        <v>21</v>
      </c>
      <c r="X948" s="65" t="s">
        <v>1495</v>
      </c>
      <c r="Z948" t="s">
        <v>307</v>
      </c>
      <c r="AB948" t="s">
        <v>178</v>
      </c>
      <c r="AC948" t="s">
        <v>1532</v>
      </c>
      <c r="AD948" s="2" t="s">
        <v>1533</v>
      </c>
    </row>
    <row r="949" spans="1:30" hidden="1" x14ac:dyDescent="0.25">
      <c r="A949" s="2">
        <v>21</v>
      </c>
      <c r="B949" t="s">
        <v>1554</v>
      </c>
      <c r="C949">
        <v>12</v>
      </c>
      <c r="D949">
        <v>238</v>
      </c>
      <c r="E949">
        <v>1280</v>
      </c>
      <c r="F949" t="s">
        <v>273</v>
      </c>
      <c r="G949" s="2" t="s">
        <v>156</v>
      </c>
      <c r="H949">
        <v>1</v>
      </c>
      <c r="I949">
        <v>28.7</v>
      </c>
      <c r="J949" s="2" t="s">
        <v>170</v>
      </c>
      <c r="K949" s="2" t="s">
        <v>74</v>
      </c>
      <c r="M949" t="s">
        <v>1567</v>
      </c>
      <c r="P949" s="19" t="s">
        <v>1142</v>
      </c>
      <c r="S949" s="19" t="s">
        <v>138</v>
      </c>
      <c r="U949" s="19" t="s">
        <v>138</v>
      </c>
      <c r="W949" s="20">
        <v>21</v>
      </c>
      <c r="X949" s="65" t="s">
        <v>1495</v>
      </c>
      <c r="Z949" t="s">
        <v>307</v>
      </c>
      <c r="AB949" t="s">
        <v>178</v>
      </c>
      <c r="AC949" t="s">
        <v>1532</v>
      </c>
      <c r="AD949" s="2" t="s">
        <v>1533</v>
      </c>
    </row>
    <row r="950" spans="1:30" hidden="1" x14ac:dyDescent="0.25">
      <c r="A950" s="2">
        <v>22</v>
      </c>
      <c r="B950" t="s">
        <v>1555</v>
      </c>
      <c r="C950">
        <v>12</v>
      </c>
      <c r="D950">
        <v>238</v>
      </c>
      <c r="E950">
        <v>1280</v>
      </c>
      <c r="F950" t="s">
        <v>273</v>
      </c>
      <c r="G950" s="2" t="s">
        <v>156</v>
      </c>
      <c r="H950">
        <v>1</v>
      </c>
      <c r="I950">
        <v>28.7</v>
      </c>
      <c r="J950" s="2" t="s">
        <v>170</v>
      </c>
      <c r="K950" s="2" t="s">
        <v>74</v>
      </c>
      <c r="M950" t="s">
        <v>1567</v>
      </c>
      <c r="P950" s="19" t="s">
        <v>1142</v>
      </c>
      <c r="S950" s="19" t="s">
        <v>138</v>
      </c>
      <c r="U950" s="19" t="s">
        <v>138</v>
      </c>
      <c r="W950" s="20">
        <v>21</v>
      </c>
      <c r="X950" s="65" t="s">
        <v>1495</v>
      </c>
      <c r="Z950" t="s">
        <v>307</v>
      </c>
      <c r="AB950" t="s">
        <v>178</v>
      </c>
      <c r="AC950" t="s">
        <v>1532</v>
      </c>
      <c r="AD950" s="2" t="s">
        <v>1533</v>
      </c>
    </row>
    <row r="951" spans="1:30" hidden="1" x14ac:dyDescent="0.25">
      <c r="A951" s="2">
        <v>23</v>
      </c>
      <c r="B951" t="s">
        <v>1556</v>
      </c>
      <c r="C951">
        <v>12</v>
      </c>
      <c r="D951">
        <v>238</v>
      </c>
      <c r="E951">
        <v>1280</v>
      </c>
      <c r="F951" t="s">
        <v>273</v>
      </c>
      <c r="G951" s="2" t="s">
        <v>156</v>
      </c>
      <c r="H951">
        <v>1</v>
      </c>
      <c r="I951">
        <v>28.7</v>
      </c>
      <c r="J951" s="2" t="s">
        <v>170</v>
      </c>
      <c r="K951" s="2" t="s">
        <v>74</v>
      </c>
      <c r="M951" t="s">
        <v>1567</v>
      </c>
      <c r="P951" s="19" t="s">
        <v>1142</v>
      </c>
      <c r="S951" s="19" t="s">
        <v>138</v>
      </c>
      <c r="U951" s="19" t="s">
        <v>138</v>
      </c>
      <c r="W951" s="20">
        <v>21</v>
      </c>
      <c r="X951" s="65" t="s">
        <v>1495</v>
      </c>
      <c r="Z951" t="s">
        <v>307</v>
      </c>
      <c r="AB951" t="s">
        <v>178</v>
      </c>
      <c r="AC951" t="s">
        <v>1532</v>
      </c>
      <c r="AD951" s="2" t="s">
        <v>1533</v>
      </c>
    </row>
    <row r="952" spans="1:30" hidden="1" x14ac:dyDescent="0.25">
      <c r="A952" s="2">
        <v>24</v>
      </c>
      <c r="B952" t="s">
        <v>1557</v>
      </c>
      <c r="C952">
        <v>12</v>
      </c>
      <c r="D952">
        <v>238</v>
      </c>
      <c r="E952">
        <v>1280</v>
      </c>
      <c r="F952" t="s">
        <v>273</v>
      </c>
      <c r="G952" s="2" t="s">
        <v>156</v>
      </c>
      <c r="H952">
        <v>1</v>
      </c>
      <c r="I952">
        <v>28.7</v>
      </c>
      <c r="J952" s="2" t="s">
        <v>170</v>
      </c>
      <c r="K952" s="2" t="s">
        <v>74</v>
      </c>
      <c r="M952" t="s">
        <v>1567</v>
      </c>
      <c r="P952" s="19" t="s">
        <v>1142</v>
      </c>
      <c r="S952" s="19" t="s">
        <v>138</v>
      </c>
      <c r="U952" s="19" t="s">
        <v>138</v>
      </c>
      <c r="W952" s="20">
        <v>21</v>
      </c>
      <c r="X952" s="65" t="s">
        <v>1495</v>
      </c>
      <c r="Z952" t="s">
        <v>307</v>
      </c>
      <c r="AB952" t="s">
        <v>178</v>
      </c>
      <c r="AC952" t="s">
        <v>1532</v>
      </c>
      <c r="AD952" s="2" t="s">
        <v>1533</v>
      </c>
    </row>
    <row r="953" spans="1:30" hidden="1" x14ac:dyDescent="0.25">
      <c r="A953" s="2">
        <v>25</v>
      </c>
      <c r="B953" t="s">
        <v>1558</v>
      </c>
      <c r="C953">
        <v>12</v>
      </c>
      <c r="D953">
        <v>238</v>
      </c>
      <c r="E953">
        <v>1280</v>
      </c>
      <c r="F953" t="s">
        <v>273</v>
      </c>
      <c r="G953" s="2" t="s">
        <v>156</v>
      </c>
      <c r="H953">
        <v>1</v>
      </c>
      <c r="I953">
        <v>28.7</v>
      </c>
      <c r="J953" s="2" t="s">
        <v>170</v>
      </c>
      <c r="K953" s="2" t="s">
        <v>74</v>
      </c>
      <c r="M953" t="s">
        <v>1567</v>
      </c>
      <c r="P953" s="19" t="s">
        <v>1142</v>
      </c>
      <c r="S953" s="19" t="s">
        <v>138</v>
      </c>
      <c r="U953" s="19" t="s">
        <v>138</v>
      </c>
      <c r="W953" s="20">
        <v>21</v>
      </c>
      <c r="X953" s="65" t="s">
        <v>1495</v>
      </c>
      <c r="Z953" t="s">
        <v>307</v>
      </c>
      <c r="AB953" t="s">
        <v>178</v>
      </c>
      <c r="AC953" t="s">
        <v>1532</v>
      </c>
      <c r="AD953" s="2" t="s">
        <v>1533</v>
      </c>
    </row>
    <row r="954" spans="1:30" hidden="1" x14ac:dyDescent="0.25">
      <c r="A954" s="2">
        <v>26</v>
      </c>
      <c r="B954" t="s">
        <v>1559</v>
      </c>
      <c r="C954">
        <v>12</v>
      </c>
      <c r="D954">
        <v>238</v>
      </c>
      <c r="E954">
        <v>1280</v>
      </c>
      <c r="F954" t="s">
        <v>273</v>
      </c>
      <c r="G954" s="2" t="s">
        <v>156</v>
      </c>
      <c r="H954">
        <v>1</v>
      </c>
      <c r="I954">
        <v>28.7</v>
      </c>
      <c r="J954" s="2" t="s">
        <v>170</v>
      </c>
      <c r="K954" s="2" t="s">
        <v>74</v>
      </c>
      <c r="M954" t="s">
        <v>1567</v>
      </c>
      <c r="P954" s="19" t="s">
        <v>1142</v>
      </c>
      <c r="S954" s="19" t="s">
        <v>138</v>
      </c>
      <c r="U954" s="19" t="s">
        <v>138</v>
      </c>
      <c r="W954" s="20">
        <v>21</v>
      </c>
      <c r="X954" s="65" t="s">
        <v>1495</v>
      </c>
      <c r="Z954" t="s">
        <v>307</v>
      </c>
      <c r="AB954" t="s">
        <v>178</v>
      </c>
      <c r="AC954" t="s">
        <v>1532</v>
      </c>
      <c r="AD954" s="2" t="s">
        <v>1533</v>
      </c>
    </row>
    <row r="955" spans="1:30" hidden="1" x14ac:dyDescent="0.25">
      <c r="A955" s="2">
        <v>27</v>
      </c>
      <c r="B955" t="s">
        <v>1560</v>
      </c>
      <c r="C955">
        <v>12</v>
      </c>
      <c r="D955">
        <v>238</v>
      </c>
      <c r="E955">
        <v>1280</v>
      </c>
      <c r="F955" t="s">
        <v>273</v>
      </c>
      <c r="G955" s="2" t="s">
        <v>156</v>
      </c>
      <c r="H955">
        <v>1</v>
      </c>
      <c r="I955">
        <v>28.7</v>
      </c>
      <c r="J955" s="2" t="s">
        <v>170</v>
      </c>
      <c r="K955" s="2" t="s">
        <v>74</v>
      </c>
      <c r="M955" t="s">
        <v>1567</v>
      </c>
      <c r="P955" s="19" t="s">
        <v>1142</v>
      </c>
      <c r="S955" s="19" t="s">
        <v>138</v>
      </c>
      <c r="U955" s="19" t="s">
        <v>138</v>
      </c>
      <c r="W955" s="20">
        <v>21</v>
      </c>
      <c r="X955" s="65" t="s">
        <v>1495</v>
      </c>
      <c r="Z955" t="s">
        <v>307</v>
      </c>
      <c r="AB955" t="s">
        <v>178</v>
      </c>
      <c r="AC955" t="s">
        <v>1532</v>
      </c>
      <c r="AD955" s="2" t="s">
        <v>1533</v>
      </c>
    </row>
    <row r="956" spans="1:30" hidden="1" x14ac:dyDescent="0.25">
      <c r="A956" s="2">
        <v>28</v>
      </c>
      <c r="B956" t="s">
        <v>1561</v>
      </c>
      <c r="C956">
        <v>12</v>
      </c>
      <c r="D956">
        <v>238</v>
      </c>
      <c r="E956">
        <v>1280</v>
      </c>
      <c r="F956" t="s">
        <v>273</v>
      </c>
      <c r="G956" s="2" t="s">
        <v>156</v>
      </c>
      <c r="H956">
        <v>1</v>
      </c>
      <c r="I956">
        <v>28.7</v>
      </c>
      <c r="J956" s="2" t="s">
        <v>170</v>
      </c>
      <c r="K956" s="2" t="s">
        <v>74</v>
      </c>
      <c r="M956" t="s">
        <v>1567</v>
      </c>
      <c r="P956" s="19" t="s">
        <v>1142</v>
      </c>
      <c r="S956" s="19" t="s">
        <v>138</v>
      </c>
      <c r="U956" s="19" t="s">
        <v>138</v>
      </c>
      <c r="W956" s="20">
        <v>21</v>
      </c>
      <c r="X956" s="65" t="s">
        <v>1495</v>
      </c>
      <c r="Z956" t="s">
        <v>307</v>
      </c>
      <c r="AB956" t="s">
        <v>178</v>
      </c>
      <c r="AC956" t="s">
        <v>1532</v>
      </c>
      <c r="AD956" s="2" t="s">
        <v>1533</v>
      </c>
    </row>
    <row r="957" spans="1:30" hidden="1" x14ac:dyDescent="0.25">
      <c r="A957" s="2">
        <v>29</v>
      </c>
      <c r="B957" t="s">
        <v>1562</v>
      </c>
      <c r="C957">
        <v>12</v>
      </c>
      <c r="D957">
        <v>238</v>
      </c>
      <c r="E957">
        <v>1280</v>
      </c>
      <c r="F957" t="s">
        <v>273</v>
      </c>
      <c r="G957" s="2" t="s">
        <v>156</v>
      </c>
      <c r="H957">
        <v>1</v>
      </c>
      <c r="I957">
        <v>28.7</v>
      </c>
      <c r="J957" s="2" t="s">
        <v>170</v>
      </c>
      <c r="K957" s="2" t="s">
        <v>74</v>
      </c>
      <c r="M957" t="s">
        <v>1567</v>
      </c>
      <c r="P957" s="19" t="s">
        <v>1142</v>
      </c>
      <c r="S957" s="19" t="s">
        <v>138</v>
      </c>
      <c r="U957" s="19" t="s">
        <v>138</v>
      </c>
      <c r="W957" s="20">
        <v>21</v>
      </c>
      <c r="X957" s="65" t="s">
        <v>1495</v>
      </c>
      <c r="Z957" t="s">
        <v>307</v>
      </c>
      <c r="AB957" t="s">
        <v>178</v>
      </c>
      <c r="AC957" t="s">
        <v>1532</v>
      </c>
      <c r="AD957" s="2" t="s">
        <v>1533</v>
      </c>
    </row>
    <row r="958" spans="1:30" hidden="1" x14ac:dyDescent="0.25">
      <c r="A958" s="2">
        <v>30</v>
      </c>
      <c r="B958" t="s">
        <v>1563</v>
      </c>
      <c r="C958">
        <v>12</v>
      </c>
      <c r="D958">
        <v>238</v>
      </c>
      <c r="E958">
        <v>1280</v>
      </c>
      <c r="F958" t="s">
        <v>273</v>
      </c>
      <c r="G958" s="2" t="s">
        <v>156</v>
      </c>
      <c r="H958">
        <v>1</v>
      </c>
      <c r="I958">
        <v>28.7</v>
      </c>
      <c r="J958" s="2" t="s">
        <v>170</v>
      </c>
      <c r="K958" s="2" t="s">
        <v>74</v>
      </c>
      <c r="M958" t="s">
        <v>1567</v>
      </c>
      <c r="P958" s="19" t="s">
        <v>1142</v>
      </c>
      <c r="S958" s="19" t="s">
        <v>138</v>
      </c>
      <c r="U958" s="19" t="s">
        <v>138</v>
      </c>
      <c r="W958" s="20">
        <v>21</v>
      </c>
      <c r="X958" s="65" t="s">
        <v>1495</v>
      </c>
      <c r="Z958" t="s">
        <v>307</v>
      </c>
      <c r="AB958" t="s">
        <v>178</v>
      </c>
      <c r="AC958" t="s">
        <v>1532</v>
      </c>
      <c r="AD958" s="2" t="s">
        <v>1533</v>
      </c>
    </row>
    <row r="959" spans="1:30" hidden="1" x14ac:dyDescent="0.25">
      <c r="A959" s="2">
        <v>31</v>
      </c>
      <c r="B959" t="s">
        <v>1564</v>
      </c>
      <c r="C959">
        <v>12</v>
      </c>
      <c r="D959">
        <v>238</v>
      </c>
      <c r="E959">
        <v>1280</v>
      </c>
      <c r="F959" t="s">
        <v>273</v>
      </c>
      <c r="G959" s="2" t="s">
        <v>156</v>
      </c>
      <c r="H959">
        <v>1</v>
      </c>
      <c r="I959">
        <v>28.7</v>
      </c>
      <c r="J959" s="2" t="s">
        <v>170</v>
      </c>
      <c r="K959" s="2" t="s">
        <v>74</v>
      </c>
      <c r="M959" t="s">
        <v>1567</v>
      </c>
      <c r="P959" s="19" t="s">
        <v>1142</v>
      </c>
      <c r="S959" s="19" t="s">
        <v>138</v>
      </c>
      <c r="U959" s="19" t="s">
        <v>138</v>
      </c>
      <c r="W959" s="20">
        <v>21</v>
      </c>
      <c r="X959" s="65" t="s">
        <v>1495</v>
      </c>
      <c r="Z959" t="s">
        <v>307</v>
      </c>
      <c r="AB959" t="s">
        <v>178</v>
      </c>
      <c r="AC959" t="s">
        <v>1532</v>
      </c>
      <c r="AD959" s="2" t="s">
        <v>1533</v>
      </c>
    </row>
    <row r="960" spans="1:30" hidden="1" x14ac:dyDescent="0.25">
      <c r="A960" s="2">
        <v>32</v>
      </c>
      <c r="B960" t="s">
        <v>1565</v>
      </c>
      <c r="C960">
        <v>12</v>
      </c>
      <c r="D960">
        <v>238</v>
      </c>
      <c r="E960">
        <v>1280</v>
      </c>
      <c r="F960" t="s">
        <v>273</v>
      </c>
      <c r="G960" s="2" t="s">
        <v>156</v>
      </c>
      <c r="H960">
        <v>1</v>
      </c>
      <c r="I960">
        <v>28.7</v>
      </c>
      <c r="J960" s="2" t="s">
        <v>170</v>
      </c>
      <c r="K960" s="2" t="s">
        <v>74</v>
      </c>
      <c r="M960" t="s">
        <v>1567</v>
      </c>
      <c r="P960" s="19" t="s">
        <v>1142</v>
      </c>
      <c r="S960" s="19" t="s">
        <v>138</v>
      </c>
      <c r="U960" s="19" t="s">
        <v>138</v>
      </c>
      <c r="W960" s="20">
        <v>21</v>
      </c>
      <c r="X960" s="65" t="s">
        <v>1495</v>
      </c>
      <c r="Z960" t="s">
        <v>307</v>
      </c>
      <c r="AB960" t="s">
        <v>178</v>
      </c>
      <c r="AC960" t="s">
        <v>1532</v>
      </c>
      <c r="AD960" s="2" t="s">
        <v>1533</v>
      </c>
    </row>
    <row r="961" spans="1:30" hidden="1" x14ac:dyDescent="0.25">
      <c r="A961" s="2">
        <v>1</v>
      </c>
      <c r="B961" t="s">
        <v>1569</v>
      </c>
      <c r="C961">
        <v>12</v>
      </c>
      <c r="D961">
        <v>238</v>
      </c>
      <c r="E961">
        <v>1280</v>
      </c>
      <c r="F961" t="s">
        <v>273</v>
      </c>
      <c r="G961" s="2" t="s">
        <v>156</v>
      </c>
      <c r="H961">
        <v>1</v>
      </c>
      <c r="I961">
        <v>28.7</v>
      </c>
      <c r="J961" s="2" t="s">
        <v>170</v>
      </c>
      <c r="K961" s="2" t="s">
        <v>74</v>
      </c>
      <c r="M961" t="s">
        <v>1999</v>
      </c>
      <c r="P961" s="19" t="s">
        <v>1573</v>
      </c>
      <c r="S961" s="19" t="s">
        <v>138</v>
      </c>
      <c r="U961" s="19" t="s">
        <v>138</v>
      </c>
      <c r="W961" s="20">
        <v>22</v>
      </c>
      <c r="X961" s="65" t="s">
        <v>1572</v>
      </c>
      <c r="Z961" t="s">
        <v>307</v>
      </c>
      <c r="AB961" t="s">
        <v>178</v>
      </c>
      <c r="AC961" t="s">
        <v>1571</v>
      </c>
      <c r="AD961" s="2" t="s">
        <v>1574</v>
      </c>
    </row>
    <row r="962" spans="1:30" hidden="1" x14ac:dyDescent="0.25">
      <c r="A962" s="2">
        <v>2</v>
      </c>
      <c r="B962" t="s">
        <v>1576</v>
      </c>
      <c r="C962">
        <v>12</v>
      </c>
      <c r="D962">
        <v>238</v>
      </c>
      <c r="E962">
        <v>1280</v>
      </c>
      <c r="F962" t="s">
        <v>273</v>
      </c>
      <c r="G962" s="2" t="s">
        <v>156</v>
      </c>
      <c r="H962">
        <v>1</v>
      </c>
      <c r="I962">
        <v>28.7</v>
      </c>
      <c r="J962" s="2" t="s">
        <v>170</v>
      </c>
      <c r="K962" s="2" t="s">
        <v>74</v>
      </c>
      <c r="M962" t="s">
        <v>1999</v>
      </c>
      <c r="P962" s="19" t="s">
        <v>1573</v>
      </c>
      <c r="S962" s="19" t="s">
        <v>138</v>
      </c>
      <c r="U962" s="19" t="s">
        <v>138</v>
      </c>
      <c r="W962" s="20">
        <v>22</v>
      </c>
      <c r="X962" s="65" t="s">
        <v>1572</v>
      </c>
      <c r="Z962" t="s">
        <v>307</v>
      </c>
      <c r="AB962" t="s">
        <v>178</v>
      </c>
      <c r="AC962" t="s">
        <v>1571</v>
      </c>
      <c r="AD962" s="2" t="s">
        <v>1574</v>
      </c>
    </row>
    <row r="963" spans="1:30" hidden="1" x14ac:dyDescent="0.25">
      <c r="A963" s="2">
        <v>3</v>
      </c>
      <c r="B963" t="s">
        <v>1577</v>
      </c>
      <c r="C963">
        <v>12</v>
      </c>
      <c r="D963">
        <v>238</v>
      </c>
      <c r="E963">
        <v>1280</v>
      </c>
      <c r="F963" t="s">
        <v>273</v>
      </c>
      <c r="G963" s="2" t="s">
        <v>156</v>
      </c>
      <c r="H963">
        <v>1</v>
      </c>
      <c r="I963">
        <v>28.7</v>
      </c>
      <c r="J963" s="2" t="s">
        <v>170</v>
      </c>
      <c r="K963" s="2" t="s">
        <v>74</v>
      </c>
      <c r="M963" t="s">
        <v>1999</v>
      </c>
      <c r="P963" s="19" t="s">
        <v>1573</v>
      </c>
      <c r="S963" s="19" t="s">
        <v>138</v>
      </c>
      <c r="U963" s="19" t="s">
        <v>138</v>
      </c>
      <c r="W963" s="20">
        <v>22</v>
      </c>
      <c r="X963" s="65" t="s">
        <v>1572</v>
      </c>
      <c r="Z963" t="s">
        <v>307</v>
      </c>
      <c r="AB963" t="s">
        <v>178</v>
      </c>
      <c r="AC963" t="s">
        <v>1571</v>
      </c>
      <c r="AD963" s="2" t="s">
        <v>1574</v>
      </c>
    </row>
    <row r="964" spans="1:30" hidden="1" x14ac:dyDescent="0.25">
      <c r="A964" s="2">
        <v>4</v>
      </c>
      <c r="B964" t="s">
        <v>1578</v>
      </c>
      <c r="C964">
        <v>12</v>
      </c>
      <c r="D964">
        <v>238</v>
      </c>
      <c r="E964">
        <v>1280</v>
      </c>
      <c r="F964" t="s">
        <v>273</v>
      </c>
      <c r="G964" s="2" t="s">
        <v>156</v>
      </c>
      <c r="H964">
        <v>1</v>
      </c>
      <c r="I964">
        <v>28.7</v>
      </c>
      <c r="J964" s="2" t="s">
        <v>170</v>
      </c>
      <c r="K964" s="2" t="s">
        <v>74</v>
      </c>
      <c r="M964" t="s">
        <v>1999</v>
      </c>
      <c r="P964" s="19" t="s">
        <v>1573</v>
      </c>
      <c r="S964" s="19" t="s">
        <v>138</v>
      </c>
      <c r="U964" s="19" t="s">
        <v>138</v>
      </c>
      <c r="W964" s="20">
        <v>22</v>
      </c>
      <c r="X964" s="65" t="s">
        <v>1572</v>
      </c>
      <c r="Z964" t="s">
        <v>307</v>
      </c>
      <c r="AB964" t="s">
        <v>178</v>
      </c>
      <c r="AC964" t="s">
        <v>1571</v>
      </c>
      <c r="AD964" s="2" t="s">
        <v>1574</v>
      </c>
    </row>
    <row r="965" spans="1:30" hidden="1" x14ac:dyDescent="0.25">
      <c r="A965" s="2">
        <v>5</v>
      </c>
      <c r="B965" t="s">
        <v>1579</v>
      </c>
      <c r="C965">
        <v>12</v>
      </c>
      <c r="D965">
        <v>238</v>
      </c>
      <c r="E965">
        <v>1280</v>
      </c>
      <c r="F965" t="s">
        <v>273</v>
      </c>
      <c r="G965" s="2" t="s">
        <v>156</v>
      </c>
      <c r="H965">
        <v>1</v>
      </c>
      <c r="I965">
        <v>28.7</v>
      </c>
      <c r="J965" s="2" t="s">
        <v>170</v>
      </c>
      <c r="K965" s="2" t="s">
        <v>74</v>
      </c>
      <c r="M965" t="s">
        <v>1999</v>
      </c>
      <c r="P965" s="19" t="s">
        <v>1573</v>
      </c>
      <c r="S965" s="19" t="s">
        <v>138</v>
      </c>
      <c r="U965" s="19" t="s">
        <v>138</v>
      </c>
      <c r="W965" s="20">
        <v>22</v>
      </c>
      <c r="X965" s="65" t="s">
        <v>1572</v>
      </c>
      <c r="Z965" t="s">
        <v>307</v>
      </c>
      <c r="AB965" t="s">
        <v>178</v>
      </c>
      <c r="AC965" t="s">
        <v>1571</v>
      </c>
      <c r="AD965" s="2" t="s">
        <v>1574</v>
      </c>
    </row>
    <row r="966" spans="1:30" hidden="1" x14ac:dyDescent="0.25">
      <c r="A966" s="2">
        <v>6</v>
      </c>
      <c r="B966" t="s">
        <v>1580</v>
      </c>
      <c r="C966">
        <v>12</v>
      </c>
      <c r="D966">
        <v>238</v>
      </c>
      <c r="E966">
        <v>1280</v>
      </c>
      <c r="F966" t="s">
        <v>273</v>
      </c>
      <c r="G966" s="2" t="s">
        <v>156</v>
      </c>
      <c r="H966">
        <v>1</v>
      </c>
      <c r="I966">
        <v>28.7</v>
      </c>
      <c r="J966" s="2" t="s">
        <v>170</v>
      </c>
      <c r="K966" s="2" t="s">
        <v>74</v>
      </c>
      <c r="M966" t="s">
        <v>1999</v>
      </c>
      <c r="P966" s="19" t="s">
        <v>1573</v>
      </c>
      <c r="S966" s="19" t="s">
        <v>138</v>
      </c>
      <c r="U966" s="19" t="s">
        <v>138</v>
      </c>
      <c r="W966" s="20">
        <v>22</v>
      </c>
      <c r="X966" s="65" t="s">
        <v>1572</v>
      </c>
      <c r="Z966" t="s">
        <v>307</v>
      </c>
      <c r="AB966" t="s">
        <v>178</v>
      </c>
      <c r="AC966" t="s">
        <v>1571</v>
      </c>
      <c r="AD966" s="2" t="s">
        <v>1574</v>
      </c>
    </row>
    <row r="967" spans="1:30" hidden="1" x14ac:dyDescent="0.25">
      <c r="A967" s="2">
        <v>7</v>
      </c>
      <c r="B967" t="s">
        <v>1581</v>
      </c>
      <c r="C967">
        <v>12</v>
      </c>
      <c r="D967">
        <v>238</v>
      </c>
      <c r="E967">
        <v>1280</v>
      </c>
      <c r="F967" t="s">
        <v>273</v>
      </c>
      <c r="G967" s="2" t="s">
        <v>156</v>
      </c>
      <c r="H967">
        <v>1</v>
      </c>
      <c r="I967">
        <v>28.7</v>
      </c>
      <c r="J967" s="2" t="s">
        <v>170</v>
      </c>
      <c r="K967" s="2" t="s">
        <v>74</v>
      </c>
      <c r="M967" t="s">
        <v>1999</v>
      </c>
      <c r="P967" s="19" t="s">
        <v>1573</v>
      </c>
      <c r="S967" s="19" t="s">
        <v>138</v>
      </c>
      <c r="U967" s="19" t="s">
        <v>138</v>
      </c>
      <c r="W967" s="20">
        <v>22</v>
      </c>
      <c r="X967" s="65" t="s">
        <v>1572</v>
      </c>
      <c r="Z967" t="s">
        <v>307</v>
      </c>
      <c r="AB967" t="s">
        <v>178</v>
      </c>
      <c r="AC967" t="s">
        <v>1571</v>
      </c>
      <c r="AD967" s="2" t="s">
        <v>1574</v>
      </c>
    </row>
    <row r="968" spans="1:30" hidden="1" x14ac:dyDescent="0.25">
      <c r="A968" s="2">
        <v>8</v>
      </c>
      <c r="B968" t="s">
        <v>1582</v>
      </c>
      <c r="C968">
        <v>12</v>
      </c>
      <c r="D968">
        <v>238</v>
      </c>
      <c r="E968">
        <v>1280</v>
      </c>
      <c r="F968" t="s">
        <v>273</v>
      </c>
      <c r="G968" s="2" t="s">
        <v>156</v>
      </c>
      <c r="H968">
        <v>1</v>
      </c>
      <c r="I968">
        <v>28.7</v>
      </c>
      <c r="J968" s="2" t="s">
        <v>170</v>
      </c>
      <c r="K968" s="2" t="s">
        <v>74</v>
      </c>
      <c r="M968" t="s">
        <v>1999</v>
      </c>
      <c r="P968" s="19" t="s">
        <v>1573</v>
      </c>
      <c r="S968" s="19" t="s">
        <v>138</v>
      </c>
      <c r="U968" s="19" t="s">
        <v>138</v>
      </c>
      <c r="W968" s="20">
        <v>22</v>
      </c>
      <c r="X968" s="65" t="s">
        <v>1572</v>
      </c>
      <c r="Z968" t="s">
        <v>307</v>
      </c>
      <c r="AB968" t="s">
        <v>178</v>
      </c>
      <c r="AC968" t="s">
        <v>1571</v>
      </c>
      <c r="AD968" s="2" t="s">
        <v>1574</v>
      </c>
    </row>
    <row r="969" spans="1:30" hidden="1" x14ac:dyDescent="0.25">
      <c r="A969" s="2">
        <v>9</v>
      </c>
      <c r="B969" t="s">
        <v>1583</v>
      </c>
      <c r="C969">
        <v>12</v>
      </c>
      <c r="D969">
        <v>238</v>
      </c>
      <c r="E969">
        <v>1280</v>
      </c>
      <c r="F969" t="s">
        <v>273</v>
      </c>
      <c r="G969" s="2" t="s">
        <v>156</v>
      </c>
      <c r="H969">
        <v>1</v>
      </c>
      <c r="I969">
        <v>28.7</v>
      </c>
      <c r="J969" s="2" t="s">
        <v>170</v>
      </c>
      <c r="K969" s="2" t="s">
        <v>74</v>
      </c>
      <c r="M969" t="s">
        <v>1999</v>
      </c>
      <c r="P969" s="19" t="s">
        <v>1573</v>
      </c>
      <c r="S969" s="19" t="s">
        <v>138</v>
      </c>
      <c r="U969" s="19" t="s">
        <v>138</v>
      </c>
      <c r="W969" s="20">
        <v>22</v>
      </c>
      <c r="X969" s="65" t="s">
        <v>1572</v>
      </c>
      <c r="Z969" t="s">
        <v>307</v>
      </c>
      <c r="AB969" t="s">
        <v>178</v>
      </c>
      <c r="AC969" t="s">
        <v>1571</v>
      </c>
      <c r="AD969" s="2" t="s">
        <v>1574</v>
      </c>
    </row>
    <row r="970" spans="1:30" hidden="1" x14ac:dyDescent="0.25">
      <c r="A970" s="2">
        <v>10</v>
      </c>
      <c r="B970" t="s">
        <v>1584</v>
      </c>
      <c r="C970">
        <v>12</v>
      </c>
      <c r="D970">
        <v>238</v>
      </c>
      <c r="E970">
        <v>1280</v>
      </c>
      <c r="F970" t="s">
        <v>273</v>
      </c>
      <c r="G970" s="2" t="s">
        <v>156</v>
      </c>
      <c r="H970">
        <v>1</v>
      </c>
      <c r="I970">
        <v>28.7</v>
      </c>
      <c r="J970" s="2" t="s">
        <v>170</v>
      </c>
      <c r="K970" s="2" t="s">
        <v>74</v>
      </c>
      <c r="M970" t="s">
        <v>1999</v>
      </c>
      <c r="P970" s="19" t="s">
        <v>1573</v>
      </c>
      <c r="S970" s="19" t="s">
        <v>138</v>
      </c>
      <c r="U970" s="19" t="s">
        <v>138</v>
      </c>
      <c r="W970" s="20">
        <v>22</v>
      </c>
      <c r="X970" s="65" t="s">
        <v>1572</v>
      </c>
      <c r="Z970" t="s">
        <v>307</v>
      </c>
      <c r="AB970" t="s">
        <v>178</v>
      </c>
      <c r="AC970" t="s">
        <v>1571</v>
      </c>
      <c r="AD970" s="2" t="s">
        <v>1574</v>
      </c>
    </row>
    <row r="971" spans="1:30" hidden="1" x14ac:dyDescent="0.25">
      <c r="A971" s="2">
        <v>11</v>
      </c>
      <c r="B971" t="s">
        <v>1585</v>
      </c>
      <c r="C971">
        <v>12</v>
      </c>
      <c r="D971">
        <v>130</v>
      </c>
      <c r="E971">
        <v>263</v>
      </c>
      <c r="F971" t="s">
        <v>273</v>
      </c>
      <c r="G971" s="2" t="s">
        <v>156</v>
      </c>
      <c r="H971">
        <v>1</v>
      </c>
      <c r="I971">
        <v>3.21</v>
      </c>
      <c r="J971" s="2" t="s">
        <v>170</v>
      </c>
      <c r="K971" s="2" t="s">
        <v>74</v>
      </c>
      <c r="M971" t="s">
        <v>1999</v>
      </c>
      <c r="P971" s="19" t="s">
        <v>1573</v>
      </c>
      <c r="Q971" s="19" t="s">
        <v>25</v>
      </c>
      <c r="S971" s="19" t="s">
        <v>138</v>
      </c>
      <c r="W971" s="20">
        <v>22</v>
      </c>
      <c r="X971" s="65" t="s">
        <v>1572</v>
      </c>
      <c r="Z971" t="s">
        <v>307</v>
      </c>
      <c r="AB971" t="s">
        <v>178</v>
      </c>
      <c r="AC971" t="s">
        <v>1571</v>
      </c>
      <c r="AD971" s="2" t="s">
        <v>1574</v>
      </c>
    </row>
    <row r="972" spans="1:30" hidden="1" x14ac:dyDescent="0.25">
      <c r="A972" s="2">
        <v>12</v>
      </c>
      <c r="B972" t="s">
        <v>1586</v>
      </c>
      <c r="C972">
        <v>12</v>
      </c>
      <c r="D972">
        <v>1460</v>
      </c>
      <c r="E972">
        <v>6688</v>
      </c>
      <c r="F972" t="s">
        <v>273</v>
      </c>
      <c r="G972" s="2" t="s">
        <v>156</v>
      </c>
      <c r="H972">
        <v>1</v>
      </c>
      <c r="I972">
        <v>917.29</v>
      </c>
      <c r="J972" s="2" t="s">
        <v>170</v>
      </c>
      <c r="K972" s="2" t="s">
        <v>74</v>
      </c>
      <c r="M972" t="s">
        <v>1999</v>
      </c>
      <c r="P972" s="19" t="s">
        <v>1573</v>
      </c>
      <c r="Q972" s="19" t="s">
        <v>27</v>
      </c>
      <c r="S972" s="19" t="s">
        <v>138</v>
      </c>
      <c r="V972" s="19" t="s">
        <v>138</v>
      </c>
      <c r="W972" s="20">
        <v>22</v>
      </c>
      <c r="X972" s="65" t="s">
        <v>1572</v>
      </c>
      <c r="Z972" t="s">
        <v>307</v>
      </c>
      <c r="AB972" t="s">
        <v>178</v>
      </c>
      <c r="AC972" t="s">
        <v>1571</v>
      </c>
      <c r="AD972" s="2" t="s">
        <v>1574</v>
      </c>
    </row>
    <row r="973" spans="1:30" hidden="1" x14ac:dyDescent="0.25">
      <c r="A973" s="2">
        <v>13</v>
      </c>
      <c r="B973" t="s">
        <v>1587</v>
      </c>
      <c r="C973">
        <v>12</v>
      </c>
      <c r="D973">
        <v>238</v>
      </c>
      <c r="E973">
        <v>1280</v>
      </c>
      <c r="F973" t="s">
        <v>273</v>
      </c>
      <c r="G973" s="2" t="s">
        <v>156</v>
      </c>
      <c r="H973">
        <v>1</v>
      </c>
      <c r="I973">
        <v>28.7</v>
      </c>
      <c r="J973" s="2" t="s">
        <v>170</v>
      </c>
      <c r="K973" s="2" t="s">
        <v>74</v>
      </c>
      <c r="M973" t="s">
        <v>1999</v>
      </c>
      <c r="P973" s="19" t="s">
        <v>1573</v>
      </c>
      <c r="S973" s="19" t="s">
        <v>138</v>
      </c>
      <c r="U973" s="19" t="s">
        <v>138</v>
      </c>
      <c r="W973" s="20">
        <v>22</v>
      </c>
      <c r="X973" s="65" t="s">
        <v>1572</v>
      </c>
      <c r="Z973" t="s">
        <v>307</v>
      </c>
      <c r="AB973" t="s">
        <v>178</v>
      </c>
      <c r="AC973" t="s">
        <v>1589</v>
      </c>
      <c r="AD973" s="2" t="s">
        <v>1590</v>
      </c>
    </row>
    <row r="974" spans="1:30" hidden="1" x14ac:dyDescent="0.25">
      <c r="A974" s="2">
        <v>14</v>
      </c>
      <c r="B974" t="s">
        <v>1592</v>
      </c>
      <c r="C974">
        <v>12</v>
      </c>
      <c r="D974">
        <v>238</v>
      </c>
      <c r="E974">
        <v>1280</v>
      </c>
      <c r="F974" t="s">
        <v>273</v>
      </c>
      <c r="G974" s="2" t="s">
        <v>156</v>
      </c>
      <c r="H974">
        <v>1</v>
      </c>
      <c r="I974">
        <v>28.7</v>
      </c>
      <c r="J974" s="2" t="s">
        <v>170</v>
      </c>
      <c r="K974" s="2" t="s">
        <v>74</v>
      </c>
      <c r="M974" t="s">
        <v>1999</v>
      </c>
      <c r="P974" s="19" t="s">
        <v>1573</v>
      </c>
      <c r="S974" s="19" t="s">
        <v>138</v>
      </c>
      <c r="U974" s="19" t="s">
        <v>138</v>
      </c>
      <c r="W974" s="20">
        <v>22</v>
      </c>
      <c r="X974" s="65" t="s">
        <v>1572</v>
      </c>
      <c r="Z974" t="s">
        <v>307</v>
      </c>
      <c r="AB974" t="s">
        <v>178</v>
      </c>
      <c r="AC974" t="s">
        <v>1589</v>
      </c>
      <c r="AD974" s="2" t="s">
        <v>1590</v>
      </c>
    </row>
    <row r="975" spans="1:30" hidden="1" x14ac:dyDescent="0.25">
      <c r="A975" s="2">
        <v>15</v>
      </c>
      <c r="B975" t="s">
        <v>1593</v>
      </c>
      <c r="C975">
        <v>12</v>
      </c>
      <c r="D975">
        <v>238</v>
      </c>
      <c r="E975">
        <v>1280</v>
      </c>
      <c r="F975" t="s">
        <v>273</v>
      </c>
      <c r="G975" s="2" t="s">
        <v>156</v>
      </c>
      <c r="H975">
        <v>1</v>
      </c>
      <c r="I975">
        <v>28.7</v>
      </c>
      <c r="J975" s="2" t="s">
        <v>170</v>
      </c>
      <c r="K975" s="2" t="s">
        <v>74</v>
      </c>
      <c r="M975" t="s">
        <v>1999</v>
      </c>
      <c r="P975" s="19" t="s">
        <v>1573</v>
      </c>
      <c r="S975" s="19" t="s">
        <v>138</v>
      </c>
      <c r="U975" s="19" t="s">
        <v>138</v>
      </c>
      <c r="W975" s="20">
        <v>22</v>
      </c>
      <c r="X975" s="65" t="s">
        <v>1572</v>
      </c>
      <c r="Z975" t="s">
        <v>307</v>
      </c>
      <c r="AB975" t="s">
        <v>178</v>
      </c>
      <c r="AC975" t="s">
        <v>1589</v>
      </c>
      <c r="AD975" s="2" t="s">
        <v>1590</v>
      </c>
    </row>
    <row r="976" spans="1:30" hidden="1" x14ac:dyDescent="0.25">
      <c r="A976" s="2">
        <v>16</v>
      </c>
      <c r="B976" t="s">
        <v>1594</v>
      </c>
      <c r="C976">
        <v>12</v>
      </c>
      <c r="D976">
        <v>238</v>
      </c>
      <c r="E976">
        <v>1280</v>
      </c>
      <c r="F976" t="s">
        <v>273</v>
      </c>
      <c r="G976" s="2" t="s">
        <v>156</v>
      </c>
      <c r="H976">
        <v>1</v>
      </c>
      <c r="I976">
        <v>28.7</v>
      </c>
      <c r="J976" s="2" t="s">
        <v>170</v>
      </c>
      <c r="K976" s="2" t="s">
        <v>74</v>
      </c>
      <c r="M976" t="s">
        <v>1999</v>
      </c>
      <c r="P976" s="19" t="s">
        <v>1573</v>
      </c>
      <c r="S976" s="19" t="s">
        <v>138</v>
      </c>
      <c r="U976" s="19" t="s">
        <v>138</v>
      </c>
      <c r="W976" s="20">
        <v>22</v>
      </c>
      <c r="X976" s="65" t="s">
        <v>1572</v>
      </c>
      <c r="Z976" t="s">
        <v>307</v>
      </c>
      <c r="AB976" t="s">
        <v>178</v>
      </c>
      <c r="AC976" t="s">
        <v>1589</v>
      </c>
      <c r="AD976" s="2" t="s">
        <v>1590</v>
      </c>
    </row>
    <row r="977" spans="1:30" hidden="1" x14ac:dyDescent="0.25">
      <c r="A977" s="2">
        <v>17</v>
      </c>
      <c r="B977" t="s">
        <v>1595</v>
      </c>
      <c r="C977">
        <v>12</v>
      </c>
      <c r="D977">
        <v>238</v>
      </c>
      <c r="E977">
        <v>1280</v>
      </c>
      <c r="F977" t="s">
        <v>273</v>
      </c>
      <c r="G977" s="2" t="s">
        <v>156</v>
      </c>
      <c r="H977">
        <v>1</v>
      </c>
      <c r="I977">
        <v>28.7</v>
      </c>
      <c r="J977" s="2" t="s">
        <v>170</v>
      </c>
      <c r="K977" s="2" t="s">
        <v>74</v>
      </c>
      <c r="M977" t="s">
        <v>1999</v>
      </c>
      <c r="P977" s="19" t="s">
        <v>1573</v>
      </c>
      <c r="S977" s="19" t="s">
        <v>138</v>
      </c>
      <c r="U977" s="19" t="s">
        <v>138</v>
      </c>
      <c r="W977" s="20">
        <v>22</v>
      </c>
      <c r="X977" s="65" t="s">
        <v>1572</v>
      </c>
      <c r="Z977" t="s">
        <v>307</v>
      </c>
      <c r="AB977" t="s">
        <v>178</v>
      </c>
      <c r="AC977" t="s">
        <v>1589</v>
      </c>
      <c r="AD977" s="2" t="s">
        <v>1590</v>
      </c>
    </row>
    <row r="978" spans="1:30" hidden="1" x14ac:dyDescent="0.25">
      <c r="A978" s="2">
        <v>18</v>
      </c>
      <c r="B978" t="s">
        <v>1596</v>
      </c>
      <c r="C978">
        <v>12</v>
      </c>
      <c r="D978">
        <v>238</v>
      </c>
      <c r="E978">
        <v>1280</v>
      </c>
      <c r="F978" t="s">
        <v>273</v>
      </c>
      <c r="G978" s="2" t="s">
        <v>156</v>
      </c>
      <c r="H978">
        <v>1</v>
      </c>
      <c r="I978">
        <v>28.7</v>
      </c>
      <c r="J978" s="2" t="s">
        <v>170</v>
      </c>
      <c r="K978" s="2" t="s">
        <v>74</v>
      </c>
      <c r="M978" t="s">
        <v>1999</v>
      </c>
      <c r="P978" s="19" t="s">
        <v>1573</v>
      </c>
      <c r="S978" s="19" t="s">
        <v>138</v>
      </c>
      <c r="U978" s="19" t="s">
        <v>138</v>
      </c>
      <c r="W978" s="20">
        <v>22</v>
      </c>
      <c r="X978" s="65" t="s">
        <v>1572</v>
      </c>
      <c r="Z978" t="s">
        <v>307</v>
      </c>
      <c r="AB978" t="s">
        <v>178</v>
      </c>
      <c r="AC978" t="s">
        <v>1589</v>
      </c>
      <c r="AD978" s="2" t="s">
        <v>1590</v>
      </c>
    </row>
    <row r="979" spans="1:30" hidden="1" x14ac:dyDescent="0.25">
      <c r="A979" s="2">
        <v>19</v>
      </c>
      <c r="B979" t="s">
        <v>1597</v>
      </c>
      <c r="C979">
        <v>12</v>
      </c>
      <c r="D979">
        <v>1460</v>
      </c>
      <c r="E979">
        <v>6688</v>
      </c>
      <c r="F979" t="s">
        <v>273</v>
      </c>
      <c r="G979" s="2" t="s">
        <v>156</v>
      </c>
      <c r="H979">
        <v>1</v>
      </c>
      <c r="I979">
        <v>917.29</v>
      </c>
      <c r="J979" s="2" t="s">
        <v>170</v>
      </c>
      <c r="K979" s="2" t="s">
        <v>74</v>
      </c>
      <c r="M979" t="s">
        <v>1999</v>
      </c>
      <c r="P979" s="19" t="s">
        <v>1573</v>
      </c>
      <c r="Q979" s="19" t="s">
        <v>27</v>
      </c>
      <c r="S979" s="19" t="s">
        <v>138</v>
      </c>
      <c r="V979" s="19" t="s">
        <v>138</v>
      </c>
      <c r="W979" s="20">
        <v>22</v>
      </c>
      <c r="X979" s="65" t="s">
        <v>1572</v>
      </c>
      <c r="Z979" t="s">
        <v>307</v>
      </c>
      <c r="AB979" t="s">
        <v>178</v>
      </c>
      <c r="AC979" t="s">
        <v>1589</v>
      </c>
      <c r="AD979" s="2" t="s">
        <v>1590</v>
      </c>
    </row>
    <row r="980" spans="1:30" hidden="1" x14ac:dyDescent="0.25">
      <c r="A980" s="2">
        <v>20</v>
      </c>
      <c r="B980" t="s">
        <v>1598</v>
      </c>
      <c r="C980">
        <v>12</v>
      </c>
      <c r="D980">
        <v>238</v>
      </c>
      <c r="E980">
        <v>1280</v>
      </c>
      <c r="F980" t="s">
        <v>273</v>
      </c>
      <c r="G980" s="2" t="s">
        <v>156</v>
      </c>
      <c r="H980">
        <v>1</v>
      </c>
      <c r="I980">
        <v>28.7</v>
      </c>
      <c r="J980" s="2" t="s">
        <v>170</v>
      </c>
      <c r="K980" s="2" t="s">
        <v>74</v>
      </c>
      <c r="M980" t="s">
        <v>1999</v>
      </c>
      <c r="P980" s="19" t="s">
        <v>1573</v>
      </c>
      <c r="S980" s="19" t="s">
        <v>138</v>
      </c>
      <c r="U980" s="19" t="s">
        <v>138</v>
      </c>
      <c r="W980" s="20">
        <v>22</v>
      </c>
      <c r="X980" s="65" t="s">
        <v>1572</v>
      </c>
      <c r="Z980" t="s">
        <v>307</v>
      </c>
      <c r="AB980" t="s">
        <v>178</v>
      </c>
      <c r="AC980" t="s">
        <v>1589</v>
      </c>
      <c r="AD980" s="2" t="s">
        <v>1590</v>
      </c>
    </row>
    <row r="981" spans="1:30" hidden="1" x14ac:dyDescent="0.25">
      <c r="A981" s="2">
        <v>21</v>
      </c>
      <c r="B981" t="s">
        <v>1599</v>
      </c>
      <c r="C981">
        <v>12</v>
      </c>
      <c r="D981">
        <v>238</v>
      </c>
      <c r="E981">
        <v>1280</v>
      </c>
      <c r="F981" t="s">
        <v>273</v>
      </c>
      <c r="G981" s="2" t="s">
        <v>156</v>
      </c>
      <c r="H981">
        <v>1</v>
      </c>
      <c r="I981">
        <v>28.7</v>
      </c>
      <c r="J981" s="2" t="s">
        <v>170</v>
      </c>
      <c r="K981" s="2" t="s">
        <v>74</v>
      </c>
      <c r="M981" t="s">
        <v>1999</v>
      </c>
      <c r="P981" s="19" t="s">
        <v>1573</v>
      </c>
      <c r="S981" s="19" t="s">
        <v>138</v>
      </c>
      <c r="U981" s="19" t="s">
        <v>138</v>
      </c>
      <c r="W981" s="20">
        <v>22</v>
      </c>
      <c r="X981" s="65" t="s">
        <v>1572</v>
      </c>
      <c r="Z981" t="s">
        <v>307</v>
      </c>
      <c r="AB981" t="s">
        <v>178</v>
      </c>
      <c r="AC981" t="s">
        <v>1589</v>
      </c>
      <c r="AD981" s="2" t="s">
        <v>1590</v>
      </c>
    </row>
    <row r="982" spans="1:30" hidden="1" x14ac:dyDescent="0.25">
      <c r="A982" s="2">
        <v>22</v>
      </c>
      <c r="B982" t="s">
        <v>1600</v>
      </c>
      <c r="C982">
        <v>12</v>
      </c>
      <c r="D982">
        <v>238</v>
      </c>
      <c r="E982">
        <v>1280</v>
      </c>
      <c r="F982" t="s">
        <v>273</v>
      </c>
      <c r="G982" s="2" t="s">
        <v>156</v>
      </c>
      <c r="H982">
        <v>1</v>
      </c>
      <c r="I982">
        <v>28.7</v>
      </c>
      <c r="J982" s="2" t="s">
        <v>170</v>
      </c>
      <c r="K982" s="2" t="s">
        <v>74</v>
      </c>
      <c r="M982" t="s">
        <v>1999</v>
      </c>
      <c r="P982" s="19" t="s">
        <v>1573</v>
      </c>
      <c r="S982" s="19" t="s">
        <v>138</v>
      </c>
      <c r="U982" s="19" t="s">
        <v>138</v>
      </c>
      <c r="W982" s="20">
        <v>22</v>
      </c>
      <c r="X982" s="65" t="s">
        <v>1572</v>
      </c>
      <c r="Z982" t="s">
        <v>307</v>
      </c>
      <c r="AB982" t="s">
        <v>178</v>
      </c>
      <c r="AC982" t="s">
        <v>1589</v>
      </c>
      <c r="AD982" s="2" t="s">
        <v>1590</v>
      </c>
    </row>
    <row r="983" spans="1:30" hidden="1" x14ac:dyDescent="0.25">
      <c r="A983" s="2">
        <v>23</v>
      </c>
      <c r="B983" t="s">
        <v>1601</v>
      </c>
      <c r="C983">
        <v>12</v>
      </c>
      <c r="D983">
        <v>238</v>
      </c>
      <c r="E983">
        <v>1280</v>
      </c>
      <c r="F983" t="s">
        <v>273</v>
      </c>
      <c r="G983" s="2" t="s">
        <v>156</v>
      </c>
      <c r="H983">
        <v>1</v>
      </c>
      <c r="I983">
        <v>28.7</v>
      </c>
      <c r="J983" s="2" t="s">
        <v>170</v>
      </c>
      <c r="K983" s="2" t="s">
        <v>74</v>
      </c>
      <c r="M983" t="s">
        <v>1999</v>
      </c>
      <c r="P983" s="19" t="s">
        <v>1573</v>
      </c>
      <c r="S983" s="19" t="s">
        <v>138</v>
      </c>
      <c r="U983" s="19" t="s">
        <v>138</v>
      </c>
      <c r="W983" s="20">
        <v>22</v>
      </c>
      <c r="X983" s="65" t="s">
        <v>1572</v>
      </c>
      <c r="Z983" t="s">
        <v>307</v>
      </c>
      <c r="AB983" t="s">
        <v>178</v>
      </c>
      <c r="AC983" t="s">
        <v>1589</v>
      </c>
      <c r="AD983" s="2" t="s">
        <v>1590</v>
      </c>
    </row>
    <row r="984" spans="1:30" hidden="1" x14ac:dyDescent="0.25">
      <c r="A984" s="2">
        <v>24</v>
      </c>
      <c r="B984" t="s">
        <v>1602</v>
      </c>
      <c r="C984">
        <v>12</v>
      </c>
      <c r="D984">
        <v>135</v>
      </c>
      <c r="E984">
        <v>488</v>
      </c>
      <c r="F984" t="s">
        <v>273</v>
      </c>
      <c r="G984" s="2" t="s">
        <v>156</v>
      </c>
      <c r="H984">
        <v>1</v>
      </c>
      <c r="I984">
        <v>6.19</v>
      </c>
      <c r="J984" s="2" t="s">
        <v>170</v>
      </c>
      <c r="K984" s="2" t="s">
        <v>74</v>
      </c>
      <c r="M984" t="s">
        <v>1999</v>
      </c>
      <c r="P984" s="19" t="s">
        <v>1573</v>
      </c>
      <c r="Q984" s="19" t="s">
        <v>25</v>
      </c>
      <c r="S984" s="19" t="s">
        <v>138</v>
      </c>
      <c r="W984" s="20">
        <v>22</v>
      </c>
      <c r="X984" s="65" t="s">
        <v>1572</v>
      </c>
      <c r="Z984" t="s">
        <v>307</v>
      </c>
      <c r="AB984" t="s">
        <v>178</v>
      </c>
      <c r="AC984" t="s">
        <v>1604</v>
      </c>
      <c r="AD984" s="2" t="s">
        <v>1605</v>
      </c>
    </row>
    <row r="985" spans="1:30" hidden="1" x14ac:dyDescent="0.25">
      <c r="A985" s="2">
        <v>25</v>
      </c>
      <c r="B985" t="s">
        <v>1607</v>
      </c>
      <c r="C985">
        <v>12</v>
      </c>
      <c r="D985">
        <v>116</v>
      </c>
      <c r="E985">
        <v>144</v>
      </c>
      <c r="F985" t="s">
        <v>273</v>
      </c>
      <c r="G985" s="2" t="s">
        <v>156</v>
      </c>
      <c r="H985">
        <v>2</v>
      </c>
      <c r="I985">
        <v>2.65</v>
      </c>
      <c r="J985" s="2" t="s">
        <v>170</v>
      </c>
      <c r="K985" s="2" t="s">
        <v>74</v>
      </c>
      <c r="M985" t="s">
        <v>1999</v>
      </c>
      <c r="P985" s="19" t="s">
        <v>1573</v>
      </c>
      <c r="Q985" s="19" t="s">
        <v>25</v>
      </c>
      <c r="S985" s="19" t="s">
        <v>138</v>
      </c>
      <c r="W985" s="20">
        <v>22</v>
      </c>
      <c r="X985" s="65" t="s">
        <v>1572</v>
      </c>
      <c r="Z985" t="s">
        <v>307</v>
      </c>
      <c r="AB985" t="s">
        <v>178</v>
      </c>
      <c r="AC985" t="s">
        <v>1604</v>
      </c>
      <c r="AD985" s="2" t="s">
        <v>1605</v>
      </c>
    </row>
    <row r="986" spans="1:30" hidden="1" x14ac:dyDescent="0.25">
      <c r="A986" s="2">
        <v>26</v>
      </c>
      <c r="B986" t="s">
        <v>1609</v>
      </c>
      <c r="C986">
        <v>12</v>
      </c>
      <c r="D986">
        <v>490</v>
      </c>
      <c r="E986">
        <v>6464</v>
      </c>
      <c r="F986" t="s">
        <v>273</v>
      </c>
      <c r="G986" s="2" t="s">
        <v>156</v>
      </c>
      <c r="H986">
        <v>1</v>
      </c>
      <c r="I986">
        <v>298.26</v>
      </c>
      <c r="J986" s="2" t="s">
        <v>170</v>
      </c>
      <c r="K986" s="2" t="s">
        <v>74</v>
      </c>
      <c r="M986" t="s">
        <v>1999</v>
      </c>
      <c r="P986" s="19" t="s">
        <v>1573</v>
      </c>
      <c r="Q986" s="19" t="s">
        <v>27</v>
      </c>
      <c r="S986" s="19" t="s">
        <v>138</v>
      </c>
      <c r="W986" s="20">
        <v>22</v>
      </c>
      <c r="X986" s="65" t="s">
        <v>1572</v>
      </c>
      <c r="Z986" t="s">
        <v>307</v>
      </c>
      <c r="AB986" t="s">
        <v>178</v>
      </c>
      <c r="AC986" t="s">
        <v>1604</v>
      </c>
      <c r="AD986" s="2" t="s">
        <v>1605</v>
      </c>
    </row>
    <row r="987" spans="1:30" hidden="1" x14ac:dyDescent="0.25">
      <c r="A987" s="2">
        <v>27</v>
      </c>
      <c r="B987" t="s">
        <v>1610</v>
      </c>
      <c r="C987">
        <v>12</v>
      </c>
      <c r="D987">
        <v>100</v>
      </c>
      <c r="E987">
        <v>150</v>
      </c>
      <c r="F987" t="s">
        <v>273</v>
      </c>
      <c r="G987" s="2" t="s">
        <v>156</v>
      </c>
      <c r="H987">
        <v>1</v>
      </c>
      <c r="I987">
        <v>1.41</v>
      </c>
      <c r="J987" s="2" t="s">
        <v>170</v>
      </c>
      <c r="K987" s="2" t="s">
        <v>74</v>
      </c>
      <c r="M987" t="s">
        <v>1999</v>
      </c>
      <c r="P987" s="19" t="s">
        <v>1573</v>
      </c>
      <c r="Q987" s="19" t="s">
        <v>25</v>
      </c>
      <c r="S987" s="19" t="s">
        <v>138</v>
      </c>
      <c r="W987" s="20">
        <v>22</v>
      </c>
      <c r="X987" s="65" t="s">
        <v>1572</v>
      </c>
      <c r="Z987" t="s">
        <v>307</v>
      </c>
      <c r="AB987" t="s">
        <v>178</v>
      </c>
      <c r="AC987" t="s">
        <v>1604</v>
      </c>
      <c r="AD987" s="2" t="s">
        <v>1605</v>
      </c>
    </row>
    <row r="988" spans="1:30" hidden="1" x14ac:dyDescent="0.25">
      <c r="A988" s="2">
        <v>28</v>
      </c>
      <c r="B988" t="s">
        <v>1611</v>
      </c>
      <c r="C988">
        <v>12</v>
      </c>
      <c r="D988">
        <v>100</v>
      </c>
      <c r="E988">
        <v>150</v>
      </c>
      <c r="F988" t="s">
        <v>273</v>
      </c>
      <c r="G988" s="2" t="s">
        <v>156</v>
      </c>
      <c r="H988">
        <v>1</v>
      </c>
      <c r="I988">
        <v>1.41</v>
      </c>
      <c r="J988" s="2" t="s">
        <v>170</v>
      </c>
      <c r="K988" s="2" t="s">
        <v>74</v>
      </c>
      <c r="M988" t="s">
        <v>1999</v>
      </c>
      <c r="P988" s="19" t="s">
        <v>1573</v>
      </c>
      <c r="Q988" s="19" t="s">
        <v>25</v>
      </c>
      <c r="S988" s="19" t="s">
        <v>138</v>
      </c>
      <c r="W988" s="20">
        <v>22</v>
      </c>
      <c r="X988" s="65" t="s">
        <v>1572</v>
      </c>
      <c r="Z988" t="s">
        <v>307</v>
      </c>
      <c r="AB988" t="s">
        <v>178</v>
      </c>
      <c r="AC988" t="s">
        <v>1604</v>
      </c>
      <c r="AD988" s="2" t="s">
        <v>1605</v>
      </c>
    </row>
    <row r="989" spans="1:30" hidden="1" x14ac:dyDescent="0.25">
      <c r="A989" s="2">
        <v>29</v>
      </c>
      <c r="B989" t="s">
        <v>1612</v>
      </c>
      <c r="C989">
        <v>12</v>
      </c>
      <c r="D989">
        <v>490</v>
      </c>
      <c r="E989">
        <v>1514</v>
      </c>
      <c r="F989" t="s">
        <v>273</v>
      </c>
      <c r="G989" s="2" t="s">
        <v>156</v>
      </c>
      <c r="H989">
        <v>1</v>
      </c>
      <c r="I989">
        <v>69.78</v>
      </c>
      <c r="J989" s="2" t="s">
        <v>170</v>
      </c>
      <c r="K989" s="2" t="s">
        <v>74</v>
      </c>
      <c r="M989" t="s">
        <v>1999</v>
      </c>
      <c r="P989" s="19" t="s">
        <v>1573</v>
      </c>
      <c r="Q989" s="19" t="s">
        <v>27</v>
      </c>
      <c r="S989" s="19" t="s">
        <v>138</v>
      </c>
      <c r="W989" s="20">
        <v>22</v>
      </c>
      <c r="X989" s="65" t="s">
        <v>1572</v>
      </c>
      <c r="Z989" t="s">
        <v>307</v>
      </c>
      <c r="AB989" t="s">
        <v>178</v>
      </c>
      <c r="AC989" t="s">
        <v>1604</v>
      </c>
      <c r="AD989" s="2" t="s">
        <v>1605</v>
      </c>
    </row>
    <row r="990" spans="1:30" hidden="1" x14ac:dyDescent="0.25">
      <c r="A990" s="2">
        <v>30</v>
      </c>
      <c r="B990" t="s">
        <v>1613</v>
      </c>
      <c r="C990">
        <v>12</v>
      </c>
      <c r="D990">
        <v>130</v>
      </c>
      <c r="E990">
        <v>1458</v>
      </c>
      <c r="F990" t="s">
        <v>273</v>
      </c>
      <c r="G990" s="2" t="s">
        <v>156</v>
      </c>
      <c r="H990">
        <v>1</v>
      </c>
      <c r="I990">
        <v>17.84</v>
      </c>
      <c r="J990" s="2" t="s">
        <v>170</v>
      </c>
      <c r="K990" s="2" t="s">
        <v>74</v>
      </c>
      <c r="M990" t="s">
        <v>1999</v>
      </c>
      <c r="P990" s="19" t="s">
        <v>1573</v>
      </c>
      <c r="Q990" s="19" t="s">
        <v>25</v>
      </c>
      <c r="S990" s="19" t="s">
        <v>138</v>
      </c>
      <c r="W990" s="20">
        <v>22</v>
      </c>
      <c r="X990" s="65" t="s">
        <v>1572</v>
      </c>
      <c r="Z990" t="s">
        <v>307</v>
      </c>
      <c r="AB990" t="s">
        <v>178</v>
      </c>
      <c r="AC990" t="s">
        <v>1604</v>
      </c>
      <c r="AD990" s="2" t="s">
        <v>1605</v>
      </c>
    </row>
    <row r="991" spans="1:30" hidden="1" x14ac:dyDescent="0.25">
      <c r="A991" s="2">
        <v>31</v>
      </c>
      <c r="B991" t="s">
        <v>1614</v>
      </c>
      <c r="C991">
        <v>12</v>
      </c>
      <c r="D991">
        <v>130</v>
      </c>
      <c r="E991">
        <v>663</v>
      </c>
      <c r="F991" t="s">
        <v>273</v>
      </c>
      <c r="G991" s="2" t="s">
        <v>156</v>
      </c>
      <c r="H991">
        <v>3</v>
      </c>
      <c r="I991">
        <v>24.33</v>
      </c>
      <c r="J991" s="2" t="s">
        <v>170</v>
      </c>
      <c r="K991" s="2" t="s">
        <v>74</v>
      </c>
      <c r="M991" t="s">
        <v>1999</v>
      </c>
      <c r="P991" s="19" t="s">
        <v>1573</v>
      </c>
      <c r="Q991" s="19" t="s">
        <v>25</v>
      </c>
      <c r="S991" s="19" t="s">
        <v>138</v>
      </c>
      <c r="W991" s="20">
        <v>22</v>
      </c>
      <c r="X991" s="65" t="s">
        <v>1572</v>
      </c>
      <c r="Z991" t="s">
        <v>307</v>
      </c>
      <c r="AB991" t="s">
        <v>178</v>
      </c>
      <c r="AC991" t="s">
        <v>1604</v>
      </c>
      <c r="AD991" s="2" t="s">
        <v>1605</v>
      </c>
    </row>
    <row r="992" spans="1:30" hidden="1" x14ac:dyDescent="0.25">
      <c r="A992" s="2">
        <v>32</v>
      </c>
      <c r="B992" t="s">
        <v>1615</v>
      </c>
      <c r="C992">
        <v>12</v>
      </c>
      <c r="D992">
        <v>95</v>
      </c>
      <c r="E992">
        <v>263</v>
      </c>
      <c r="F992" t="s">
        <v>273</v>
      </c>
      <c r="G992" s="2" t="s">
        <v>156</v>
      </c>
      <c r="H992">
        <v>7</v>
      </c>
      <c r="I992">
        <v>16.36</v>
      </c>
      <c r="J992" s="2" t="s">
        <v>170</v>
      </c>
      <c r="K992" s="2" t="s">
        <v>74</v>
      </c>
      <c r="M992" t="s">
        <v>1999</v>
      </c>
      <c r="P992" s="19" t="s">
        <v>1573</v>
      </c>
      <c r="Q992" s="19" t="s">
        <v>25</v>
      </c>
      <c r="S992" s="19" t="s">
        <v>138</v>
      </c>
      <c r="W992" s="20">
        <v>22</v>
      </c>
      <c r="X992" s="65" t="s">
        <v>1572</v>
      </c>
      <c r="Z992" t="s">
        <v>307</v>
      </c>
      <c r="AB992" t="s">
        <v>178</v>
      </c>
      <c r="AC992" t="s">
        <v>1604</v>
      </c>
      <c r="AD992" s="2" t="s">
        <v>1605</v>
      </c>
    </row>
    <row r="993" spans="1:30" hidden="1" x14ac:dyDescent="0.25">
      <c r="A993" s="2">
        <v>33</v>
      </c>
      <c r="B993" t="s">
        <v>1616</v>
      </c>
      <c r="C993">
        <v>12</v>
      </c>
      <c r="D993">
        <v>130</v>
      </c>
      <c r="E993">
        <v>1458</v>
      </c>
      <c r="F993" t="s">
        <v>273</v>
      </c>
      <c r="G993" s="2" t="s">
        <v>156</v>
      </c>
      <c r="H993">
        <v>1</v>
      </c>
      <c r="I993">
        <v>17.84</v>
      </c>
      <c r="J993" s="2" t="s">
        <v>170</v>
      </c>
      <c r="K993" s="2" t="s">
        <v>74</v>
      </c>
      <c r="M993" t="s">
        <v>1999</v>
      </c>
      <c r="P993" s="19" t="s">
        <v>1573</v>
      </c>
      <c r="Q993" s="19" t="s">
        <v>25</v>
      </c>
      <c r="S993" s="19" t="s">
        <v>138</v>
      </c>
      <c r="W993" s="20">
        <v>22</v>
      </c>
      <c r="X993" s="65" t="s">
        <v>1572</v>
      </c>
      <c r="Z993" t="s">
        <v>307</v>
      </c>
      <c r="AB993" t="s">
        <v>178</v>
      </c>
      <c r="AC993" t="s">
        <v>1604</v>
      </c>
      <c r="AD993" s="2" t="s">
        <v>1605</v>
      </c>
    </row>
    <row r="994" spans="1:30" hidden="1" x14ac:dyDescent="0.25">
      <c r="A994" s="2">
        <v>34</v>
      </c>
      <c r="B994" t="s">
        <v>1617</v>
      </c>
      <c r="C994">
        <v>12</v>
      </c>
      <c r="D994">
        <v>490</v>
      </c>
      <c r="E994">
        <v>6464</v>
      </c>
      <c r="F994" t="s">
        <v>273</v>
      </c>
      <c r="G994" s="2" t="s">
        <v>156</v>
      </c>
      <c r="H994">
        <v>1</v>
      </c>
      <c r="I994">
        <v>298.26</v>
      </c>
      <c r="J994" s="2" t="s">
        <v>170</v>
      </c>
      <c r="K994" s="2" t="s">
        <v>74</v>
      </c>
      <c r="M994" t="s">
        <v>1999</v>
      </c>
      <c r="P994" s="19" t="s">
        <v>1573</v>
      </c>
      <c r="Q994" s="19" t="s">
        <v>27</v>
      </c>
      <c r="S994" s="19" t="s">
        <v>138</v>
      </c>
      <c r="W994" s="20">
        <v>22</v>
      </c>
      <c r="X994" s="65" t="s">
        <v>1572</v>
      </c>
      <c r="Z994" t="s">
        <v>307</v>
      </c>
      <c r="AB994" t="s">
        <v>178</v>
      </c>
      <c r="AC994" t="s">
        <v>1604</v>
      </c>
      <c r="AD994" s="2" t="s">
        <v>1605</v>
      </c>
    </row>
    <row r="995" spans="1:30" hidden="1" x14ac:dyDescent="0.25">
      <c r="A995" s="2">
        <v>35</v>
      </c>
      <c r="B995" t="s">
        <v>1618</v>
      </c>
      <c r="C995">
        <v>12</v>
      </c>
      <c r="D995">
        <v>490</v>
      </c>
      <c r="E995">
        <v>6464</v>
      </c>
      <c r="F995" t="s">
        <v>273</v>
      </c>
      <c r="G995" s="2" t="s">
        <v>156</v>
      </c>
      <c r="H995">
        <v>1</v>
      </c>
      <c r="I995">
        <v>298.26</v>
      </c>
      <c r="J995" s="2" t="s">
        <v>170</v>
      </c>
      <c r="K995" s="2" t="s">
        <v>74</v>
      </c>
      <c r="M995" t="s">
        <v>1999</v>
      </c>
      <c r="P995" s="19" t="s">
        <v>1573</v>
      </c>
      <c r="Q995" s="19" t="s">
        <v>27</v>
      </c>
      <c r="S995" s="19" t="s">
        <v>138</v>
      </c>
      <c r="W995" s="20">
        <v>22</v>
      </c>
      <c r="X995" s="65" t="s">
        <v>1572</v>
      </c>
      <c r="Z995" t="s">
        <v>307</v>
      </c>
      <c r="AB995" t="s">
        <v>178</v>
      </c>
      <c r="AC995" t="s">
        <v>1604</v>
      </c>
      <c r="AD995" s="2" t="s">
        <v>1605</v>
      </c>
    </row>
    <row r="996" spans="1:30" hidden="1" x14ac:dyDescent="0.25">
      <c r="A996" s="2">
        <v>36</v>
      </c>
      <c r="B996" t="s">
        <v>1619</v>
      </c>
      <c r="C996">
        <v>12</v>
      </c>
      <c r="D996">
        <v>130</v>
      </c>
      <c r="E996">
        <v>1458</v>
      </c>
      <c r="F996" t="s">
        <v>273</v>
      </c>
      <c r="G996" s="2" t="s">
        <v>156</v>
      </c>
      <c r="H996">
        <v>1</v>
      </c>
      <c r="I996">
        <v>17.84</v>
      </c>
      <c r="J996" s="2" t="s">
        <v>170</v>
      </c>
      <c r="K996" s="2" t="s">
        <v>74</v>
      </c>
      <c r="M996" t="s">
        <v>1999</v>
      </c>
      <c r="P996" s="19" t="s">
        <v>1573</v>
      </c>
      <c r="Q996" s="19" t="s">
        <v>25</v>
      </c>
      <c r="S996" s="19" t="s">
        <v>138</v>
      </c>
      <c r="W996" s="20">
        <v>22</v>
      </c>
      <c r="X996" s="65" t="s">
        <v>1572</v>
      </c>
      <c r="Z996" t="s">
        <v>307</v>
      </c>
      <c r="AB996" t="s">
        <v>178</v>
      </c>
      <c r="AC996" t="s">
        <v>1604</v>
      </c>
      <c r="AD996" s="2" t="s">
        <v>1605</v>
      </c>
    </row>
    <row r="997" spans="1:30" hidden="1" x14ac:dyDescent="0.25">
      <c r="A997" s="2">
        <v>37</v>
      </c>
      <c r="B997" t="s">
        <v>1620</v>
      </c>
      <c r="C997">
        <v>12</v>
      </c>
      <c r="D997">
        <v>130</v>
      </c>
      <c r="E997">
        <v>1458</v>
      </c>
      <c r="F997" t="s">
        <v>273</v>
      </c>
      <c r="G997" s="2" t="s">
        <v>156</v>
      </c>
      <c r="H997">
        <v>1</v>
      </c>
      <c r="I997">
        <v>17.84</v>
      </c>
      <c r="J997" s="2" t="s">
        <v>170</v>
      </c>
      <c r="K997" s="2" t="s">
        <v>74</v>
      </c>
      <c r="M997" t="s">
        <v>1999</v>
      </c>
      <c r="P997" s="19" t="s">
        <v>1573</v>
      </c>
      <c r="Q997" s="19" t="s">
        <v>25</v>
      </c>
      <c r="S997" s="19" t="s">
        <v>138</v>
      </c>
      <c r="W997" s="20">
        <v>22</v>
      </c>
      <c r="X997" s="65" t="s">
        <v>1572</v>
      </c>
      <c r="Z997" t="s">
        <v>307</v>
      </c>
      <c r="AB997" t="s">
        <v>178</v>
      </c>
      <c r="AC997" t="s">
        <v>1604</v>
      </c>
      <c r="AD997" s="2" t="s">
        <v>1605</v>
      </c>
    </row>
    <row r="998" spans="1:30" hidden="1" x14ac:dyDescent="0.25">
      <c r="A998" s="2">
        <v>38</v>
      </c>
      <c r="B998" t="s">
        <v>1621</v>
      </c>
      <c r="C998">
        <v>12</v>
      </c>
      <c r="D998">
        <v>130</v>
      </c>
      <c r="E998">
        <v>263</v>
      </c>
      <c r="F998" t="s">
        <v>273</v>
      </c>
      <c r="G998" s="2" t="s">
        <v>156</v>
      </c>
      <c r="H998">
        <v>1</v>
      </c>
      <c r="I998">
        <v>3.21</v>
      </c>
      <c r="J998" s="2" t="s">
        <v>170</v>
      </c>
      <c r="K998" s="2" t="s">
        <v>74</v>
      </c>
      <c r="M998" t="s">
        <v>1999</v>
      </c>
      <c r="P998" s="19" t="s">
        <v>1573</v>
      </c>
      <c r="Q998" s="19" t="s">
        <v>25</v>
      </c>
      <c r="S998" s="19" t="s">
        <v>138</v>
      </c>
      <c r="W998" s="20">
        <v>22</v>
      </c>
      <c r="X998" s="65" t="s">
        <v>1572</v>
      </c>
      <c r="Z998" t="s">
        <v>307</v>
      </c>
      <c r="AB998" t="s">
        <v>178</v>
      </c>
      <c r="AC998" t="s">
        <v>1604</v>
      </c>
      <c r="AD998" s="2" t="s">
        <v>1605</v>
      </c>
    </row>
    <row r="999" spans="1:30" hidden="1" x14ac:dyDescent="0.25">
      <c r="A999" s="2">
        <v>39</v>
      </c>
      <c r="B999" t="s">
        <v>1622</v>
      </c>
      <c r="C999">
        <v>12</v>
      </c>
      <c r="D999">
        <v>238</v>
      </c>
      <c r="E999">
        <v>1280</v>
      </c>
      <c r="F999" t="s">
        <v>273</v>
      </c>
      <c r="G999" s="2" t="s">
        <v>156</v>
      </c>
      <c r="H999">
        <v>1</v>
      </c>
      <c r="I999">
        <v>28.7</v>
      </c>
      <c r="J999" s="2" t="s">
        <v>170</v>
      </c>
      <c r="K999" s="2" t="s">
        <v>74</v>
      </c>
      <c r="M999" t="s">
        <v>1999</v>
      </c>
      <c r="P999" s="19" t="s">
        <v>1573</v>
      </c>
      <c r="S999" s="19" t="s">
        <v>138</v>
      </c>
      <c r="U999" s="19" t="s">
        <v>138</v>
      </c>
      <c r="W999" s="20">
        <v>22</v>
      </c>
      <c r="X999" s="65" t="s">
        <v>1572</v>
      </c>
      <c r="Z999" t="s">
        <v>307</v>
      </c>
      <c r="AB999" t="s">
        <v>178</v>
      </c>
      <c r="AC999" t="s">
        <v>1604</v>
      </c>
      <c r="AD999" s="2" t="s">
        <v>1605</v>
      </c>
    </row>
    <row r="1000" spans="1:30" hidden="1" x14ac:dyDescent="0.25">
      <c r="A1000" s="2">
        <v>40</v>
      </c>
      <c r="B1000" t="s">
        <v>1623</v>
      </c>
      <c r="C1000">
        <v>12</v>
      </c>
      <c r="D1000">
        <v>238</v>
      </c>
      <c r="E1000">
        <v>1280</v>
      </c>
      <c r="F1000" t="s">
        <v>273</v>
      </c>
      <c r="G1000" s="2" t="s">
        <v>156</v>
      </c>
      <c r="H1000">
        <v>1</v>
      </c>
      <c r="I1000">
        <v>28.7</v>
      </c>
      <c r="J1000" s="2" t="s">
        <v>170</v>
      </c>
      <c r="K1000" s="2" t="s">
        <v>74</v>
      </c>
      <c r="M1000" t="s">
        <v>1999</v>
      </c>
      <c r="P1000" s="19" t="s">
        <v>1573</v>
      </c>
      <c r="S1000" s="19" t="s">
        <v>138</v>
      </c>
      <c r="U1000" s="19" t="s">
        <v>138</v>
      </c>
      <c r="W1000" s="20">
        <v>22</v>
      </c>
      <c r="X1000" s="65" t="s">
        <v>1572</v>
      </c>
      <c r="Z1000" t="s">
        <v>307</v>
      </c>
      <c r="AB1000" t="s">
        <v>178</v>
      </c>
      <c r="AC1000" t="s">
        <v>1604</v>
      </c>
      <c r="AD1000" s="2" t="s">
        <v>1605</v>
      </c>
    </row>
    <row r="1001" spans="1:30" hidden="1" x14ac:dyDescent="0.25">
      <c r="A1001" s="2">
        <v>41</v>
      </c>
      <c r="B1001" t="s">
        <v>1624</v>
      </c>
      <c r="C1001">
        <v>12</v>
      </c>
      <c r="D1001">
        <v>238</v>
      </c>
      <c r="E1001">
        <v>1280</v>
      </c>
      <c r="F1001" t="s">
        <v>273</v>
      </c>
      <c r="G1001" s="2" t="s">
        <v>156</v>
      </c>
      <c r="H1001">
        <v>1</v>
      </c>
      <c r="I1001">
        <v>28.7</v>
      </c>
      <c r="J1001" s="2" t="s">
        <v>170</v>
      </c>
      <c r="K1001" s="2" t="s">
        <v>74</v>
      </c>
      <c r="M1001" t="s">
        <v>1999</v>
      </c>
      <c r="P1001" s="19" t="s">
        <v>1573</v>
      </c>
      <c r="S1001" s="19" t="s">
        <v>138</v>
      </c>
      <c r="U1001" s="19" t="s">
        <v>138</v>
      </c>
      <c r="W1001" s="20">
        <v>22</v>
      </c>
      <c r="X1001" s="65" t="s">
        <v>1572</v>
      </c>
      <c r="Z1001" t="s">
        <v>307</v>
      </c>
      <c r="AB1001" t="s">
        <v>178</v>
      </c>
      <c r="AC1001" t="s">
        <v>1604</v>
      </c>
      <c r="AD1001" s="2" t="s">
        <v>1605</v>
      </c>
    </row>
    <row r="1002" spans="1:30" hidden="1" x14ac:dyDescent="0.25">
      <c r="A1002" s="2">
        <v>42</v>
      </c>
      <c r="B1002" t="s">
        <v>1625</v>
      </c>
      <c r="C1002">
        <v>12</v>
      </c>
      <c r="D1002">
        <v>238</v>
      </c>
      <c r="E1002">
        <v>1280</v>
      </c>
      <c r="F1002" t="s">
        <v>273</v>
      </c>
      <c r="G1002" s="2" t="s">
        <v>156</v>
      </c>
      <c r="H1002">
        <v>1</v>
      </c>
      <c r="I1002">
        <v>28.7</v>
      </c>
      <c r="J1002" s="2" t="s">
        <v>170</v>
      </c>
      <c r="K1002" s="2" t="s">
        <v>74</v>
      </c>
      <c r="M1002" t="s">
        <v>1999</v>
      </c>
      <c r="P1002" s="19" t="s">
        <v>1573</v>
      </c>
      <c r="S1002" s="19" t="s">
        <v>138</v>
      </c>
      <c r="U1002" s="19" t="s">
        <v>138</v>
      </c>
      <c r="W1002" s="20">
        <v>22</v>
      </c>
      <c r="X1002" s="65" t="s">
        <v>1572</v>
      </c>
      <c r="Z1002" t="s">
        <v>307</v>
      </c>
      <c r="AB1002" t="s">
        <v>178</v>
      </c>
      <c r="AC1002" t="s">
        <v>1604</v>
      </c>
      <c r="AD1002" s="2" t="s">
        <v>1605</v>
      </c>
    </row>
    <row r="1003" spans="1:30" hidden="1" x14ac:dyDescent="0.25">
      <c r="A1003" s="2">
        <v>43</v>
      </c>
      <c r="B1003" t="s">
        <v>1626</v>
      </c>
      <c r="C1003">
        <v>12</v>
      </c>
      <c r="D1003">
        <v>238</v>
      </c>
      <c r="E1003">
        <v>1280</v>
      </c>
      <c r="F1003" t="s">
        <v>273</v>
      </c>
      <c r="G1003" s="2" t="s">
        <v>156</v>
      </c>
      <c r="H1003">
        <v>1</v>
      </c>
      <c r="I1003">
        <v>28.7</v>
      </c>
      <c r="J1003" s="2" t="s">
        <v>170</v>
      </c>
      <c r="K1003" s="2" t="s">
        <v>74</v>
      </c>
      <c r="M1003" t="s">
        <v>1999</v>
      </c>
      <c r="P1003" s="19" t="s">
        <v>1573</v>
      </c>
      <c r="S1003" s="19" t="s">
        <v>138</v>
      </c>
      <c r="U1003" s="19" t="s">
        <v>138</v>
      </c>
      <c r="W1003" s="20">
        <v>22</v>
      </c>
      <c r="X1003" s="65" t="s">
        <v>1572</v>
      </c>
      <c r="Z1003" t="s">
        <v>307</v>
      </c>
      <c r="AB1003" t="s">
        <v>178</v>
      </c>
      <c r="AC1003" t="s">
        <v>1604</v>
      </c>
      <c r="AD1003" s="2" t="s">
        <v>1605</v>
      </c>
    </row>
    <row r="1004" spans="1:30" hidden="1" x14ac:dyDescent="0.25">
      <c r="A1004" s="2">
        <v>44</v>
      </c>
      <c r="B1004" t="s">
        <v>1627</v>
      </c>
      <c r="C1004">
        <v>12</v>
      </c>
      <c r="D1004">
        <v>95</v>
      </c>
      <c r="E1004">
        <v>263</v>
      </c>
      <c r="F1004" t="s">
        <v>273</v>
      </c>
      <c r="G1004" s="2" t="s">
        <v>156</v>
      </c>
      <c r="H1004">
        <v>2</v>
      </c>
      <c r="I1004">
        <v>4.68</v>
      </c>
      <c r="J1004" s="2" t="s">
        <v>170</v>
      </c>
      <c r="K1004" s="2" t="s">
        <v>74</v>
      </c>
      <c r="M1004" t="s">
        <v>1999</v>
      </c>
      <c r="P1004" s="19" t="s">
        <v>1573</v>
      </c>
      <c r="Q1004" s="19" t="s">
        <v>25</v>
      </c>
      <c r="S1004" s="19" t="s">
        <v>138</v>
      </c>
      <c r="W1004" s="20">
        <v>22</v>
      </c>
      <c r="X1004" s="65" t="s">
        <v>1572</v>
      </c>
      <c r="Z1004" t="s">
        <v>307</v>
      </c>
      <c r="AB1004" t="s">
        <v>178</v>
      </c>
      <c r="AC1004" t="s">
        <v>1629</v>
      </c>
      <c r="AD1004" s="2" t="s">
        <v>1630</v>
      </c>
    </row>
    <row r="1005" spans="1:30" hidden="1" x14ac:dyDescent="0.25">
      <c r="A1005" s="2">
        <v>45</v>
      </c>
      <c r="B1005" t="s">
        <v>1632</v>
      </c>
      <c r="C1005">
        <v>12</v>
      </c>
      <c r="D1005">
        <v>130</v>
      </c>
      <c r="E1005">
        <v>263</v>
      </c>
      <c r="F1005" t="s">
        <v>273</v>
      </c>
      <c r="G1005" s="2" t="s">
        <v>156</v>
      </c>
      <c r="H1005">
        <v>1</v>
      </c>
      <c r="I1005">
        <v>3.21</v>
      </c>
      <c r="J1005" s="2" t="s">
        <v>170</v>
      </c>
      <c r="K1005" s="2" t="s">
        <v>74</v>
      </c>
      <c r="M1005" t="s">
        <v>1999</v>
      </c>
      <c r="P1005" s="19" t="s">
        <v>1573</v>
      </c>
      <c r="Q1005" s="19" t="s">
        <v>25</v>
      </c>
      <c r="S1005" s="19" t="s">
        <v>138</v>
      </c>
      <c r="W1005" s="20">
        <v>22</v>
      </c>
      <c r="X1005" s="65" t="s">
        <v>1572</v>
      </c>
      <c r="Z1005" t="s">
        <v>307</v>
      </c>
      <c r="AB1005" t="s">
        <v>178</v>
      </c>
      <c r="AC1005" t="s">
        <v>1629</v>
      </c>
      <c r="AD1005" s="2" t="s">
        <v>1630</v>
      </c>
    </row>
    <row r="1006" spans="1:30" hidden="1" x14ac:dyDescent="0.25">
      <c r="A1006" s="2">
        <v>46</v>
      </c>
      <c r="B1006" t="s">
        <v>1615</v>
      </c>
      <c r="C1006">
        <v>12</v>
      </c>
      <c r="D1006">
        <v>95</v>
      </c>
      <c r="E1006">
        <v>263</v>
      </c>
      <c r="F1006" t="s">
        <v>273</v>
      </c>
      <c r="G1006" s="2" t="s">
        <v>156</v>
      </c>
      <c r="H1006">
        <v>1</v>
      </c>
      <c r="I1006">
        <v>2.34</v>
      </c>
      <c r="J1006" s="2" t="s">
        <v>170</v>
      </c>
      <c r="K1006" s="2" t="s">
        <v>74</v>
      </c>
      <c r="M1006" t="s">
        <v>1999</v>
      </c>
      <c r="P1006" s="19" t="s">
        <v>1573</v>
      </c>
      <c r="Q1006" s="19" t="s">
        <v>25</v>
      </c>
      <c r="S1006" s="19" t="s">
        <v>138</v>
      </c>
      <c r="W1006" s="20">
        <v>22</v>
      </c>
      <c r="X1006" s="65" t="s">
        <v>1572</v>
      </c>
      <c r="Z1006" t="s">
        <v>307</v>
      </c>
      <c r="AB1006" t="s">
        <v>178</v>
      </c>
      <c r="AC1006" t="s">
        <v>1629</v>
      </c>
      <c r="AD1006" s="2" t="s">
        <v>1630</v>
      </c>
    </row>
    <row r="1007" spans="1:30" hidden="1" x14ac:dyDescent="0.25">
      <c r="A1007" s="2">
        <v>47</v>
      </c>
      <c r="B1007" t="s">
        <v>1633</v>
      </c>
      <c r="C1007">
        <v>12</v>
      </c>
      <c r="D1007">
        <v>490</v>
      </c>
      <c r="E1007">
        <v>1388</v>
      </c>
      <c r="F1007" t="s">
        <v>273</v>
      </c>
      <c r="G1007" s="2" t="s">
        <v>156</v>
      </c>
      <c r="H1007">
        <v>1</v>
      </c>
      <c r="I1007">
        <v>63.63</v>
      </c>
      <c r="J1007" s="2" t="s">
        <v>170</v>
      </c>
      <c r="K1007" s="2" t="s">
        <v>74</v>
      </c>
      <c r="M1007" t="s">
        <v>1999</v>
      </c>
      <c r="P1007" s="19" t="s">
        <v>1573</v>
      </c>
      <c r="Q1007" s="19" t="s">
        <v>27</v>
      </c>
      <c r="S1007" s="19" t="s">
        <v>138</v>
      </c>
      <c r="W1007" s="20">
        <v>22</v>
      </c>
      <c r="X1007" s="65" t="s">
        <v>1572</v>
      </c>
      <c r="Z1007" t="s">
        <v>307</v>
      </c>
      <c r="AB1007" t="s">
        <v>178</v>
      </c>
      <c r="AC1007" t="s">
        <v>1629</v>
      </c>
      <c r="AD1007" s="2" t="s">
        <v>1630</v>
      </c>
    </row>
    <row r="1008" spans="1:30" hidden="1" x14ac:dyDescent="0.25">
      <c r="A1008" s="2">
        <v>48</v>
      </c>
      <c r="B1008" t="s">
        <v>1634</v>
      </c>
      <c r="C1008">
        <v>12</v>
      </c>
      <c r="D1008">
        <v>490</v>
      </c>
      <c r="E1008">
        <v>1388</v>
      </c>
      <c r="F1008" t="s">
        <v>273</v>
      </c>
      <c r="G1008" s="2" t="s">
        <v>156</v>
      </c>
      <c r="H1008">
        <v>1</v>
      </c>
      <c r="I1008">
        <v>63.63</v>
      </c>
      <c r="J1008" s="2" t="s">
        <v>170</v>
      </c>
      <c r="K1008" s="2" t="s">
        <v>74</v>
      </c>
      <c r="M1008" t="s">
        <v>1999</v>
      </c>
      <c r="P1008" s="19" t="s">
        <v>1573</v>
      </c>
      <c r="Q1008" s="19" t="s">
        <v>27</v>
      </c>
      <c r="S1008" s="19" t="s">
        <v>138</v>
      </c>
      <c r="W1008" s="20">
        <v>22</v>
      </c>
      <c r="X1008" s="65" t="s">
        <v>1572</v>
      </c>
      <c r="Z1008" t="s">
        <v>307</v>
      </c>
      <c r="AB1008" t="s">
        <v>178</v>
      </c>
      <c r="AC1008" t="s">
        <v>1629</v>
      </c>
      <c r="AD1008" s="2" t="s">
        <v>1630</v>
      </c>
    </row>
    <row r="1009" spans="1:30" hidden="1" x14ac:dyDescent="0.25">
      <c r="A1009" s="2">
        <v>49</v>
      </c>
      <c r="B1009" t="s">
        <v>1635</v>
      </c>
      <c r="C1009">
        <v>12</v>
      </c>
      <c r="D1009">
        <v>490</v>
      </c>
      <c r="E1009">
        <v>1388</v>
      </c>
      <c r="F1009" t="s">
        <v>273</v>
      </c>
      <c r="G1009" s="2" t="s">
        <v>156</v>
      </c>
      <c r="H1009">
        <v>1</v>
      </c>
      <c r="I1009">
        <v>63.63</v>
      </c>
      <c r="J1009" s="2" t="s">
        <v>170</v>
      </c>
      <c r="K1009" s="2" t="s">
        <v>74</v>
      </c>
      <c r="M1009" t="s">
        <v>1999</v>
      </c>
      <c r="P1009" s="19" t="s">
        <v>1573</v>
      </c>
      <c r="Q1009" s="19" t="s">
        <v>27</v>
      </c>
      <c r="S1009" s="19" t="s">
        <v>138</v>
      </c>
      <c r="W1009" s="20">
        <v>22</v>
      </c>
      <c r="X1009" s="65" t="s">
        <v>1572</v>
      </c>
      <c r="Z1009" t="s">
        <v>307</v>
      </c>
      <c r="AB1009" t="s">
        <v>178</v>
      </c>
      <c r="AC1009" t="s">
        <v>1629</v>
      </c>
      <c r="AD1009" s="2" t="s">
        <v>1630</v>
      </c>
    </row>
    <row r="1010" spans="1:30" hidden="1" x14ac:dyDescent="0.25">
      <c r="A1010" s="2">
        <v>50</v>
      </c>
      <c r="B1010" t="s">
        <v>1636</v>
      </c>
      <c r="C1010">
        <v>12</v>
      </c>
      <c r="D1010">
        <v>490</v>
      </c>
      <c r="E1010">
        <v>1388</v>
      </c>
      <c r="F1010" t="s">
        <v>273</v>
      </c>
      <c r="G1010" s="2" t="s">
        <v>156</v>
      </c>
      <c r="H1010">
        <v>1</v>
      </c>
      <c r="I1010">
        <v>63.63</v>
      </c>
      <c r="J1010" s="2" t="s">
        <v>170</v>
      </c>
      <c r="K1010" s="2" t="s">
        <v>74</v>
      </c>
      <c r="M1010" t="s">
        <v>1999</v>
      </c>
      <c r="P1010" s="19" t="s">
        <v>1573</v>
      </c>
      <c r="Q1010" s="19" t="s">
        <v>27</v>
      </c>
      <c r="S1010" s="19" t="s">
        <v>138</v>
      </c>
      <c r="W1010" s="20">
        <v>22</v>
      </c>
      <c r="X1010" s="65" t="s">
        <v>1572</v>
      </c>
      <c r="Z1010" t="s">
        <v>307</v>
      </c>
      <c r="AB1010" t="s">
        <v>178</v>
      </c>
      <c r="AC1010" t="s">
        <v>1629</v>
      </c>
      <c r="AD1010" s="2" t="s">
        <v>1630</v>
      </c>
    </row>
    <row r="1011" spans="1:30" hidden="1" x14ac:dyDescent="0.25">
      <c r="A1011" s="2">
        <v>51</v>
      </c>
      <c r="B1011" t="s">
        <v>1637</v>
      </c>
      <c r="C1011">
        <v>12</v>
      </c>
      <c r="D1011">
        <v>238</v>
      </c>
      <c r="E1011">
        <v>1280</v>
      </c>
      <c r="F1011" t="s">
        <v>273</v>
      </c>
      <c r="G1011" s="2" t="s">
        <v>156</v>
      </c>
      <c r="H1011">
        <v>1</v>
      </c>
      <c r="I1011">
        <v>28.7</v>
      </c>
      <c r="J1011" s="2" t="s">
        <v>170</v>
      </c>
      <c r="K1011" s="2" t="s">
        <v>74</v>
      </c>
      <c r="M1011" t="s">
        <v>1999</v>
      </c>
      <c r="P1011" s="19" t="s">
        <v>1573</v>
      </c>
      <c r="S1011" s="19" t="s">
        <v>138</v>
      </c>
      <c r="U1011" s="19" t="s">
        <v>138</v>
      </c>
      <c r="W1011" s="20">
        <v>22</v>
      </c>
      <c r="X1011" s="65" t="s">
        <v>1572</v>
      </c>
      <c r="Z1011" t="s">
        <v>307</v>
      </c>
      <c r="AB1011" t="s">
        <v>178</v>
      </c>
      <c r="AC1011" t="s">
        <v>1629</v>
      </c>
      <c r="AD1011" s="2" t="s">
        <v>1630</v>
      </c>
    </row>
    <row r="1012" spans="1:30" hidden="1" x14ac:dyDescent="0.25">
      <c r="A1012" s="2">
        <v>52</v>
      </c>
      <c r="B1012" t="s">
        <v>1638</v>
      </c>
      <c r="C1012">
        <v>12</v>
      </c>
      <c r="D1012">
        <v>238</v>
      </c>
      <c r="E1012">
        <v>1280</v>
      </c>
      <c r="F1012" t="s">
        <v>273</v>
      </c>
      <c r="G1012" s="2" t="s">
        <v>156</v>
      </c>
      <c r="H1012">
        <v>1</v>
      </c>
      <c r="I1012">
        <v>28.7</v>
      </c>
      <c r="J1012" s="2" t="s">
        <v>170</v>
      </c>
      <c r="K1012" s="2" t="s">
        <v>74</v>
      </c>
      <c r="M1012" t="s">
        <v>1999</v>
      </c>
      <c r="P1012" s="19" t="s">
        <v>1573</v>
      </c>
      <c r="S1012" s="19" t="s">
        <v>138</v>
      </c>
      <c r="U1012" s="19" t="s">
        <v>138</v>
      </c>
      <c r="W1012" s="20">
        <v>22</v>
      </c>
      <c r="X1012" s="65" t="s">
        <v>1572</v>
      </c>
      <c r="Z1012" t="s">
        <v>307</v>
      </c>
      <c r="AB1012" t="s">
        <v>178</v>
      </c>
      <c r="AC1012" t="s">
        <v>1629</v>
      </c>
      <c r="AD1012" s="2" t="s">
        <v>1630</v>
      </c>
    </row>
    <row r="1013" spans="1:30" hidden="1" x14ac:dyDescent="0.25">
      <c r="A1013" s="2">
        <v>53</v>
      </c>
      <c r="B1013" t="s">
        <v>1639</v>
      </c>
      <c r="C1013">
        <v>12</v>
      </c>
      <c r="D1013">
        <v>238</v>
      </c>
      <c r="E1013">
        <v>1280</v>
      </c>
      <c r="F1013" t="s">
        <v>273</v>
      </c>
      <c r="G1013" s="2" t="s">
        <v>156</v>
      </c>
      <c r="H1013">
        <v>1</v>
      </c>
      <c r="I1013">
        <v>28.7</v>
      </c>
      <c r="J1013" s="2" t="s">
        <v>170</v>
      </c>
      <c r="K1013" s="2" t="s">
        <v>74</v>
      </c>
      <c r="M1013" t="s">
        <v>1999</v>
      </c>
      <c r="P1013" s="19" t="s">
        <v>1573</v>
      </c>
      <c r="S1013" s="19" t="s">
        <v>138</v>
      </c>
      <c r="U1013" s="19" t="s">
        <v>138</v>
      </c>
      <c r="W1013" s="20">
        <v>22</v>
      </c>
      <c r="X1013" s="65" t="s">
        <v>1572</v>
      </c>
      <c r="Z1013" t="s">
        <v>307</v>
      </c>
      <c r="AB1013" t="s">
        <v>178</v>
      </c>
      <c r="AC1013" t="s">
        <v>1629</v>
      </c>
      <c r="AD1013" s="2" t="s">
        <v>1630</v>
      </c>
    </row>
    <row r="1014" spans="1:30" hidden="1" x14ac:dyDescent="0.25">
      <c r="A1014" s="2">
        <v>54</v>
      </c>
      <c r="B1014" t="s">
        <v>1640</v>
      </c>
      <c r="C1014">
        <v>12</v>
      </c>
      <c r="D1014">
        <v>238</v>
      </c>
      <c r="E1014">
        <v>1280</v>
      </c>
      <c r="F1014" t="s">
        <v>273</v>
      </c>
      <c r="G1014" s="2" t="s">
        <v>156</v>
      </c>
      <c r="H1014">
        <v>1</v>
      </c>
      <c r="I1014">
        <v>28.7</v>
      </c>
      <c r="J1014" s="2" t="s">
        <v>170</v>
      </c>
      <c r="K1014" s="2" t="s">
        <v>74</v>
      </c>
      <c r="M1014" t="s">
        <v>1999</v>
      </c>
      <c r="P1014" s="19" t="s">
        <v>1573</v>
      </c>
      <c r="S1014" s="19" t="s">
        <v>138</v>
      </c>
      <c r="U1014" s="19" t="s">
        <v>138</v>
      </c>
      <c r="W1014" s="20">
        <v>22</v>
      </c>
      <c r="X1014" s="65" t="s">
        <v>1572</v>
      </c>
      <c r="Z1014" t="s">
        <v>307</v>
      </c>
      <c r="AB1014" t="s">
        <v>178</v>
      </c>
      <c r="AC1014" t="s">
        <v>1629</v>
      </c>
      <c r="AD1014" s="2" t="s">
        <v>1630</v>
      </c>
    </row>
    <row r="1015" spans="1:30" hidden="1" x14ac:dyDescent="0.25">
      <c r="A1015" s="2">
        <v>55</v>
      </c>
      <c r="B1015" t="s">
        <v>1602</v>
      </c>
      <c r="C1015">
        <v>12</v>
      </c>
      <c r="D1015">
        <v>135</v>
      </c>
      <c r="E1015">
        <v>488</v>
      </c>
      <c r="F1015" t="s">
        <v>273</v>
      </c>
      <c r="G1015" s="2" t="s">
        <v>156</v>
      </c>
      <c r="H1015">
        <v>11</v>
      </c>
      <c r="I1015">
        <v>68.09</v>
      </c>
      <c r="J1015" s="2" t="s">
        <v>170</v>
      </c>
      <c r="K1015" s="2" t="s">
        <v>74</v>
      </c>
      <c r="M1015" t="s">
        <v>1999</v>
      </c>
      <c r="P1015" s="19" t="s">
        <v>1573</v>
      </c>
      <c r="Q1015" s="19" t="s">
        <v>25</v>
      </c>
      <c r="S1015" s="19" t="s">
        <v>138</v>
      </c>
      <c r="W1015" s="20">
        <v>22</v>
      </c>
      <c r="X1015" s="65" t="s">
        <v>1572</v>
      </c>
      <c r="Z1015" t="s">
        <v>307</v>
      </c>
      <c r="AB1015" t="s">
        <v>178</v>
      </c>
      <c r="AC1015" t="s">
        <v>1641</v>
      </c>
      <c r="AD1015" s="2" t="s">
        <v>1642</v>
      </c>
    </row>
    <row r="1016" spans="1:30" hidden="1" x14ac:dyDescent="0.25">
      <c r="A1016" s="2">
        <v>56</v>
      </c>
      <c r="B1016" t="s">
        <v>1607</v>
      </c>
      <c r="C1016">
        <v>12</v>
      </c>
      <c r="D1016">
        <v>116</v>
      </c>
      <c r="E1016">
        <v>144</v>
      </c>
      <c r="F1016" t="s">
        <v>273</v>
      </c>
      <c r="G1016" s="2" t="s">
        <v>156</v>
      </c>
      <c r="H1016">
        <v>2</v>
      </c>
      <c r="I1016">
        <v>2.65</v>
      </c>
      <c r="J1016" s="2" t="s">
        <v>170</v>
      </c>
      <c r="K1016" s="2" t="s">
        <v>74</v>
      </c>
      <c r="M1016" t="s">
        <v>1999</v>
      </c>
      <c r="P1016" s="19" t="s">
        <v>1573</v>
      </c>
      <c r="Q1016" s="19" t="s">
        <v>25</v>
      </c>
      <c r="S1016" s="19" t="s">
        <v>138</v>
      </c>
      <c r="W1016" s="20">
        <v>22</v>
      </c>
      <c r="X1016" s="65" t="s">
        <v>1572</v>
      </c>
      <c r="Z1016" t="s">
        <v>307</v>
      </c>
      <c r="AB1016" t="s">
        <v>178</v>
      </c>
      <c r="AC1016" t="s">
        <v>1641</v>
      </c>
      <c r="AD1016" s="2" t="s">
        <v>1642</v>
      </c>
    </row>
    <row r="1017" spans="1:30" hidden="1" x14ac:dyDescent="0.25">
      <c r="A1017" s="2">
        <v>57</v>
      </c>
      <c r="B1017" t="s">
        <v>1644</v>
      </c>
      <c r="C1017">
        <v>12</v>
      </c>
      <c r="D1017">
        <v>135</v>
      </c>
      <c r="E1017">
        <v>488</v>
      </c>
      <c r="F1017" t="s">
        <v>273</v>
      </c>
      <c r="G1017" s="2" t="s">
        <v>156</v>
      </c>
      <c r="H1017">
        <v>12</v>
      </c>
      <c r="I1017">
        <v>74.28</v>
      </c>
      <c r="J1017" s="2" t="s">
        <v>170</v>
      </c>
      <c r="K1017" s="2" t="s">
        <v>74</v>
      </c>
      <c r="M1017" t="s">
        <v>1999</v>
      </c>
      <c r="P1017" s="19" t="s">
        <v>1573</v>
      </c>
      <c r="Q1017" s="19" t="s">
        <v>25</v>
      </c>
      <c r="S1017" s="19" t="s">
        <v>138</v>
      </c>
      <c r="W1017" s="20">
        <v>22</v>
      </c>
      <c r="X1017" s="65" t="s">
        <v>1572</v>
      </c>
      <c r="Z1017" t="s">
        <v>307</v>
      </c>
      <c r="AB1017" t="s">
        <v>178</v>
      </c>
      <c r="AC1017" t="s">
        <v>1641</v>
      </c>
      <c r="AD1017" s="2" t="s">
        <v>1642</v>
      </c>
    </row>
    <row r="1018" spans="1:30" hidden="1" x14ac:dyDescent="0.25">
      <c r="A1018" s="2">
        <v>58</v>
      </c>
      <c r="B1018" t="s">
        <v>1645</v>
      </c>
      <c r="C1018">
        <v>12</v>
      </c>
      <c r="D1018">
        <v>135</v>
      </c>
      <c r="E1018">
        <v>488</v>
      </c>
      <c r="F1018" t="s">
        <v>273</v>
      </c>
      <c r="G1018" s="2" t="s">
        <v>156</v>
      </c>
      <c r="H1018">
        <v>12</v>
      </c>
      <c r="I1018">
        <v>74.28</v>
      </c>
      <c r="J1018" s="2" t="s">
        <v>170</v>
      </c>
      <c r="K1018" s="2" t="s">
        <v>74</v>
      </c>
      <c r="M1018" t="s">
        <v>1999</v>
      </c>
      <c r="P1018" s="19" t="s">
        <v>1573</v>
      </c>
      <c r="Q1018" s="19" t="s">
        <v>25</v>
      </c>
      <c r="S1018" s="19" t="s">
        <v>138</v>
      </c>
      <c r="W1018" s="20">
        <v>22</v>
      </c>
      <c r="X1018" s="65" t="s">
        <v>1572</v>
      </c>
      <c r="Z1018" t="s">
        <v>307</v>
      </c>
      <c r="AB1018" t="s">
        <v>178</v>
      </c>
      <c r="AC1018" t="s">
        <v>1641</v>
      </c>
      <c r="AD1018" s="2" t="s">
        <v>1642</v>
      </c>
    </row>
    <row r="1019" spans="1:30" hidden="1" x14ac:dyDescent="0.25">
      <c r="A1019" s="2">
        <v>59</v>
      </c>
      <c r="B1019" t="s">
        <v>1646</v>
      </c>
      <c r="C1019">
        <v>12</v>
      </c>
      <c r="D1019">
        <v>135</v>
      </c>
      <c r="E1019">
        <v>488</v>
      </c>
      <c r="F1019" t="s">
        <v>273</v>
      </c>
      <c r="G1019" s="2" t="s">
        <v>156</v>
      </c>
      <c r="H1019">
        <v>3</v>
      </c>
      <c r="I1019">
        <v>18.57</v>
      </c>
      <c r="J1019" s="2" t="s">
        <v>170</v>
      </c>
      <c r="K1019" s="2" t="s">
        <v>74</v>
      </c>
      <c r="M1019" t="s">
        <v>1999</v>
      </c>
      <c r="P1019" s="19" t="s">
        <v>1573</v>
      </c>
      <c r="Q1019" s="19" t="s">
        <v>25</v>
      </c>
      <c r="S1019" s="19" t="s">
        <v>138</v>
      </c>
      <c r="W1019" s="20">
        <v>22</v>
      </c>
      <c r="X1019" s="65" t="s">
        <v>1572</v>
      </c>
      <c r="Z1019" t="s">
        <v>307</v>
      </c>
      <c r="AB1019" t="s">
        <v>178</v>
      </c>
      <c r="AC1019" t="s">
        <v>1641</v>
      </c>
      <c r="AD1019" s="2" t="s">
        <v>1642</v>
      </c>
    </row>
    <row r="1020" spans="1:30" hidden="1" x14ac:dyDescent="0.25">
      <c r="A1020" s="2">
        <v>60</v>
      </c>
      <c r="B1020" t="s">
        <v>1647</v>
      </c>
      <c r="C1020">
        <v>12</v>
      </c>
      <c r="D1020">
        <v>490</v>
      </c>
      <c r="E1020">
        <v>1514</v>
      </c>
      <c r="F1020" t="s">
        <v>273</v>
      </c>
      <c r="G1020" s="2" t="s">
        <v>156</v>
      </c>
      <c r="H1020">
        <v>1</v>
      </c>
      <c r="I1020">
        <v>69.78</v>
      </c>
      <c r="J1020" s="2" t="s">
        <v>170</v>
      </c>
      <c r="K1020" s="2" t="s">
        <v>74</v>
      </c>
      <c r="M1020" t="s">
        <v>1999</v>
      </c>
      <c r="P1020" s="19" t="s">
        <v>1573</v>
      </c>
      <c r="Q1020" s="19" t="s">
        <v>27</v>
      </c>
      <c r="S1020" s="19" t="s">
        <v>138</v>
      </c>
      <c r="W1020" s="20">
        <v>22</v>
      </c>
      <c r="X1020" s="65" t="s">
        <v>1572</v>
      </c>
      <c r="Z1020" t="s">
        <v>307</v>
      </c>
      <c r="AB1020" t="s">
        <v>178</v>
      </c>
      <c r="AC1020" t="s">
        <v>1641</v>
      </c>
      <c r="AD1020" s="2" t="s">
        <v>1642</v>
      </c>
    </row>
    <row r="1021" spans="1:30" hidden="1" x14ac:dyDescent="0.25">
      <c r="A1021" s="2">
        <v>61</v>
      </c>
      <c r="B1021" t="s">
        <v>1648</v>
      </c>
      <c r="C1021">
        <v>12</v>
      </c>
      <c r="D1021">
        <v>490</v>
      </c>
      <c r="E1021">
        <v>1514</v>
      </c>
      <c r="F1021" t="s">
        <v>273</v>
      </c>
      <c r="G1021" s="2" t="s">
        <v>156</v>
      </c>
      <c r="H1021">
        <v>1</v>
      </c>
      <c r="I1021">
        <v>69.78</v>
      </c>
      <c r="J1021" s="2" t="s">
        <v>170</v>
      </c>
      <c r="K1021" s="2" t="s">
        <v>74</v>
      </c>
      <c r="M1021" t="s">
        <v>1999</v>
      </c>
      <c r="P1021" s="19" t="s">
        <v>1573</v>
      </c>
      <c r="Q1021" s="19" t="s">
        <v>27</v>
      </c>
      <c r="S1021" s="19" t="s">
        <v>138</v>
      </c>
      <c r="W1021" s="20">
        <v>22</v>
      </c>
      <c r="X1021" s="65" t="s">
        <v>1572</v>
      </c>
      <c r="Z1021" t="s">
        <v>307</v>
      </c>
      <c r="AB1021" t="s">
        <v>178</v>
      </c>
      <c r="AC1021" t="s">
        <v>1641</v>
      </c>
      <c r="AD1021" s="2" t="s">
        <v>1642</v>
      </c>
    </row>
    <row r="1022" spans="1:30" hidden="1" x14ac:dyDescent="0.25">
      <c r="A1022" s="2">
        <v>62</v>
      </c>
      <c r="B1022" t="s">
        <v>1627</v>
      </c>
      <c r="C1022">
        <v>12</v>
      </c>
      <c r="D1022">
        <v>95</v>
      </c>
      <c r="E1022">
        <v>263</v>
      </c>
      <c r="F1022" t="s">
        <v>273</v>
      </c>
      <c r="G1022" s="2" t="s">
        <v>156</v>
      </c>
      <c r="H1022">
        <v>6</v>
      </c>
      <c r="I1022">
        <v>14.03</v>
      </c>
      <c r="J1022" s="2" t="s">
        <v>170</v>
      </c>
      <c r="K1022" s="2" t="s">
        <v>74</v>
      </c>
      <c r="M1022" t="s">
        <v>1999</v>
      </c>
      <c r="P1022" s="19" t="s">
        <v>1573</v>
      </c>
      <c r="Q1022" s="19" t="s">
        <v>25</v>
      </c>
      <c r="S1022" s="19" t="s">
        <v>138</v>
      </c>
      <c r="W1022" s="20">
        <v>22</v>
      </c>
      <c r="X1022" s="65" t="s">
        <v>1572</v>
      </c>
      <c r="Z1022" t="s">
        <v>307</v>
      </c>
      <c r="AB1022" t="s">
        <v>178</v>
      </c>
      <c r="AC1022" t="s">
        <v>1641</v>
      </c>
      <c r="AD1022" s="2" t="s">
        <v>1642</v>
      </c>
    </row>
    <row r="1023" spans="1:30" hidden="1" x14ac:dyDescent="0.25">
      <c r="A1023" s="2">
        <v>63</v>
      </c>
      <c r="B1023" t="s">
        <v>1614</v>
      </c>
      <c r="C1023">
        <v>12</v>
      </c>
      <c r="D1023">
        <v>130</v>
      </c>
      <c r="E1023">
        <v>663</v>
      </c>
      <c r="F1023" t="s">
        <v>273</v>
      </c>
      <c r="G1023" s="2" t="s">
        <v>156</v>
      </c>
      <c r="H1023">
        <v>6</v>
      </c>
      <c r="I1023">
        <v>48.66</v>
      </c>
      <c r="J1023" s="2" t="s">
        <v>170</v>
      </c>
      <c r="K1023" s="2" t="s">
        <v>74</v>
      </c>
      <c r="M1023" t="s">
        <v>1999</v>
      </c>
      <c r="P1023" s="19" t="s">
        <v>1573</v>
      </c>
      <c r="Q1023" s="19" t="s">
        <v>25</v>
      </c>
      <c r="S1023" s="19" t="s">
        <v>138</v>
      </c>
      <c r="W1023" s="20">
        <v>22</v>
      </c>
      <c r="X1023" s="65" t="s">
        <v>1572</v>
      </c>
      <c r="Z1023" t="s">
        <v>307</v>
      </c>
      <c r="AB1023" t="s">
        <v>178</v>
      </c>
      <c r="AC1023" t="s">
        <v>1641</v>
      </c>
      <c r="AD1023" s="2" t="s">
        <v>1642</v>
      </c>
    </row>
    <row r="1024" spans="1:30" hidden="1" x14ac:dyDescent="0.25">
      <c r="A1024" s="2">
        <v>64</v>
      </c>
      <c r="B1024" t="s">
        <v>1649</v>
      </c>
      <c r="C1024">
        <v>12</v>
      </c>
      <c r="D1024">
        <v>130</v>
      </c>
      <c r="E1024">
        <v>663</v>
      </c>
      <c r="F1024" t="s">
        <v>273</v>
      </c>
      <c r="G1024" s="2" t="s">
        <v>156</v>
      </c>
      <c r="H1024">
        <v>5</v>
      </c>
      <c r="I1024">
        <v>40.549999999999997</v>
      </c>
      <c r="J1024" s="2" t="s">
        <v>170</v>
      </c>
      <c r="K1024" s="2" t="s">
        <v>74</v>
      </c>
      <c r="M1024" t="s">
        <v>1999</v>
      </c>
      <c r="P1024" s="19" t="s">
        <v>1573</v>
      </c>
      <c r="Q1024" s="19" t="s">
        <v>25</v>
      </c>
      <c r="S1024" s="19" t="s">
        <v>138</v>
      </c>
      <c r="W1024" s="20">
        <v>22</v>
      </c>
      <c r="X1024" s="65" t="s">
        <v>1572</v>
      </c>
      <c r="Z1024" t="s">
        <v>307</v>
      </c>
      <c r="AB1024" t="s">
        <v>178</v>
      </c>
      <c r="AC1024" t="s">
        <v>1641</v>
      </c>
      <c r="AD1024" s="2" t="s">
        <v>1642</v>
      </c>
    </row>
    <row r="1025" spans="1:30" hidden="1" x14ac:dyDescent="0.25">
      <c r="A1025" s="2">
        <v>65</v>
      </c>
      <c r="B1025" t="s">
        <v>1650</v>
      </c>
      <c r="C1025">
        <v>12</v>
      </c>
      <c r="D1025">
        <v>130</v>
      </c>
      <c r="E1025">
        <v>263</v>
      </c>
      <c r="F1025" t="s">
        <v>273</v>
      </c>
      <c r="G1025" s="2" t="s">
        <v>156</v>
      </c>
      <c r="H1025">
        <v>1</v>
      </c>
      <c r="I1025">
        <v>3.21</v>
      </c>
      <c r="J1025" s="2" t="s">
        <v>170</v>
      </c>
      <c r="K1025" s="2" t="s">
        <v>74</v>
      </c>
      <c r="M1025" t="s">
        <v>1999</v>
      </c>
      <c r="P1025" s="19" t="s">
        <v>1573</v>
      </c>
      <c r="Q1025" s="19" t="s">
        <v>25</v>
      </c>
      <c r="S1025" s="19" t="s">
        <v>138</v>
      </c>
      <c r="W1025" s="20">
        <v>22</v>
      </c>
      <c r="X1025" s="65" t="s">
        <v>1572</v>
      </c>
      <c r="Z1025" t="s">
        <v>307</v>
      </c>
      <c r="AB1025" t="s">
        <v>178</v>
      </c>
      <c r="AC1025" t="s">
        <v>1641</v>
      </c>
      <c r="AD1025" s="2" t="s">
        <v>1642</v>
      </c>
    </row>
    <row r="1026" spans="1:30" hidden="1" x14ac:dyDescent="0.25">
      <c r="A1026" s="2">
        <v>66</v>
      </c>
      <c r="B1026" t="s">
        <v>1651</v>
      </c>
      <c r="C1026">
        <v>12</v>
      </c>
      <c r="D1026">
        <v>490</v>
      </c>
      <c r="E1026">
        <v>1514</v>
      </c>
      <c r="F1026" t="s">
        <v>273</v>
      </c>
      <c r="G1026" s="2" t="s">
        <v>156</v>
      </c>
      <c r="H1026">
        <v>1</v>
      </c>
      <c r="I1026">
        <v>69.78</v>
      </c>
      <c r="J1026" s="2" t="s">
        <v>170</v>
      </c>
      <c r="K1026" s="2" t="s">
        <v>74</v>
      </c>
      <c r="M1026" t="s">
        <v>1999</v>
      </c>
      <c r="P1026" s="19" t="s">
        <v>1573</v>
      </c>
      <c r="Q1026" s="19" t="s">
        <v>27</v>
      </c>
      <c r="S1026" s="19" t="s">
        <v>138</v>
      </c>
      <c r="W1026" s="20">
        <v>22</v>
      </c>
      <c r="X1026" s="65" t="s">
        <v>1572</v>
      </c>
      <c r="Z1026" t="s">
        <v>307</v>
      </c>
      <c r="AB1026" t="s">
        <v>178</v>
      </c>
      <c r="AC1026" t="s">
        <v>1641</v>
      </c>
      <c r="AD1026" s="2" t="s">
        <v>1642</v>
      </c>
    </row>
    <row r="1027" spans="1:30" hidden="1" x14ac:dyDescent="0.25">
      <c r="A1027" s="2">
        <v>67</v>
      </c>
      <c r="B1027" t="s">
        <v>1652</v>
      </c>
      <c r="C1027">
        <v>12</v>
      </c>
      <c r="D1027">
        <v>490</v>
      </c>
      <c r="E1027">
        <v>1514</v>
      </c>
      <c r="F1027" t="s">
        <v>273</v>
      </c>
      <c r="G1027" s="2" t="s">
        <v>156</v>
      </c>
      <c r="H1027">
        <v>1</v>
      </c>
      <c r="I1027">
        <v>69.78</v>
      </c>
      <c r="J1027" s="2" t="s">
        <v>170</v>
      </c>
      <c r="K1027" s="2" t="s">
        <v>74</v>
      </c>
      <c r="M1027" t="s">
        <v>1999</v>
      </c>
      <c r="P1027" s="19" t="s">
        <v>1573</v>
      </c>
      <c r="Q1027" s="19" t="s">
        <v>27</v>
      </c>
      <c r="S1027" s="19" t="s">
        <v>138</v>
      </c>
      <c r="W1027" s="20">
        <v>22</v>
      </c>
      <c r="X1027" s="65" t="s">
        <v>1572</v>
      </c>
      <c r="Z1027" t="s">
        <v>307</v>
      </c>
      <c r="AB1027" t="s">
        <v>178</v>
      </c>
      <c r="AC1027" t="s">
        <v>1641</v>
      </c>
      <c r="AD1027" s="2" t="s">
        <v>1642</v>
      </c>
    </row>
    <row r="1028" spans="1:30" hidden="1" x14ac:dyDescent="0.25">
      <c r="A1028" s="2">
        <v>68</v>
      </c>
      <c r="B1028" t="s">
        <v>1653</v>
      </c>
      <c r="C1028">
        <v>12</v>
      </c>
      <c r="D1028">
        <v>490</v>
      </c>
      <c r="E1028">
        <v>1514</v>
      </c>
      <c r="F1028" t="s">
        <v>273</v>
      </c>
      <c r="G1028" s="2" t="s">
        <v>156</v>
      </c>
      <c r="H1028">
        <v>1</v>
      </c>
      <c r="I1028">
        <v>69.78</v>
      </c>
      <c r="J1028" s="2" t="s">
        <v>170</v>
      </c>
      <c r="K1028" s="2" t="s">
        <v>74</v>
      </c>
      <c r="M1028" t="s">
        <v>1999</v>
      </c>
      <c r="P1028" s="19" t="s">
        <v>1573</v>
      </c>
      <c r="Q1028" s="19" t="s">
        <v>27</v>
      </c>
      <c r="S1028" s="19" t="s">
        <v>138</v>
      </c>
      <c r="W1028" s="20">
        <v>22</v>
      </c>
      <c r="X1028" s="65" t="s">
        <v>1572</v>
      </c>
      <c r="Z1028" t="s">
        <v>307</v>
      </c>
      <c r="AB1028" t="s">
        <v>178</v>
      </c>
      <c r="AC1028" t="s">
        <v>1641</v>
      </c>
      <c r="AD1028" s="2" t="s">
        <v>1642</v>
      </c>
    </row>
    <row r="1029" spans="1:30" hidden="1" x14ac:dyDescent="0.25">
      <c r="A1029" s="2">
        <v>69</v>
      </c>
      <c r="B1029" t="s">
        <v>1654</v>
      </c>
      <c r="C1029">
        <v>12</v>
      </c>
      <c r="D1029">
        <v>490</v>
      </c>
      <c r="E1029">
        <v>1514</v>
      </c>
      <c r="F1029" t="s">
        <v>273</v>
      </c>
      <c r="G1029" s="2" t="s">
        <v>156</v>
      </c>
      <c r="H1029">
        <v>1</v>
      </c>
      <c r="I1029">
        <v>69.78</v>
      </c>
      <c r="J1029" s="2" t="s">
        <v>170</v>
      </c>
      <c r="K1029" s="2" t="s">
        <v>74</v>
      </c>
      <c r="M1029" t="s">
        <v>1999</v>
      </c>
      <c r="P1029" s="19" t="s">
        <v>1573</v>
      </c>
      <c r="Q1029" s="19" t="s">
        <v>27</v>
      </c>
      <c r="S1029" s="19" t="s">
        <v>138</v>
      </c>
      <c r="W1029" s="20">
        <v>22</v>
      </c>
      <c r="X1029" s="65" t="s">
        <v>1572</v>
      </c>
      <c r="Z1029" t="s">
        <v>307</v>
      </c>
      <c r="AB1029" t="s">
        <v>178</v>
      </c>
      <c r="AC1029" t="s">
        <v>1641</v>
      </c>
      <c r="AD1029" s="2" t="s">
        <v>1642</v>
      </c>
    </row>
    <row r="1030" spans="1:30" hidden="1" x14ac:dyDescent="0.25">
      <c r="A1030" s="2">
        <v>70</v>
      </c>
      <c r="B1030" t="s">
        <v>1655</v>
      </c>
      <c r="C1030">
        <v>12</v>
      </c>
      <c r="D1030">
        <v>490</v>
      </c>
      <c r="E1030">
        <v>1514</v>
      </c>
      <c r="F1030" t="s">
        <v>273</v>
      </c>
      <c r="G1030" s="2" t="s">
        <v>156</v>
      </c>
      <c r="H1030">
        <v>1</v>
      </c>
      <c r="I1030">
        <v>69.78</v>
      </c>
      <c r="J1030" s="2" t="s">
        <v>170</v>
      </c>
      <c r="K1030" s="2" t="s">
        <v>74</v>
      </c>
      <c r="M1030" t="s">
        <v>1999</v>
      </c>
      <c r="P1030" s="19" t="s">
        <v>1573</v>
      </c>
      <c r="Q1030" s="19" t="s">
        <v>27</v>
      </c>
      <c r="S1030" s="19" t="s">
        <v>138</v>
      </c>
      <c r="W1030" s="20">
        <v>22</v>
      </c>
      <c r="X1030" s="65" t="s">
        <v>1572</v>
      </c>
      <c r="Z1030" t="s">
        <v>307</v>
      </c>
      <c r="AB1030" t="s">
        <v>178</v>
      </c>
      <c r="AC1030" t="s">
        <v>1641</v>
      </c>
      <c r="AD1030" s="2" t="s">
        <v>1642</v>
      </c>
    </row>
    <row r="1031" spans="1:30" hidden="1" x14ac:dyDescent="0.25">
      <c r="A1031" s="2">
        <v>71</v>
      </c>
      <c r="B1031" t="s">
        <v>1656</v>
      </c>
      <c r="C1031">
        <v>12</v>
      </c>
      <c r="D1031">
        <v>490</v>
      </c>
      <c r="E1031">
        <v>1514</v>
      </c>
      <c r="F1031" t="s">
        <v>273</v>
      </c>
      <c r="G1031" s="2" t="s">
        <v>156</v>
      </c>
      <c r="H1031">
        <v>1</v>
      </c>
      <c r="I1031">
        <v>69.78</v>
      </c>
      <c r="J1031" s="2" t="s">
        <v>170</v>
      </c>
      <c r="K1031" s="2" t="s">
        <v>74</v>
      </c>
      <c r="M1031" t="s">
        <v>1999</v>
      </c>
      <c r="P1031" s="19" t="s">
        <v>1573</v>
      </c>
      <c r="Q1031" s="19" t="s">
        <v>27</v>
      </c>
      <c r="S1031" s="19" t="s">
        <v>138</v>
      </c>
      <c r="W1031" s="20">
        <v>22</v>
      </c>
      <c r="X1031" s="65" t="s">
        <v>1572</v>
      </c>
      <c r="Z1031" t="s">
        <v>307</v>
      </c>
      <c r="AB1031" t="s">
        <v>178</v>
      </c>
      <c r="AC1031" t="s">
        <v>1641</v>
      </c>
      <c r="AD1031" s="2" t="s">
        <v>1642</v>
      </c>
    </row>
    <row r="1032" spans="1:30" hidden="1" x14ac:dyDescent="0.25">
      <c r="A1032" s="2">
        <v>72</v>
      </c>
      <c r="B1032" t="s">
        <v>1657</v>
      </c>
      <c r="C1032">
        <v>12</v>
      </c>
      <c r="D1032">
        <v>95</v>
      </c>
      <c r="E1032">
        <v>263</v>
      </c>
      <c r="F1032" t="s">
        <v>273</v>
      </c>
      <c r="G1032" s="2" t="s">
        <v>156</v>
      </c>
      <c r="H1032">
        <v>8</v>
      </c>
      <c r="I1032">
        <v>18.7</v>
      </c>
      <c r="J1032" s="2" t="s">
        <v>170</v>
      </c>
      <c r="K1032" s="2" t="s">
        <v>74</v>
      </c>
      <c r="M1032" t="s">
        <v>1999</v>
      </c>
      <c r="P1032" s="19" t="s">
        <v>1573</v>
      </c>
      <c r="Q1032" s="19" t="s">
        <v>25</v>
      </c>
      <c r="S1032" s="19" t="s">
        <v>138</v>
      </c>
      <c r="W1032" s="20">
        <v>22</v>
      </c>
      <c r="X1032" s="65" t="s">
        <v>1572</v>
      </c>
      <c r="Z1032" t="s">
        <v>307</v>
      </c>
      <c r="AB1032" t="s">
        <v>178</v>
      </c>
      <c r="AC1032" t="s">
        <v>1641</v>
      </c>
      <c r="AD1032" s="2" t="s">
        <v>1642</v>
      </c>
    </row>
    <row r="1033" spans="1:30" hidden="1" x14ac:dyDescent="0.25">
      <c r="A1033" s="2">
        <v>73</v>
      </c>
      <c r="B1033" t="s">
        <v>1658</v>
      </c>
      <c r="C1033">
        <v>12</v>
      </c>
      <c r="D1033">
        <v>238</v>
      </c>
      <c r="E1033">
        <v>1280</v>
      </c>
      <c r="F1033" t="s">
        <v>273</v>
      </c>
      <c r="G1033" s="2" t="s">
        <v>156</v>
      </c>
      <c r="H1033">
        <v>1</v>
      </c>
      <c r="I1033">
        <v>28.7</v>
      </c>
      <c r="J1033" s="2" t="s">
        <v>170</v>
      </c>
      <c r="K1033" s="2" t="s">
        <v>74</v>
      </c>
      <c r="M1033" t="s">
        <v>1999</v>
      </c>
      <c r="P1033" s="19" t="s">
        <v>1573</v>
      </c>
      <c r="S1033" s="19" t="s">
        <v>138</v>
      </c>
      <c r="U1033" s="19" t="s">
        <v>138</v>
      </c>
      <c r="W1033" s="20">
        <v>22</v>
      </c>
      <c r="X1033" s="65" t="s">
        <v>1572</v>
      </c>
      <c r="Z1033" t="s">
        <v>307</v>
      </c>
      <c r="AB1033" t="s">
        <v>178</v>
      </c>
      <c r="AC1033" t="s">
        <v>1641</v>
      </c>
      <c r="AD1033" s="2" t="s">
        <v>1642</v>
      </c>
    </row>
    <row r="1034" spans="1:30" hidden="1" x14ac:dyDescent="0.25">
      <c r="A1034" s="2">
        <v>74</v>
      </c>
      <c r="B1034" t="s">
        <v>1659</v>
      </c>
      <c r="C1034">
        <v>12</v>
      </c>
      <c r="D1034">
        <v>238</v>
      </c>
      <c r="E1034">
        <v>1280</v>
      </c>
      <c r="F1034" t="s">
        <v>273</v>
      </c>
      <c r="G1034" s="2" t="s">
        <v>156</v>
      </c>
      <c r="H1034">
        <v>1</v>
      </c>
      <c r="I1034">
        <v>28.7</v>
      </c>
      <c r="J1034" s="2" t="s">
        <v>170</v>
      </c>
      <c r="K1034" s="2" t="s">
        <v>74</v>
      </c>
      <c r="M1034" t="s">
        <v>1999</v>
      </c>
      <c r="P1034" s="19" t="s">
        <v>1573</v>
      </c>
      <c r="S1034" s="19" t="s">
        <v>138</v>
      </c>
      <c r="U1034" s="19" t="s">
        <v>138</v>
      </c>
      <c r="W1034" s="20">
        <v>22</v>
      </c>
      <c r="X1034" s="65" t="s">
        <v>1572</v>
      </c>
      <c r="Z1034" t="s">
        <v>307</v>
      </c>
      <c r="AB1034" t="s">
        <v>178</v>
      </c>
      <c r="AC1034" t="s">
        <v>1641</v>
      </c>
      <c r="AD1034" s="2" t="s">
        <v>1642</v>
      </c>
    </row>
    <row r="1035" spans="1:30" hidden="1" x14ac:dyDescent="0.25">
      <c r="A1035" s="2">
        <v>75</v>
      </c>
      <c r="B1035" t="s">
        <v>1660</v>
      </c>
      <c r="C1035">
        <v>12</v>
      </c>
      <c r="D1035">
        <v>238</v>
      </c>
      <c r="E1035">
        <v>1280</v>
      </c>
      <c r="F1035" t="s">
        <v>273</v>
      </c>
      <c r="G1035" s="2" t="s">
        <v>156</v>
      </c>
      <c r="H1035">
        <v>1</v>
      </c>
      <c r="I1035">
        <v>28.7</v>
      </c>
      <c r="J1035" s="2" t="s">
        <v>170</v>
      </c>
      <c r="K1035" s="2" t="s">
        <v>74</v>
      </c>
      <c r="M1035" t="s">
        <v>1999</v>
      </c>
      <c r="P1035" s="19" t="s">
        <v>1573</v>
      </c>
      <c r="S1035" s="19" t="s">
        <v>138</v>
      </c>
      <c r="U1035" s="19" t="s">
        <v>138</v>
      </c>
      <c r="W1035" s="20">
        <v>22</v>
      </c>
      <c r="X1035" s="65" t="s">
        <v>1572</v>
      </c>
      <c r="Z1035" t="s">
        <v>307</v>
      </c>
      <c r="AB1035" t="s">
        <v>178</v>
      </c>
      <c r="AC1035" t="s">
        <v>1641</v>
      </c>
      <c r="AD1035" s="2" t="s">
        <v>1642</v>
      </c>
    </row>
    <row r="1036" spans="1:30" hidden="1" x14ac:dyDescent="0.25">
      <c r="A1036" s="2">
        <v>76</v>
      </c>
      <c r="B1036" t="s">
        <v>1607</v>
      </c>
      <c r="C1036">
        <v>12</v>
      </c>
      <c r="D1036">
        <v>116</v>
      </c>
      <c r="E1036">
        <v>144</v>
      </c>
      <c r="F1036" t="s">
        <v>273</v>
      </c>
      <c r="G1036" s="2" t="s">
        <v>156</v>
      </c>
      <c r="H1036">
        <v>1</v>
      </c>
      <c r="I1036">
        <v>1.32</v>
      </c>
      <c r="J1036" s="2" t="s">
        <v>170</v>
      </c>
      <c r="K1036" s="2" t="s">
        <v>74</v>
      </c>
      <c r="M1036" t="s">
        <v>1999</v>
      </c>
      <c r="P1036" s="19" t="s">
        <v>1573</v>
      </c>
      <c r="Q1036" s="19" t="s">
        <v>25</v>
      </c>
      <c r="S1036" s="19" t="s">
        <v>138</v>
      </c>
      <c r="W1036" s="20">
        <v>22</v>
      </c>
      <c r="X1036" s="65" t="s">
        <v>1572</v>
      </c>
      <c r="Z1036" t="s">
        <v>307</v>
      </c>
      <c r="AB1036" t="s">
        <v>178</v>
      </c>
      <c r="AC1036" t="s">
        <v>1661</v>
      </c>
      <c r="AD1036" s="2" t="s">
        <v>1662</v>
      </c>
    </row>
    <row r="1037" spans="1:30" hidden="1" x14ac:dyDescent="0.25">
      <c r="A1037" s="2">
        <v>77</v>
      </c>
      <c r="B1037" t="s">
        <v>1646</v>
      </c>
      <c r="C1037">
        <v>12</v>
      </c>
      <c r="D1037">
        <v>135</v>
      </c>
      <c r="E1037">
        <v>488</v>
      </c>
      <c r="F1037" t="s">
        <v>273</v>
      </c>
      <c r="G1037" s="2" t="s">
        <v>156</v>
      </c>
      <c r="H1037">
        <v>9</v>
      </c>
      <c r="I1037">
        <v>55.71</v>
      </c>
      <c r="J1037" s="2" t="s">
        <v>170</v>
      </c>
      <c r="K1037" s="2" t="s">
        <v>74</v>
      </c>
      <c r="M1037" t="s">
        <v>1999</v>
      </c>
      <c r="P1037" s="19" t="s">
        <v>1573</v>
      </c>
      <c r="Q1037" s="19" t="s">
        <v>25</v>
      </c>
      <c r="S1037" s="19" t="s">
        <v>138</v>
      </c>
      <c r="W1037" s="20">
        <v>22</v>
      </c>
      <c r="X1037" s="65" t="s">
        <v>1572</v>
      </c>
      <c r="Z1037" t="s">
        <v>307</v>
      </c>
      <c r="AB1037" t="s">
        <v>178</v>
      </c>
      <c r="AC1037" t="s">
        <v>1661</v>
      </c>
      <c r="AD1037" s="2" t="s">
        <v>1662</v>
      </c>
    </row>
    <row r="1038" spans="1:30" hidden="1" x14ac:dyDescent="0.25">
      <c r="A1038" s="2">
        <v>78</v>
      </c>
      <c r="B1038" t="s">
        <v>1664</v>
      </c>
      <c r="C1038">
        <v>12</v>
      </c>
      <c r="D1038">
        <v>135</v>
      </c>
      <c r="E1038">
        <v>488</v>
      </c>
      <c r="F1038" t="s">
        <v>273</v>
      </c>
      <c r="G1038" s="2" t="s">
        <v>156</v>
      </c>
      <c r="H1038">
        <v>12</v>
      </c>
      <c r="I1038">
        <v>74.28</v>
      </c>
      <c r="J1038" s="2" t="s">
        <v>170</v>
      </c>
      <c r="K1038" s="2" t="s">
        <v>74</v>
      </c>
      <c r="M1038" t="s">
        <v>1999</v>
      </c>
      <c r="P1038" s="19" t="s">
        <v>1573</v>
      </c>
      <c r="Q1038" s="19" t="s">
        <v>25</v>
      </c>
      <c r="S1038" s="19" t="s">
        <v>138</v>
      </c>
      <c r="W1038" s="20">
        <v>22</v>
      </c>
      <c r="X1038" s="65" t="s">
        <v>1572</v>
      </c>
      <c r="Z1038" t="s">
        <v>307</v>
      </c>
      <c r="AB1038" t="s">
        <v>178</v>
      </c>
      <c r="AC1038" t="s">
        <v>1661</v>
      </c>
      <c r="AD1038" s="2" t="s">
        <v>1662</v>
      </c>
    </row>
    <row r="1039" spans="1:30" hidden="1" x14ac:dyDescent="0.25">
      <c r="A1039" s="2">
        <v>79</v>
      </c>
      <c r="B1039" t="s">
        <v>1665</v>
      </c>
      <c r="C1039">
        <v>12</v>
      </c>
      <c r="D1039">
        <v>135</v>
      </c>
      <c r="E1039">
        <v>488</v>
      </c>
      <c r="F1039" t="s">
        <v>273</v>
      </c>
      <c r="G1039" s="2" t="s">
        <v>156</v>
      </c>
      <c r="H1039">
        <v>12</v>
      </c>
      <c r="I1039">
        <v>74.28</v>
      </c>
      <c r="J1039" s="2" t="s">
        <v>170</v>
      </c>
      <c r="K1039" s="2" t="s">
        <v>74</v>
      </c>
      <c r="M1039" t="s">
        <v>1999</v>
      </c>
      <c r="P1039" s="19" t="s">
        <v>1573</v>
      </c>
      <c r="Q1039" s="19" t="s">
        <v>25</v>
      </c>
      <c r="S1039" s="19" t="s">
        <v>138</v>
      </c>
      <c r="W1039" s="20">
        <v>22</v>
      </c>
      <c r="X1039" s="65" t="s">
        <v>1572</v>
      </c>
      <c r="Z1039" t="s">
        <v>307</v>
      </c>
      <c r="AB1039" t="s">
        <v>178</v>
      </c>
      <c r="AC1039" t="s">
        <v>1661</v>
      </c>
      <c r="AD1039" s="2" t="s">
        <v>1662</v>
      </c>
    </row>
    <row r="1040" spans="1:30" hidden="1" x14ac:dyDescent="0.25">
      <c r="A1040" s="2">
        <v>80</v>
      </c>
      <c r="B1040" t="s">
        <v>1666</v>
      </c>
      <c r="C1040">
        <v>12</v>
      </c>
      <c r="D1040">
        <v>135</v>
      </c>
      <c r="E1040">
        <v>488</v>
      </c>
      <c r="F1040" t="s">
        <v>273</v>
      </c>
      <c r="G1040" s="2" t="s">
        <v>156</v>
      </c>
      <c r="H1040">
        <v>12</v>
      </c>
      <c r="I1040">
        <v>74.28</v>
      </c>
      <c r="J1040" s="2" t="s">
        <v>170</v>
      </c>
      <c r="K1040" s="2" t="s">
        <v>74</v>
      </c>
      <c r="M1040" t="s">
        <v>1999</v>
      </c>
      <c r="P1040" s="19" t="s">
        <v>1573</v>
      </c>
      <c r="Q1040" s="19" t="s">
        <v>25</v>
      </c>
      <c r="S1040" s="19" t="s">
        <v>138</v>
      </c>
      <c r="W1040" s="20">
        <v>22</v>
      </c>
      <c r="X1040" s="65" t="s">
        <v>1572</v>
      </c>
      <c r="Z1040" t="s">
        <v>307</v>
      </c>
      <c r="AB1040" t="s">
        <v>178</v>
      </c>
      <c r="AC1040" t="s">
        <v>1661</v>
      </c>
      <c r="AD1040" s="2" t="s">
        <v>1662</v>
      </c>
    </row>
    <row r="1041" spans="1:30" hidden="1" x14ac:dyDescent="0.25">
      <c r="A1041" s="2">
        <v>81</v>
      </c>
      <c r="B1041" t="s">
        <v>1667</v>
      </c>
      <c r="C1041">
        <v>12</v>
      </c>
      <c r="D1041">
        <v>490</v>
      </c>
      <c r="E1041">
        <v>9980</v>
      </c>
      <c r="F1041" t="s">
        <v>273</v>
      </c>
      <c r="G1041" s="2" t="s">
        <v>156</v>
      </c>
      <c r="H1041">
        <v>1</v>
      </c>
      <c r="I1041">
        <v>460.46</v>
      </c>
      <c r="J1041" s="2" t="s">
        <v>170</v>
      </c>
      <c r="K1041" s="2" t="s">
        <v>74</v>
      </c>
      <c r="M1041" t="s">
        <v>1999</v>
      </c>
      <c r="P1041" s="19" t="s">
        <v>1573</v>
      </c>
      <c r="Q1041" s="19" t="s">
        <v>27</v>
      </c>
      <c r="S1041" s="19" t="s">
        <v>138</v>
      </c>
      <c r="W1041" s="20">
        <v>22</v>
      </c>
      <c r="X1041" s="65" t="s">
        <v>1572</v>
      </c>
      <c r="Z1041" t="s">
        <v>307</v>
      </c>
      <c r="AB1041" t="s">
        <v>178</v>
      </c>
      <c r="AC1041" t="s">
        <v>1661</v>
      </c>
      <c r="AD1041" s="2" t="s">
        <v>1662</v>
      </c>
    </row>
    <row r="1042" spans="1:30" hidden="1" x14ac:dyDescent="0.25">
      <c r="A1042" s="2">
        <v>82</v>
      </c>
      <c r="B1042" t="s">
        <v>1668</v>
      </c>
      <c r="C1042">
        <v>12</v>
      </c>
      <c r="D1042">
        <v>490</v>
      </c>
      <c r="E1042">
        <v>1514</v>
      </c>
      <c r="F1042" t="s">
        <v>273</v>
      </c>
      <c r="G1042" s="2" t="s">
        <v>156</v>
      </c>
      <c r="H1042">
        <v>1</v>
      </c>
      <c r="I1042">
        <v>69.78</v>
      </c>
      <c r="J1042" s="2" t="s">
        <v>170</v>
      </c>
      <c r="K1042" s="2" t="s">
        <v>74</v>
      </c>
      <c r="M1042" t="s">
        <v>1999</v>
      </c>
      <c r="P1042" s="19" t="s">
        <v>1573</v>
      </c>
      <c r="Q1042" s="19" t="s">
        <v>27</v>
      </c>
      <c r="S1042" s="19" t="s">
        <v>138</v>
      </c>
      <c r="W1042" s="20">
        <v>22</v>
      </c>
      <c r="X1042" s="65" t="s">
        <v>1572</v>
      </c>
      <c r="Z1042" t="s">
        <v>307</v>
      </c>
      <c r="AB1042" t="s">
        <v>178</v>
      </c>
      <c r="AC1042" t="s">
        <v>1661</v>
      </c>
      <c r="AD1042" s="2" t="s">
        <v>1662</v>
      </c>
    </row>
    <row r="1043" spans="1:30" hidden="1" x14ac:dyDescent="0.25">
      <c r="A1043" s="2">
        <v>83</v>
      </c>
      <c r="B1043" t="s">
        <v>1669</v>
      </c>
      <c r="C1043">
        <v>12</v>
      </c>
      <c r="D1043">
        <v>490</v>
      </c>
      <c r="E1043">
        <v>1514</v>
      </c>
      <c r="F1043" t="s">
        <v>273</v>
      </c>
      <c r="G1043" s="2" t="s">
        <v>156</v>
      </c>
      <c r="H1043">
        <v>1</v>
      </c>
      <c r="I1043">
        <v>69.78</v>
      </c>
      <c r="J1043" s="2" t="s">
        <v>170</v>
      </c>
      <c r="K1043" s="2" t="s">
        <v>74</v>
      </c>
      <c r="M1043" t="s">
        <v>1999</v>
      </c>
      <c r="P1043" s="19" t="s">
        <v>1573</v>
      </c>
      <c r="Q1043" s="19" t="s">
        <v>27</v>
      </c>
      <c r="S1043" s="19" t="s">
        <v>138</v>
      </c>
      <c r="W1043" s="20">
        <v>22</v>
      </c>
      <c r="X1043" s="65" t="s">
        <v>1572</v>
      </c>
      <c r="Z1043" t="s">
        <v>307</v>
      </c>
      <c r="AB1043" t="s">
        <v>178</v>
      </c>
      <c r="AC1043" t="s">
        <v>1661</v>
      </c>
      <c r="AD1043" s="2" t="s">
        <v>1662</v>
      </c>
    </row>
    <row r="1044" spans="1:30" hidden="1" x14ac:dyDescent="0.25">
      <c r="A1044" s="2">
        <v>84</v>
      </c>
      <c r="B1044" t="s">
        <v>1670</v>
      </c>
      <c r="C1044">
        <v>12</v>
      </c>
      <c r="D1044">
        <v>490</v>
      </c>
      <c r="E1044">
        <v>1514</v>
      </c>
      <c r="F1044" t="s">
        <v>273</v>
      </c>
      <c r="G1044" s="2" t="s">
        <v>156</v>
      </c>
      <c r="H1044">
        <v>1</v>
      </c>
      <c r="I1044">
        <v>69.78</v>
      </c>
      <c r="J1044" s="2" t="s">
        <v>170</v>
      </c>
      <c r="K1044" s="2" t="s">
        <v>74</v>
      </c>
      <c r="M1044" t="s">
        <v>1999</v>
      </c>
      <c r="P1044" s="19" t="s">
        <v>1573</v>
      </c>
      <c r="Q1044" s="19" t="s">
        <v>27</v>
      </c>
      <c r="S1044" s="19" t="s">
        <v>138</v>
      </c>
      <c r="W1044" s="20">
        <v>22</v>
      </c>
      <c r="X1044" s="65" t="s">
        <v>1572</v>
      </c>
      <c r="Z1044" t="s">
        <v>307</v>
      </c>
      <c r="AB1044" t="s">
        <v>178</v>
      </c>
      <c r="AC1044" t="s">
        <v>1661</v>
      </c>
      <c r="AD1044" s="2" t="s">
        <v>1662</v>
      </c>
    </row>
    <row r="1045" spans="1:30" hidden="1" x14ac:dyDescent="0.25">
      <c r="A1045" s="2">
        <v>85</v>
      </c>
      <c r="B1045" t="s">
        <v>1671</v>
      </c>
      <c r="C1045">
        <v>12</v>
      </c>
      <c r="D1045">
        <v>490</v>
      </c>
      <c r="E1045">
        <v>1514</v>
      </c>
      <c r="F1045" t="s">
        <v>273</v>
      </c>
      <c r="G1045" s="2" t="s">
        <v>156</v>
      </c>
      <c r="H1045">
        <v>1</v>
      </c>
      <c r="I1045">
        <v>69.78</v>
      </c>
      <c r="J1045" s="2" t="s">
        <v>170</v>
      </c>
      <c r="K1045" s="2" t="s">
        <v>74</v>
      </c>
      <c r="M1045" t="s">
        <v>1999</v>
      </c>
      <c r="P1045" s="19" t="s">
        <v>1573</v>
      </c>
      <c r="Q1045" s="19" t="s">
        <v>27</v>
      </c>
      <c r="S1045" s="19" t="s">
        <v>138</v>
      </c>
      <c r="W1045" s="20">
        <v>22</v>
      </c>
      <c r="X1045" s="65" t="s">
        <v>1572</v>
      </c>
      <c r="Z1045" t="s">
        <v>307</v>
      </c>
      <c r="AB1045" t="s">
        <v>178</v>
      </c>
      <c r="AC1045" t="s">
        <v>1661</v>
      </c>
      <c r="AD1045" s="2" t="s">
        <v>1662</v>
      </c>
    </row>
    <row r="1046" spans="1:30" hidden="1" x14ac:dyDescent="0.25">
      <c r="A1046" s="2">
        <v>86</v>
      </c>
      <c r="B1046" t="s">
        <v>1649</v>
      </c>
      <c r="C1046">
        <v>12</v>
      </c>
      <c r="D1046">
        <v>130</v>
      </c>
      <c r="E1046">
        <v>663</v>
      </c>
      <c r="F1046" t="s">
        <v>273</v>
      </c>
      <c r="G1046" s="2" t="s">
        <v>156</v>
      </c>
      <c r="H1046">
        <v>4</v>
      </c>
      <c r="I1046">
        <v>32.44</v>
      </c>
      <c r="J1046" s="2" t="s">
        <v>170</v>
      </c>
      <c r="K1046" s="2" t="s">
        <v>74</v>
      </c>
      <c r="M1046" t="s">
        <v>1999</v>
      </c>
      <c r="P1046" s="19" t="s">
        <v>1573</v>
      </c>
      <c r="Q1046" s="19" t="s">
        <v>25</v>
      </c>
      <c r="S1046" s="19" t="s">
        <v>138</v>
      </c>
      <c r="W1046" s="20">
        <v>22</v>
      </c>
      <c r="X1046" s="65" t="s">
        <v>1572</v>
      </c>
      <c r="Z1046" t="s">
        <v>307</v>
      </c>
      <c r="AB1046" t="s">
        <v>178</v>
      </c>
      <c r="AC1046" t="s">
        <v>1661</v>
      </c>
      <c r="AD1046" s="2" t="s">
        <v>1662</v>
      </c>
    </row>
    <row r="1047" spans="1:30" hidden="1" x14ac:dyDescent="0.25">
      <c r="A1047" s="2">
        <v>87</v>
      </c>
      <c r="B1047" t="s">
        <v>1672</v>
      </c>
      <c r="C1047">
        <v>12</v>
      </c>
      <c r="D1047">
        <v>490</v>
      </c>
      <c r="E1047">
        <v>9980</v>
      </c>
      <c r="F1047" t="s">
        <v>273</v>
      </c>
      <c r="G1047" s="2" t="s">
        <v>156</v>
      </c>
      <c r="H1047">
        <v>1</v>
      </c>
      <c r="I1047">
        <v>460.46</v>
      </c>
      <c r="J1047" s="2" t="s">
        <v>170</v>
      </c>
      <c r="K1047" s="2" t="s">
        <v>74</v>
      </c>
      <c r="M1047" t="s">
        <v>1999</v>
      </c>
      <c r="P1047" s="19" t="s">
        <v>1573</v>
      </c>
      <c r="Q1047" s="19" t="s">
        <v>27</v>
      </c>
      <c r="S1047" s="19" t="s">
        <v>138</v>
      </c>
      <c r="W1047" s="20">
        <v>22</v>
      </c>
      <c r="X1047" s="65" t="s">
        <v>1572</v>
      </c>
      <c r="Z1047" t="s">
        <v>307</v>
      </c>
      <c r="AB1047" t="s">
        <v>178</v>
      </c>
      <c r="AC1047" t="s">
        <v>1661</v>
      </c>
      <c r="AD1047" s="2" t="s">
        <v>1662</v>
      </c>
    </row>
    <row r="1048" spans="1:30" hidden="1" x14ac:dyDescent="0.25">
      <c r="A1048" s="2">
        <v>88</v>
      </c>
      <c r="B1048" t="s">
        <v>1673</v>
      </c>
      <c r="C1048">
        <v>12</v>
      </c>
      <c r="D1048">
        <v>130</v>
      </c>
      <c r="E1048">
        <v>663</v>
      </c>
      <c r="F1048" t="s">
        <v>273</v>
      </c>
      <c r="G1048" s="2" t="s">
        <v>156</v>
      </c>
      <c r="H1048">
        <v>9</v>
      </c>
      <c r="I1048">
        <v>72.98</v>
      </c>
      <c r="J1048" s="2" t="s">
        <v>170</v>
      </c>
      <c r="K1048" s="2" t="s">
        <v>74</v>
      </c>
      <c r="M1048" t="s">
        <v>1999</v>
      </c>
      <c r="P1048" s="19" t="s">
        <v>1573</v>
      </c>
      <c r="Q1048" s="19" t="s">
        <v>25</v>
      </c>
      <c r="S1048" s="19" t="s">
        <v>138</v>
      </c>
      <c r="W1048" s="20">
        <v>22</v>
      </c>
      <c r="X1048" s="65" t="s">
        <v>1572</v>
      </c>
      <c r="Z1048" t="s">
        <v>307</v>
      </c>
      <c r="AB1048" t="s">
        <v>178</v>
      </c>
      <c r="AC1048" t="s">
        <v>1661</v>
      </c>
      <c r="AD1048" s="2" t="s">
        <v>1662</v>
      </c>
    </row>
    <row r="1049" spans="1:30" hidden="1" x14ac:dyDescent="0.25">
      <c r="A1049" s="2">
        <v>89</v>
      </c>
      <c r="B1049" t="s">
        <v>1674</v>
      </c>
      <c r="C1049">
        <v>12</v>
      </c>
      <c r="D1049">
        <v>95</v>
      </c>
      <c r="E1049">
        <v>263</v>
      </c>
      <c r="F1049" t="s">
        <v>273</v>
      </c>
      <c r="G1049" s="2" t="s">
        <v>156</v>
      </c>
      <c r="H1049">
        <v>2</v>
      </c>
      <c r="I1049">
        <v>4.68</v>
      </c>
      <c r="J1049" s="2" t="s">
        <v>170</v>
      </c>
      <c r="K1049" s="2" t="s">
        <v>74</v>
      </c>
      <c r="M1049" t="s">
        <v>1999</v>
      </c>
      <c r="P1049" s="19" t="s">
        <v>1573</v>
      </c>
      <c r="Q1049" s="19" t="s">
        <v>25</v>
      </c>
      <c r="S1049" s="19" t="s">
        <v>138</v>
      </c>
      <c r="W1049" s="20">
        <v>22</v>
      </c>
      <c r="X1049" s="65" t="s">
        <v>1572</v>
      </c>
      <c r="Z1049" t="s">
        <v>307</v>
      </c>
      <c r="AB1049" t="s">
        <v>178</v>
      </c>
      <c r="AC1049" t="s">
        <v>1661</v>
      </c>
      <c r="AD1049" s="2" t="s">
        <v>1662</v>
      </c>
    </row>
    <row r="1050" spans="1:30" hidden="1" x14ac:dyDescent="0.25">
      <c r="A1050" s="2">
        <v>90</v>
      </c>
      <c r="B1050" t="s">
        <v>1675</v>
      </c>
      <c r="C1050">
        <v>12</v>
      </c>
      <c r="D1050">
        <v>130</v>
      </c>
      <c r="E1050">
        <v>663</v>
      </c>
      <c r="F1050" t="s">
        <v>273</v>
      </c>
      <c r="G1050" s="2" t="s">
        <v>156</v>
      </c>
      <c r="H1050">
        <v>2</v>
      </c>
      <c r="I1050">
        <v>16.22</v>
      </c>
      <c r="J1050" s="2" t="s">
        <v>170</v>
      </c>
      <c r="K1050" s="2" t="s">
        <v>74</v>
      </c>
      <c r="M1050" t="s">
        <v>1999</v>
      </c>
      <c r="P1050" s="19" t="s">
        <v>1573</v>
      </c>
      <c r="Q1050" s="19" t="s">
        <v>25</v>
      </c>
      <c r="S1050" s="19" t="s">
        <v>138</v>
      </c>
      <c r="W1050" s="20">
        <v>22</v>
      </c>
      <c r="X1050" s="65" t="s">
        <v>1572</v>
      </c>
      <c r="Z1050" t="s">
        <v>307</v>
      </c>
      <c r="AB1050" t="s">
        <v>178</v>
      </c>
      <c r="AC1050" t="s">
        <v>1661</v>
      </c>
      <c r="AD1050" s="2" t="s">
        <v>1662</v>
      </c>
    </row>
    <row r="1051" spans="1:30" hidden="1" x14ac:dyDescent="0.25">
      <c r="A1051" s="2">
        <v>91</v>
      </c>
      <c r="B1051" t="s">
        <v>1607</v>
      </c>
      <c r="C1051">
        <v>12</v>
      </c>
      <c r="D1051">
        <v>116</v>
      </c>
      <c r="E1051">
        <v>144</v>
      </c>
      <c r="F1051" t="s">
        <v>273</v>
      </c>
      <c r="G1051" s="2" t="s">
        <v>156</v>
      </c>
      <c r="H1051">
        <v>11</v>
      </c>
      <c r="I1051">
        <v>14.56</v>
      </c>
      <c r="J1051" s="2" t="s">
        <v>170</v>
      </c>
      <c r="K1051" s="2" t="s">
        <v>74</v>
      </c>
      <c r="M1051" t="s">
        <v>1999</v>
      </c>
      <c r="P1051" s="19" t="s">
        <v>1573</v>
      </c>
      <c r="Q1051" s="19" t="s">
        <v>25</v>
      </c>
      <c r="S1051" s="19" t="s">
        <v>138</v>
      </c>
      <c r="W1051" s="20">
        <v>22</v>
      </c>
      <c r="X1051" s="65" t="s">
        <v>1572</v>
      </c>
      <c r="Z1051" t="s">
        <v>307</v>
      </c>
      <c r="AB1051" t="s">
        <v>178</v>
      </c>
      <c r="AC1051" t="s">
        <v>1677</v>
      </c>
      <c r="AD1051" s="2" t="s">
        <v>1678</v>
      </c>
    </row>
    <row r="1052" spans="1:30" hidden="1" x14ac:dyDescent="0.25">
      <c r="A1052" s="2">
        <v>92</v>
      </c>
      <c r="B1052" t="s">
        <v>1680</v>
      </c>
      <c r="C1052">
        <v>12</v>
      </c>
      <c r="D1052">
        <v>490</v>
      </c>
      <c r="E1052">
        <v>6464</v>
      </c>
      <c r="F1052" t="s">
        <v>273</v>
      </c>
      <c r="G1052" s="2" t="s">
        <v>156</v>
      </c>
      <c r="H1052">
        <v>1</v>
      </c>
      <c r="I1052">
        <v>298.26</v>
      </c>
      <c r="J1052" s="2" t="s">
        <v>170</v>
      </c>
      <c r="K1052" s="2" t="s">
        <v>74</v>
      </c>
      <c r="M1052" t="s">
        <v>1999</v>
      </c>
      <c r="P1052" s="19" t="s">
        <v>1573</v>
      </c>
      <c r="Q1052" s="19" t="s">
        <v>27</v>
      </c>
      <c r="S1052" s="19" t="s">
        <v>138</v>
      </c>
      <c r="W1052" s="20">
        <v>22</v>
      </c>
      <c r="X1052" s="65" t="s">
        <v>1572</v>
      </c>
      <c r="Z1052" t="s">
        <v>307</v>
      </c>
      <c r="AB1052" t="s">
        <v>178</v>
      </c>
      <c r="AC1052" t="s">
        <v>1677</v>
      </c>
      <c r="AD1052" s="2" t="s">
        <v>1678</v>
      </c>
    </row>
    <row r="1053" spans="1:30" hidden="1" x14ac:dyDescent="0.25">
      <c r="A1053" s="2">
        <v>93</v>
      </c>
      <c r="B1053" t="s">
        <v>1681</v>
      </c>
      <c r="C1053">
        <v>12</v>
      </c>
      <c r="D1053">
        <v>490</v>
      </c>
      <c r="E1053">
        <v>6464</v>
      </c>
      <c r="F1053" t="s">
        <v>273</v>
      </c>
      <c r="G1053" s="2" t="s">
        <v>156</v>
      </c>
      <c r="H1053">
        <v>1</v>
      </c>
      <c r="I1053">
        <v>298.16000000000003</v>
      </c>
      <c r="J1053" s="2" t="s">
        <v>170</v>
      </c>
      <c r="K1053" s="2" t="s">
        <v>74</v>
      </c>
      <c r="M1053" t="s">
        <v>1999</v>
      </c>
      <c r="P1053" s="19" t="s">
        <v>1573</v>
      </c>
      <c r="Q1053" s="19" t="s">
        <v>27</v>
      </c>
      <c r="S1053" s="19" t="s">
        <v>138</v>
      </c>
      <c r="W1053" s="20">
        <v>22</v>
      </c>
      <c r="X1053" s="65" t="s">
        <v>1572</v>
      </c>
      <c r="Z1053" t="s">
        <v>307</v>
      </c>
      <c r="AB1053" t="s">
        <v>178</v>
      </c>
      <c r="AC1053" t="s">
        <v>1677</v>
      </c>
      <c r="AD1053" s="2" t="s">
        <v>1678</v>
      </c>
    </row>
    <row r="1054" spans="1:30" hidden="1" x14ac:dyDescent="0.25">
      <c r="A1054" s="2">
        <v>94</v>
      </c>
      <c r="B1054" t="s">
        <v>1682</v>
      </c>
      <c r="C1054">
        <v>12</v>
      </c>
      <c r="D1054">
        <v>135</v>
      </c>
      <c r="E1054">
        <v>488</v>
      </c>
      <c r="F1054" t="s">
        <v>273</v>
      </c>
      <c r="G1054" s="2" t="s">
        <v>156</v>
      </c>
      <c r="H1054">
        <v>12</v>
      </c>
      <c r="I1054">
        <v>74.28</v>
      </c>
      <c r="J1054" s="2" t="s">
        <v>170</v>
      </c>
      <c r="K1054" s="2" t="s">
        <v>74</v>
      </c>
      <c r="M1054" t="s">
        <v>1999</v>
      </c>
      <c r="P1054" s="19" t="s">
        <v>1573</v>
      </c>
      <c r="Q1054" s="19" t="s">
        <v>25</v>
      </c>
      <c r="S1054" s="19" t="s">
        <v>138</v>
      </c>
      <c r="W1054" s="20">
        <v>22</v>
      </c>
      <c r="X1054" s="65" t="s">
        <v>1572</v>
      </c>
      <c r="Z1054" t="s">
        <v>307</v>
      </c>
      <c r="AB1054" t="s">
        <v>178</v>
      </c>
      <c r="AC1054" t="s">
        <v>1677</v>
      </c>
      <c r="AD1054" s="2" t="s">
        <v>1678</v>
      </c>
    </row>
    <row r="1055" spans="1:30" hidden="1" x14ac:dyDescent="0.25">
      <c r="A1055" s="2">
        <v>95</v>
      </c>
      <c r="B1055" t="s">
        <v>1683</v>
      </c>
      <c r="C1055">
        <v>12</v>
      </c>
      <c r="D1055">
        <v>135</v>
      </c>
      <c r="E1055">
        <v>488</v>
      </c>
      <c r="F1055" t="s">
        <v>273</v>
      </c>
      <c r="G1055" s="2" t="s">
        <v>156</v>
      </c>
      <c r="H1055">
        <v>12</v>
      </c>
      <c r="I1055">
        <v>74.28</v>
      </c>
      <c r="J1055" s="2" t="s">
        <v>170</v>
      </c>
      <c r="K1055" s="2" t="s">
        <v>74</v>
      </c>
      <c r="M1055" t="s">
        <v>1999</v>
      </c>
      <c r="P1055" s="19" t="s">
        <v>1573</v>
      </c>
      <c r="Q1055" s="19" t="s">
        <v>25</v>
      </c>
      <c r="S1055" s="19" t="s">
        <v>138</v>
      </c>
      <c r="W1055" s="20">
        <v>22</v>
      </c>
      <c r="X1055" s="65" t="s">
        <v>1572</v>
      </c>
      <c r="Z1055" t="s">
        <v>307</v>
      </c>
      <c r="AB1055" t="s">
        <v>178</v>
      </c>
      <c r="AC1055" t="s">
        <v>1677</v>
      </c>
      <c r="AD1055" s="2" t="s">
        <v>1678</v>
      </c>
    </row>
    <row r="1056" spans="1:30" hidden="1" x14ac:dyDescent="0.25">
      <c r="A1056" s="2">
        <v>96</v>
      </c>
      <c r="B1056" t="s">
        <v>1684</v>
      </c>
      <c r="C1056">
        <v>12</v>
      </c>
      <c r="D1056">
        <v>135</v>
      </c>
      <c r="E1056">
        <v>488</v>
      </c>
      <c r="F1056" t="s">
        <v>273</v>
      </c>
      <c r="G1056" s="2" t="s">
        <v>156</v>
      </c>
      <c r="H1056">
        <v>10</v>
      </c>
      <c r="I1056">
        <v>61.9</v>
      </c>
      <c r="J1056" s="2" t="s">
        <v>170</v>
      </c>
      <c r="K1056" s="2" t="s">
        <v>74</v>
      </c>
      <c r="M1056" t="s">
        <v>1999</v>
      </c>
      <c r="P1056" s="19" t="s">
        <v>1573</v>
      </c>
      <c r="Q1056" s="19" t="s">
        <v>25</v>
      </c>
      <c r="S1056" s="19" t="s">
        <v>138</v>
      </c>
      <c r="W1056" s="20">
        <v>22</v>
      </c>
      <c r="X1056" s="65" t="s">
        <v>1572</v>
      </c>
      <c r="Z1056" t="s">
        <v>307</v>
      </c>
      <c r="AB1056" t="s">
        <v>178</v>
      </c>
      <c r="AC1056" t="s">
        <v>1677</v>
      </c>
      <c r="AD1056" s="2" t="s">
        <v>1678</v>
      </c>
    </row>
    <row r="1057" spans="1:30" hidden="1" x14ac:dyDescent="0.25">
      <c r="A1057" s="2">
        <v>97</v>
      </c>
      <c r="B1057" t="s">
        <v>1685</v>
      </c>
      <c r="C1057">
        <v>12</v>
      </c>
      <c r="D1057">
        <v>100</v>
      </c>
      <c r="E1057">
        <v>150</v>
      </c>
      <c r="F1057" t="s">
        <v>273</v>
      </c>
      <c r="G1057" s="2" t="s">
        <v>156</v>
      </c>
      <c r="H1057">
        <v>1</v>
      </c>
      <c r="I1057">
        <v>1.41</v>
      </c>
      <c r="J1057" s="2" t="s">
        <v>170</v>
      </c>
      <c r="K1057" s="2" t="s">
        <v>74</v>
      </c>
      <c r="M1057" t="s">
        <v>1999</v>
      </c>
      <c r="P1057" s="19" t="s">
        <v>1573</v>
      </c>
      <c r="Q1057" s="19" t="s">
        <v>25</v>
      </c>
      <c r="S1057" s="19" t="s">
        <v>138</v>
      </c>
      <c r="W1057" s="20">
        <v>22</v>
      </c>
      <c r="X1057" s="65" t="s">
        <v>1572</v>
      </c>
      <c r="Z1057" t="s">
        <v>307</v>
      </c>
      <c r="AB1057" t="s">
        <v>178</v>
      </c>
      <c r="AC1057" t="s">
        <v>1677</v>
      </c>
      <c r="AD1057" s="2" t="s">
        <v>1678</v>
      </c>
    </row>
    <row r="1058" spans="1:30" hidden="1" x14ac:dyDescent="0.25">
      <c r="A1058" s="2">
        <v>98</v>
      </c>
      <c r="B1058" t="s">
        <v>1686</v>
      </c>
      <c r="C1058">
        <v>12</v>
      </c>
      <c r="D1058">
        <v>100</v>
      </c>
      <c r="E1058">
        <v>150</v>
      </c>
      <c r="F1058" t="s">
        <v>273</v>
      </c>
      <c r="G1058" s="2" t="s">
        <v>156</v>
      </c>
      <c r="H1058">
        <v>1</v>
      </c>
      <c r="I1058">
        <v>1.41</v>
      </c>
      <c r="J1058" s="2" t="s">
        <v>170</v>
      </c>
      <c r="K1058" s="2" t="s">
        <v>74</v>
      </c>
      <c r="M1058" t="s">
        <v>1999</v>
      </c>
      <c r="P1058" s="19" t="s">
        <v>1573</v>
      </c>
      <c r="Q1058" s="19" t="s">
        <v>25</v>
      </c>
      <c r="S1058" s="19" t="s">
        <v>138</v>
      </c>
      <c r="W1058" s="20">
        <v>22</v>
      </c>
      <c r="X1058" s="65" t="s">
        <v>1572</v>
      </c>
      <c r="Z1058" t="s">
        <v>307</v>
      </c>
      <c r="AB1058" t="s">
        <v>178</v>
      </c>
      <c r="AC1058" t="s">
        <v>1677</v>
      </c>
      <c r="AD1058" s="2" t="s">
        <v>1678</v>
      </c>
    </row>
    <row r="1059" spans="1:30" hidden="1" x14ac:dyDescent="0.25">
      <c r="A1059" s="2">
        <v>99</v>
      </c>
      <c r="B1059" t="s">
        <v>1687</v>
      </c>
      <c r="C1059">
        <v>12</v>
      </c>
      <c r="D1059">
        <v>100</v>
      </c>
      <c r="E1059">
        <v>150</v>
      </c>
      <c r="F1059" t="s">
        <v>273</v>
      </c>
      <c r="G1059" s="2" t="s">
        <v>156</v>
      </c>
      <c r="H1059">
        <v>1</v>
      </c>
      <c r="I1059">
        <v>1.41</v>
      </c>
      <c r="J1059" s="2" t="s">
        <v>170</v>
      </c>
      <c r="K1059" s="2" t="s">
        <v>74</v>
      </c>
      <c r="M1059" t="s">
        <v>1999</v>
      </c>
      <c r="P1059" s="19" t="s">
        <v>1573</v>
      </c>
      <c r="Q1059" s="19" t="s">
        <v>25</v>
      </c>
      <c r="S1059" s="19" t="s">
        <v>138</v>
      </c>
      <c r="W1059" s="20">
        <v>22</v>
      </c>
      <c r="X1059" s="65" t="s">
        <v>1572</v>
      </c>
      <c r="Z1059" t="s">
        <v>307</v>
      </c>
      <c r="AB1059" t="s">
        <v>178</v>
      </c>
      <c r="AC1059" t="s">
        <v>1677</v>
      </c>
      <c r="AD1059" s="2" t="s">
        <v>1678</v>
      </c>
    </row>
    <row r="1060" spans="1:30" hidden="1" x14ac:dyDescent="0.25">
      <c r="A1060" s="2">
        <v>100</v>
      </c>
      <c r="B1060" t="s">
        <v>1674</v>
      </c>
      <c r="C1060">
        <v>12</v>
      </c>
      <c r="D1060">
        <v>95</v>
      </c>
      <c r="E1060">
        <v>263</v>
      </c>
      <c r="F1060" t="s">
        <v>273</v>
      </c>
      <c r="G1060" s="2" t="s">
        <v>156</v>
      </c>
      <c r="H1060">
        <v>6</v>
      </c>
      <c r="I1060">
        <v>14.03</v>
      </c>
      <c r="J1060" s="2" t="s">
        <v>170</v>
      </c>
      <c r="K1060" s="2" t="s">
        <v>74</v>
      </c>
      <c r="M1060" t="s">
        <v>1999</v>
      </c>
      <c r="P1060" s="19" t="s">
        <v>1573</v>
      </c>
      <c r="Q1060" s="19" t="s">
        <v>25</v>
      </c>
      <c r="S1060" s="19" t="s">
        <v>138</v>
      </c>
      <c r="W1060" s="20">
        <v>22</v>
      </c>
      <c r="X1060" s="65" t="s">
        <v>1572</v>
      </c>
      <c r="Z1060" t="s">
        <v>307</v>
      </c>
      <c r="AB1060" t="s">
        <v>178</v>
      </c>
      <c r="AC1060" t="s">
        <v>1677</v>
      </c>
      <c r="AD1060" s="2" t="s">
        <v>1678</v>
      </c>
    </row>
    <row r="1061" spans="1:30" hidden="1" x14ac:dyDescent="0.25">
      <c r="A1061" s="2">
        <v>101</v>
      </c>
      <c r="B1061" t="s">
        <v>1675</v>
      </c>
      <c r="C1061">
        <v>12</v>
      </c>
      <c r="D1061">
        <v>130</v>
      </c>
      <c r="E1061">
        <v>663</v>
      </c>
      <c r="F1061" t="s">
        <v>273</v>
      </c>
      <c r="G1061" s="2" t="s">
        <v>156</v>
      </c>
      <c r="H1061">
        <v>7</v>
      </c>
      <c r="I1061">
        <v>56.77</v>
      </c>
      <c r="J1061" s="2" t="s">
        <v>170</v>
      </c>
      <c r="K1061" s="2" t="s">
        <v>74</v>
      </c>
      <c r="M1061" t="s">
        <v>1999</v>
      </c>
      <c r="P1061" s="19" t="s">
        <v>1573</v>
      </c>
      <c r="Q1061" s="19" t="s">
        <v>25</v>
      </c>
      <c r="S1061" s="19" t="s">
        <v>138</v>
      </c>
      <c r="W1061" s="20">
        <v>22</v>
      </c>
      <c r="X1061" s="65" t="s">
        <v>1572</v>
      </c>
      <c r="Z1061" t="s">
        <v>307</v>
      </c>
      <c r="AB1061" t="s">
        <v>178</v>
      </c>
      <c r="AC1061" t="s">
        <v>1677</v>
      </c>
      <c r="AD1061" s="2" t="s">
        <v>1678</v>
      </c>
    </row>
    <row r="1062" spans="1:30" hidden="1" x14ac:dyDescent="0.25">
      <c r="A1062" s="2">
        <v>102</v>
      </c>
      <c r="B1062" t="s">
        <v>1607</v>
      </c>
      <c r="C1062">
        <v>12</v>
      </c>
      <c r="D1062">
        <v>116</v>
      </c>
      <c r="E1062">
        <v>144</v>
      </c>
      <c r="F1062" t="s">
        <v>273</v>
      </c>
      <c r="G1062" s="2" t="s">
        <v>156</v>
      </c>
      <c r="H1062">
        <v>8</v>
      </c>
      <c r="I1062">
        <v>10.59</v>
      </c>
      <c r="J1062" s="2" t="s">
        <v>170</v>
      </c>
      <c r="K1062" s="2" t="s">
        <v>74</v>
      </c>
      <c r="M1062" t="s">
        <v>1999</v>
      </c>
      <c r="P1062" s="19" t="s">
        <v>1573</v>
      </c>
      <c r="Q1062" s="19" t="s">
        <v>25</v>
      </c>
      <c r="S1062" s="19" t="s">
        <v>138</v>
      </c>
      <c r="W1062" s="20">
        <v>22</v>
      </c>
      <c r="X1062" s="65" t="s">
        <v>1572</v>
      </c>
      <c r="Z1062" t="s">
        <v>307</v>
      </c>
      <c r="AB1062" t="s">
        <v>178</v>
      </c>
      <c r="AC1062" t="s">
        <v>1688</v>
      </c>
      <c r="AD1062" s="2" t="s">
        <v>1689</v>
      </c>
    </row>
    <row r="1063" spans="1:30" hidden="1" x14ac:dyDescent="0.25">
      <c r="A1063" s="2">
        <v>103</v>
      </c>
      <c r="B1063" t="s">
        <v>1691</v>
      </c>
      <c r="C1063">
        <v>12</v>
      </c>
      <c r="D1063">
        <v>116</v>
      </c>
      <c r="E1063">
        <v>144</v>
      </c>
      <c r="F1063" t="s">
        <v>273</v>
      </c>
      <c r="G1063" s="2" t="s">
        <v>156</v>
      </c>
      <c r="H1063">
        <v>8</v>
      </c>
      <c r="I1063">
        <v>10.59</v>
      </c>
      <c r="J1063" s="2" t="s">
        <v>170</v>
      </c>
      <c r="K1063" s="2" t="s">
        <v>74</v>
      </c>
      <c r="M1063" t="s">
        <v>1999</v>
      </c>
      <c r="P1063" s="19" t="s">
        <v>1573</v>
      </c>
      <c r="Q1063" s="19" t="s">
        <v>25</v>
      </c>
      <c r="S1063" s="19" t="s">
        <v>138</v>
      </c>
      <c r="W1063" s="20">
        <v>22</v>
      </c>
      <c r="X1063" s="65" t="s">
        <v>1572</v>
      </c>
      <c r="Z1063" t="s">
        <v>307</v>
      </c>
      <c r="AB1063" t="s">
        <v>178</v>
      </c>
      <c r="AC1063" t="s">
        <v>1688</v>
      </c>
      <c r="AD1063" s="2" t="s">
        <v>1689</v>
      </c>
    </row>
    <row r="1064" spans="1:30" hidden="1" x14ac:dyDescent="0.25">
      <c r="A1064" s="2">
        <v>104</v>
      </c>
      <c r="B1064" t="s">
        <v>1684</v>
      </c>
      <c r="C1064">
        <v>12</v>
      </c>
      <c r="D1064">
        <v>135</v>
      </c>
      <c r="E1064">
        <v>488</v>
      </c>
      <c r="F1064" t="s">
        <v>273</v>
      </c>
      <c r="G1064" s="2" t="s">
        <v>156</v>
      </c>
      <c r="H1064">
        <v>2</v>
      </c>
      <c r="I1064">
        <v>12.38</v>
      </c>
      <c r="J1064" s="2" t="s">
        <v>170</v>
      </c>
      <c r="K1064" s="2" t="s">
        <v>74</v>
      </c>
      <c r="M1064" t="s">
        <v>1999</v>
      </c>
      <c r="P1064" s="19" t="s">
        <v>1573</v>
      </c>
      <c r="Q1064" s="19" t="s">
        <v>25</v>
      </c>
      <c r="S1064" s="19" t="s">
        <v>138</v>
      </c>
      <c r="W1064" s="20">
        <v>22</v>
      </c>
      <c r="X1064" s="65" t="s">
        <v>1572</v>
      </c>
      <c r="Z1064" t="s">
        <v>307</v>
      </c>
      <c r="AB1064" t="s">
        <v>178</v>
      </c>
      <c r="AC1064" t="s">
        <v>1688</v>
      </c>
      <c r="AD1064" s="2" t="s">
        <v>1689</v>
      </c>
    </row>
    <row r="1065" spans="1:30" hidden="1" x14ac:dyDescent="0.25">
      <c r="A1065" s="2">
        <v>105</v>
      </c>
      <c r="B1065" t="s">
        <v>1692</v>
      </c>
      <c r="C1065">
        <v>12</v>
      </c>
      <c r="D1065">
        <v>135</v>
      </c>
      <c r="E1065">
        <v>488</v>
      </c>
      <c r="F1065" t="s">
        <v>273</v>
      </c>
      <c r="G1065" s="2" t="s">
        <v>156</v>
      </c>
      <c r="H1065">
        <v>17</v>
      </c>
      <c r="I1065">
        <v>105.23</v>
      </c>
      <c r="J1065" s="2" t="s">
        <v>170</v>
      </c>
      <c r="K1065" s="2" t="s">
        <v>74</v>
      </c>
      <c r="M1065" t="s">
        <v>1999</v>
      </c>
      <c r="P1065" s="19" t="s">
        <v>1573</v>
      </c>
      <c r="Q1065" s="19" t="s">
        <v>25</v>
      </c>
      <c r="S1065" s="19" t="s">
        <v>138</v>
      </c>
      <c r="W1065" s="20">
        <v>22</v>
      </c>
      <c r="X1065" s="65" t="s">
        <v>1572</v>
      </c>
      <c r="Z1065" t="s">
        <v>307</v>
      </c>
      <c r="AB1065" t="s">
        <v>178</v>
      </c>
      <c r="AC1065" t="s">
        <v>1688</v>
      </c>
      <c r="AD1065" s="2" t="s">
        <v>1689</v>
      </c>
    </row>
    <row r="1066" spans="1:30" hidden="1" x14ac:dyDescent="0.25">
      <c r="A1066" s="2">
        <v>106</v>
      </c>
      <c r="B1066" t="s">
        <v>1693</v>
      </c>
      <c r="C1066">
        <v>12</v>
      </c>
      <c r="D1066">
        <v>135</v>
      </c>
      <c r="E1066">
        <v>488</v>
      </c>
      <c r="F1066" t="s">
        <v>273</v>
      </c>
      <c r="G1066" s="2" t="s">
        <v>156</v>
      </c>
      <c r="H1066">
        <v>17</v>
      </c>
      <c r="I1066">
        <v>105.23</v>
      </c>
      <c r="J1066" s="2" t="s">
        <v>170</v>
      </c>
      <c r="K1066" s="2" t="s">
        <v>74</v>
      </c>
      <c r="M1066" t="s">
        <v>1999</v>
      </c>
      <c r="P1066" s="19" t="s">
        <v>1573</v>
      </c>
      <c r="Q1066" s="19" t="s">
        <v>25</v>
      </c>
      <c r="S1066" s="19" t="s">
        <v>138</v>
      </c>
      <c r="W1066" s="20">
        <v>22</v>
      </c>
      <c r="X1066" s="65" t="s">
        <v>1572</v>
      </c>
      <c r="Z1066" t="s">
        <v>307</v>
      </c>
      <c r="AB1066" t="s">
        <v>178</v>
      </c>
      <c r="AC1066" t="s">
        <v>1688</v>
      </c>
      <c r="AD1066" s="2" t="s">
        <v>1689</v>
      </c>
    </row>
    <row r="1067" spans="1:30" hidden="1" x14ac:dyDescent="0.25">
      <c r="A1067" s="2">
        <v>107</v>
      </c>
      <c r="B1067" t="s">
        <v>1694</v>
      </c>
      <c r="C1067">
        <v>12</v>
      </c>
      <c r="D1067">
        <v>135</v>
      </c>
      <c r="E1067">
        <v>488</v>
      </c>
      <c r="F1067" t="s">
        <v>273</v>
      </c>
      <c r="G1067" s="2" t="s">
        <v>156</v>
      </c>
      <c r="H1067">
        <v>16</v>
      </c>
      <c r="I1067">
        <v>99.04</v>
      </c>
      <c r="J1067" s="2" t="s">
        <v>170</v>
      </c>
      <c r="K1067" s="2" t="s">
        <v>74</v>
      </c>
      <c r="M1067" t="s">
        <v>1999</v>
      </c>
      <c r="P1067" s="19" t="s">
        <v>1573</v>
      </c>
      <c r="Q1067" s="19" t="s">
        <v>25</v>
      </c>
      <c r="S1067" s="19" t="s">
        <v>138</v>
      </c>
      <c r="W1067" s="20">
        <v>22</v>
      </c>
      <c r="X1067" s="65" t="s">
        <v>1572</v>
      </c>
      <c r="Z1067" t="s">
        <v>307</v>
      </c>
      <c r="AB1067" t="s">
        <v>178</v>
      </c>
      <c r="AC1067" t="s">
        <v>1688</v>
      </c>
      <c r="AD1067" s="2" t="s">
        <v>1689</v>
      </c>
    </row>
    <row r="1068" spans="1:30" hidden="1" x14ac:dyDescent="0.25">
      <c r="A1068" s="2">
        <v>108</v>
      </c>
      <c r="B1068" t="s">
        <v>1695</v>
      </c>
      <c r="C1068">
        <v>12</v>
      </c>
      <c r="D1068">
        <v>135</v>
      </c>
      <c r="E1068">
        <v>488</v>
      </c>
      <c r="F1068" t="s">
        <v>273</v>
      </c>
      <c r="G1068" s="2" t="s">
        <v>156</v>
      </c>
      <c r="H1068">
        <v>16</v>
      </c>
      <c r="I1068">
        <v>99.04</v>
      </c>
      <c r="J1068" s="2" t="s">
        <v>170</v>
      </c>
      <c r="K1068" s="2" t="s">
        <v>74</v>
      </c>
      <c r="M1068" t="s">
        <v>1999</v>
      </c>
      <c r="P1068" s="19" t="s">
        <v>1573</v>
      </c>
      <c r="Q1068" s="19" t="s">
        <v>25</v>
      </c>
      <c r="S1068" s="19" t="s">
        <v>138</v>
      </c>
      <c r="W1068" s="20">
        <v>22</v>
      </c>
      <c r="X1068" s="65" t="s">
        <v>1572</v>
      </c>
      <c r="Z1068" t="s">
        <v>307</v>
      </c>
      <c r="AB1068" t="s">
        <v>178</v>
      </c>
      <c r="AC1068" t="s">
        <v>1688</v>
      </c>
      <c r="AD1068" s="2" t="s">
        <v>1689</v>
      </c>
    </row>
    <row r="1069" spans="1:30" hidden="1" x14ac:dyDescent="0.25">
      <c r="A1069" s="2">
        <v>109</v>
      </c>
      <c r="B1069" t="s">
        <v>1696</v>
      </c>
      <c r="C1069">
        <v>12</v>
      </c>
      <c r="D1069">
        <v>135</v>
      </c>
      <c r="E1069">
        <v>488</v>
      </c>
      <c r="F1069" t="s">
        <v>273</v>
      </c>
      <c r="G1069" s="2" t="s">
        <v>156</v>
      </c>
      <c r="H1069">
        <v>3</v>
      </c>
      <c r="I1069">
        <v>18.57</v>
      </c>
      <c r="J1069" s="2" t="s">
        <v>170</v>
      </c>
      <c r="K1069" s="2" t="s">
        <v>74</v>
      </c>
      <c r="M1069" t="s">
        <v>1999</v>
      </c>
      <c r="P1069" s="19" t="s">
        <v>1573</v>
      </c>
      <c r="Q1069" s="19" t="s">
        <v>25</v>
      </c>
      <c r="S1069" s="19" t="s">
        <v>138</v>
      </c>
      <c r="W1069" s="20">
        <v>22</v>
      </c>
      <c r="X1069" s="65" t="s">
        <v>1572</v>
      </c>
      <c r="Z1069" t="s">
        <v>307</v>
      </c>
      <c r="AB1069" t="s">
        <v>178</v>
      </c>
      <c r="AC1069" t="s">
        <v>1688</v>
      </c>
      <c r="AD1069" s="2" t="s">
        <v>1689</v>
      </c>
    </row>
    <row r="1070" spans="1:30" hidden="1" x14ac:dyDescent="0.25">
      <c r="A1070" s="2">
        <v>110</v>
      </c>
      <c r="B1070" t="s">
        <v>1697</v>
      </c>
      <c r="C1070">
        <v>12</v>
      </c>
      <c r="D1070">
        <v>135</v>
      </c>
      <c r="E1070">
        <v>488</v>
      </c>
      <c r="F1070" t="s">
        <v>273</v>
      </c>
      <c r="G1070" s="2" t="s">
        <v>156</v>
      </c>
      <c r="H1070">
        <v>4</v>
      </c>
      <c r="I1070">
        <v>24.76</v>
      </c>
      <c r="J1070" s="2" t="s">
        <v>170</v>
      </c>
      <c r="K1070" s="2" t="s">
        <v>74</v>
      </c>
      <c r="M1070" t="s">
        <v>1999</v>
      </c>
      <c r="P1070" s="19" t="s">
        <v>1573</v>
      </c>
      <c r="Q1070" s="19" t="s">
        <v>25</v>
      </c>
      <c r="S1070" s="19" t="s">
        <v>138</v>
      </c>
      <c r="W1070" s="20">
        <v>22</v>
      </c>
      <c r="X1070" s="65" t="s">
        <v>1572</v>
      </c>
      <c r="Z1070" t="s">
        <v>307</v>
      </c>
      <c r="AB1070" t="s">
        <v>178</v>
      </c>
      <c r="AC1070" t="s">
        <v>1688</v>
      </c>
      <c r="AD1070" s="2" t="s">
        <v>1689</v>
      </c>
    </row>
    <row r="1071" spans="1:30" hidden="1" x14ac:dyDescent="0.25">
      <c r="A1071" s="2">
        <v>111</v>
      </c>
      <c r="B1071" t="s">
        <v>1698</v>
      </c>
      <c r="C1071">
        <v>12</v>
      </c>
      <c r="D1071">
        <v>490</v>
      </c>
      <c r="E1071">
        <v>1514</v>
      </c>
      <c r="F1071" t="s">
        <v>273</v>
      </c>
      <c r="G1071" s="2" t="s">
        <v>156</v>
      </c>
      <c r="H1071">
        <v>1</v>
      </c>
      <c r="I1071">
        <v>69.78</v>
      </c>
      <c r="J1071" s="2" t="s">
        <v>170</v>
      </c>
      <c r="K1071" s="2" t="s">
        <v>74</v>
      </c>
      <c r="M1071" t="s">
        <v>1999</v>
      </c>
      <c r="P1071" s="19" t="s">
        <v>1573</v>
      </c>
      <c r="Q1071" s="19" t="s">
        <v>27</v>
      </c>
      <c r="S1071" s="19" t="s">
        <v>138</v>
      </c>
      <c r="W1071" s="20">
        <v>22</v>
      </c>
      <c r="X1071" s="65" t="s">
        <v>1572</v>
      </c>
      <c r="Z1071" t="s">
        <v>307</v>
      </c>
      <c r="AB1071" t="s">
        <v>178</v>
      </c>
      <c r="AC1071" t="s">
        <v>1688</v>
      </c>
      <c r="AD1071" s="2" t="s">
        <v>1689</v>
      </c>
    </row>
    <row r="1072" spans="1:30" hidden="1" x14ac:dyDescent="0.25">
      <c r="A1072" s="2">
        <v>112</v>
      </c>
      <c r="B1072" t="s">
        <v>1699</v>
      </c>
      <c r="C1072">
        <v>12</v>
      </c>
      <c r="D1072">
        <v>100</v>
      </c>
      <c r="E1072">
        <v>150</v>
      </c>
      <c r="F1072" t="s">
        <v>273</v>
      </c>
      <c r="G1072" s="2" t="s">
        <v>156</v>
      </c>
      <c r="H1072">
        <v>1</v>
      </c>
      <c r="I1072">
        <v>1.41</v>
      </c>
      <c r="J1072" s="2" t="s">
        <v>170</v>
      </c>
      <c r="K1072" s="2" t="s">
        <v>74</v>
      </c>
      <c r="M1072" t="s">
        <v>1999</v>
      </c>
      <c r="P1072" s="19" t="s">
        <v>1573</v>
      </c>
      <c r="Q1072" s="19" t="s">
        <v>25</v>
      </c>
      <c r="S1072" s="19" t="s">
        <v>138</v>
      </c>
      <c r="W1072" s="20">
        <v>22</v>
      </c>
      <c r="X1072" s="65" t="s">
        <v>1572</v>
      </c>
      <c r="Z1072" t="s">
        <v>307</v>
      </c>
      <c r="AB1072" t="s">
        <v>178</v>
      </c>
      <c r="AC1072" t="s">
        <v>1688</v>
      </c>
      <c r="AD1072" s="2" t="s">
        <v>1689</v>
      </c>
    </row>
    <row r="1073" spans="1:30" hidden="1" x14ac:dyDescent="0.25">
      <c r="A1073" s="2">
        <v>113</v>
      </c>
      <c r="B1073" t="s">
        <v>1700</v>
      </c>
      <c r="C1073">
        <v>12</v>
      </c>
      <c r="D1073">
        <v>100</v>
      </c>
      <c r="E1073">
        <v>150</v>
      </c>
      <c r="F1073" t="s">
        <v>273</v>
      </c>
      <c r="G1073" s="2" t="s">
        <v>156</v>
      </c>
      <c r="H1073">
        <v>1</v>
      </c>
      <c r="I1073">
        <v>1.41</v>
      </c>
      <c r="J1073" s="2" t="s">
        <v>170</v>
      </c>
      <c r="K1073" s="2" t="s">
        <v>74</v>
      </c>
      <c r="M1073" t="s">
        <v>1999</v>
      </c>
      <c r="P1073" s="19" t="s">
        <v>1573</v>
      </c>
      <c r="Q1073" s="19" t="s">
        <v>25</v>
      </c>
      <c r="S1073" s="19" t="s">
        <v>138</v>
      </c>
      <c r="W1073" s="20">
        <v>22</v>
      </c>
      <c r="X1073" s="65" t="s">
        <v>1572</v>
      </c>
      <c r="Z1073" t="s">
        <v>307</v>
      </c>
      <c r="AB1073" t="s">
        <v>178</v>
      </c>
      <c r="AC1073" t="s">
        <v>1688</v>
      </c>
      <c r="AD1073" s="2" t="s">
        <v>1689</v>
      </c>
    </row>
    <row r="1074" spans="1:30" hidden="1" x14ac:dyDescent="0.25">
      <c r="A1074" s="2">
        <v>114</v>
      </c>
      <c r="B1074" t="s">
        <v>1701</v>
      </c>
      <c r="C1074">
        <v>12</v>
      </c>
      <c r="D1074">
        <v>100</v>
      </c>
      <c r="E1074">
        <v>150</v>
      </c>
      <c r="F1074" t="s">
        <v>273</v>
      </c>
      <c r="G1074" s="2" t="s">
        <v>156</v>
      </c>
      <c r="H1074">
        <v>1</v>
      </c>
      <c r="I1074">
        <v>1.41</v>
      </c>
      <c r="J1074" s="2" t="s">
        <v>170</v>
      </c>
      <c r="K1074" s="2" t="s">
        <v>74</v>
      </c>
      <c r="M1074" t="s">
        <v>1999</v>
      </c>
      <c r="P1074" s="19" t="s">
        <v>1573</v>
      </c>
      <c r="Q1074" s="19" t="s">
        <v>25</v>
      </c>
      <c r="S1074" s="19" t="s">
        <v>138</v>
      </c>
      <c r="W1074" s="20">
        <v>22</v>
      </c>
      <c r="X1074" s="65" t="s">
        <v>1572</v>
      </c>
      <c r="Z1074" t="s">
        <v>307</v>
      </c>
      <c r="AB1074" t="s">
        <v>178</v>
      </c>
      <c r="AC1074" t="s">
        <v>1688</v>
      </c>
      <c r="AD1074" s="2" t="s">
        <v>1689</v>
      </c>
    </row>
    <row r="1075" spans="1:30" hidden="1" x14ac:dyDescent="0.25">
      <c r="A1075" s="2">
        <v>115</v>
      </c>
      <c r="B1075" t="s">
        <v>1702</v>
      </c>
      <c r="C1075">
        <v>12</v>
      </c>
      <c r="D1075">
        <v>1460</v>
      </c>
      <c r="E1075">
        <v>9068</v>
      </c>
      <c r="F1075" t="s">
        <v>273</v>
      </c>
      <c r="G1075" s="2" t="s">
        <v>156</v>
      </c>
      <c r="H1075">
        <v>1</v>
      </c>
      <c r="I1075">
        <v>1240.54</v>
      </c>
      <c r="J1075" s="2" t="s">
        <v>170</v>
      </c>
      <c r="K1075" s="2" t="s">
        <v>74</v>
      </c>
      <c r="M1075" t="s">
        <v>1999</v>
      </c>
      <c r="P1075" s="19" t="s">
        <v>1573</v>
      </c>
      <c r="Q1075" s="19" t="s">
        <v>27</v>
      </c>
      <c r="S1075" s="19" t="s">
        <v>138</v>
      </c>
      <c r="W1075" s="20">
        <v>22</v>
      </c>
      <c r="X1075" s="65" t="s">
        <v>1572</v>
      </c>
      <c r="Z1075" t="s">
        <v>307</v>
      </c>
      <c r="AB1075" t="s">
        <v>178</v>
      </c>
      <c r="AC1075" t="s">
        <v>1688</v>
      </c>
      <c r="AD1075" s="2" t="s">
        <v>1689</v>
      </c>
    </row>
    <row r="1076" spans="1:30" hidden="1" x14ac:dyDescent="0.25">
      <c r="A1076" s="2">
        <v>116</v>
      </c>
      <c r="B1076" t="s">
        <v>1703</v>
      </c>
      <c r="C1076">
        <v>12</v>
      </c>
      <c r="D1076">
        <v>100</v>
      </c>
      <c r="E1076">
        <v>150</v>
      </c>
      <c r="F1076" t="s">
        <v>273</v>
      </c>
      <c r="G1076" s="2" t="s">
        <v>156</v>
      </c>
      <c r="H1076">
        <v>1</v>
      </c>
      <c r="I1076">
        <v>1.41</v>
      </c>
      <c r="J1076" s="2" t="s">
        <v>170</v>
      </c>
      <c r="K1076" s="2" t="s">
        <v>74</v>
      </c>
      <c r="M1076" t="s">
        <v>1999</v>
      </c>
      <c r="P1076" s="19" t="s">
        <v>1573</v>
      </c>
      <c r="Q1076" s="19" t="s">
        <v>25</v>
      </c>
      <c r="S1076" s="19" t="s">
        <v>138</v>
      </c>
      <c r="W1076" s="20">
        <v>22</v>
      </c>
      <c r="X1076" s="65" t="s">
        <v>1572</v>
      </c>
      <c r="Z1076" t="s">
        <v>307</v>
      </c>
      <c r="AB1076" t="s">
        <v>178</v>
      </c>
      <c r="AC1076" t="s">
        <v>1688</v>
      </c>
      <c r="AD1076" s="2" t="s">
        <v>1689</v>
      </c>
    </row>
    <row r="1077" spans="1:30" hidden="1" x14ac:dyDescent="0.25">
      <c r="A1077" s="2">
        <v>117</v>
      </c>
      <c r="B1077" t="s">
        <v>1704</v>
      </c>
      <c r="C1077">
        <v>12</v>
      </c>
      <c r="D1077">
        <v>490</v>
      </c>
      <c r="E1077">
        <v>1514</v>
      </c>
      <c r="F1077" t="s">
        <v>273</v>
      </c>
      <c r="G1077" s="2" t="s">
        <v>156</v>
      </c>
      <c r="H1077">
        <v>1</v>
      </c>
      <c r="I1077">
        <v>69.78</v>
      </c>
      <c r="J1077" s="2" t="s">
        <v>170</v>
      </c>
      <c r="K1077" s="2" t="s">
        <v>74</v>
      </c>
      <c r="M1077" t="s">
        <v>1999</v>
      </c>
      <c r="P1077" s="19" t="s">
        <v>1573</v>
      </c>
      <c r="Q1077" s="19" t="s">
        <v>27</v>
      </c>
      <c r="S1077" s="19" t="s">
        <v>138</v>
      </c>
      <c r="W1077" s="20">
        <v>22</v>
      </c>
      <c r="X1077" s="65" t="s">
        <v>1572</v>
      </c>
      <c r="Z1077" t="s">
        <v>307</v>
      </c>
      <c r="AB1077" t="s">
        <v>178</v>
      </c>
      <c r="AC1077" t="s">
        <v>1688</v>
      </c>
      <c r="AD1077" s="2" t="s">
        <v>1689</v>
      </c>
    </row>
    <row r="1078" spans="1:30" hidden="1" x14ac:dyDescent="0.25">
      <c r="A1078" s="2">
        <v>118</v>
      </c>
      <c r="B1078" t="s">
        <v>1705</v>
      </c>
      <c r="C1078">
        <v>12</v>
      </c>
      <c r="D1078">
        <v>490</v>
      </c>
      <c r="E1078">
        <v>1514</v>
      </c>
      <c r="F1078" t="s">
        <v>273</v>
      </c>
      <c r="G1078" s="2" t="s">
        <v>156</v>
      </c>
      <c r="H1078">
        <v>1</v>
      </c>
      <c r="I1078">
        <v>69.78</v>
      </c>
      <c r="J1078" s="2" t="s">
        <v>170</v>
      </c>
      <c r="K1078" s="2" t="s">
        <v>74</v>
      </c>
      <c r="M1078" t="s">
        <v>1999</v>
      </c>
      <c r="P1078" s="19" t="s">
        <v>1573</v>
      </c>
      <c r="Q1078" s="19" t="s">
        <v>27</v>
      </c>
      <c r="S1078" s="19" t="s">
        <v>138</v>
      </c>
      <c r="W1078" s="20">
        <v>22</v>
      </c>
      <c r="X1078" s="65" t="s">
        <v>1572</v>
      </c>
      <c r="Z1078" t="s">
        <v>307</v>
      </c>
      <c r="AB1078" t="s">
        <v>178</v>
      </c>
      <c r="AC1078" t="s">
        <v>1688</v>
      </c>
      <c r="AD1078" s="2" t="s">
        <v>1689</v>
      </c>
    </row>
    <row r="1079" spans="1:30" hidden="1" x14ac:dyDescent="0.25">
      <c r="A1079" s="2">
        <v>119</v>
      </c>
      <c r="B1079" t="s">
        <v>1691</v>
      </c>
      <c r="C1079">
        <v>12</v>
      </c>
      <c r="D1079">
        <v>116</v>
      </c>
      <c r="E1079">
        <v>144</v>
      </c>
      <c r="F1079" t="s">
        <v>273</v>
      </c>
      <c r="G1079" s="2" t="s">
        <v>156</v>
      </c>
      <c r="H1079">
        <v>16</v>
      </c>
      <c r="I1079">
        <v>21.18</v>
      </c>
      <c r="J1079" s="2" t="s">
        <v>170</v>
      </c>
      <c r="K1079" s="2" t="s">
        <v>74</v>
      </c>
      <c r="M1079" t="s">
        <v>1999</v>
      </c>
      <c r="P1079" s="19" t="s">
        <v>1573</v>
      </c>
      <c r="Q1079" s="19" t="s">
        <v>25</v>
      </c>
      <c r="S1079" s="19" t="s">
        <v>138</v>
      </c>
      <c r="W1079" s="20">
        <v>22</v>
      </c>
      <c r="X1079" s="65" t="s">
        <v>1572</v>
      </c>
      <c r="Z1079" t="s">
        <v>307</v>
      </c>
      <c r="AB1079" t="s">
        <v>178</v>
      </c>
      <c r="AC1079" t="s">
        <v>1707</v>
      </c>
      <c r="AD1079" s="2" t="s">
        <v>1708</v>
      </c>
    </row>
    <row r="1080" spans="1:30" hidden="1" x14ac:dyDescent="0.25">
      <c r="A1080" s="2">
        <v>120</v>
      </c>
      <c r="B1080" t="s">
        <v>1710</v>
      </c>
      <c r="C1080">
        <v>12</v>
      </c>
      <c r="D1080">
        <v>490</v>
      </c>
      <c r="E1080">
        <v>6464</v>
      </c>
      <c r="F1080" t="s">
        <v>273</v>
      </c>
      <c r="G1080" s="2" t="s">
        <v>156</v>
      </c>
      <c r="H1080">
        <v>1</v>
      </c>
      <c r="I1080">
        <v>298.16000000000003</v>
      </c>
      <c r="J1080" s="2" t="s">
        <v>170</v>
      </c>
      <c r="K1080" s="2" t="s">
        <v>74</v>
      </c>
      <c r="M1080" t="s">
        <v>1999</v>
      </c>
      <c r="P1080" s="19" t="s">
        <v>1573</v>
      </c>
      <c r="Q1080" s="19" t="s">
        <v>27</v>
      </c>
      <c r="S1080" s="19" t="s">
        <v>138</v>
      </c>
      <c r="W1080" s="20">
        <v>22</v>
      </c>
      <c r="X1080" s="65" t="s">
        <v>1572</v>
      </c>
      <c r="Z1080" t="s">
        <v>307</v>
      </c>
      <c r="AB1080" t="s">
        <v>178</v>
      </c>
      <c r="AC1080" t="s">
        <v>1707</v>
      </c>
      <c r="AD1080" s="2" t="s">
        <v>1708</v>
      </c>
    </row>
    <row r="1081" spans="1:30" hidden="1" x14ac:dyDescent="0.25">
      <c r="A1081" s="2">
        <v>121</v>
      </c>
      <c r="B1081" t="s">
        <v>1711</v>
      </c>
      <c r="C1081">
        <v>12</v>
      </c>
      <c r="D1081">
        <v>490</v>
      </c>
      <c r="E1081">
        <v>6464</v>
      </c>
      <c r="F1081" t="s">
        <v>273</v>
      </c>
      <c r="G1081" s="2" t="s">
        <v>156</v>
      </c>
      <c r="H1081">
        <v>1</v>
      </c>
      <c r="I1081">
        <v>298.16000000000003</v>
      </c>
      <c r="J1081" s="2" t="s">
        <v>170</v>
      </c>
      <c r="K1081" s="2" t="s">
        <v>74</v>
      </c>
      <c r="M1081" t="s">
        <v>1999</v>
      </c>
      <c r="P1081" s="19" t="s">
        <v>1573</v>
      </c>
      <c r="Q1081" s="19" t="s">
        <v>27</v>
      </c>
      <c r="S1081" s="19" t="s">
        <v>138</v>
      </c>
      <c r="W1081" s="20">
        <v>22</v>
      </c>
      <c r="X1081" s="65" t="s">
        <v>1572</v>
      </c>
      <c r="Z1081" t="s">
        <v>307</v>
      </c>
      <c r="AB1081" t="s">
        <v>178</v>
      </c>
      <c r="AC1081" t="s">
        <v>1707</v>
      </c>
      <c r="AD1081" s="2" t="s">
        <v>1708</v>
      </c>
    </row>
    <row r="1082" spans="1:30" hidden="1" x14ac:dyDescent="0.25">
      <c r="A1082" s="2">
        <v>122</v>
      </c>
      <c r="B1082" t="s">
        <v>1712</v>
      </c>
      <c r="C1082">
        <v>12</v>
      </c>
      <c r="D1082">
        <v>116</v>
      </c>
      <c r="E1082">
        <v>144</v>
      </c>
      <c r="F1082" t="s">
        <v>273</v>
      </c>
      <c r="G1082" s="2" t="s">
        <v>156</v>
      </c>
      <c r="H1082">
        <v>8</v>
      </c>
      <c r="I1082">
        <v>10.59</v>
      </c>
      <c r="J1082" s="2" t="s">
        <v>170</v>
      </c>
      <c r="K1082" s="2" t="s">
        <v>74</v>
      </c>
      <c r="M1082" t="s">
        <v>1999</v>
      </c>
      <c r="P1082" s="19" t="s">
        <v>1573</v>
      </c>
      <c r="Q1082" s="19" t="s">
        <v>25</v>
      </c>
      <c r="S1082" s="19" t="s">
        <v>138</v>
      </c>
      <c r="W1082" s="20">
        <v>22</v>
      </c>
      <c r="X1082" s="65" t="s">
        <v>1572</v>
      </c>
      <c r="Z1082" t="s">
        <v>307</v>
      </c>
      <c r="AB1082" t="s">
        <v>178</v>
      </c>
      <c r="AC1082" t="s">
        <v>1707</v>
      </c>
      <c r="AD1082" s="2" t="s">
        <v>1708</v>
      </c>
    </row>
    <row r="1083" spans="1:30" hidden="1" x14ac:dyDescent="0.25">
      <c r="A1083" s="2">
        <v>123</v>
      </c>
      <c r="B1083" t="s">
        <v>1713</v>
      </c>
      <c r="C1083">
        <v>12</v>
      </c>
      <c r="D1083">
        <v>490</v>
      </c>
      <c r="E1083">
        <v>6464</v>
      </c>
      <c r="F1083" t="s">
        <v>273</v>
      </c>
      <c r="G1083" s="2" t="s">
        <v>156</v>
      </c>
      <c r="H1083">
        <v>1</v>
      </c>
      <c r="I1083">
        <v>298.16000000000003</v>
      </c>
      <c r="J1083" s="2" t="s">
        <v>170</v>
      </c>
      <c r="K1083" s="2" t="s">
        <v>74</v>
      </c>
      <c r="M1083" t="s">
        <v>1999</v>
      </c>
      <c r="P1083" s="19" t="s">
        <v>1573</v>
      </c>
      <c r="Q1083" s="19" t="s">
        <v>27</v>
      </c>
      <c r="S1083" s="19" t="s">
        <v>138</v>
      </c>
      <c r="W1083" s="20">
        <v>22</v>
      </c>
      <c r="X1083" s="65" t="s">
        <v>1572</v>
      </c>
      <c r="Z1083" t="s">
        <v>307</v>
      </c>
      <c r="AB1083" t="s">
        <v>178</v>
      </c>
      <c r="AC1083" t="s">
        <v>1707</v>
      </c>
      <c r="AD1083" s="2" t="s">
        <v>1708</v>
      </c>
    </row>
    <row r="1084" spans="1:30" hidden="1" x14ac:dyDescent="0.25">
      <c r="A1084" s="2">
        <v>124</v>
      </c>
      <c r="B1084" t="s">
        <v>1696</v>
      </c>
      <c r="C1084">
        <v>12</v>
      </c>
      <c r="D1084">
        <v>135</v>
      </c>
      <c r="E1084">
        <v>488</v>
      </c>
      <c r="F1084" t="s">
        <v>273</v>
      </c>
      <c r="G1084" s="2" t="s">
        <v>156</v>
      </c>
      <c r="H1084">
        <v>13</v>
      </c>
      <c r="I1084">
        <v>80.47</v>
      </c>
      <c r="J1084" s="2" t="s">
        <v>170</v>
      </c>
      <c r="K1084" s="2" t="s">
        <v>74</v>
      </c>
      <c r="M1084" t="s">
        <v>1999</v>
      </c>
      <c r="P1084" s="19" t="s">
        <v>1573</v>
      </c>
      <c r="Q1084" s="19" t="s">
        <v>25</v>
      </c>
      <c r="S1084" s="19" t="s">
        <v>138</v>
      </c>
      <c r="W1084" s="20">
        <v>22</v>
      </c>
      <c r="X1084" s="65" t="s">
        <v>1572</v>
      </c>
      <c r="Z1084" t="s">
        <v>307</v>
      </c>
      <c r="AB1084" t="s">
        <v>178</v>
      </c>
      <c r="AC1084" t="s">
        <v>1707</v>
      </c>
      <c r="AD1084" s="2" t="s">
        <v>1708</v>
      </c>
    </row>
    <row r="1085" spans="1:30" hidden="1" x14ac:dyDescent="0.25">
      <c r="A1085" s="2">
        <v>125</v>
      </c>
      <c r="B1085" t="s">
        <v>1714</v>
      </c>
      <c r="C1085">
        <v>12</v>
      </c>
      <c r="D1085">
        <v>135</v>
      </c>
      <c r="E1085">
        <v>488</v>
      </c>
      <c r="F1085" t="s">
        <v>273</v>
      </c>
      <c r="G1085" s="2" t="s">
        <v>156</v>
      </c>
      <c r="H1085">
        <v>4</v>
      </c>
      <c r="I1085">
        <v>24.76</v>
      </c>
      <c r="J1085" s="2" t="s">
        <v>170</v>
      </c>
      <c r="K1085" s="2" t="s">
        <v>74</v>
      </c>
      <c r="M1085" t="s">
        <v>1999</v>
      </c>
      <c r="P1085" s="19" t="s">
        <v>1573</v>
      </c>
      <c r="Q1085" s="19" t="s">
        <v>25</v>
      </c>
      <c r="S1085" s="19" t="s">
        <v>138</v>
      </c>
      <c r="W1085" s="20">
        <v>22</v>
      </c>
      <c r="X1085" s="65" t="s">
        <v>1572</v>
      </c>
      <c r="Z1085" t="s">
        <v>307</v>
      </c>
      <c r="AB1085" t="s">
        <v>178</v>
      </c>
      <c r="AC1085" t="s">
        <v>1707</v>
      </c>
      <c r="AD1085" s="2" t="s">
        <v>1708</v>
      </c>
    </row>
    <row r="1086" spans="1:30" hidden="1" x14ac:dyDescent="0.25">
      <c r="A1086" s="2">
        <v>126</v>
      </c>
      <c r="B1086" t="s">
        <v>1715</v>
      </c>
      <c r="C1086">
        <v>12</v>
      </c>
      <c r="D1086">
        <v>135</v>
      </c>
      <c r="E1086">
        <v>488</v>
      </c>
      <c r="F1086" t="s">
        <v>273</v>
      </c>
      <c r="G1086" s="2" t="s">
        <v>156</v>
      </c>
      <c r="H1086">
        <v>4</v>
      </c>
      <c r="I1086">
        <v>24.76</v>
      </c>
      <c r="J1086" s="2" t="s">
        <v>170</v>
      </c>
      <c r="K1086" s="2" t="s">
        <v>74</v>
      </c>
      <c r="M1086" t="s">
        <v>1999</v>
      </c>
      <c r="P1086" s="19" t="s">
        <v>1573</v>
      </c>
      <c r="Q1086" s="19" t="s">
        <v>25</v>
      </c>
      <c r="S1086" s="19" t="s">
        <v>138</v>
      </c>
      <c r="W1086" s="20">
        <v>22</v>
      </c>
      <c r="X1086" s="65" t="s">
        <v>1572</v>
      </c>
      <c r="Z1086" t="s">
        <v>307</v>
      </c>
      <c r="AB1086" t="s">
        <v>178</v>
      </c>
      <c r="AC1086" t="s">
        <v>1707</v>
      </c>
      <c r="AD1086" s="2" t="s">
        <v>1708</v>
      </c>
    </row>
    <row r="1087" spans="1:30" hidden="1" x14ac:dyDescent="0.25">
      <c r="A1087" s="2">
        <v>127</v>
      </c>
      <c r="B1087" t="s">
        <v>1716</v>
      </c>
      <c r="C1087">
        <v>12</v>
      </c>
      <c r="D1087">
        <v>135</v>
      </c>
      <c r="E1087">
        <v>488</v>
      </c>
      <c r="F1087" t="s">
        <v>273</v>
      </c>
      <c r="G1087" s="2" t="s">
        <v>156</v>
      </c>
      <c r="H1087">
        <v>4</v>
      </c>
      <c r="I1087">
        <v>24.76</v>
      </c>
      <c r="J1087" s="2" t="s">
        <v>170</v>
      </c>
      <c r="K1087" s="2" t="s">
        <v>74</v>
      </c>
      <c r="M1087" t="s">
        <v>1999</v>
      </c>
      <c r="P1087" s="19" t="s">
        <v>1573</v>
      </c>
      <c r="Q1087" s="19" t="s">
        <v>25</v>
      </c>
      <c r="S1087" s="19" t="s">
        <v>138</v>
      </c>
      <c r="W1087" s="20">
        <v>22</v>
      </c>
      <c r="X1087" s="65" t="s">
        <v>1572</v>
      </c>
      <c r="Z1087" t="s">
        <v>307</v>
      </c>
      <c r="AB1087" t="s">
        <v>178</v>
      </c>
      <c r="AC1087" t="s">
        <v>1707</v>
      </c>
      <c r="AD1087" s="2" t="s">
        <v>1708</v>
      </c>
    </row>
    <row r="1088" spans="1:30" hidden="1" x14ac:dyDescent="0.25">
      <c r="A1088" s="2">
        <v>128</v>
      </c>
      <c r="B1088" t="s">
        <v>1717</v>
      </c>
      <c r="C1088">
        <v>12</v>
      </c>
      <c r="D1088">
        <v>116</v>
      </c>
      <c r="E1088">
        <v>144</v>
      </c>
      <c r="F1088" t="s">
        <v>273</v>
      </c>
      <c r="G1088" s="2" t="s">
        <v>156</v>
      </c>
      <c r="H1088">
        <v>4</v>
      </c>
      <c r="I1088">
        <v>5.3</v>
      </c>
      <c r="J1088" s="2" t="s">
        <v>170</v>
      </c>
      <c r="K1088" s="2" t="s">
        <v>74</v>
      </c>
      <c r="M1088" t="s">
        <v>1999</v>
      </c>
      <c r="P1088" s="19" t="s">
        <v>1573</v>
      </c>
      <c r="Q1088" s="19" t="s">
        <v>25</v>
      </c>
      <c r="S1088" s="19" t="s">
        <v>138</v>
      </c>
      <c r="W1088" s="20">
        <v>22</v>
      </c>
      <c r="X1088" s="65" t="s">
        <v>1572</v>
      </c>
      <c r="Z1088" t="s">
        <v>307</v>
      </c>
      <c r="AB1088" t="s">
        <v>178</v>
      </c>
      <c r="AC1088" t="s">
        <v>1707</v>
      </c>
      <c r="AD1088" s="2" t="s">
        <v>1708</v>
      </c>
    </row>
    <row r="1089" spans="1:30" hidden="1" x14ac:dyDescent="0.25">
      <c r="A1089" s="2">
        <v>129</v>
      </c>
      <c r="B1089" t="s">
        <v>1718</v>
      </c>
      <c r="C1089">
        <v>12</v>
      </c>
      <c r="D1089">
        <v>135</v>
      </c>
      <c r="E1089">
        <v>488</v>
      </c>
      <c r="F1089" t="s">
        <v>273</v>
      </c>
      <c r="G1089" s="2" t="s">
        <v>156</v>
      </c>
      <c r="H1089">
        <v>4</v>
      </c>
      <c r="I1089">
        <v>24.76</v>
      </c>
      <c r="J1089" s="2" t="s">
        <v>170</v>
      </c>
      <c r="K1089" s="2" t="s">
        <v>74</v>
      </c>
      <c r="M1089" t="s">
        <v>1999</v>
      </c>
      <c r="P1089" s="19" t="s">
        <v>1573</v>
      </c>
      <c r="Q1089" s="19" t="s">
        <v>25</v>
      </c>
      <c r="S1089" s="19" t="s">
        <v>138</v>
      </c>
      <c r="W1089" s="20">
        <v>22</v>
      </c>
      <c r="X1089" s="65" t="s">
        <v>1572</v>
      </c>
      <c r="Z1089" t="s">
        <v>307</v>
      </c>
      <c r="AB1089" t="s">
        <v>178</v>
      </c>
      <c r="AC1089" t="s">
        <v>1707</v>
      </c>
      <c r="AD1089" s="2" t="s">
        <v>1708</v>
      </c>
    </row>
    <row r="1090" spans="1:30" hidden="1" x14ac:dyDescent="0.25">
      <c r="A1090" s="2">
        <v>130</v>
      </c>
      <c r="B1090" t="s">
        <v>1719</v>
      </c>
      <c r="C1090">
        <v>12</v>
      </c>
      <c r="D1090">
        <v>135</v>
      </c>
      <c r="E1090">
        <v>488</v>
      </c>
      <c r="F1090" t="s">
        <v>273</v>
      </c>
      <c r="G1090" s="2" t="s">
        <v>156</v>
      </c>
      <c r="H1090">
        <v>4</v>
      </c>
      <c r="I1090">
        <v>24.76</v>
      </c>
      <c r="J1090" s="2" t="s">
        <v>170</v>
      </c>
      <c r="K1090" s="2" t="s">
        <v>74</v>
      </c>
      <c r="M1090" t="s">
        <v>1999</v>
      </c>
      <c r="P1090" s="19" t="s">
        <v>1573</v>
      </c>
      <c r="Q1090" s="19" t="s">
        <v>25</v>
      </c>
      <c r="S1090" s="19" t="s">
        <v>138</v>
      </c>
      <c r="W1090" s="20">
        <v>22</v>
      </c>
      <c r="X1090" s="65" t="s">
        <v>1572</v>
      </c>
      <c r="Z1090" t="s">
        <v>307</v>
      </c>
      <c r="AB1090" t="s">
        <v>178</v>
      </c>
      <c r="AC1090" t="s">
        <v>1707</v>
      </c>
      <c r="AD1090" s="2" t="s">
        <v>1708</v>
      </c>
    </row>
    <row r="1091" spans="1:30" hidden="1" x14ac:dyDescent="0.25">
      <c r="A1091" s="2">
        <v>131</v>
      </c>
      <c r="B1091" t="s">
        <v>1720</v>
      </c>
      <c r="C1091">
        <v>12</v>
      </c>
      <c r="D1091">
        <v>135</v>
      </c>
      <c r="E1091">
        <v>488</v>
      </c>
      <c r="F1091" t="s">
        <v>273</v>
      </c>
      <c r="G1091" s="2" t="s">
        <v>156</v>
      </c>
      <c r="H1091">
        <v>4</v>
      </c>
      <c r="I1091">
        <v>24.76</v>
      </c>
      <c r="J1091" s="2" t="s">
        <v>170</v>
      </c>
      <c r="K1091" s="2" t="s">
        <v>74</v>
      </c>
      <c r="M1091" t="s">
        <v>1999</v>
      </c>
      <c r="P1091" s="19" t="s">
        <v>1573</v>
      </c>
      <c r="Q1091" s="19" t="s">
        <v>25</v>
      </c>
      <c r="S1091" s="19" t="s">
        <v>138</v>
      </c>
      <c r="W1091" s="20">
        <v>22</v>
      </c>
      <c r="X1091" s="65" t="s">
        <v>1572</v>
      </c>
      <c r="Z1091" t="s">
        <v>307</v>
      </c>
      <c r="AB1091" t="s">
        <v>178</v>
      </c>
      <c r="AC1091" t="s">
        <v>1707</v>
      </c>
      <c r="AD1091" s="2" t="s">
        <v>1708</v>
      </c>
    </row>
    <row r="1092" spans="1:30" hidden="1" x14ac:dyDescent="0.25">
      <c r="A1092" s="2">
        <v>132</v>
      </c>
      <c r="B1092" t="s">
        <v>1721</v>
      </c>
      <c r="C1092">
        <v>12</v>
      </c>
      <c r="D1092">
        <v>135</v>
      </c>
      <c r="E1092">
        <v>488</v>
      </c>
      <c r="F1092" t="s">
        <v>273</v>
      </c>
      <c r="G1092" s="2" t="s">
        <v>156</v>
      </c>
      <c r="H1092">
        <v>2</v>
      </c>
      <c r="I1092">
        <v>12.38</v>
      </c>
      <c r="J1092" s="2" t="s">
        <v>170</v>
      </c>
      <c r="K1092" s="2" t="s">
        <v>74</v>
      </c>
      <c r="M1092" t="s">
        <v>1999</v>
      </c>
      <c r="P1092" s="19" t="s">
        <v>1573</v>
      </c>
      <c r="Q1092" s="19" t="s">
        <v>25</v>
      </c>
      <c r="S1092" s="19" t="s">
        <v>138</v>
      </c>
      <c r="W1092" s="20">
        <v>22</v>
      </c>
      <c r="X1092" s="65" t="s">
        <v>1572</v>
      </c>
      <c r="Z1092" t="s">
        <v>307</v>
      </c>
      <c r="AB1092" t="s">
        <v>178</v>
      </c>
      <c r="AC1092" t="s">
        <v>1707</v>
      </c>
      <c r="AD1092" s="2" t="s">
        <v>1708</v>
      </c>
    </row>
    <row r="1093" spans="1:30" hidden="1" x14ac:dyDescent="0.25">
      <c r="A1093" s="2">
        <v>133</v>
      </c>
      <c r="B1093" t="s">
        <v>1712</v>
      </c>
      <c r="C1093">
        <v>12</v>
      </c>
      <c r="D1093">
        <v>116</v>
      </c>
      <c r="E1093">
        <v>144</v>
      </c>
      <c r="F1093" t="s">
        <v>273</v>
      </c>
      <c r="G1093" s="2" t="s">
        <v>156</v>
      </c>
      <c r="H1093">
        <v>8</v>
      </c>
      <c r="I1093">
        <v>10.59</v>
      </c>
      <c r="J1093" s="2" t="s">
        <v>170</v>
      </c>
      <c r="K1093" s="2" t="s">
        <v>74</v>
      </c>
      <c r="M1093" t="s">
        <v>1999</v>
      </c>
      <c r="P1093" s="19" t="s">
        <v>1573</v>
      </c>
      <c r="Q1093" s="19" t="s">
        <v>25</v>
      </c>
      <c r="S1093" s="19" t="s">
        <v>138</v>
      </c>
      <c r="W1093" s="20">
        <v>22</v>
      </c>
      <c r="X1093" s="65" t="s">
        <v>1572</v>
      </c>
      <c r="Z1093" t="s">
        <v>307</v>
      </c>
      <c r="AB1093" t="s">
        <v>178</v>
      </c>
      <c r="AC1093" t="s">
        <v>1723</v>
      </c>
      <c r="AD1093" s="2" t="s">
        <v>1724</v>
      </c>
    </row>
    <row r="1094" spans="1:30" hidden="1" x14ac:dyDescent="0.25">
      <c r="A1094" s="2">
        <v>134</v>
      </c>
      <c r="B1094" t="s">
        <v>1721</v>
      </c>
      <c r="C1094">
        <v>12</v>
      </c>
      <c r="D1094">
        <v>135</v>
      </c>
      <c r="E1094">
        <v>488</v>
      </c>
      <c r="F1094" t="s">
        <v>273</v>
      </c>
      <c r="G1094" s="2" t="s">
        <v>156</v>
      </c>
      <c r="H1094">
        <v>2</v>
      </c>
      <c r="I1094">
        <v>12.38</v>
      </c>
      <c r="J1094" s="2" t="s">
        <v>170</v>
      </c>
      <c r="K1094" s="2" t="s">
        <v>74</v>
      </c>
      <c r="M1094" t="s">
        <v>1999</v>
      </c>
      <c r="P1094" s="19" t="s">
        <v>1573</v>
      </c>
      <c r="Q1094" s="19" t="s">
        <v>25</v>
      </c>
      <c r="S1094" s="19" t="s">
        <v>138</v>
      </c>
      <c r="W1094" s="20">
        <v>22</v>
      </c>
      <c r="X1094" s="65" t="s">
        <v>1572</v>
      </c>
      <c r="Z1094" t="s">
        <v>307</v>
      </c>
      <c r="AB1094" t="s">
        <v>178</v>
      </c>
      <c r="AC1094" t="s">
        <v>1723</v>
      </c>
      <c r="AD1094" s="2" t="s">
        <v>1724</v>
      </c>
    </row>
    <row r="1095" spans="1:30" hidden="1" x14ac:dyDescent="0.25">
      <c r="A1095" s="2">
        <v>135</v>
      </c>
      <c r="B1095" t="s">
        <v>1726</v>
      </c>
      <c r="C1095">
        <v>12</v>
      </c>
      <c r="D1095">
        <v>135</v>
      </c>
      <c r="E1095">
        <v>488</v>
      </c>
      <c r="F1095" t="s">
        <v>273</v>
      </c>
      <c r="G1095" s="2" t="s">
        <v>156</v>
      </c>
      <c r="H1095">
        <v>12</v>
      </c>
      <c r="I1095">
        <v>74.28</v>
      </c>
      <c r="J1095" s="2" t="s">
        <v>170</v>
      </c>
      <c r="K1095" s="2" t="s">
        <v>74</v>
      </c>
      <c r="M1095" t="s">
        <v>1999</v>
      </c>
      <c r="P1095" s="19" t="s">
        <v>1573</v>
      </c>
      <c r="Q1095" s="19" t="s">
        <v>25</v>
      </c>
      <c r="S1095" s="19" t="s">
        <v>138</v>
      </c>
      <c r="W1095" s="20">
        <v>22</v>
      </c>
      <c r="X1095" s="65" t="s">
        <v>1572</v>
      </c>
      <c r="Z1095" t="s">
        <v>307</v>
      </c>
      <c r="AB1095" t="s">
        <v>178</v>
      </c>
      <c r="AC1095" t="s">
        <v>1723</v>
      </c>
      <c r="AD1095" s="2" t="s">
        <v>1724</v>
      </c>
    </row>
    <row r="1096" spans="1:30" hidden="1" x14ac:dyDescent="0.25">
      <c r="A1096" s="2">
        <v>136</v>
      </c>
      <c r="B1096" t="s">
        <v>1727</v>
      </c>
      <c r="C1096">
        <v>12</v>
      </c>
      <c r="D1096">
        <v>135</v>
      </c>
      <c r="E1096">
        <v>488</v>
      </c>
      <c r="F1096" t="s">
        <v>273</v>
      </c>
      <c r="G1096" s="2" t="s">
        <v>156</v>
      </c>
      <c r="H1096">
        <v>12</v>
      </c>
      <c r="I1096">
        <v>74.28</v>
      </c>
      <c r="J1096" s="2" t="s">
        <v>170</v>
      </c>
      <c r="K1096" s="2" t="s">
        <v>74</v>
      </c>
      <c r="M1096" t="s">
        <v>1999</v>
      </c>
      <c r="P1096" s="19" t="s">
        <v>1573</v>
      </c>
      <c r="Q1096" s="19" t="s">
        <v>25</v>
      </c>
      <c r="S1096" s="19" t="s">
        <v>138</v>
      </c>
      <c r="W1096" s="20">
        <v>22</v>
      </c>
      <c r="X1096" s="65" t="s">
        <v>1572</v>
      </c>
      <c r="Z1096" t="s">
        <v>307</v>
      </c>
      <c r="AB1096" t="s">
        <v>178</v>
      </c>
      <c r="AC1096" t="s">
        <v>1723</v>
      </c>
      <c r="AD1096" s="2" t="s">
        <v>1724</v>
      </c>
    </row>
    <row r="1097" spans="1:30" hidden="1" x14ac:dyDescent="0.25">
      <c r="A1097" s="2">
        <v>137</v>
      </c>
      <c r="B1097" t="s">
        <v>1728</v>
      </c>
      <c r="C1097">
        <v>12</v>
      </c>
      <c r="D1097">
        <v>135</v>
      </c>
      <c r="E1097">
        <v>488</v>
      </c>
      <c r="F1097" t="s">
        <v>273</v>
      </c>
      <c r="G1097" s="2" t="s">
        <v>156</v>
      </c>
      <c r="H1097">
        <v>12</v>
      </c>
      <c r="I1097">
        <v>74.28</v>
      </c>
      <c r="J1097" s="2" t="s">
        <v>170</v>
      </c>
      <c r="K1097" s="2" t="s">
        <v>74</v>
      </c>
      <c r="M1097" t="s">
        <v>1999</v>
      </c>
      <c r="P1097" s="19" t="s">
        <v>1573</v>
      </c>
      <c r="Q1097" s="19" t="s">
        <v>25</v>
      </c>
      <c r="S1097" s="19" t="s">
        <v>138</v>
      </c>
      <c r="W1097" s="20">
        <v>22</v>
      </c>
      <c r="X1097" s="65" t="s">
        <v>1572</v>
      </c>
      <c r="Z1097" t="s">
        <v>307</v>
      </c>
      <c r="AB1097" t="s">
        <v>178</v>
      </c>
      <c r="AC1097" t="s">
        <v>1723</v>
      </c>
      <c r="AD1097" s="2" t="s">
        <v>1724</v>
      </c>
    </row>
    <row r="1098" spans="1:30" hidden="1" x14ac:dyDescent="0.25">
      <c r="A1098" s="2">
        <v>138</v>
      </c>
      <c r="B1098" t="s">
        <v>1729</v>
      </c>
      <c r="C1098">
        <v>12</v>
      </c>
      <c r="D1098">
        <v>135</v>
      </c>
      <c r="E1098">
        <v>488</v>
      </c>
      <c r="F1098" t="s">
        <v>273</v>
      </c>
      <c r="G1098" s="2" t="s">
        <v>156</v>
      </c>
      <c r="H1098">
        <v>7</v>
      </c>
      <c r="I1098">
        <v>43.33</v>
      </c>
      <c r="J1098" s="2" t="s">
        <v>170</v>
      </c>
      <c r="K1098" s="2" t="s">
        <v>74</v>
      </c>
      <c r="M1098" t="s">
        <v>1999</v>
      </c>
      <c r="P1098" s="19" t="s">
        <v>1573</v>
      </c>
      <c r="Q1098" s="19" t="s">
        <v>25</v>
      </c>
      <c r="S1098" s="19" t="s">
        <v>138</v>
      </c>
      <c r="W1098" s="20">
        <v>22</v>
      </c>
      <c r="X1098" s="65" t="s">
        <v>1572</v>
      </c>
      <c r="Z1098" t="s">
        <v>307</v>
      </c>
      <c r="AB1098" t="s">
        <v>178</v>
      </c>
      <c r="AC1098" t="s">
        <v>1723</v>
      </c>
      <c r="AD1098" s="2" t="s">
        <v>1724</v>
      </c>
    </row>
    <row r="1099" spans="1:30" hidden="1" x14ac:dyDescent="0.25">
      <c r="A1099" s="2">
        <v>139</v>
      </c>
      <c r="B1099" t="s">
        <v>1730</v>
      </c>
      <c r="C1099">
        <v>12</v>
      </c>
      <c r="D1099">
        <v>490</v>
      </c>
      <c r="E1099">
        <v>6464</v>
      </c>
      <c r="F1099" t="s">
        <v>273</v>
      </c>
      <c r="G1099" s="2" t="s">
        <v>156</v>
      </c>
      <c r="H1099">
        <v>1</v>
      </c>
      <c r="I1099">
        <v>298.16000000000003</v>
      </c>
      <c r="J1099" s="2" t="s">
        <v>170</v>
      </c>
      <c r="K1099" s="2" t="s">
        <v>74</v>
      </c>
      <c r="M1099" t="s">
        <v>1999</v>
      </c>
      <c r="P1099" s="19" t="s">
        <v>1573</v>
      </c>
      <c r="Q1099" s="19" t="s">
        <v>27</v>
      </c>
      <c r="S1099" s="19" t="s">
        <v>138</v>
      </c>
      <c r="W1099" s="20">
        <v>22</v>
      </c>
      <c r="X1099" s="65" t="s">
        <v>1572</v>
      </c>
      <c r="Z1099" t="s">
        <v>307</v>
      </c>
      <c r="AB1099" t="s">
        <v>178</v>
      </c>
      <c r="AC1099" t="s">
        <v>1723</v>
      </c>
      <c r="AD1099" s="2" t="s">
        <v>1724</v>
      </c>
    </row>
    <row r="1100" spans="1:30" hidden="1" x14ac:dyDescent="0.25">
      <c r="A1100" s="2">
        <v>140</v>
      </c>
      <c r="B1100" t="s">
        <v>1731</v>
      </c>
      <c r="C1100">
        <v>12</v>
      </c>
      <c r="D1100">
        <v>490</v>
      </c>
      <c r="E1100">
        <v>6464</v>
      </c>
      <c r="F1100" t="s">
        <v>273</v>
      </c>
      <c r="G1100" s="2" t="s">
        <v>156</v>
      </c>
      <c r="H1100">
        <v>1</v>
      </c>
      <c r="I1100">
        <v>298.16000000000003</v>
      </c>
      <c r="J1100" s="2" t="s">
        <v>170</v>
      </c>
      <c r="K1100" s="2" t="s">
        <v>74</v>
      </c>
      <c r="M1100" t="s">
        <v>1999</v>
      </c>
      <c r="P1100" s="19" t="s">
        <v>1573</v>
      </c>
      <c r="Q1100" s="19" t="s">
        <v>27</v>
      </c>
      <c r="S1100" s="19" t="s">
        <v>138</v>
      </c>
      <c r="W1100" s="20">
        <v>22</v>
      </c>
      <c r="X1100" s="65" t="s">
        <v>1572</v>
      </c>
      <c r="Z1100" t="s">
        <v>307</v>
      </c>
      <c r="AB1100" t="s">
        <v>178</v>
      </c>
      <c r="AC1100" t="s">
        <v>1723</v>
      </c>
      <c r="AD1100" s="2" t="s">
        <v>1724</v>
      </c>
    </row>
    <row r="1101" spans="1:30" hidden="1" x14ac:dyDescent="0.25">
      <c r="A1101" s="2">
        <v>141</v>
      </c>
      <c r="B1101" t="s">
        <v>1732</v>
      </c>
      <c r="C1101">
        <v>12</v>
      </c>
      <c r="D1101">
        <v>490</v>
      </c>
      <c r="E1101">
        <v>6464</v>
      </c>
      <c r="F1101" t="s">
        <v>273</v>
      </c>
      <c r="G1101" s="2" t="s">
        <v>156</v>
      </c>
      <c r="H1101">
        <v>1</v>
      </c>
      <c r="I1101">
        <v>298.16000000000003</v>
      </c>
      <c r="J1101" s="2" t="s">
        <v>170</v>
      </c>
      <c r="K1101" s="2" t="s">
        <v>74</v>
      </c>
      <c r="M1101" t="s">
        <v>1999</v>
      </c>
      <c r="P1101" s="19" t="s">
        <v>1573</v>
      </c>
      <c r="Q1101" s="19" t="s">
        <v>27</v>
      </c>
      <c r="S1101" s="19" t="s">
        <v>138</v>
      </c>
      <c r="W1101" s="20">
        <v>22</v>
      </c>
      <c r="X1101" s="65" t="s">
        <v>1572</v>
      </c>
      <c r="Z1101" t="s">
        <v>307</v>
      </c>
      <c r="AB1101" t="s">
        <v>178</v>
      </c>
      <c r="AC1101" t="s">
        <v>1723</v>
      </c>
      <c r="AD1101" s="2" t="s">
        <v>1724</v>
      </c>
    </row>
    <row r="1102" spans="1:30" hidden="1" x14ac:dyDescent="0.25">
      <c r="A1102" s="2">
        <v>142</v>
      </c>
      <c r="B1102" t="s">
        <v>1712</v>
      </c>
      <c r="C1102">
        <v>12</v>
      </c>
      <c r="D1102">
        <v>116</v>
      </c>
      <c r="E1102">
        <v>144</v>
      </c>
      <c r="F1102" t="s">
        <v>273</v>
      </c>
      <c r="G1102" s="2" t="s">
        <v>156</v>
      </c>
      <c r="H1102">
        <v>8</v>
      </c>
      <c r="I1102">
        <v>10.59</v>
      </c>
      <c r="J1102" s="2" t="s">
        <v>170</v>
      </c>
      <c r="K1102" s="2" t="s">
        <v>74</v>
      </c>
      <c r="M1102" t="s">
        <v>1999</v>
      </c>
      <c r="P1102" s="19" t="s">
        <v>1573</v>
      </c>
      <c r="Q1102" s="19" t="s">
        <v>25</v>
      </c>
      <c r="S1102" s="19" t="s">
        <v>138</v>
      </c>
      <c r="W1102" s="20">
        <v>22</v>
      </c>
      <c r="X1102" s="65" t="s">
        <v>1572</v>
      </c>
      <c r="Z1102" t="s">
        <v>307</v>
      </c>
      <c r="AB1102" t="s">
        <v>178</v>
      </c>
      <c r="AC1102" t="s">
        <v>1733</v>
      </c>
      <c r="AD1102" s="2" t="s">
        <v>1734</v>
      </c>
    </row>
    <row r="1103" spans="1:30" hidden="1" x14ac:dyDescent="0.25">
      <c r="A1103" s="2">
        <v>143</v>
      </c>
      <c r="B1103" t="s">
        <v>1736</v>
      </c>
      <c r="C1103">
        <v>12</v>
      </c>
      <c r="D1103">
        <v>116</v>
      </c>
      <c r="E1103">
        <v>144</v>
      </c>
      <c r="F1103" t="s">
        <v>273</v>
      </c>
      <c r="G1103" s="2" t="s">
        <v>156</v>
      </c>
      <c r="H1103">
        <v>16</v>
      </c>
      <c r="I1103">
        <v>21.18</v>
      </c>
      <c r="J1103" s="2" t="s">
        <v>170</v>
      </c>
      <c r="K1103" s="2" t="s">
        <v>74</v>
      </c>
      <c r="M1103" t="s">
        <v>1999</v>
      </c>
      <c r="P1103" s="19" t="s">
        <v>1573</v>
      </c>
      <c r="Q1103" s="19" t="s">
        <v>25</v>
      </c>
      <c r="S1103" s="19" t="s">
        <v>138</v>
      </c>
      <c r="W1103" s="20">
        <v>22</v>
      </c>
      <c r="X1103" s="65" t="s">
        <v>1572</v>
      </c>
      <c r="Z1103" t="s">
        <v>307</v>
      </c>
      <c r="AB1103" t="s">
        <v>178</v>
      </c>
      <c r="AC1103" t="s">
        <v>1733</v>
      </c>
      <c r="AD1103" s="2" t="s">
        <v>1734</v>
      </c>
    </row>
    <row r="1104" spans="1:30" hidden="1" x14ac:dyDescent="0.25">
      <c r="A1104" s="2">
        <v>144</v>
      </c>
      <c r="B1104" t="s">
        <v>1737</v>
      </c>
      <c r="C1104">
        <v>12</v>
      </c>
      <c r="D1104">
        <v>490</v>
      </c>
      <c r="E1104">
        <v>6464</v>
      </c>
      <c r="F1104" t="s">
        <v>273</v>
      </c>
      <c r="G1104" s="2" t="s">
        <v>156</v>
      </c>
      <c r="H1104">
        <v>1</v>
      </c>
      <c r="I1104">
        <v>298.16000000000003</v>
      </c>
      <c r="J1104" s="2" t="s">
        <v>170</v>
      </c>
      <c r="K1104" s="2" t="s">
        <v>74</v>
      </c>
      <c r="M1104" t="s">
        <v>1999</v>
      </c>
      <c r="P1104" s="19" t="s">
        <v>1573</v>
      </c>
      <c r="Q1104" s="19" t="s">
        <v>27</v>
      </c>
      <c r="S1104" s="19" t="s">
        <v>138</v>
      </c>
      <c r="W1104" s="20">
        <v>22</v>
      </c>
      <c r="X1104" s="65" t="s">
        <v>1572</v>
      </c>
      <c r="Z1104" t="s">
        <v>307</v>
      </c>
      <c r="AB1104" t="s">
        <v>178</v>
      </c>
      <c r="AC1104" t="s">
        <v>1733</v>
      </c>
      <c r="AD1104" s="2" t="s">
        <v>1734</v>
      </c>
    </row>
    <row r="1105" spans="1:30" hidden="1" x14ac:dyDescent="0.25">
      <c r="A1105" s="2">
        <v>145</v>
      </c>
      <c r="B1105" t="s">
        <v>1738</v>
      </c>
      <c r="C1105">
        <v>12</v>
      </c>
      <c r="D1105">
        <v>490</v>
      </c>
      <c r="E1105">
        <v>6464</v>
      </c>
      <c r="F1105" t="s">
        <v>273</v>
      </c>
      <c r="G1105" s="2" t="s">
        <v>156</v>
      </c>
      <c r="H1105">
        <v>1</v>
      </c>
      <c r="I1105">
        <v>298.16000000000003</v>
      </c>
      <c r="J1105" s="2" t="s">
        <v>170</v>
      </c>
      <c r="K1105" s="2" t="s">
        <v>74</v>
      </c>
      <c r="M1105" t="s">
        <v>1999</v>
      </c>
      <c r="P1105" s="19" t="s">
        <v>1573</v>
      </c>
      <c r="Q1105" s="19" t="s">
        <v>27</v>
      </c>
      <c r="S1105" s="19" t="s">
        <v>138</v>
      </c>
      <c r="W1105" s="20">
        <v>22</v>
      </c>
      <c r="X1105" s="65" t="s">
        <v>1572</v>
      </c>
      <c r="Z1105" t="s">
        <v>307</v>
      </c>
      <c r="AB1105" t="s">
        <v>178</v>
      </c>
      <c r="AC1105" t="s">
        <v>1733</v>
      </c>
      <c r="AD1105" s="2" t="s">
        <v>1734</v>
      </c>
    </row>
    <row r="1106" spans="1:30" hidden="1" x14ac:dyDescent="0.25">
      <c r="A1106" s="2">
        <v>146</v>
      </c>
      <c r="B1106" t="s">
        <v>1729</v>
      </c>
      <c r="C1106">
        <v>12</v>
      </c>
      <c r="D1106">
        <v>135</v>
      </c>
      <c r="E1106">
        <v>488</v>
      </c>
      <c r="F1106" t="s">
        <v>273</v>
      </c>
      <c r="G1106" s="2" t="s">
        <v>156</v>
      </c>
      <c r="H1106">
        <v>5</v>
      </c>
      <c r="I1106">
        <v>30.95</v>
      </c>
      <c r="J1106" s="2" t="s">
        <v>170</v>
      </c>
      <c r="K1106" s="2" t="s">
        <v>74</v>
      </c>
      <c r="M1106" t="s">
        <v>1999</v>
      </c>
      <c r="P1106" s="19" t="s">
        <v>1573</v>
      </c>
      <c r="Q1106" s="19" t="s">
        <v>25</v>
      </c>
      <c r="S1106" s="19" t="s">
        <v>138</v>
      </c>
      <c r="W1106" s="20">
        <v>22</v>
      </c>
      <c r="X1106" s="65" t="s">
        <v>1572</v>
      </c>
      <c r="Z1106" t="s">
        <v>307</v>
      </c>
      <c r="AB1106" t="s">
        <v>178</v>
      </c>
      <c r="AC1106" t="s">
        <v>1733</v>
      </c>
      <c r="AD1106" s="2" t="s">
        <v>1734</v>
      </c>
    </row>
    <row r="1107" spans="1:30" hidden="1" x14ac:dyDescent="0.25">
      <c r="A1107" s="2">
        <v>147</v>
      </c>
      <c r="B1107" t="s">
        <v>1739</v>
      </c>
      <c r="C1107">
        <v>12</v>
      </c>
      <c r="D1107">
        <v>135</v>
      </c>
      <c r="E1107">
        <v>488</v>
      </c>
      <c r="F1107" t="s">
        <v>273</v>
      </c>
      <c r="G1107" s="2" t="s">
        <v>156</v>
      </c>
      <c r="H1107">
        <v>12</v>
      </c>
      <c r="I1107">
        <v>74.28</v>
      </c>
      <c r="J1107" s="2" t="s">
        <v>170</v>
      </c>
      <c r="K1107" s="2" t="s">
        <v>74</v>
      </c>
      <c r="M1107" t="s">
        <v>1999</v>
      </c>
      <c r="P1107" s="19" t="s">
        <v>1573</v>
      </c>
      <c r="Q1107" s="19" t="s">
        <v>25</v>
      </c>
      <c r="S1107" s="19" t="s">
        <v>138</v>
      </c>
      <c r="W1107" s="20">
        <v>22</v>
      </c>
      <c r="X1107" s="65" t="s">
        <v>1572</v>
      </c>
      <c r="Z1107" t="s">
        <v>307</v>
      </c>
      <c r="AB1107" t="s">
        <v>178</v>
      </c>
      <c r="AC1107" t="s">
        <v>1733</v>
      </c>
      <c r="AD1107" s="2" t="s">
        <v>1734</v>
      </c>
    </row>
    <row r="1108" spans="1:30" hidden="1" x14ac:dyDescent="0.25">
      <c r="A1108" s="2">
        <v>148</v>
      </c>
      <c r="B1108" t="s">
        <v>1740</v>
      </c>
      <c r="C1108">
        <v>12</v>
      </c>
      <c r="D1108">
        <v>135</v>
      </c>
      <c r="E1108">
        <v>488</v>
      </c>
      <c r="F1108" t="s">
        <v>273</v>
      </c>
      <c r="G1108" s="2" t="s">
        <v>156</v>
      </c>
      <c r="H1108">
        <v>12</v>
      </c>
      <c r="I1108">
        <v>74.28</v>
      </c>
      <c r="J1108" s="2" t="s">
        <v>170</v>
      </c>
      <c r="K1108" s="2" t="s">
        <v>74</v>
      </c>
      <c r="M1108" t="s">
        <v>1999</v>
      </c>
      <c r="P1108" s="19" t="s">
        <v>1573</v>
      </c>
      <c r="Q1108" s="19" t="s">
        <v>25</v>
      </c>
      <c r="S1108" s="19" t="s">
        <v>138</v>
      </c>
      <c r="W1108" s="20">
        <v>22</v>
      </c>
      <c r="X1108" s="65" t="s">
        <v>1572</v>
      </c>
      <c r="Z1108" t="s">
        <v>307</v>
      </c>
      <c r="AB1108" t="s">
        <v>178</v>
      </c>
      <c r="AC1108" t="s">
        <v>1733</v>
      </c>
      <c r="AD1108" s="2" t="s">
        <v>1734</v>
      </c>
    </row>
    <row r="1109" spans="1:30" hidden="1" x14ac:dyDescent="0.25">
      <c r="A1109" s="2">
        <v>149</v>
      </c>
      <c r="B1109" t="s">
        <v>1741</v>
      </c>
      <c r="C1109">
        <v>12</v>
      </c>
      <c r="D1109">
        <v>135</v>
      </c>
      <c r="E1109">
        <v>488</v>
      </c>
      <c r="F1109" t="s">
        <v>273</v>
      </c>
      <c r="G1109" s="2" t="s">
        <v>156</v>
      </c>
      <c r="H1109">
        <v>11</v>
      </c>
      <c r="I1109">
        <v>68.09</v>
      </c>
      <c r="J1109" s="2" t="s">
        <v>170</v>
      </c>
      <c r="K1109" s="2" t="s">
        <v>74</v>
      </c>
      <c r="M1109" t="s">
        <v>1999</v>
      </c>
      <c r="P1109" s="19" t="s">
        <v>1573</v>
      </c>
      <c r="Q1109" s="19" t="s">
        <v>25</v>
      </c>
      <c r="S1109" s="19" t="s">
        <v>138</v>
      </c>
      <c r="W1109" s="20">
        <v>22</v>
      </c>
      <c r="X1109" s="65" t="s">
        <v>1572</v>
      </c>
      <c r="Z1109" t="s">
        <v>307</v>
      </c>
      <c r="AB1109" t="s">
        <v>178</v>
      </c>
      <c r="AC1109" t="s">
        <v>1733</v>
      </c>
      <c r="AD1109" s="2" t="s">
        <v>1734</v>
      </c>
    </row>
    <row r="1110" spans="1:30" hidden="1" x14ac:dyDescent="0.25">
      <c r="A1110" s="2">
        <v>150</v>
      </c>
      <c r="B1110" t="s">
        <v>1742</v>
      </c>
      <c r="C1110">
        <v>12</v>
      </c>
      <c r="D1110">
        <v>490</v>
      </c>
      <c r="E1110">
        <v>6464</v>
      </c>
      <c r="F1110" t="s">
        <v>273</v>
      </c>
      <c r="G1110" s="2" t="s">
        <v>156</v>
      </c>
      <c r="H1110">
        <v>1</v>
      </c>
      <c r="I1110">
        <v>298.16000000000003</v>
      </c>
      <c r="J1110" s="2" t="s">
        <v>170</v>
      </c>
      <c r="K1110" s="2" t="s">
        <v>74</v>
      </c>
      <c r="M1110" t="s">
        <v>1999</v>
      </c>
      <c r="P1110" s="19" t="s">
        <v>1573</v>
      </c>
      <c r="Q1110" s="19" t="s">
        <v>27</v>
      </c>
      <c r="S1110" s="19" t="s">
        <v>138</v>
      </c>
      <c r="W1110" s="20">
        <v>22</v>
      </c>
      <c r="X1110" s="65" t="s">
        <v>1572</v>
      </c>
      <c r="Z1110" t="s">
        <v>307</v>
      </c>
      <c r="AB1110" t="s">
        <v>178</v>
      </c>
      <c r="AC1110" t="s">
        <v>1733</v>
      </c>
      <c r="AD1110" s="2" t="s">
        <v>1734</v>
      </c>
    </row>
    <row r="1111" spans="1:30" hidden="1" x14ac:dyDescent="0.25">
      <c r="A1111" s="2">
        <v>151</v>
      </c>
      <c r="B1111" t="s">
        <v>1743</v>
      </c>
      <c r="C1111">
        <v>12</v>
      </c>
      <c r="D1111">
        <v>100</v>
      </c>
      <c r="E1111">
        <v>150</v>
      </c>
      <c r="F1111" t="s">
        <v>273</v>
      </c>
      <c r="G1111" s="2" t="s">
        <v>156</v>
      </c>
      <c r="H1111">
        <v>1</v>
      </c>
      <c r="I1111">
        <v>1.41</v>
      </c>
      <c r="J1111" s="2" t="s">
        <v>170</v>
      </c>
      <c r="K1111" s="2" t="s">
        <v>74</v>
      </c>
      <c r="M1111" t="s">
        <v>1999</v>
      </c>
      <c r="P1111" s="19" t="s">
        <v>1573</v>
      </c>
      <c r="Q1111" s="19" t="s">
        <v>25</v>
      </c>
      <c r="S1111" s="19" t="s">
        <v>138</v>
      </c>
      <c r="W1111" s="20">
        <v>22</v>
      </c>
      <c r="X1111" s="65" t="s">
        <v>1572</v>
      </c>
      <c r="Z1111" t="s">
        <v>307</v>
      </c>
      <c r="AB1111" t="s">
        <v>178</v>
      </c>
      <c r="AC1111" t="s">
        <v>1733</v>
      </c>
      <c r="AD1111" s="2" t="s">
        <v>1734</v>
      </c>
    </row>
    <row r="1112" spans="1:30" hidden="1" x14ac:dyDescent="0.25">
      <c r="A1112" s="2">
        <v>152</v>
      </c>
      <c r="B1112" t="s">
        <v>1736</v>
      </c>
      <c r="C1112">
        <v>12</v>
      </c>
      <c r="D1112">
        <v>116</v>
      </c>
      <c r="E1112">
        <v>144</v>
      </c>
      <c r="F1112" t="s">
        <v>273</v>
      </c>
      <c r="G1112" s="2" t="s">
        <v>156</v>
      </c>
      <c r="H1112">
        <v>1</v>
      </c>
      <c r="I1112">
        <v>1.32</v>
      </c>
      <c r="J1112" s="2" t="s">
        <v>170</v>
      </c>
      <c r="K1112" s="2" t="s">
        <v>74</v>
      </c>
      <c r="M1112" t="s">
        <v>1999</v>
      </c>
      <c r="P1112" s="19" t="s">
        <v>1573</v>
      </c>
      <c r="Q1112" s="19" t="s">
        <v>25</v>
      </c>
      <c r="R1112" s="19" t="s">
        <v>138</v>
      </c>
      <c r="W1112" s="20">
        <v>22</v>
      </c>
      <c r="X1112" s="65" t="s">
        <v>1572</v>
      </c>
      <c r="Z1112" t="s">
        <v>307</v>
      </c>
      <c r="AB1112" t="s">
        <v>178</v>
      </c>
      <c r="AC1112" t="s">
        <v>1744</v>
      </c>
      <c r="AD1112" s="2" t="s">
        <v>180</v>
      </c>
    </row>
    <row r="1113" spans="1:30" hidden="1" x14ac:dyDescent="0.25">
      <c r="A1113" s="2">
        <v>153</v>
      </c>
      <c r="B1113" t="s">
        <v>1746</v>
      </c>
      <c r="C1113">
        <v>12</v>
      </c>
      <c r="D1113">
        <v>490</v>
      </c>
      <c r="E1113">
        <v>9980</v>
      </c>
      <c r="F1113" t="s">
        <v>273</v>
      </c>
      <c r="G1113" s="2" t="s">
        <v>156</v>
      </c>
      <c r="H1113">
        <v>1</v>
      </c>
      <c r="I1113">
        <v>460.46</v>
      </c>
      <c r="J1113" s="2" t="s">
        <v>170</v>
      </c>
      <c r="K1113" s="2" t="s">
        <v>74</v>
      </c>
      <c r="M1113" t="s">
        <v>1999</v>
      </c>
      <c r="P1113" s="19" t="s">
        <v>1573</v>
      </c>
      <c r="Q1113" s="19" t="s">
        <v>27</v>
      </c>
      <c r="R1113" s="19" t="s">
        <v>138</v>
      </c>
      <c r="W1113" s="20">
        <v>22</v>
      </c>
      <c r="X1113" s="65" t="s">
        <v>1572</v>
      </c>
      <c r="Z1113" t="s">
        <v>307</v>
      </c>
      <c r="AB1113" t="s">
        <v>178</v>
      </c>
      <c r="AC1113" t="s">
        <v>1744</v>
      </c>
      <c r="AD1113" s="2" t="s">
        <v>180</v>
      </c>
    </row>
    <row r="1114" spans="1:30" hidden="1" x14ac:dyDescent="0.25">
      <c r="A1114" s="2">
        <v>154</v>
      </c>
      <c r="B1114" t="s">
        <v>1747</v>
      </c>
      <c r="C1114">
        <v>12</v>
      </c>
      <c r="D1114">
        <v>490</v>
      </c>
      <c r="E1114">
        <v>9980</v>
      </c>
      <c r="F1114" t="s">
        <v>273</v>
      </c>
      <c r="G1114" s="2" t="s">
        <v>156</v>
      </c>
      <c r="H1114">
        <v>1</v>
      </c>
      <c r="I1114">
        <v>460.46</v>
      </c>
      <c r="J1114" s="2" t="s">
        <v>170</v>
      </c>
      <c r="K1114" s="2" t="s">
        <v>74</v>
      </c>
      <c r="M1114" t="s">
        <v>1999</v>
      </c>
      <c r="P1114" s="19" t="s">
        <v>1573</v>
      </c>
      <c r="Q1114" s="19" t="s">
        <v>27</v>
      </c>
      <c r="R1114" s="19" t="s">
        <v>138</v>
      </c>
      <c r="W1114" s="20">
        <v>22</v>
      </c>
      <c r="X1114" s="65" t="s">
        <v>1572</v>
      </c>
      <c r="Z1114" t="s">
        <v>307</v>
      </c>
      <c r="AB1114" t="s">
        <v>178</v>
      </c>
      <c r="AC1114" t="s">
        <v>1744</v>
      </c>
      <c r="AD1114" s="2" t="s">
        <v>180</v>
      </c>
    </row>
    <row r="1115" spans="1:30" hidden="1" x14ac:dyDescent="0.25">
      <c r="A1115" s="2">
        <v>155</v>
      </c>
      <c r="B1115" t="s">
        <v>1741</v>
      </c>
      <c r="C1115">
        <v>12</v>
      </c>
      <c r="D1115">
        <v>135</v>
      </c>
      <c r="E1115">
        <v>488</v>
      </c>
      <c r="F1115" t="s">
        <v>273</v>
      </c>
      <c r="G1115" s="2" t="s">
        <v>156</v>
      </c>
      <c r="H1115">
        <v>1</v>
      </c>
      <c r="I1115">
        <v>6.19</v>
      </c>
      <c r="J1115" s="2" t="s">
        <v>170</v>
      </c>
      <c r="K1115" s="2" t="s">
        <v>74</v>
      </c>
      <c r="M1115" t="s">
        <v>1999</v>
      </c>
      <c r="P1115" s="19" t="s">
        <v>1573</v>
      </c>
      <c r="Q1115" s="19" t="s">
        <v>25</v>
      </c>
      <c r="R1115" s="19" t="s">
        <v>138</v>
      </c>
      <c r="W1115" s="20">
        <v>22</v>
      </c>
      <c r="X1115" s="65" t="s">
        <v>1572</v>
      </c>
      <c r="Z1115" t="s">
        <v>307</v>
      </c>
      <c r="AB1115" t="s">
        <v>178</v>
      </c>
      <c r="AC1115" t="s">
        <v>1744</v>
      </c>
      <c r="AD1115" s="2" t="s">
        <v>180</v>
      </c>
    </row>
    <row r="1116" spans="1:30" hidden="1" x14ac:dyDescent="0.25">
      <c r="A1116" s="2">
        <v>156</v>
      </c>
      <c r="B1116" t="s">
        <v>1748</v>
      </c>
      <c r="C1116">
        <v>12</v>
      </c>
      <c r="D1116">
        <v>135</v>
      </c>
      <c r="E1116">
        <v>488</v>
      </c>
      <c r="F1116" t="s">
        <v>273</v>
      </c>
      <c r="G1116" s="2" t="s">
        <v>156</v>
      </c>
      <c r="H1116">
        <v>12</v>
      </c>
      <c r="I1116">
        <v>74.28</v>
      </c>
      <c r="J1116" s="2" t="s">
        <v>170</v>
      </c>
      <c r="K1116" s="2" t="s">
        <v>74</v>
      </c>
      <c r="M1116" t="s">
        <v>1999</v>
      </c>
      <c r="P1116" s="19" t="s">
        <v>1573</v>
      </c>
      <c r="Q1116" s="19" t="s">
        <v>25</v>
      </c>
      <c r="R1116" s="19" t="s">
        <v>138</v>
      </c>
      <c r="W1116" s="20">
        <v>22</v>
      </c>
      <c r="X1116" s="65" t="s">
        <v>1572</v>
      </c>
      <c r="Z1116" t="s">
        <v>307</v>
      </c>
      <c r="AB1116" t="s">
        <v>178</v>
      </c>
      <c r="AC1116" t="s">
        <v>1744</v>
      </c>
      <c r="AD1116" s="2" t="s">
        <v>180</v>
      </c>
    </row>
    <row r="1117" spans="1:30" hidden="1" x14ac:dyDescent="0.25">
      <c r="A1117" s="2">
        <v>157</v>
      </c>
      <c r="B1117" t="s">
        <v>1749</v>
      </c>
      <c r="C1117">
        <v>12</v>
      </c>
      <c r="D1117">
        <v>135</v>
      </c>
      <c r="E1117">
        <v>488</v>
      </c>
      <c r="F1117" t="s">
        <v>273</v>
      </c>
      <c r="G1117" s="2" t="s">
        <v>156</v>
      </c>
      <c r="H1117">
        <v>12</v>
      </c>
      <c r="I1117">
        <v>74.28</v>
      </c>
      <c r="J1117" s="2" t="s">
        <v>170</v>
      </c>
      <c r="K1117" s="2" t="s">
        <v>74</v>
      </c>
      <c r="M1117" t="s">
        <v>1999</v>
      </c>
      <c r="P1117" s="19" t="s">
        <v>1573</v>
      </c>
      <c r="Q1117" s="19" t="s">
        <v>25</v>
      </c>
      <c r="R1117" s="19" t="s">
        <v>138</v>
      </c>
      <c r="W1117" s="20">
        <v>22</v>
      </c>
      <c r="X1117" s="65" t="s">
        <v>1572</v>
      </c>
      <c r="Z1117" t="s">
        <v>307</v>
      </c>
      <c r="AB1117" t="s">
        <v>178</v>
      </c>
      <c r="AC1117" t="s">
        <v>1744</v>
      </c>
      <c r="AD1117" s="2" t="s">
        <v>180</v>
      </c>
    </row>
    <row r="1118" spans="1:30" hidden="1" x14ac:dyDescent="0.25">
      <c r="A1118" s="2">
        <v>158</v>
      </c>
      <c r="B1118" t="s">
        <v>1750</v>
      </c>
      <c r="C1118">
        <v>12</v>
      </c>
      <c r="D1118">
        <v>135</v>
      </c>
      <c r="E1118">
        <v>488</v>
      </c>
      <c r="F1118" t="s">
        <v>273</v>
      </c>
      <c r="G1118" s="2" t="s">
        <v>156</v>
      </c>
      <c r="H1118">
        <v>12</v>
      </c>
      <c r="I1118">
        <v>74.28</v>
      </c>
      <c r="J1118" s="2" t="s">
        <v>170</v>
      </c>
      <c r="K1118" s="2" t="s">
        <v>74</v>
      </c>
      <c r="M1118" t="s">
        <v>1999</v>
      </c>
      <c r="P1118" s="19" t="s">
        <v>1573</v>
      </c>
      <c r="Q1118" s="19" t="s">
        <v>25</v>
      </c>
      <c r="R1118" s="19" t="s">
        <v>138</v>
      </c>
      <c r="W1118" s="20">
        <v>22</v>
      </c>
      <c r="X1118" s="65" t="s">
        <v>1572</v>
      </c>
      <c r="Z1118" t="s">
        <v>307</v>
      </c>
      <c r="AB1118" t="s">
        <v>178</v>
      </c>
      <c r="AC1118" t="s">
        <v>1744</v>
      </c>
      <c r="AD1118" s="2" t="s">
        <v>180</v>
      </c>
    </row>
    <row r="1119" spans="1:30" hidden="1" x14ac:dyDescent="0.25">
      <c r="A1119" s="2">
        <v>159</v>
      </c>
      <c r="B1119" t="s">
        <v>1751</v>
      </c>
      <c r="C1119">
        <v>12</v>
      </c>
      <c r="D1119">
        <v>135</v>
      </c>
      <c r="E1119">
        <v>488</v>
      </c>
      <c r="F1119" t="s">
        <v>273</v>
      </c>
      <c r="G1119" s="2" t="s">
        <v>156</v>
      </c>
      <c r="H1119">
        <v>17</v>
      </c>
      <c r="I1119">
        <v>105.23</v>
      </c>
      <c r="J1119" s="2" t="s">
        <v>170</v>
      </c>
      <c r="K1119" s="2" t="s">
        <v>74</v>
      </c>
      <c r="M1119" t="s">
        <v>1999</v>
      </c>
      <c r="P1119" s="19" t="s">
        <v>1573</v>
      </c>
      <c r="Q1119" s="19" t="s">
        <v>25</v>
      </c>
      <c r="R1119" s="19" t="s">
        <v>138</v>
      </c>
      <c r="W1119" s="20">
        <v>22</v>
      </c>
      <c r="X1119" s="65" t="s">
        <v>1572</v>
      </c>
      <c r="Z1119" t="s">
        <v>307</v>
      </c>
      <c r="AB1119" t="s">
        <v>178</v>
      </c>
      <c r="AC1119" t="s">
        <v>1744</v>
      </c>
      <c r="AD1119" s="2" t="s">
        <v>180</v>
      </c>
    </row>
    <row r="1120" spans="1:30" hidden="1" x14ac:dyDescent="0.25">
      <c r="A1120" s="2">
        <v>160</v>
      </c>
      <c r="B1120" t="s">
        <v>1752</v>
      </c>
      <c r="C1120">
        <v>12</v>
      </c>
      <c r="D1120">
        <v>490</v>
      </c>
      <c r="E1120">
        <v>9980</v>
      </c>
      <c r="F1120" t="s">
        <v>273</v>
      </c>
      <c r="G1120" s="2" t="s">
        <v>156</v>
      </c>
      <c r="H1120">
        <v>1</v>
      </c>
      <c r="I1120">
        <v>460.46</v>
      </c>
      <c r="J1120" s="2" t="s">
        <v>170</v>
      </c>
      <c r="K1120" s="2" t="s">
        <v>74</v>
      </c>
      <c r="M1120" t="s">
        <v>1999</v>
      </c>
      <c r="P1120" s="19" t="s">
        <v>1573</v>
      </c>
      <c r="Q1120" s="19" t="s">
        <v>27</v>
      </c>
      <c r="R1120" s="19" t="s">
        <v>138</v>
      </c>
      <c r="W1120" s="20">
        <v>22</v>
      </c>
      <c r="X1120" s="65" t="s">
        <v>1572</v>
      </c>
      <c r="Z1120" t="s">
        <v>307</v>
      </c>
      <c r="AB1120" t="s">
        <v>178</v>
      </c>
      <c r="AC1120" t="s">
        <v>1744</v>
      </c>
      <c r="AD1120" s="2" t="s">
        <v>180</v>
      </c>
    </row>
    <row r="1121" spans="1:30" hidden="1" x14ac:dyDescent="0.25">
      <c r="A1121" s="2">
        <v>161</v>
      </c>
      <c r="B1121" t="s">
        <v>1753</v>
      </c>
      <c r="C1121">
        <v>12</v>
      </c>
      <c r="D1121">
        <v>135</v>
      </c>
      <c r="E1121">
        <v>488</v>
      </c>
      <c r="F1121" t="s">
        <v>273</v>
      </c>
      <c r="G1121" s="2" t="s">
        <v>156</v>
      </c>
      <c r="H1121">
        <v>6</v>
      </c>
      <c r="I1121">
        <v>37.14</v>
      </c>
      <c r="J1121" s="2" t="s">
        <v>170</v>
      </c>
      <c r="K1121" s="2" t="s">
        <v>74</v>
      </c>
      <c r="M1121" t="s">
        <v>1999</v>
      </c>
      <c r="P1121" s="19" t="s">
        <v>1573</v>
      </c>
      <c r="Q1121" s="19" t="s">
        <v>25</v>
      </c>
      <c r="R1121" s="19" t="s">
        <v>138</v>
      </c>
      <c r="W1121" s="20">
        <v>22</v>
      </c>
      <c r="X1121" s="65" t="s">
        <v>1572</v>
      </c>
      <c r="Z1121" t="s">
        <v>307</v>
      </c>
      <c r="AB1121" t="s">
        <v>178</v>
      </c>
      <c r="AC1121" t="s">
        <v>1744</v>
      </c>
      <c r="AD1121" s="2" t="s">
        <v>180</v>
      </c>
    </row>
    <row r="1122" spans="1:30" hidden="1" x14ac:dyDescent="0.25">
      <c r="A1122" s="2">
        <v>162</v>
      </c>
      <c r="B1122" t="s">
        <v>1754</v>
      </c>
      <c r="C1122">
        <v>12</v>
      </c>
      <c r="D1122">
        <v>490</v>
      </c>
      <c r="E1122">
        <v>9980</v>
      </c>
      <c r="F1122" t="s">
        <v>273</v>
      </c>
      <c r="G1122" s="2" t="s">
        <v>156</v>
      </c>
      <c r="H1122">
        <v>1</v>
      </c>
      <c r="I1122">
        <v>460.46</v>
      </c>
      <c r="J1122" s="2" t="s">
        <v>170</v>
      </c>
      <c r="K1122" s="2" t="s">
        <v>74</v>
      </c>
      <c r="M1122" t="s">
        <v>1999</v>
      </c>
      <c r="P1122" s="19" t="s">
        <v>1573</v>
      </c>
      <c r="Q1122" s="19" t="s">
        <v>27</v>
      </c>
      <c r="R1122" s="19" t="s">
        <v>138</v>
      </c>
      <c r="W1122" s="20">
        <v>22</v>
      </c>
      <c r="X1122" s="65" t="s">
        <v>1572</v>
      </c>
      <c r="Z1122" t="s">
        <v>307</v>
      </c>
      <c r="AB1122" t="s">
        <v>178</v>
      </c>
      <c r="AC1122" t="s">
        <v>1744</v>
      </c>
      <c r="AD1122" s="2" t="s">
        <v>180</v>
      </c>
    </row>
    <row r="1123" spans="1:30" hidden="1" x14ac:dyDescent="0.25">
      <c r="A1123" s="2">
        <v>163</v>
      </c>
      <c r="B1123" t="s">
        <v>1755</v>
      </c>
      <c r="C1123">
        <v>12</v>
      </c>
      <c r="D1123">
        <v>100</v>
      </c>
      <c r="E1123">
        <v>150</v>
      </c>
      <c r="F1123" t="s">
        <v>273</v>
      </c>
      <c r="G1123" s="2" t="s">
        <v>156</v>
      </c>
      <c r="H1123">
        <v>1</v>
      </c>
      <c r="I1123">
        <v>1.41</v>
      </c>
      <c r="J1123" s="2" t="s">
        <v>170</v>
      </c>
      <c r="K1123" s="2" t="s">
        <v>74</v>
      </c>
      <c r="M1123" t="s">
        <v>1999</v>
      </c>
      <c r="P1123" s="19" t="s">
        <v>1573</v>
      </c>
      <c r="Q1123" s="19" t="s">
        <v>25</v>
      </c>
      <c r="R1123" s="19" t="s">
        <v>138</v>
      </c>
      <c r="W1123" s="20">
        <v>22</v>
      </c>
      <c r="X1123" s="65" t="s">
        <v>1572</v>
      </c>
      <c r="Z1123" t="s">
        <v>307</v>
      </c>
      <c r="AB1123" t="s">
        <v>178</v>
      </c>
      <c r="AC1123" t="s">
        <v>1744</v>
      </c>
      <c r="AD1123" s="2" t="s">
        <v>180</v>
      </c>
    </row>
    <row r="1124" spans="1:30" hidden="1" x14ac:dyDescent="0.25">
      <c r="A1124" s="2">
        <v>164</v>
      </c>
      <c r="B1124" t="s">
        <v>1756</v>
      </c>
      <c r="C1124">
        <v>12</v>
      </c>
      <c r="D1124">
        <v>100</v>
      </c>
      <c r="E1124">
        <v>150</v>
      </c>
      <c r="F1124" t="s">
        <v>273</v>
      </c>
      <c r="G1124" s="2" t="s">
        <v>156</v>
      </c>
      <c r="H1124">
        <v>1</v>
      </c>
      <c r="I1124">
        <v>1.41</v>
      </c>
      <c r="J1124" s="2" t="s">
        <v>170</v>
      </c>
      <c r="K1124" s="2" t="s">
        <v>74</v>
      </c>
      <c r="M1124" t="s">
        <v>1999</v>
      </c>
      <c r="P1124" s="19" t="s">
        <v>1573</v>
      </c>
      <c r="Q1124" s="19" t="s">
        <v>25</v>
      </c>
      <c r="R1124" s="19" t="s">
        <v>138</v>
      </c>
      <c r="W1124" s="20">
        <v>22</v>
      </c>
      <c r="X1124" s="65" t="s">
        <v>1572</v>
      </c>
      <c r="Z1124" t="s">
        <v>307</v>
      </c>
      <c r="AB1124" t="s">
        <v>178</v>
      </c>
      <c r="AC1124" t="s">
        <v>1744</v>
      </c>
      <c r="AD1124" s="2" t="s">
        <v>180</v>
      </c>
    </row>
    <row r="1125" spans="1:30" hidden="1" x14ac:dyDescent="0.25">
      <c r="A1125" s="2">
        <v>165</v>
      </c>
      <c r="B1125" t="s">
        <v>1736</v>
      </c>
      <c r="C1125">
        <v>12</v>
      </c>
      <c r="D1125">
        <v>116</v>
      </c>
      <c r="E1125">
        <v>144</v>
      </c>
      <c r="F1125" t="s">
        <v>273</v>
      </c>
      <c r="G1125" s="2" t="s">
        <v>156</v>
      </c>
      <c r="H1125">
        <v>1</v>
      </c>
      <c r="I1125">
        <v>1.32</v>
      </c>
      <c r="J1125" s="2" t="s">
        <v>170</v>
      </c>
      <c r="K1125" s="2" t="s">
        <v>74</v>
      </c>
      <c r="M1125" t="s">
        <v>1999</v>
      </c>
      <c r="P1125" s="19" t="s">
        <v>1573</v>
      </c>
      <c r="Q1125" s="19" t="s">
        <v>25</v>
      </c>
      <c r="R1125" s="19" t="s">
        <v>138</v>
      </c>
      <c r="W1125" s="20">
        <v>22</v>
      </c>
      <c r="X1125" s="65" t="s">
        <v>1572</v>
      </c>
      <c r="Z1125" t="s">
        <v>307</v>
      </c>
      <c r="AB1125" t="s">
        <v>178</v>
      </c>
      <c r="AC1125" t="s">
        <v>1757</v>
      </c>
      <c r="AD1125" s="2" t="s">
        <v>180</v>
      </c>
    </row>
    <row r="1126" spans="1:30" hidden="1" x14ac:dyDescent="0.25">
      <c r="A1126" s="2">
        <v>166</v>
      </c>
      <c r="B1126" t="s">
        <v>1759</v>
      </c>
      <c r="C1126">
        <v>12</v>
      </c>
      <c r="D1126">
        <v>490</v>
      </c>
      <c r="E1126">
        <v>9980</v>
      </c>
      <c r="F1126" t="s">
        <v>273</v>
      </c>
      <c r="G1126" s="2" t="s">
        <v>156</v>
      </c>
      <c r="H1126">
        <v>1</v>
      </c>
      <c r="I1126">
        <v>460.46</v>
      </c>
      <c r="J1126" s="2" t="s">
        <v>170</v>
      </c>
      <c r="K1126" s="2" t="s">
        <v>74</v>
      </c>
      <c r="M1126" t="s">
        <v>1999</v>
      </c>
      <c r="P1126" s="19" t="s">
        <v>1573</v>
      </c>
      <c r="Q1126" s="19" t="s">
        <v>27</v>
      </c>
      <c r="R1126" s="19" t="s">
        <v>138</v>
      </c>
      <c r="W1126" s="20">
        <v>22</v>
      </c>
      <c r="X1126" s="65" t="s">
        <v>1572</v>
      </c>
      <c r="Z1126" t="s">
        <v>307</v>
      </c>
      <c r="AB1126" t="s">
        <v>178</v>
      </c>
      <c r="AC1126" t="s">
        <v>1757</v>
      </c>
      <c r="AD1126" s="2" t="s">
        <v>180</v>
      </c>
    </row>
    <row r="1127" spans="1:30" hidden="1" x14ac:dyDescent="0.25">
      <c r="A1127" s="2">
        <v>167</v>
      </c>
      <c r="B1127" t="s">
        <v>1760</v>
      </c>
      <c r="C1127">
        <v>12</v>
      </c>
      <c r="D1127">
        <v>490</v>
      </c>
      <c r="E1127">
        <v>9980</v>
      </c>
      <c r="F1127" t="s">
        <v>273</v>
      </c>
      <c r="G1127" s="2" t="s">
        <v>156</v>
      </c>
      <c r="H1127">
        <v>1</v>
      </c>
      <c r="I1127">
        <v>460.46</v>
      </c>
      <c r="J1127" s="2" t="s">
        <v>170</v>
      </c>
      <c r="K1127" s="2" t="s">
        <v>74</v>
      </c>
      <c r="M1127" t="s">
        <v>1999</v>
      </c>
      <c r="P1127" s="19" t="s">
        <v>1573</v>
      </c>
      <c r="Q1127" s="19" t="s">
        <v>27</v>
      </c>
      <c r="R1127" s="19" t="s">
        <v>138</v>
      </c>
      <c r="W1127" s="20">
        <v>22</v>
      </c>
      <c r="X1127" s="65" t="s">
        <v>1572</v>
      </c>
      <c r="Z1127" t="s">
        <v>307</v>
      </c>
      <c r="AB1127" t="s">
        <v>178</v>
      </c>
      <c r="AC1127" t="s">
        <v>1757</v>
      </c>
      <c r="AD1127" s="2" t="s">
        <v>180</v>
      </c>
    </row>
    <row r="1128" spans="1:30" hidden="1" x14ac:dyDescent="0.25">
      <c r="A1128" s="2">
        <v>168</v>
      </c>
      <c r="B1128" t="s">
        <v>1753</v>
      </c>
      <c r="C1128">
        <v>12</v>
      </c>
      <c r="D1128">
        <v>135</v>
      </c>
      <c r="E1128">
        <v>488</v>
      </c>
      <c r="F1128" t="s">
        <v>273</v>
      </c>
      <c r="G1128" s="2" t="s">
        <v>156</v>
      </c>
      <c r="H1128">
        <v>11</v>
      </c>
      <c r="I1128">
        <v>68.09</v>
      </c>
      <c r="J1128" s="2" t="s">
        <v>170</v>
      </c>
      <c r="K1128" s="2" t="s">
        <v>74</v>
      </c>
      <c r="M1128" t="s">
        <v>1999</v>
      </c>
      <c r="P1128" s="19" t="s">
        <v>1573</v>
      </c>
      <c r="Q1128" s="19" t="s">
        <v>25</v>
      </c>
      <c r="R1128" s="19" t="s">
        <v>138</v>
      </c>
      <c r="W1128" s="20">
        <v>22</v>
      </c>
      <c r="X1128" s="65" t="s">
        <v>1572</v>
      </c>
      <c r="Z1128" t="s">
        <v>307</v>
      </c>
      <c r="AB1128" t="s">
        <v>178</v>
      </c>
      <c r="AC1128" t="s">
        <v>1757</v>
      </c>
      <c r="AD1128" s="2" t="s">
        <v>180</v>
      </c>
    </row>
    <row r="1129" spans="1:30" hidden="1" x14ac:dyDescent="0.25">
      <c r="A1129" s="2">
        <v>169</v>
      </c>
      <c r="B1129" t="s">
        <v>1761</v>
      </c>
      <c r="C1129">
        <v>12</v>
      </c>
      <c r="D1129">
        <v>135</v>
      </c>
      <c r="E1129">
        <v>488</v>
      </c>
      <c r="F1129" t="s">
        <v>273</v>
      </c>
      <c r="G1129" s="2" t="s">
        <v>156</v>
      </c>
      <c r="H1129">
        <v>16</v>
      </c>
      <c r="I1129">
        <v>99.04</v>
      </c>
      <c r="J1129" s="2" t="s">
        <v>170</v>
      </c>
      <c r="K1129" s="2" t="s">
        <v>74</v>
      </c>
      <c r="M1129" t="s">
        <v>1999</v>
      </c>
      <c r="P1129" s="19" t="s">
        <v>1573</v>
      </c>
      <c r="Q1129" s="19" t="s">
        <v>25</v>
      </c>
      <c r="R1129" s="19" t="s">
        <v>138</v>
      </c>
      <c r="W1129" s="20">
        <v>22</v>
      </c>
      <c r="X1129" s="65" t="s">
        <v>1572</v>
      </c>
      <c r="Z1129" t="s">
        <v>307</v>
      </c>
      <c r="AB1129" t="s">
        <v>178</v>
      </c>
      <c r="AC1129" t="s">
        <v>1757</v>
      </c>
      <c r="AD1129" s="2" t="s">
        <v>180</v>
      </c>
    </row>
    <row r="1130" spans="1:30" hidden="1" x14ac:dyDescent="0.25">
      <c r="A1130" s="2">
        <v>170</v>
      </c>
      <c r="B1130" t="s">
        <v>1762</v>
      </c>
      <c r="C1130">
        <v>12</v>
      </c>
      <c r="D1130">
        <v>490</v>
      </c>
      <c r="E1130">
        <v>9980</v>
      </c>
      <c r="F1130" t="s">
        <v>273</v>
      </c>
      <c r="G1130" s="2" t="s">
        <v>156</v>
      </c>
      <c r="H1130">
        <v>1</v>
      </c>
      <c r="I1130">
        <v>460.46</v>
      </c>
      <c r="J1130" s="2" t="s">
        <v>170</v>
      </c>
      <c r="K1130" s="2" t="s">
        <v>74</v>
      </c>
      <c r="M1130" t="s">
        <v>1999</v>
      </c>
      <c r="P1130" s="19" t="s">
        <v>1573</v>
      </c>
      <c r="Q1130" s="19" t="s">
        <v>27</v>
      </c>
      <c r="R1130" s="19" t="s">
        <v>138</v>
      </c>
      <c r="W1130" s="20">
        <v>22</v>
      </c>
      <c r="X1130" s="65" t="s">
        <v>1572</v>
      </c>
      <c r="Z1130" t="s">
        <v>307</v>
      </c>
      <c r="AB1130" t="s">
        <v>178</v>
      </c>
      <c r="AC1130" t="s">
        <v>1757</v>
      </c>
      <c r="AD1130" s="2" t="s">
        <v>180</v>
      </c>
    </row>
    <row r="1131" spans="1:30" hidden="1" x14ac:dyDescent="0.25">
      <c r="A1131" s="2">
        <v>171</v>
      </c>
      <c r="B1131" t="s">
        <v>1763</v>
      </c>
      <c r="C1131">
        <v>12</v>
      </c>
      <c r="D1131">
        <v>135</v>
      </c>
      <c r="E1131">
        <v>488</v>
      </c>
      <c r="F1131" t="s">
        <v>273</v>
      </c>
      <c r="G1131" s="2" t="s">
        <v>156</v>
      </c>
      <c r="H1131">
        <v>16</v>
      </c>
      <c r="I1131">
        <v>99.04</v>
      </c>
      <c r="J1131" s="2" t="s">
        <v>170</v>
      </c>
      <c r="K1131" s="2" t="s">
        <v>74</v>
      </c>
      <c r="M1131" t="s">
        <v>1999</v>
      </c>
      <c r="P1131" s="19" t="s">
        <v>1573</v>
      </c>
      <c r="Q1131" s="19" t="s">
        <v>25</v>
      </c>
      <c r="R1131" s="19" t="s">
        <v>138</v>
      </c>
      <c r="W1131" s="20">
        <v>22</v>
      </c>
      <c r="X1131" s="65" t="s">
        <v>1572</v>
      </c>
      <c r="Z1131" t="s">
        <v>307</v>
      </c>
      <c r="AB1131" t="s">
        <v>178</v>
      </c>
      <c r="AC1131" t="s">
        <v>1757</v>
      </c>
      <c r="AD1131" s="2" t="s">
        <v>180</v>
      </c>
    </row>
    <row r="1132" spans="1:30" hidden="1" x14ac:dyDescent="0.25">
      <c r="A1132" s="2">
        <v>172</v>
      </c>
      <c r="B1132" t="s">
        <v>1764</v>
      </c>
      <c r="C1132">
        <v>12</v>
      </c>
      <c r="D1132">
        <v>135</v>
      </c>
      <c r="E1132">
        <v>488</v>
      </c>
      <c r="F1132" t="s">
        <v>273</v>
      </c>
      <c r="G1132" s="2" t="s">
        <v>156</v>
      </c>
      <c r="H1132">
        <v>16</v>
      </c>
      <c r="I1132">
        <v>99.04</v>
      </c>
      <c r="J1132" s="2" t="s">
        <v>170</v>
      </c>
      <c r="K1132" s="2" t="s">
        <v>74</v>
      </c>
      <c r="M1132" t="s">
        <v>1999</v>
      </c>
      <c r="P1132" s="19" t="s">
        <v>1573</v>
      </c>
      <c r="Q1132" s="19" t="s">
        <v>25</v>
      </c>
      <c r="R1132" s="19" t="s">
        <v>138</v>
      </c>
      <c r="W1132" s="20">
        <v>22</v>
      </c>
      <c r="X1132" s="65" t="s">
        <v>1572</v>
      </c>
      <c r="Z1132" t="s">
        <v>307</v>
      </c>
      <c r="AB1132" t="s">
        <v>178</v>
      </c>
      <c r="AC1132" t="s">
        <v>1757</v>
      </c>
      <c r="AD1132" s="2" t="s">
        <v>180</v>
      </c>
    </row>
    <row r="1133" spans="1:30" hidden="1" x14ac:dyDescent="0.25">
      <c r="A1133" s="2">
        <v>173</v>
      </c>
      <c r="B1133" t="s">
        <v>1765</v>
      </c>
      <c r="C1133">
        <v>12</v>
      </c>
      <c r="D1133">
        <v>490</v>
      </c>
      <c r="E1133">
        <v>9980</v>
      </c>
      <c r="F1133" t="s">
        <v>273</v>
      </c>
      <c r="G1133" s="2" t="s">
        <v>156</v>
      </c>
      <c r="H1133">
        <v>1</v>
      </c>
      <c r="I1133">
        <v>460.46</v>
      </c>
      <c r="J1133" s="2" t="s">
        <v>170</v>
      </c>
      <c r="K1133" s="2" t="s">
        <v>74</v>
      </c>
      <c r="M1133" t="s">
        <v>1999</v>
      </c>
      <c r="P1133" s="19" t="s">
        <v>1573</v>
      </c>
      <c r="Q1133" s="19" t="s">
        <v>27</v>
      </c>
      <c r="R1133" s="19" t="s">
        <v>138</v>
      </c>
      <c r="W1133" s="20">
        <v>22</v>
      </c>
      <c r="X1133" s="65" t="s">
        <v>1572</v>
      </c>
      <c r="Z1133" t="s">
        <v>307</v>
      </c>
      <c r="AB1133" t="s">
        <v>178</v>
      </c>
      <c r="AC1133" t="s">
        <v>1757</v>
      </c>
      <c r="AD1133" s="2" t="s">
        <v>180</v>
      </c>
    </row>
    <row r="1134" spans="1:30" hidden="1" x14ac:dyDescent="0.25">
      <c r="A1134" s="2">
        <v>174</v>
      </c>
      <c r="B1134" t="s">
        <v>1766</v>
      </c>
      <c r="C1134">
        <v>12</v>
      </c>
      <c r="D1134">
        <v>135</v>
      </c>
      <c r="E1134">
        <v>488</v>
      </c>
      <c r="F1134" t="s">
        <v>273</v>
      </c>
      <c r="G1134" s="2" t="s">
        <v>156</v>
      </c>
      <c r="H1134">
        <v>1</v>
      </c>
      <c r="I1134">
        <v>6.19</v>
      </c>
      <c r="J1134" s="2" t="s">
        <v>170</v>
      </c>
      <c r="K1134" s="2" t="s">
        <v>74</v>
      </c>
      <c r="M1134" t="s">
        <v>1999</v>
      </c>
      <c r="P1134" s="19" t="s">
        <v>1573</v>
      </c>
      <c r="Q1134" s="19" t="s">
        <v>25</v>
      </c>
      <c r="R1134" s="19" t="s">
        <v>138</v>
      </c>
      <c r="W1134" s="20">
        <v>22</v>
      </c>
      <c r="X1134" s="65" t="s">
        <v>1572</v>
      </c>
      <c r="Z1134" t="s">
        <v>307</v>
      </c>
      <c r="AB1134" t="s">
        <v>178</v>
      </c>
      <c r="AC1134" t="s">
        <v>1757</v>
      </c>
      <c r="AD1134" s="2" t="s">
        <v>180</v>
      </c>
    </row>
    <row r="1135" spans="1:30" hidden="1" x14ac:dyDescent="0.25">
      <c r="A1135" s="2">
        <v>175</v>
      </c>
      <c r="B1135" t="s">
        <v>1767</v>
      </c>
      <c r="C1135">
        <v>12</v>
      </c>
      <c r="D1135">
        <v>100</v>
      </c>
      <c r="E1135">
        <v>150</v>
      </c>
      <c r="F1135" t="s">
        <v>273</v>
      </c>
      <c r="G1135" s="2" t="s">
        <v>156</v>
      </c>
      <c r="H1135">
        <v>1</v>
      </c>
      <c r="I1135">
        <v>1.41</v>
      </c>
      <c r="J1135" s="2" t="s">
        <v>170</v>
      </c>
      <c r="K1135" s="2" t="s">
        <v>74</v>
      </c>
      <c r="M1135" t="s">
        <v>1999</v>
      </c>
      <c r="P1135" s="19" t="s">
        <v>1573</v>
      </c>
      <c r="Q1135" s="19" t="s">
        <v>25</v>
      </c>
      <c r="R1135" s="19" t="s">
        <v>138</v>
      </c>
      <c r="W1135" s="20">
        <v>22</v>
      </c>
      <c r="X1135" s="65" t="s">
        <v>1572</v>
      </c>
      <c r="Z1135" t="s">
        <v>307</v>
      </c>
      <c r="AB1135" t="s">
        <v>178</v>
      </c>
      <c r="AC1135" t="s">
        <v>1757</v>
      </c>
      <c r="AD1135" s="2" t="s">
        <v>180</v>
      </c>
    </row>
    <row r="1136" spans="1:30" hidden="1" x14ac:dyDescent="0.25">
      <c r="A1136" s="2">
        <v>176</v>
      </c>
      <c r="B1136" t="s">
        <v>1768</v>
      </c>
      <c r="C1136">
        <v>12</v>
      </c>
      <c r="D1136">
        <v>100</v>
      </c>
      <c r="E1136">
        <v>150</v>
      </c>
      <c r="F1136" t="s">
        <v>273</v>
      </c>
      <c r="G1136" s="2" t="s">
        <v>156</v>
      </c>
      <c r="H1136">
        <v>1</v>
      </c>
      <c r="I1136">
        <v>1.41</v>
      </c>
      <c r="J1136" s="2" t="s">
        <v>170</v>
      </c>
      <c r="K1136" s="2" t="s">
        <v>74</v>
      </c>
      <c r="M1136" t="s">
        <v>1999</v>
      </c>
      <c r="P1136" s="19" t="s">
        <v>1573</v>
      </c>
      <c r="Q1136" s="19" t="s">
        <v>25</v>
      </c>
      <c r="R1136" s="19" t="s">
        <v>138</v>
      </c>
      <c r="W1136" s="20">
        <v>22</v>
      </c>
      <c r="X1136" s="65" t="s">
        <v>1572</v>
      </c>
      <c r="Z1136" t="s">
        <v>307</v>
      </c>
      <c r="AB1136" t="s">
        <v>178</v>
      </c>
      <c r="AC1136" t="s">
        <v>1757</v>
      </c>
      <c r="AD1136" s="2" t="s">
        <v>180</v>
      </c>
    </row>
    <row r="1137" spans="1:30" hidden="1" x14ac:dyDescent="0.25">
      <c r="A1137" s="2">
        <v>177</v>
      </c>
      <c r="B1137" t="s">
        <v>1769</v>
      </c>
      <c r="C1137">
        <v>12</v>
      </c>
      <c r="D1137">
        <v>116</v>
      </c>
      <c r="E1137">
        <v>144</v>
      </c>
      <c r="F1137" t="s">
        <v>273</v>
      </c>
      <c r="G1137" s="2" t="s">
        <v>156</v>
      </c>
      <c r="H1137">
        <v>1</v>
      </c>
      <c r="I1137">
        <v>1.32</v>
      </c>
      <c r="J1137" s="2" t="s">
        <v>170</v>
      </c>
      <c r="K1137" s="2" t="s">
        <v>74</v>
      </c>
      <c r="M1137" t="s">
        <v>1999</v>
      </c>
      <c r="P1137" s="19" t="s">
        <v>1573</v>
      </c>
      <c r="Q1137" s="19" t="s">
        <v>25</v>
      </c>
      <c r="R1137" s="19" t="s">
        <v>138</v>
      </c>
      <c r="W1137" s="20">
        <v>22</v>
      </c>
      <c r="X1137" s="65" t="s">
        <v>1572</v>
      </c>
      <c r="Z1137" t="s">
        <v>307</v>
      </c>
      <c r="AB1137" t="s">
        <v>178</v>
      </c>
      <c r="AC1137" t="s">
        <v>1770</v>
      </c>
      <c r="AD1137" s="2" t="s">
        <v>180</v>
      </c>
    </row>
    <row r="1138" spans="1:30" hidden="1" x14ac:dyDescent="0.25">
      <c r="A1138" s="2">
        <v>178</v>
      </c>
      <c r="B1138" t="s">
        <v>1772</v>
      </c>
      <c r="C1138">
        <v>12</v>
      </c>
      <c r="D1138">
        <v>116</v>
      </c>
      <c r="E1138">
        <v>144</v>
      </c>
      <c r="F1138" t="s">
        <v>273</v>
      </c>
      <c r="G1138" s="2" t="s">
        <v>156</v>
      </c>
      <c r="H1138">
        <v>24</v>
      </c>
      <c r="I1138">
        <v>31.78</v>
      </c>
      <c r="J1138" s="2" t="s">
        <v>170</v>
      </c>
      <c r="K1138" s="2" t="s">
        <v>74</v>
      </c>
      <c r="M1138" t="s">
        <v>1999</v>
      </c>
      <c r="P1138" s="19" t="s">
        <v>1573</v>
      </c>
      <c r="Q1138" s="19" t="s">
        <v>25</v>
      </c>
      <c r="R1138" s="19" t="s">
        <v>138</v>
      </c>
      <c r="W1138" s="20">
        <v>22</v>
      </c>
      <c r="X1138" s="65" t="s">
        <v>1572</v>
      </c>
      <c r="Z1138" t="s">
        <v>307</v>
      </c>
      <c r="AB1138" t="s">
        <v>178</v>
      </c>
      <c r="AC1138" t="s">
        <v>1770</v>
      </c>
      <c r="AD1138" s="2" t="s">
        <v>180</v>
      </c>
    </row>
    <row r="1139" spans="1:30" hidden="1" x14ac:dyDescent="0.25">
      <c r="A1139" s="2">
        <v>179</v>
      </c>
      <c r="B1139" t="s">
        <v>1736</v>
      </c>
      <c r="C1139">
        <v>12</v>
      </c>
      <c r="D1139">
        <v>116</v>
      </c>
      <c r="E1139">
        <v>144</v>
      </c>
      <c r="F1139" t="s">
        <v>273</v>
      </c>
      <c r="G1139" s="2" t="s">
        <v>156</v>
      </c>
      <c r="H1139">
        <v>6</v>
      </c>
      <c r="I1139">
        <v>7.94</v>
      </c>
      <c r="J1139" s="2" t="s">
        <v>170</v>
      </c>
      <c r="K1139" s="2" t="s">
        <v>74</v>
      </c>
      <c r="M1139" t="s">
        <v>1999</v>
      </c>
      <c r="P1139" s="19" t="s">
        <v>1573</v>
      </c>
      <c r="Q1139" s="19" t="s">
        <v>25</v>
      </c>
      <c r="R1139" s="19" t="s">
        <v>138</v>
      </c>
      <c r="W1139" s="20">
        <v>22</v>
      </c>
      <c r="X1139" s="65" t="s">
        <v>1572</v>
      </c>
      <c r="Z1139" t="s">
        <v>307</v>
      </c>
      <c r="AB1139" t="s">
        <v>178</v>
      </c>
      <c r="AC1139" t="s">
        <v>1770</v>
      </c>
      <c r="AD1139" s="2" t="s">
        <v>180</v>
      </c>
    </row>
    <row r="1140" spans="1:30" hidden="1" x14ac:dyDescent="0.25">
      <c r="A1140" s="2">
        <v>180</v>
      </c>
      <c r="B1140" t="s">
        <v>1773</v>
      </c>
      <c r="C1140">
        <v>12</v>
      </c>
      <c r="D1140">
        <v>116</v>
      </c>
      <c r="E1140">
        <v>144</v>
      </c>
      <c r="F1140" t="s">
        <v>273</v>
      </c>
      <c r="G1140" s="2" t="s">
        <v>156</v>
      </c>
      <c r="H1140">
        <v>24</v>
      </c>
      <c r="I1140">
        <v>31.78</v>
      </c>
      <c r="J1140" s="2" t="s">
        <v>170</v>
      </c>
      <c r="K1140" s="2" t="s">
        <v>74</v>
      </c>
      <c r="M1140" t="s">
        <v>1999</v>
      </c>
      <c r="P1140" s="19" t="s">
        <v>1573</v>
      </c>
      <c r="Q1140" s="19" t="s">
        <v>25</v>
      </c>
      <c r="R1140" s="19" t="s">
        <v>138</v>
      </c>
      <c r="W1140" s="20">
        <v>22</v>
      </c>
      <c r="X1140" s="65" t="s">
        <v>1572</v>
      </c>
      <c r="Z1140" t="s">
        <v>307</v>
      </c>
      <c r="AB1140" t="s">
        <v>178</v>
      </c>
      <c r="AC1140" t="s">
        <v>1770</v>
      </c>
      <c r="AD1140" s="2" t="s">
        <v>180</v>
      </c>
    </row>
    <row r="1141" spans="1:30" hidden="1" x14ac:dyDescent="0.25">
      <c r="A1141" s="2">
        <v>181</v>
      </c>
      <c r="B1141" t="s">
        <v>1774</v>
      </c>
      <c r="C1141">
        <v>12</v>
      </c>
      <c r="D1141">
        <v>116</v>
      </c>
      <c r="E1141">
        <v>144</v>
      </c>
      <c r="F1141" t="s">
        <v>273</v>
      </c>
      <c r="G1141" s="2" t="s">
        <v>156</v>
      </c>
      <c r="H1141">
        <v>24</v>
      </c>
      <c r="I1141">
        <v>31.78</v>
      </c>
      <c r="J1141" s="2" t="s">
        <v>170</v>
      </c>
      <c r="K1141" s="2" t="s">
        <v>74</v>
      </c>
      <c r="M1141" t="s">
        <v>1999</v>
      </c>
      <c r="P1141" s="19" t="s">
        <v>1573</v>
      </c>
      <c r="Q1141" s="19" t="s">
        <v>25</v>
      </c>
      <c r="R1141" s="19" t="s">
        <v>138</v>
      </c>
      <c r="W1141" s="20">
        <v>22</v>
      </c>
      <c r="X1141" s="65" t="s">
        <v>1572</v>
      </c>
      <c r="Z1141" t="s">
        <v>307</v>
      </c>
      <c r="AB1141" t="s">
        <v>178</v>
      </c>
      <c r="AC1141" t="s">
        <v>1770</v>
      </c>
      <c r="AD1141" s="2" t="s">
        <v>180</v>
      </c>
    </row>
    <row r="1142" spans="1:30" hidden="1" x14ac:dyDescent="0.25">
      <c r="A1142" s="2">
        <v>182</v>
      </c>
      <c r="B1142" t="s">
        <v>1775</v>
      </c>
      <c r="C1142">
        <v>12</v>
      </c>
      <c r="D1142">
        <v>116</v>
      </c>
      <c r="E1142">
        <v>144</v>
      </c>
      <c r="F1142" t="s">
        <v>273</v>
      </c>
      <c r="G1142" s="2" t="s">
        <v>156</v>
      </c>
      <c r="H1142">
        <v>24</v>
      </c>
      <c r="I1142">
        <v>31.78</v>
      </c>
      <c r="J1142" s="2" t="s">
        <v>170</v>
      </c>
      <c r="K1142" s="2" t="s">
        <v>74</v>
      </c>
      <c r="M1142" t="s">
        <v>1999</v>
      </c>
      <c r="P1142" s="19" t="s">
        <v>1573</v>
      </c>
      <c r="Q1142" s="19" t="s">
        <v>25</v>
      </c>
      <c r="R1142" s="19" t="s">
        <v>138</v>
      </c>
      <c r="W1142" s="20">
        <v>22</v>
      </c>
      <c r="X1142" s="65" t="s">
        <v>1572</v>
      </c>
      <c r="Z1142" t="s">
        <v>307</v>
      </c>
      <c r="AB1142" t="s">
        <v>178</v>
      </c>
      <c r="AC1142" t="s">
        <v>1770</v>
      </c>
      <c r="AD1142" s="2" t="s">
        <v>180</v>
      </c>
    </row>
    <row r="1143" spans="1:30" hidden="1" x14ac:dyDescent="0.25">
      <c r="A1143" s="2">
        <v>183</v>
      </c>
      <c r="B1143" t="s">
        <v>1776</v>
      </c>
      <c r="C1143">
        <v>12</v>
      </c>
      <c r="D1143">
        <v>116</v>
      </c>
      <c r="E1143">
        <v>144</v>
      </c>
      <c r="F1143" t="s">
        <v>273</v>
      </c>
      <c r="G1143" s="2" t="s">
        <v>156</v>
      </c>
      <c r="H1143">
        <v>18</v>
      </c>
      <c r="I1143">
        <v>23.83</v>
      </c>
      <c r="J1143" s="2" t="s">
        <v>170</v>
      </c>
      <c r="K1143" s="2" t="s">
        <v>74</v>
      </c>
      <c r="M1143" t="s">
        <v>1999</v>
      </c>
      <c r="P1143" s="19" t="s">
        <v>1573</v>
      </c>
      <c r="Q1143" s="19" t="s">
        <v>25</v>
      </c>
      <c r="R1143" s="19" t="s">
        <v>138</v>
      </c>
      <c r="W1143" s="20">
        <v>22</v>
      </c>
      <c r="X1143" s="65" t="s">
        <v>1572</v>
      </c>
      <c r="Z1143" t="s">
        <v>307</v>
      </c>
      <c r="AB1143" t="s">
        <v>178</v>
      </c>
      <c r="AC1143" t="s">
        <v>1770</v>
      </c>
      <c r="AD1143" s="2" t="s">
        <v>180</v>
      </c>
    </row>
    <row r="1144" spans="1:30" hidden="1" x14ac:dyDescent="0.25">
      <c r="A1144" s="2">
        <v>184</v>
      </c>
      <c r="B1144" t="s">
        <v>1777</v>
      </c>
      <c r="C1144">
        <v>12</v>
      </c>
      <c r="D1144">
        <v>116</v>
      </c>
      <c r="E1144">
        <v>144</v>
      </c>
      <c r="F1144" t="s">
        <v>273</v>
      </c>
      <c r="G1144" s="2" t="s">
        <v>156</v>
      </c>
      <c r="H1144">
        <v>18</v>
      </c>
      <c r="I1144">
        <v>23.83</v>
      </c>
      <c r="J1144" s="2" t="s">
        <v>170</v>
      </c>
      <c r="K1144" s="2" t="s">
        <v>74</v>
      </c>
      <c r="M1144" t="s">
        <v>1999</v>
      </c>
      <c r="P1144" s="19" t="s">
        <v>1573</v>
      </c>
      <c r="Q1144" s="19" t="s">
        <v>25</v>
      </c>
      <c r="R1144" s="19" t="s">
        <v>138</v>
      </c>
      <c r="W1144" s="20">
        <v>22</v>
      </c>
      <c r="X1144" s="65" t="s">
        <v>1572</v>
      </c>
      <c r="Z1144" t="s">
        <v>307</v>
      </c>
      <c r="AB1144" t="s">
        <v>178</v>
      </c>
      <c r="AC1144" t="s">
        <v>1770</v>
      </c>
      <c r="AD1144" s="2" t="s">
        <v>180</v>
      </c>
    </row>
    <row r="1145" spans="1:30" hidden="1" x14ac:dyDescent="0.25">
      <c r="A1145" s="2">
        <v>185</v>
      </c>
      <c r="B1145" t="s">
        <v>1778</v>
      </c>
      <c r="C1145">
        <v>12</v>
      </c>
      <c r="D1145">
        <v>116</v>
      </c>
      <c r="E1145">
        <v>144</v>
      </c>
      <c r="F1145" t="s">
        <v>273</v>
      </c>
      <c r="G1145" s="2" t="s">
        <v>156</v>
      </c>
      <c r="H1145">
        <v>18</v>
      </c>
      <c r="I1145">
        <v>23.83</v>
      </c>
      <c r="J1145" s="2" t="s">
        <v>170</v>
      </c>
      <c r="K1145" s="2" t="s">
        <v>74</v>
      </c>
      <c r="M1145" t="s">
        <v>1999</v>
      </c>
      <c r="P1145" s="19" t="s">
        <v>1573</v>
      </c>
      <c r="Q1145" s="19" t="s">
        <v>25</v>
      </c>
      <c r="R1145" s="19" t="s">
        <v>138</v>
      </c>
      <c r="W1145" s="20">
        <v>22</v>
      </c>
      <c r="X1145" s="65" t="s">
        <v>1572</v>
      </c>
      <c r="Z1145" t="s">
        <v>307</v>
      </c>
      <c r="AB1145" t="s">
        <v>178</v>
      </c>
      <c r="AC1145" t="s">
        <v>1770</v>
      </c>
      <c r="AD1145" s="2" t="s">
        <v>180</v>
      </c>
    </row>
    <row r="1146" spans="1:30" hidden="1" x14ac:dyDescent="0.25">
      <c r="A1146" s="2">
        <v>186</v>
      </c>
      <c r="B1146" t="s">
        <v>1779</v>
      </c>
      <c r="C1146">
        <v>12</v>
      </c>
      <c r="D1146">
        <v>116</v>
      </c>
      <c r="E1146">
        <v>144</v>
      </c>
      <c r="F1146" t="s">
        <v>273</v>
      </c>
      <c r="G1146" s="2" t="s">
        <v>156</v>
      </c>
      <c r="H1146">
        <v>18</v>
      </c>
      <c r="I1146">
        <v>23.83</v>
      </c>
      <c r="J1146" s="2" t="s">
        <v>170</v>
      </c>
      <c r="K1146" s="2" t="s">
        <v>74</v>
      </c>
      <c r="M1146" t="s">
        <v>1999</v>
      </c>
      <c r="P1146" s="19" t="s">
        <v>1573</v>
      </c>
      <c r="Q1146" s="19" t="s">
        <v>25</v>
      </c>
      <c r="R1146" s="19" t="s">
        <v>138</v>
      </c>
      <c r="W1146" s="20">
        <v>22</v>
      </c>
      <c r="X1146" s="65" t="s">
        <v>1572</v>
      </c>
      <c r="Z1146" t="s">
        <v>307</v>
      </c>
      <c r="AB1146" t="s">
        <v>178</v>
      </c>
      <c r="AC1146" t="s">
        <v>1770</v>
      </c>
      <c r="AD1146" s="2" t="s">
        <v>180</v>
      </c>
    </row>
    <row r="1147" spans="1:30" hidden="1" x14ac:dyDescent="0.25">
      <c r="A1147" s="2">
        <v>187</v>
      </c>
      <c r="B1147" t="s">
        <v>1780</v>
      </c>
      <c r="C1147">
        <v>12</v>
      </c>
      <c r="D1147">
        <v>116</v>
      </c>
      <c r="E1147">
        <v>144</v>
      </c>
      <c r="F1147" t="s">
        <v>273</v>
      </c>
      <c r="G1147" s="2" t="s">
        <v>156</v>
      </c>
      <c r="H1147">
        <v>18</v>
      </c>
      <c r="I1147">
        <v>23.83</v>
      </c>
      <c r="J1147" s="2" t="s">
        <v>170</v>
      </c>
      <c r="K1147" s="2" t="s">
        <v>74</v>
      </c>
      <c r="M1147" t="s">
        <v>1999</v>
      </c>
      <c r="P1147" s="19" t="s">
        <v>1573</v>
      </c>
      <c r="Q1147" s="19" t="s">
        <v>25</v>
      </c>
      <c r="R1147" s="19" t="s">
        <v>138</v>
      </c>
      <c r="W1147" s="20">
        <v>22</v>
      </c>
      <c r="X1147" s="65" t="s">
        <v>1572</v>
      </c>
      <c r="Z1147" t="s">
        <v>307</v>
      </c>
      <c r="AB1147" t="s">
        <v>178</v>
      </c>
      <c r="AC1147" t="s">
        <v>1770</v>
      </c>
      <c r="AD1147" s="2" t="s">
        <v>180</v>
      </c>
    </row>
    <row r="1148" spans="1:30" hidden="1" x14ac:dyDescent="0.25">
      <c r="A1148" s="2">
        <v>188</v>
      </c>
      <c r="B1148" t="s">
        <v>1781</v>
      </c>
      <c r="C1148">
        <v>12</v>
      </c>
      <c r="D1148">
        <v>116</v>
      </c>
      <c r="E1148">
        <v>144</v>
      </c>
      <c r="F1148" t="s">
        <v>273</v>
      </c>
      <c r="G1148" s="2" t="s">
        <v>156</v>
      </c>
      <c r="H1148">
        <v>4</v>
      </c>
      <c r="I1148">
        <v>5.3</v>
      </c>
      <c r="J1148" s="2" t="s">
        <v>170</v>
      </c>
      <c r="K1148" s="2" t="s">
        <v>74</v>
      </c>
      <c r="M1148" t="s">
        <v>1999</v>
      </c>
      <c r="P1148" s="19" t="s">
        <v>1573</v>
      </c>
      <c r="Q1148" s="19" t="s">
        <v>25</v>
      </c>
      <c r="R1148" s="19" t="s">
        <v>138</v>
      </c>
      <c r="W1148" s="20">
        <v>22</v>
      </c>
      <c r="X1148" s="65" t="s">
        <v>1572</v>
      </c>
      <c r="Z1148" t="s">
        <v>307</v>
      </c>
      <c r="AB1148" t="s">
        <v>178</v>
      </c>
      <c r="AC1148" t="s">
        <v>1770</v>
      </c>
      <c r="AD1148" s="2" t="s">
        <v>180</v>
      </c>
    </row>
    <row r="1149" spans="1:30" hidden="1" x14ac:dyDescent="0.25">
      <c r="A1149" s="2">
        <v>189</v>
      </c>
      <c r="B1149" t="s">
        <v>1782</v>
      </c>
      <c r="C1149">
        <v>12</v>
      </c>
      <c r="D1149">
        <v>116</v>
      </c>
      <c r="E1149">
        <v>144</v>
      </c>
      <c r="F1149" t="s">
        <v>273</v>
      </c>
      <c r="G1149" s="2" t="s">
        <v>156</v>
      </c>
      <c r="H1149">
        <v>4</v>
      </c>
      <c r="I1149">
        <v>5.3</v>
      </c>
      <c r="J1149" s="2" t="s">
        <v>170</v>
      </c>
      <c r="K1149" s="2" t="s">
        <v>74</v>
      </c>
      <c r="M1149" t="s">
        <v>1999</v>
      </c>
      <c r="P1149" s="19" t="s">
        <v>1573</v>
      </c>
      <c r="Q1149" s="19" t="s">
        <v>25</v>
      </c>
      <c r="R1149" s="19" t="s">
        <v>138</v>
      </c>
      <c r="W1149" s="20">
        <v>22</v>
      </c>
      <c r="X1149" s="65" t="s">
        <v>1572</v>
      </c>
      <c r="Z1149" t="s">
        <v>307</v>
      </c>
      <c r="AB1149" t="s">
        <v>178</v>
      </c>
      <c r="AC1149" t="s">
        <v>1770</v>
      </c>
      <c r="AD1149" s="2" t="s">
        <v>180</v>
      </c>
    </row>
    <row r="1150" spans="1:30" hidden="1" x14ac:dyDescent="0.25">
      <c r="A1150" s="2">
        <v>190</v>
      </c>
      <c r="B1150" t="s">
        <v>1783</v>
      </c>
      <c r="C1150">
        <v>12</v>
      </c>
      <c r="D1150">
        <v>116</v>
      </c>
      <c r="E1150">
        <v>144</v>
      </c>
      <c r="F1150" t="s">
        <v>273</v>
      </c>
      <c r="G1150" s="2" t="s">
        <v>156</v>
      </c>
      <c r="H1150">
        <v>4</v>
      </c>
      <c r="I1150">
        <v>5.3</v>
      </c>
      <c r="J1150" s="2" t="s">
        <v>170</v>
      </c>
      <c r="K1150" s="2" t="s">
        <v>74</v>
      </c>
      <c r="M1150" t="s">
        <v>1999</v>
      </c>
      <c r="P1150" s="19" t="s">
        <v>1573</v>
      </c>
      <c r="Q1150" s="19" t="s">
        <v>25</v>
      </c>
      <c r="R1150" s="19" t="s">
        <v>138</v>
      </c>
      <c r="W1150" s="20">
        <v>22</v>
      </c>
      <c r="X1150" s="65" t="s">
        <v>1572</v>
      </c>
      <c r="Z1150" t="s">
        <v>307</v>
      </c>
      <c r="AB1150" t="s">
        <v>178</v>
      </c>
      <c r="AC1150" t="s">
        <v>1770</v>
      </c>
      <c r="AD1150" s="2" t="s">
        <v>180</v>
      </c>
    </row>
    <row r="1151" spans="1:30" hidden="1" x14ac:dyDescent="0.25">
      <c r="A1151" s="2">
        <v>191</v>
      </c>
      <c r="B1151" t="s">
        <v>1784</v>
      </c>
      <c r="C1151">
        <v>12</v>
      </c>
      <c r="D1151">
        <v>116</v>
      </c>
      <c r="E1151">
        <v>144</v>
      </c>
      <c r="F1151" t="s">
        <v>273</v>
      </c>
      <c r="G1151" s="2" t="s">
        <v>156</v>
      </c>
      <c r="H1151">
        <v>4</v>
      </c>
      <c r="I1151">
        <v>5.3</v>
      </c>
      <c r="J1151" s="2" t="s">
        <v>170</v>
      </c>
      <c r="K1151" s="2" t="s">
        <v>74</v>
      </c>
      <c r="M1151" t="s">
        <v>1999</v>
      </c>
      <c r="P1151" s="19" t="s">
        <v>1573</v>
      </c>
      <c r="Q1151" s="19" t="s">
        <v>25</v>
      </c>
      <c r="R1151" s="19" t="s">
        <v>138</v>
      </c>
      <c r="W1151" s="20">
        <v>22</v>
      </c>
      <c r="X1151" s="65" t="s">
        <v>1572</v>
      </c>
      <c r="Z1151" t="s">
        <v>307</v>
      </c>
      <c r="AB1151" t="s">
        <v>178</v>
      </c>
      <c r="AC1151" t="s">
        <v>1770</v>
      </c>
      <c r="AD1151" s="2" t="s">
        <v>180</v>
      </c>
    </row>
    <row r="1152" spans="1:30" hidden="1" x14ac:dyDescent="0.25">
      <c r="A1152" s="2">
        <v>192</v>
      </c>
      <c r="B1152" t="s">
        <v>1785</v>
      </c>
      <c r="C1152">
        <v>12</v>
      </c>
      <c r="D1152">
        <v>116</v>
      </c>
      <c r="E1152">
        <v>144</v>
      </c>
      <c r="F1152" t="s">
        <v>273</v>
      </c>
      <c r="G1152" s="2" t="s">
        <v>156</v>
      </c>
      <c r="H1152">
        <v>4</v>
      </c>
      <c r="I1152">
        <v>5.3</v>
      </c>
      <c r="J1152" s="2" t="s">
        <v>170</v>
      </c>
      <c r="K1152" s="2" t="s">
        <v>74</v>
      </c>
      <c r="M1152" t="s">
        <v>1999</v>
      </c>
      <c r="P1152" s="19" t="s">
        <v>1573</v>
      </c>
      <c r="Q1152" s="19" t="s">
        <v>25</v>
      </c>
      <c r="R1152" s="19" t="s">
        <v>138</v>
      </c>
      <c r="W1152" s="20">
        <v>22</v>
      </c>
      <c r="X1152" s="65" t="s">
        <v>1572</v>
      </c>
      <c r="Z1152" t="s">
        <v>307</v>
      </c>
      <c r="AB1152" t="s">
        <v>178</v>
      </c>
      <c r="AC1152" t="s">
        <v>1770</v>
      </c>
      <c r="AD1152" s="2" t="s">
        <v>180</v>
      </c>
    </row>
    <row r="1153" spans="1:30" hidden="1" x14ac:dyDescent="0.25">
      <c r="A1153" s="2">
        <v>193</v>
      </c>
      <c r="B1153" t="s">
        <v>1786</v>
      </c>
      <c r="C1153">
        <v>12</v>
      </c>
      <c r="D1153">
        <v>1460</v>
      </c>
      <c r="E1153">
        <v>9068</v>
      </c>
      <c r="F1153" t="s">
        <v>273</v>
      </c>
      <c r="G1153" s="2" t="s">
        <v>156</v>
      </c>
      <c r="H1153">
        <v>1</v>
      </c>
      <c r="I1153">
        <v>1240.54</v>
      </c>
      <c r="J1153" s="2" t="s">
        <v>170</v>
      </c>
      <c r="K1153" s="2" t="s">
        <v>74</v>
      </c>
      <c r="M1153" t="s">
        <v>1999</v>
      </c>
      <c r="P1153" s="19" t="s">
        <v>1573</v>
      </c>
      <c r="Q1153" s="19" t="s">
        <v>27</v>
      </c>
      <c r="R1153" s="19" t="s">
        <v>138</v>
      </c>
      <c r="W1153" s="20">
        <v>22</v>
      </c>
      <c r="X1153" s="65" t="s">
        <v>1572</v>
      </c>
      <c r="Z1153" t="s">
        <v>307</v>
      </c>
      <c r="AB1153" t="s">
        <v>178</v>
      </c>
      <c r="AC1153" t="s">
        <v>1770</v>
      </c>
      <c r="AD1153" s="2" t="s">
        <v>180</v>
      </c>
    </row>
    <row r="1154" spans="1:30" hidden="1" x14ac:dyDescent="0.25">
      <c r="A1154" s="2">
        <v>194</v>
      </c>
      <c r="B1154" t="s">
        <v>1787</v>
      </c>
      <c r="C1154">
        <v>12</v>
      </c>
      <c r="D1154">
        <v>116</v>
      </c>
      <c r="E1154">
        <v>144</v>
      </c>
      <c r="F1154" t="s">
        <v>273</v>
      </c>
      <c r="G1154" s="2" t="s">
        <v>156</v>
      </c>
      <c r="H1154">
        <v>24</v>
      </c>
      <c r="I1154">
        <v>31.78</v>
      </c>
      <c r="J1154" s="2" t="s">
        <v>170</v>
      </c>
      <c r="K1154" s="2" t="s">
        <v>74</v>
      </c>
      <c r="M1154" t="s">
        <v>1999</v>
      </c>
      <c r="P1154" s="19" t="s">
        <v>1573</v>
      </c>
      <c r="Q1154" s="19" t="s">
        <v>25</v>
      </c>
      <c r="R1154" s="19" t="s">
        <v>138</v>
      </c>
      <c r="W1154" s="20">
        <v>22</v>
      </c>
      <c r="X1154" s="65" t="s">
        <v>1572</v>
      </c>
      <c r="Z1154" t="s">
        <v>307</v>
      </c>
      <c r="AB1154" t="s">
        <v>178</v>
      </c>
      <c r="AC1154" t="s">
        <v>1770</v>
      </c>
      <c r="AD1154" s="2" t="s">
        <v>180</v>
      </c>
    </row>
    <row r="1155" spans="1:30" hidden="1" x14ac:dyDescent="0.25">
      <c r="A1155" s="2">
        <v>195</v>
      </c>
      <c r="B1155" t="s">
        <v>1788</v>
      </c>
      <c r="C1155">
        <v>12</v>
      </c>
      <c r="D1155">
        <v>116</v>
      </c>
      <c r="E1155">
        <v>144</v>
      </c>
      <c r="F1155" t="s">
        <v>273</v>
      </c>
      <c r="G1155" s="2" t="s">
        <v>156</v>
      </c>
      <c r="H1155">
        <v>24</v>
      </c>
      <c r="I1155">
        <v>31.78</v>
      </c>
      <c r="J1155" s="2" t="s">
        <v>170</v>
      </c>
      <c r="K1155" s="2" t="s">
        <v>74</v>
      </c>
      <c r="M1155" t="s">
        <v>1999</v>
      </c>
      <c r="P1155" s="19" t="s">
        <v>1573</v>
      </c>
      <c r="Q1155" s="19" t="s">
        <v>25</v>
      </c>
      <c r="R1155" s="19" t="s">
        <v>138</v>
      </c>
      <c r="W1155" s="20">
        <v>22</v>
      </c>
      <c r="X1155" s="65" t="s">
        <v>1572</v>
      </c>
      <c r="Z1155" t="s">
        <v>307</v>
      </c>
      <c r="AB1155" t="s">
        <v>178</v>
      </c>
      <c r="AC1155" t="s">
        <v>1770</v>
      </c>
      <c r="AD1155" s="2" t="s">
        <v>180</v>
      </c>
    </row>
    <row r="1156" spans="1:30" hidden="1" x14ac:dyDescent="0.25">
      <c r="A1156" s="2">
        <v>196</v>
      </c>
      <c r="B1156" t="s">
        <v>1789</v>
      </c>
      <c r="C1156">
        <v>12</v>
      </c>
      <c r="D1156">
        <v>116</v>
      </c>
      <c r="E1156">
        <v>144</v>
      </c>
      <c r="F1156" t="s">
        <v>273</v>
      </c>
      <c r="G1156" s="2" t="s">
        <v>156</v>
      </c>
      <c r="H1156">
        <v>24</v>
      </c>
      <c r="I1156">
        <v>31.78</v>
      </c>
      <c r="J1156" s="2" t="s">
        <v>170</v>
      </c>
      <c r="K1156" s="2" t="s">
        <v>74</v>
      </c>
      <c r="M1156" t="s">
        <v>1999</v>
      </c>
      <c r="P1156" s="19" t="s">
        <v>1573</v>
      </c>
      <c r="Q1156" s="19" t="s">
        <v>25</v>
      </c>
      <c r="R1156" s="19" t="s">
        <v>138</v>
      </c>
      <c r="W1156" s="20">
        <v>22</v>
      </c>
      <c r="X1156" s="65" t="s">
        <v>1572</v>
      </c>
      <c r="Z1156" t="s">
        <v>307</v>
      </c>
      <c r="AB1156" t="s">
        <v>178</v>
      </c>
      <c r="AC1156" t="s">
        <v>1770</v>
      </c>
      <c r="AD1156" s="2" t="s">
        <v>180</v>
      </c>
    </row>
    <row r="1157" spans="1:30" hidden="1" x14ac:dyDescent="0.25">
      <c r="A1157" s="2">
        <v>197</v>
      </c>
      <c r="B1157" t="s">
        <v>1790</v>
      </c>
      <c r="C1157">
        <v>12</v>
      </c>
      <c r="D1157">
        <v>116</v>
      </c>
      <c r="E1157">
        <v>144</v>
      </c>
      <c r="F1157" t="s">
        <v>273</v>
      </c>
      <c r="G1157" s="2" t="s">
        <v>156</v>
      </c>
      <c r="H1157">
        <v>24</v>
      </c>
      <c r="I1157">
        <v>31.78</v>
      </c>
      <c r="J1157" s="2" t="s">
        <v>170</v>
      </c>
      <c r="K1157" s="2" t="s">
        <v>74</v>
      </c>
      <c r="M1157" t="s">
        <v>1999</v>
      </c>
      <c r="P1157" s="19" t="s">
        <v>1573</v>
      </c>
      <c r="Q1157" s="19" t="s">
        <v>25</v>
      </c>
      <c r="R1157" s="19" t="s">
        <v>138</v>
      </c>
      <c r="W1157" s="20">
        <v>22</v>
      </c>
      <c r="X1157" s="65" t="s">
        <v>1572</v>
      </c>
      <c r="Z1157" t="s">
        <v>307</v>
      </c>
      <c r="AB1157" t="s">
        <v>178</v>
      </c>
      <c r="AC1157" t="s">
        <v>1770</v>
      </c>
      <c r="AD1157" s="2" t="s">
        <v>180</v>
      </c>
    </row>
    <row r="1158" spans="1:30" hidden="1" x14ac:dyDescent="0.25">
      <c r="A1158" s="2">
        <v>198</v>
      </c>
      <c r="B1158" t="s">
        <v>1791</v>
      </c>
      <c r="C1158">
        <v>12</v>
      </c>
      <c r="D1158">
        <v>116</v>
      </c>
      <c r="E1158">
        <v>144</v>
      </c>
      <c r="F1158" t="s">
        <v>273</v>
      </c>
      <c r="G1158" s="2" t="s">
        <v>156</v>
      </c>
      <c r="H1158">
        <v>24</v>
      </c>
      <c r="I1158">
        <v>31.78</v>
      </c>
      <c r="J1158" s="2" t="s">
        <v>170</v>
      </c>
      <c r="K1158" s="2" t="s">
        <v>74</v>
      </c>
      <c r="M1158" t="s">
        <v>1999</v>
      </c>
      <c r="P1158" s="19" t="s">
        <v>1573</v>
      </c>
      <c r="Q1158" s="19" t="s">
        <v>25</v>
      </c>
      <c r="R1158" s="19" t="s">
        <v>138</v>
      </c>
      <c r="W1158" s="20">
        <v>22</v>
      </c>
      <c r="X1158" s="65" t="s">
        <v>1572</v>
      </c>
      <c r="Z1158" t="s">
        <v>307</v>
      </c>
      <c r="AB1158" t="s">
        <v>178</v>
      </c>
      <c r="AC1158" t="s">
        <v>1770</v>
      </c>
      <c r="AD1158" s="2" t="s">
        <v>180</v>
      </c>
    </row>
    <row r="1159" spans="1:30" hidden="1" x14ac:dyDescent="0.25">
      <c r="A1159" s="2">
        <v>199</v>
      </c>
      <c r="B1159" t="s">
        <v>1792</v>
      </c>
      <c r="C1159">
        <v>12</v>
      </c>
      <c r="D1159">
        <v>116</v>
      </c>
      <c r="E1159">
        <v>144</v>
      </c>
      <c r="F1159" t="s">
        <v>273</v>
      </c>
      <c r="G1159" s="2" t="s">
        <v>156</v>
      </c>
      <c r="H1159">
        <v>24</v>
      </c>
      <c r="I1159">
        <v>31.78</v>
      </c>
      <c r="J1159" s="2" t="s">
        <v>170</v>
      </c>
      <c r="K1159" s="2" t="s">
        <v>74</v>
      </c>
      <c r="M1159" t="s">
        <v>1999</v>
      </c>
      <c r="P1159" s="19" t="s">
        <v>1573</v>
      </c>
      <c r="Q1159" s="19" t="s">
        <v>25</v>
      </c>
      <c r="R1159" s="19" t="s">
        <v>138</v>
      </c>
      <c r="W1159" s="20">
        <v>22</v>
      </c>
      <c r="X1159" s="65" t="s">
        <v>1572</v>
      </c>
      <c r="Z1159" t="s">
        <v>307</v>
      </c>
      <c r="AB1159" t="s">
        <v>178</v>
      </c>
      <c r="AC1159" t="s">
        <v>1770</v>
      </c>
      <c r="AD1159" s="2" t="s">
        <v>180</v>
      </c>
    </row>
    <row r="1160" spans="1:30" hidden="1" x14ac:dyDescent="0.25">
      <c r="A1160" s="2">
        <v>200</v>
      </c>
      <c r="B1160" t="s">
        <v>1793</v>
      </c>
      <c r="C1160">
        <v>12</v>
      </c>
      <c r="D1160">
        <v>116</v>
      </c>
      <c r="E1160">
        <v>144</v>
      </c>
      <c r="F1160" t="s">
        <v>273</v>
      </c>
      <c r="G1160" s="2" t="s">
        <v>156</v>
      </c>
      <c r="H1160">
        <v>24</v>
      </c>
      <c r="I1160">
        <v>31.78</v>
      </c>
      <c r="J1160" s="2" t="s">
        <v>170</v>
      </c>
      <c r="K1160" s="2" t="s">
        <v>74</v>
      </c>
      <c r="M1160" t="s">
        <v>1999</v>
      </c>
      <c r="P1160" s="19" t="s">
        <v>1573</v>
      </c>
      <c r="Q1160" s="19" t="s">
        <v>25</v>
      </c>
      <c r="R1160" s="19" t="s">
        <v>138</v>
      </c>
      <c r="W1160" s="20">
        <v>22</v>
      </c>
      <c r="X1160" s="65" t="s">
        <v>1572</v>
      </c>
      <c r="Z1160" t="s">
        <v>307</v>
      </c>
      <c r="AB1160" t="s">
        <v>178</v>
      </c>
      <c r="AC1160" t="s">
        <v>1770</v>
      </c>
      <c r="AD1160" s="2" t="s">
        <v>180</v>
      </c>
    </row>
    <row r="1161" spans="1:30" hidden="1" x14ac:dyDescent="0.25">
      <c r="A1161" s="2">
        <v>201</v>
      </c>
      <c r="B1161" t="s">
        <v>1794</v>
      </c>
      <c r="C1161">
        <v>12</v>
      </c>
      <c r="D1161">
        <v>116</v>
      </c>
      <c r="E1161">
        <v>144</v>
      </c>
      <c r="F1161" t="s">
        <v>273</v>
      </c>
      <c r="G1161" s="2" t="s">
        <v>156</v>
      </c>
      <c r="H1161">
        <v>24</v>
      </c>
      <c r="I1161">
        <v>31.78</v>
      </c>
      <c r="J1161" s="2" t="s">
        <v>170</v>
      </c>
      <c r="K1161" s="2" t="s">
        <v>74</v>
      </c>
      <c r="M1161" t="s">
        <v>1999</v>
      </c>
      <c r="P1161" s="19" t="s">
        <v>1573</v>
      </c>
      <c r="Q1161" s="19" t="s">
        <v>25</v>
      </c>
      <c r="R1161" s="19" t="s">
        <v>138</v>
      </c>
      <c r="W1161" s="20">
        <v>22</v>
      </c>
      <c r="X1161" s="65" t="s">
        <v>1572</v>
      </c>
      <c r="Z1161" t="s">
        <v>307</v>
      </c>
      <c r="AB1161" t="s">
        <v>178</v>
      </c>
      <c r="AC1161" t="s">
        <v>1770</v>
      </c>
      <c r="AD1161" s="2" t="s">
        <v>180</v>
      </c>
    </row>
    <row r="1162" spans="1:30" hidden="1" x14ac:dyDescent="0.25">
      <c r="A1162" s="2">
        <v>202</v>
      </c>
      <c r="B1162" t="s">
        <v>1795</v>
      </c>
      <c r="C1162">
        <v>12</v>
      </c>
      <c r="D1162">
        <v>116</v>
      </c>
      <c r="E1162">
        <v>144</v>
      </c>
      <c r="F1162" t="s">
        <v>273</v>
      </c>
      <c r="G1162" s="2" t="s">
        <v>156</v>
      </c>
      <c r="H1162">
        <v>24</v>
      </c>
      <c r="I1162">
        <v>31.78</v>
      </c>
      <c r="J1162" s="2" t="s">
        <v>170</v>
      </c>
      <c r="K1162" s="2" t="s">
        <v>74</v>
      </c>
      <c r="M1162" t="s">
        <v>1999</v>
      </c>
      <c r="P1162" s="19" t="s">
        <v>1573</v>
      </c>
      <c r="Q1162" s="19" t="s">
        <v>25</v>
      </c>
      <c r="R1162" s="19" t="s">
        <v>138</v>
      </c>
      <c r="W1162" s="20">
        <v>22</v>
      </c>
      <c r="X1162" s="65" t="s">
        <v>1572</v>
      </c>
      <c r="Z1162" t="s">
        <v>307</v>
      </c>
      <c r="AB1162" t="s">
        <v>178</v>
      </c>
      <c r="AC1162" t="s">
        <v>1770</v>
      </c>
      <c r="AD1162" s="2" t="s">
        <v>180</v>
      </c>
    </row>
    <row r="1163" spans="1:30" hidden="1" x14ac:dyDescent="0.25">
      <c r="A1163" s="2">
        <v>203</v>
      </c>
      <c r="B1163" t="s">
        <v>1796</v>
      </c>
      <c r="C1163">
        <v>12</v>
      </c>
      <c r="D1163">
        <v>116</v>
      </c>
      <c r="E1163">
        <v>144</v>
      </c>
      <c r="F1163" t="s">
        <v>273</v>
      </c>
      <c r="G1163" s="2" t="s">
        <v>156</v>
      </c>
      <c r="H1163">
        <v>24</v>
      </c>
      <c r="I1163">
        <v>31.78</v>
      </c>
      <c r="J1163" s="2" t="s">
        <v>170</v>
      </c>
      <c r="K1163" s="2" t="s">
        <v>74</v>
      </c>
      <c r="M1163" t="s">
        <v>1999</v>
      </c>
      <c r="P1163" s="19" t="s">
        <v>1573</v>
      </c>
      <c r="Q1163" s="19" t="s">
        <v>25</v>
      </c>
      <c r="R1163" s="19" t="s">
        <v>138</v>
      </c>
      <c r="W1163" s="20">
        <v>22</v>
      </c>
      <c r="X1163" s="65" t="s">
        <v>1572</v>
      </c>
      <c r="Z1163" t="s">
        <v>307</v>
      </c>
      <c r="AB1163" t="s">
        <v>178</v>
      </c>
      <c r="AC1163" t="s">
        <v>1770</v>
      </c>
      <c r="AD1163" s="2" t="s">
        <v>180</v>
      </c>
    </row>
    <row r="1164" spans="1:30" hidden="1" x14ac:dyDescent="0.25">
      <c r="A1164" s="2">
        <v>204</v>
      </c>
      <c r="B1164" t="s">
        <v>1797</v>
      </c>
      <c r="C1164">
        <v>12</v>
      </c>
      <c r="D1164">
        <v>116</v>
      </c>
      <c r="E1164">
        <v>144</v>
      </c>
      <c r="F1164" t="s">
        <v>273</v>
      </c>
      <c r="G1164" s="2" t="s">
        <v>156</v>
      </c>
      <c r="H1164">
        <v>18</v>
      </c>
      <c r="I1164">
        <v>23.83</v>
      </c>
      <c r="J1164" s="2" t="s">
        <v>170</v>
      </c>
      <c r="K1164" s="2" t="s">
        <v>74</v>
      </c>
      <c r="M1164" t="s">
        <v>1999</v>
      </c>
      <c r="P1164" s="19" t="s">
        <v>1573</v>
      </c>
      <c r="Q1164" s="19" t="s">
        <v>25</v>
      </c>
      <c r="R1164" s="19" t="s">
        <v>138</v>
      </c>
      <c r="W1164" s="20">
        <v>22</v>
      </c>
      <c r="X1164" s="65" t="s">
        <v>1572</v>
      </c>
      <c r="Z1164" t="s">
        <v>307</v>
      </c>
      <c r="AB1164" t="s">
        <v>178</v>
      </c>
      <c r="AC1164" t="s">
        <v>1770</v>
      </c>
      <c r="AD1164" s="2" t="s">
        <v>180</v>
      </c>
    </row>
    <row r="1165" spans="1:30" hidden="1" x14ac:dyDescent="0.25">
      <c r="A1165" s="2">
        <v>205</v>
      </c>
      <c r="B1165" t="s">
        <v>1798</v>
      </c>
      <c r="C1165">
        <v>12</v>
      </c>
      <c r="D1165">
        <v>116</v>
      </c>
      <c r="E1165">
        <v>144</v>
      </c>
      <c r="F1165" t="s">
        <v>273</v>
      </c>
      <c r="G1165" s="2" t="s">
        <v>156</v>
      </c>
      <c r="H1165">
        <v>18</v>
      </c>
      <c r="I1165">
        <v>23.83</v>
      </c>
      <c r="J1165" s="2" t="s">
        <v>170</v>
      </c>
      <c r="K1165" s="2" t="s">
        <v>74</v>
      </c>
      <c r="M1165" t="s">
        <v>1999</v>
      </c>
      <c r="P1165" s="19" t="s">
        <v>1573</v>
      </c>
      <c r="Q1165" s="19" t="s">
        <v>25</v>
      </c>
      <c r="R1165" s="19" t="s">
        <v>138</v>
      </c>
      <c r="W1165" s="20">
        <v>22</v>
      </c>
      <c r="X1165" s="65" t="s">
        <v>1572</v>
      </c>
      <c r="Z1165" t="s">
        <v>307</v>
      </c>
      <c r="AB1165" t="s">
        <v>178</v>
      </c>
      <c r="AC1165" t="s">
        <v>1770</v>
      </c>
      <c r="AD1165" s="2" t="s">
        <v>180</v>
      </c>
    </row>
    <row r="1166" spans="1:30" hidden="1" x14ac:dyDescent="0.25">
      <c r="A1166" s="2">
        <v>206</v>
      </c>
      <c r="B1166" t="s">
        <v>1799</v>
      </c>
      <c r="C1166">
        <v>12</v>
      </c>
      <c r="D1166">
        <v>116</v>
      </c>
      <c r="E1166">
        <v>144</v>
      </c>
      <c r="F1166" t="s">
        <v>273</v>
      </c>
      <c r="G1166" s="2" t="s">
        <v>156</v>
      </c>
      <c r="H1166">
        <v>18</v>
      </c>
      <c r="I1166">
        <v>23.83</v>
      </c>
      <c r="J1166" s="2" t="s">
        <v>170</v>
      </c>
      <c r="K1166" s="2" t="s">
        <v>74</v>
      </c>
      <c r="M1166" t="s">
        <v>1999</v>
      </c>
      <c r="P1166" s="19" t="s">
        <v>1573</v>
      </c>
      <c r="Q1166" s="19" t="s">
        <v>25</v>
      </c>
      <c r="R1166" s="19" t="s">
        <v>138</v>
      </c>
      <c r="W1166" s="20">
        <v>22</v>
      </c>
      <c r="X1166" s="65" t="s">
        <v>1572</v>
      </c>
      <c r="Z1166" t="s">
        <v>307</v>
      </c>
      <c r="AB1166" t="s">
        <v>178</v>
      </c>
      <c r="AC1166" t="s">
        <v>1770</v>
      </c>
      <c r="AD1166" s="2" t="s">
        <v>180</v>
      </c>
    </row>
    <row r="1167" spans="1:30" hidden="1" x14ac:dyDescent="0.25">
      <c r="A1167" s="2">
        <v>207</v>
      </c>
      <c r="B1167" t="s">
        <v>1800</v>
      </c>
      <c r="C1167">
        <v>12</v>
      </c>
      <c r="D1167">
        <v>116</v>
      </c>
      <c r="E1167">
        <v>144</v>
      </c>
      <c r="F1167" t="s">
        <v>273</v>
      </c>
      <c r="G1167" s="2" t="s">
        <v>156</v>
      </c>
      <c r="H1167">
        <v>18</v>
      </c>
      <c r="I1167">
        <v>23.83</v>
      </c>
      <c r="J1167" s="2" t="s">
        <v>170</v>
      </c>
      <c r="K1167" s="2" t="s">
        <v>74</v>
      </c>
      <c r="M1167" t="s">
        <v>1999</v>
      </c>
      <c r="P1167" s="19" t="s">
        <v>1573</v>
      </c>
      <c r="Q1167" s="19" t="s">
        <v>25</v>
      </c>
      <c r="R1167" s="19" t="s">
        <v>138</v>
      </c>
      <c r="W1167" s="20">
        <v>22</v>
      </c>
      <c r="X1167" s="65" t="s">
        <v>1572</v>
      </c>
      <c r="Z1167" t="s">
        <v>307</v>
      </c>
      <c r="AB1167" t="s">
        <v>178</v>
      </c>
      <c r="AC1167" t="s">
        <v>1770</v>
      </c>
      <c r="AD1167" s="2" t="s">
        <v>180</v>
      </c>
    </row>
    <row r="1168" spans="1:30" hidden="1" x14ac:dyDescent="0.25">
      <c r="A1168" s="2">
        <v>208</v>
      </c>
      <c r="B1168" t="s">
        <v>1801</v>
      </c>
      <c r="C1168">
        <v>12</v>
      </c>
      <c r="D1168">
        <v>116</v>
      </c>
      <c r="E1168">
        <v>144</v>
      </c>
      <c r="F1168" t="s">
        <v>273</v>
      </c>
      <c r="G1168" s="2" t="s">
        <v>156</v>
      </c>
      <c r="H1168">
        <v>18</v>
      </c>
      <c r="I1168">
        <v>23.83</v>
      </c>
      <c r="J1168" s="2" t="s">
        <v>170</v>
      </c>
      <c r="K1168" s="2" t="s">
        <v>74</v>
      </c>
      <c r="M1168" t="s">
        <v>1999</v>
      </c>
      <c r="P1168" s="19" t="s">
        <v>1573</v>
      </c>
      <c r="Q1168" s="19" t="s">
        <v>25</v>
      </c>
      <c r="R1168" s="19" t="s">
        <v>138</v>
      </c>
      <c r="W1168" s="20">
        <v>22</v>
      </c>
      <c r="X1168" s="65" t="s">
        <v>1572</v>
      </c>
      <c r="Z1168" t="s">
        <v>307</v>
      </c>
      <c r="AB1168" t="s">
        <v>178</v>
      </c>
      <c r="AC1168" t="s">
        <v>1770</v>
      </c>
      <c r="AD1168" s="2" t="s">
        <v>180</v>
      </c>
    </row>
    <row r="1169" spans="1:30" hidden="1" x14ac:dyDescent="0.25">
      <c r="A1169" s="2">
        <v>209</v>
      </c>
      <c r="B1169" t="s">
        <v>1802</v>
      </c>
      <c r="C1169">
        <v>12</v>
      </c>
      <c r="D1169">
        <v>135</v>
      </c>
      <c r="E1169">
        <v>488</v>
      </c>
      <c r="F1169" t="s">
        <v>273</v>
      </c>
      <c r="G1169" s="2" t="s">
        <v>156</v>
      </c>
      <c r="H1169">
        <v>4</v>
      </c>
      <c r="I1169">
        <v>24.76</v>
      </c>
      <c r="J1169" s="2" t="s">
        <v>170</v>
      </c>
      <c r="K1169" s="2" t="s">
        <v>74</v>
      </c>
      <c r="M1169" t="s">
        <v>1999</v>
      </c>
      <c r="P1169" s="19" t="s">
        <v>1573</v>
      </c>
      <c r="Q1169" s="19" t="s">
        <v>25</v>
      </c>
      <c r="R1169" s="19" t="s">
        <v>138</v>
      </c>
      <c r="W1169" s="20">
        <v>22</v>
      </c>
      <c r="X1169" s="65" t="s">
        <v>1572</v>
      </c>
      <c r="Z1169" t="s">
        <v>307</v>
      </c>
      <c r="AB1169" t="s">
        <v>178</v>
      </c>
      <c r="AC1169" t="s">
        <v>1770</v>
      </c>
      <c r="AD1169" s="2" t="s">
        <v>180</v>
      </c>
    </row>
    <row r="1170" spans="1:30" hidden="1" x14ac:dyDescent="0.25">
      <c r="A1170" s="2">
        <v>210</v>
      </c>
      <c r="B1170" t="s">
        <v>1803</v>
      </c>
      <c r="C1170">
        <v>12</v>
      </c>
      <c r="D1170">
        <v>116</v>
      </c>
      <c r="E1170">
        <v>144</v>
      </c>
      <c r="F1170" t="s">
        <v>273</v>
      </c>
      <c r="G1170" s="2" t="s">
        <v>156</v>
      </c>
      <c r="H1170">
        <v>4</v>
      </c>
      <c r="I1170">
        <v>5.3</v>
      </c>
      <c r="J1170" s="2" t="s">
        <v>170</v>
      </c>
      <c r="K1170" s="2" t="s">
        <v>74</v>
      </c>
      <c r="M1170" t="s">
        <v>1999</v>
      </c>
      <c r="P1170" s="19" t="s">
        <v>1573</v>
      </c>
      <c r="Q1170" s="19" t="s">
        <v>25</v>
      </c>
      <c r="R1170" s="19" t="s">
        <v>138</v>
      </c>
      <c r="W1170" s="20">
        <v>22</v>
      </c>
      <c r="X1170" s="65" t="s">
        <v>1572</v>
      </c>
      <c r="Z1170" t="s">
        <v>307</v>
      </c>
      <c r="AB1170" t="s">
        <v>178</v>
      </c>
      <c r="AC1170" t="s">
        <v>1770</v>
      </c>
      <c r="AD1170" s="2" t="s">
        <v>180</v>
      </c>
    </row>
    <row r="1171" spans="1:30" hidden="1" x14ac:dyDescent="0.25">
      <c r="A1171" s="2">
        <v>211</v>
      </c>
      <c r="B1171" t="s">
        <v>1766</v>
      </c>
      <c r="C1171">
        <v>12</v>
      </c>
      <c r="D1171">
        <v>135</v>
      </c>
      <c r="E1171">
        <v>488</v>
      </c>
      <c r="F1171" t="s">
        <v>273</v>
      </c>
      <c r="G1171" s="2" t="s">
        <v>156</v>
      </c>
      <c r="H1171">
        <v>3</v>
      </c>
      <c r="I1171">
        <v>18.57</v>
      </c>
      <c r="J1171" s="2" t="s">
        <v>170</v>
      </c>
      <c r="K1171" s="2" t="s">
        <v>74</v>
      </c>
      <c r="M1171" t="s">
        <v>1999</v>
      </c>
      <c r="P1171" s="19" t="s">
        <v>1573</v>
      </c>
      <c r="Q1171" s="19" t="s">
        <v>25</v>
      </c>
      <c r="R1171" s="19" t="s">
        <v>138</v>
      </c>
      <c r="W1171" s="20">
        <v>22</v>
      </c>
      <c r="X1171" s="65" t="s">
        <v>1572</v>
      </c>
      <c r="Z1171" t="s">
        <v>307</v>
      </c>
      <c r="AB1171" t="s">
        <v>178</v>
      </c>
      <c r="AC1171" t="s">
        <v>1770</v>
      </c>
      <c r="AD1171" s="2" t="s">
        <v>180</v>
      </c>
    </row>
    <row r="1172" spans="1:30" hidden="1" x14ac:dyDescent="0.25">
      <c r="A1172" s="2">
        <v>212</v>
      </c>
      <c r="B1172" t="s">
        <v>1804</v>
      </c>
      <c r="C1172">
        <v>12</v>
      </c>
      <c r="D1172">
        <v>135</v>
      </c>
      <c r="E1172">
        <v>488</v>
      </c>
      <c r="F1172" t="s">
        <v>273</v>
      </c>
      <c r="G1172" s="2" t="s">
        <v>156</v>
      </c>
      <c r="H1172">
        <v>4</v>
      </c>
      <c r="I1172">
        <v>24.76</v>
      </c>
      <c r="J1172" s="2" t="s">
        <v>170</v>
      </c>
      <c r="K1172" s="2" t="s">
        <v>74</v>
      </c>
      <c r="M1172" t="s">
        <v>1999</v>
      </c>
      <c r="P1172" s="19" t="s">
        <v>1573</v>
      </c>
      <c r="Q1172" s="19" t="s">
        <v>25</v>
      </c>
      <c r="R1172" s="19" t="s">
        <v>138</v>
      </c>
      <c r="W1172" s="20">
        <v>22</v>
      </c>
      <c r="X1172" s="65" t="s">
        <v>1572</v>
      </c>
      <c r="Z1172" t="s">
        <v>307</v>
      </c>
      <c r="AB1172" t="s">
        <v>178</v>
      </c>
      <c r="AC1172" t="s">
        <v>1770</v>
      </c>
      <c r="AD1172" s="2" t="s">
        <v>180</v>
      </c>
    </row>
    <row r="1173" spans="1:30" hidden="1" x14ac:dyDescent="0.25">
      <c r="A1173" s="2">
        <v>213</v>
      </c>
      <c r="B1173" t="s">
        <v>1805</v>
      </c>
      <c r="C1173">
        <v>12</v>
      </c>
      <c r="D1173">
        <v>135</v>
      </c>
      <c r="E1173">
        <v>488</v>
      </c>
      <c r="F1173" t="s">
        <v>273</v>
      </c>
      <c r="G1173" s="2" t="s">
        <v>156</v>
      </c>
      <c r="H1173">
        <v>4</v>
      </c>
      <c r="I1173">
        <v>24.76</v>
      </c>
      <c r="J1173" s="2" t="s">
        <v>170</v>
      </c>
      <c r="K1173" s="2" t="s">
        <v>74</v>
      </c>
      <c r="M1173" t="s">
        <v>1999</v>
      </c>
      <c r="P1173" s="19" t="s">
        <v>1573</v>
      </c>
      <c r="Q1173" s="19" t="s">
        <v>25</v>
      </c>
      <c r="R1173" s="19" t="s">
        <v>138</v>
      </c>
      <c r="W1173" s="20">
        <v>22</v>
      </c>
      <c r="X1173" s="65" t="s">
        <v>1572</v>
      </c>
      <c r="Z1173" t="s">
        <v>307</v>
      </c>
      <c r="AB1173" t="s">
        <v>178</v>
      </c>
      <c r="AC1173" t="s">
        <v>1770</v>
      </c>
      <c r="AD1173" s="2" t="s">
        <v>180</v>
      </c>
    </row>
    <row r="1174" spans="1:30" hidden="1" x14ac:dyDescent="0.25">
      <c r="A1174" s="2">
        <v>214</v>
      </c>
      <c r="B1174" t="s">
        <v>1806</v>
      </c>
      <c r="C1174">
        <v>12</v>
      </c>
      <c r="D1174">
        <v>135</v>
      </c>
      <c r="E1174">
        <v>488</v>
      </c>
      <c r="F1174" t="s">
        <v>273</v>
      </c>
      <c r="G1174" s="2" t="s">
        <v>156</v>
      </c>
      <c r="H1174">
        <v>4</v>
      </c>
      <c r="I1174">
        <v>24.76</v>
      </c>
      <c r="J1174" s="2" t="s">
        <v>170</v>
      </c>
      <c r="K1174" s="2" t="s">
        <v>74</v>
      </c>
      <c r="M1174" t="s">
        <v>1999</v>
      </c>
      <c r="P1174" s="19" t="s">
        <v>1573</v>
      </c>
      <c r="Q1174" s="19" t="s">
        <v>25</v>
      </c>
      <c r="R1174" s="19" t="s">
        <v>138</v>
      </c>
      <c r="W1174" s="20">
        <v>22</v>
      </c>
      <c r="X1174" s="65" t="s">
        <v>1572</v>
      </c>
      <c r="Z1174" t="s">
        <v>307</v>
      </c>
      <c r="AB1174" t="s">
        <v>178</v>
      </c>
      <c r="AC1174" t="s">
        <v>1770</v>
      </c>
      <c r="AD1174" s="2" t="s">
        <v>180</v>
      </c>
    </row>
    <row r="1175" spans="1:30" hidden="1" x14ac:dyDescent="0.25">
      <c r="A1175" s="2">
        <v>215</v>
      </c>
      <c r="B1175" t="s">
        <v>1807</v>
      </c>
      <c r="C1175">
        <v>12</v>
      </c>
      <c r="D1175">
        <v>135</v>
      </c>
      <c r="E1175">
        <v>488</v>
      </c>
      <c r="F1175" t="s">
        <v>273</v>
      </c>
      <c r="G1175" s="2" t="s">
        <v>156</v>
      </c>
      <c r="H1175">
        <v>4</v>
      </c>
      <c r="I1175">
        <v>24.76</v>
      </c>
      <c r="J1175" s="2" t="s">
        <v>170</v>
      </c>
      <c r="K1175" s="2" t="s">
        <v>74</v>
      </c>
      <c r="M1175" t="s">
        <v>1999</v>
      </c>
      <c r="P1175" s="19" t="s">
        <v>1573</v>
      </c>
      <c r="Q1175" s="19" t="s">
        <v>25</v>
      </c>
      <c r="R1175" s="19" t="s">
        <v>138</v>
      </c>
      <c r="W1175" s="20">
        <v>22</v>
      </c>
      <c r="X1175" s="65" t="s">
        <v>1572</v>
      </c>
      <c r="Z1175" t="s">
        <v>307</v>
      </c>
      <c r="AB1175" t="s">
        <v>178</v>
      </c>
      <c r="AC1175" t="s">
        <v>1770</v>
      </c>
      <c r="AD1175" s="2" t="s">
        <v>180</v>
      </c>
    </row>
    <row r="1176" spans="1:30" hidden="1" x14ac:dyDescent="0.25">
      <c r="A1176" s="2">
        <v>216</v>
      </c>
      <c r="B1176" t="s">
        <v>1808</v>
      </c>
      <c r="C1176">
        <v>12</v>
      </c>
      <c r="D1176">
        <v>135</v>
      </c>
      <c r="E1176">
        <v>488</v>
      </c>
      <c r="F1176" t="s">
        <v>273</v>
      </c>
      <c r="G1176" s="2" t="s">
        <v>156</v>
      </c>
      <c r="H1176">
        <v>4</v>
      </c>
      <c r="I1176">
        <v>24.76</v>
      </c>
      <c r="J1176" s="2" t="s">
        <v>170</v>
      </c>
      <c r="K1176" s="2" t="s">
        <v>74</v>
      </c>
      <c r="M1176" t="s">
        <v>1999</v>
      </c>
      <c r="P1176" s="19" t="s">
        <v>1573</v>
      </c>
      <c r="Q1176" s="19" t="s">
        <v>25</v>
      </c>
      <c r="R1176" s="19" t="s">
        <v>138</v>
      </c>
      <c r="W1176" s="20">
        <v>22</v>
      </c>
      <c r="X1176" s="65" t="s">
        <v>1572</v>
      </c>
      <c r="Z1176" t="s">
        <v>307</v>
      </c>
      <c r="AB1176" t="s">
        <v>178</v>
      </c>
      <c r="AC1176" t="s">
        <v>1770</v>
      </c>
      <c r="AD1176" s="2" t="s">
        <v>180</v>
      </c>
    </row>
    <row r="1177" spans="1:30" hidden="1" x14ac:dyDescent="0.25">
      <c r="A1177" s="2">
        <v>217</v>
      </c>
      <c r="B1177" t="s">
        <v>1809</v>
      </c>
      <c r="C1177">
        <v>12</v>
      </c>
      <c r="D1177">
        <v>116</v>
      </c>
      <c r="E1177">
        <v>144</v>
      </c>
      <c r="F1177" t="s">
        <v>273</v>
      </c>
      <c r="G1177" s="2" t="s">
        <v>156</v>
      </c>
      <c r="H1177">
        <v>4</v>
      </c>
      <c r="I1177">
        <v>5.3</v>
      </c>
      <c r="J1177" s="2" t="s">
        <v>170</v>
      </c>
      <c r="K1177" s="2" t="s">
        <v>74</v>
      </c>
      <c r="M1177" t="s">
        <v>1999</v>
      </c>
      <c r="P1177" s="19" t="s">
        <v>1573</v>
      </c>
      <c r="Q1177" s="19" t="s">
        <v>25</v>
      </c>
      <c r="R1177" s="19" t="s">
        <v>138</v>
      </c>
      <c r="W1177" s="20">
        <v>22</v>
      </c>
      <c r="X1177" s="65" t="s">
        <v>1572</v>
      </c>
      <c r="Z1177" t="s">
        <v>307</v>
      </c>
      <c r="AB1177" t="s">
        <v>178</v>
      </c>
      <c r="AC1177" t="s">
        <v>1770</v>
      </c>
      <c r="AD1177" s="2" t="s">
        <v>180</v>
      </c>
    </row>
    <row r="1178" spans="1:30" hidden="1" x14ac:dyDescent="0.25">
      <c r="A1178" s="2">
        <v>218</v>
      </c>
      <c r="B1178" t="s">
        <v>1810</v>
      </c>
      <c r="C1178">
        <v>12</v>
      </c>
      <c r="D1178">
        <v>100</v>
      </c>
      <c r="E1178">
        <v>150</v>
      </c>
      <c r="F1178" t="s">
        <v>273</v>
      </c>
      <c r="G1178" s="2" t="s">
        <v>156</v>
      </c>
      <c r="H1178">
        <v>1</v>
      </c>
      <c r="I1178">
        <v>1.41</v>
      </c>
      <c r="J1178" s="2" t="s">
        <v>170</v>
      </c>
      <c r="K1178" s="2" t="s">
        <v>74</v>
      </c>
      <c r="M1178" t="s">
        <v>1999</v>
      </c>
      <c r="P1178" s="19" t="s">
        <v>1573</v>
      </c>
      <c r="Q1178" s="19" t="s">
        <v>25</v>
      </c>
      <c r="R1178" s="19" t="s">
        <v>138</v>
      </c>
      <c r="W1178" s="20">
        <v>22</v>
      </c>
      <c r="X1178" s="65" t="s">
        <v>1572</v>
      </c>
      <c r="Z1178" t="s">
        <v>307</v>
      </c>
      <c r="AB1178" t="s">
        <v>178</v>
      </c>
      <c r="AC1178" t="s">
        <v>1770</v>
      </c>
      <c r="AD1178" s="2" t="s">
        <v>180</v>
      </c>
    </row>
    <row r="1179" spans="1:30" hidden="1" x14ac:dyDescent="0.25">
      <c r="A1179" s="2">
        <v>219</v>
      </c>
      <c r="B1179" t="s">
        <v>1811</v>
      </c>
      <c r="C1179">
        <v>12</v>
      </c>
      <c r="D1179">
        <v>135</v>
      </c>
      <c r="E1179">
        <v>488</v>
      </c>
      <c r="F1179" t="s">
        <v>273</v>
      </c>
      <c r="G1179" s="2" t="s">
        <v>156</v>
      </c>
      <c r="H1179">
        <v>4</v>
      </c>
      <c r="I1179">
        <v>24.76</v>
      </c>
      <c r="J1179" s="2" t="s">
        <v>170</v>
      </c>
      <c r="K1179" s="2" t="s">
        <v>74</v>
      </c>
      <c r="M1179" t="s">
        <v>1999</v>
      </c>
      <c r="P1179" s="19" t="s">
        <v>1573</v>
      </c>
      <c r="Q1179" s="19" t="s">
        <v>25</v>
      </c>
      <c r="R1179" s="19" t="s">
        <v>138</v>
      </c>
      <c r="W1179" s="20">
        <v>22</v>
      </c>
      <c r="X1179" s="65" t="s">
        <v>1572</v>
      </c>
      <c r="Z1179" t="s">
        <v>307</v>
      </c>
      <c r="AB1179" t="s">
        <v>178</v>
      </c>
      <c r="AC1179" t="s">
        <v>1770</v>
      </c>
      <c r="AD1179" s="2" t="s">
        <v>180</v>
      </c>
    </row>
    <row r="1180" spans="1:30" hidden="1" x14ac:dyDescent="0.25">
      <c r="A1180" s="2">
        <v>220</v>
      </c>
      <c r="B1180" t="s">
        <v>1812</v>
      </c>
      <c r="C1180">
        <v>12</v>
      </c>
      <c r="D1180">
        <v>116</v>
      </c>
      <c r="E1180">
        <v>144</v>
      </c>
      <c r="F1180" t="s">
        <v>273</v>
      </c>
      <c r="G1180" s="2" t="s">
        <v>156</v>
      </c>
      <c r="H1180">
        <v>4</v>
      </c>
      <c r="I1180">
        <v>5.3</v>
      </c>
      <c r="J1180" s="2" t="s">
        <v>170</v>
      </c>
      <c r="K1180" s="2" t="s">
        <v>74</v>
      </c>
      <c r="M1180" t="s">
        <v>1999</v>
      </c>
      <c r="P1180" s="19" t="s">
        <v>1573</v>
      </c>
      <c r="Q1180" s="19" t="s">
        <v>25</v>
      </c>
      <c r="R1180" s="19" t="s">
        <v>138</v>
      </c>
      <c r="W1180" s="20">
        <v>22</v>
      </c>
      <c r="X1180" s="65" t="s">
        <v>1572</v>
      </c>
      <c r="Z1180" t="s">
        <v>307</v>
      </c>
      <c r="AB1180" t="s">
        <v>178</v>
      </c>
      <c r="AC1180" t="s">
        <v>1770</v>
      </c>
      <c r="AD1180" s="2" t="s">
        <v>180</v>
      </c>
    </row>
    <row r="1181" spans="1:30" hidden="1" x14ac:dyDescent="0.25">
      <c r="A1181" s="2">
        <v>221</v>
      </c>
      <c r="B1181" t="s">
        <v>1813</v>
      </c>
      <c r="C1181">
        <v>12</v>
      </c>
      <c r="D1181">
        <v>100</v>
      </c>
      <c r="E1181">
        <v>150</v>
      </c>
      <c r="F1181" t="s">
        <v>273</v>
      </c>
      <c r="G1181" s="2" t="s">
        <v>156</v>
      </c>
      <c r="H1181">
        <v>1</v>
      </c>
      <c r="I1181">
        <v>1.41</v>
      </c>
      <c r="J1181" s="2" t="s">
        <v>170</v>
      </c>
      <c r="K1181" s="2" t="s">
        <v>74</v>
      </c>
      <c r="M1181" t="s">
        <v>1999</v>
      </c>
      <c r="P1181" s="19" t="s">
        <v>1573</v>
      </c>
      <c r="Q1181" s="19" t="s">
        <v>25</v>
      </c>
      <c r="R1181" s="19" t="s">
        <v>138</v>
      </c>
      <c r="W1181" s="20">
        <v>22</v>
      </c>
      <c r="X1181" s="65" t="s">
        <v>1572</v>
      </c>
      <c r="Z1181" t="s">
        <v>307</v>
      </c>
      <c r="AB1181" t="s">
        <v>178</v>
      </c>
      <c r="AC1181" t="s">
        <v>1770</v>
      </c>
      <c r="AD1181" s="2" t="s">
        <v>180</v>
      </c>
    </row>
    <row r="1182" spans="1:30" hidden="1" x14ac:dyDescent="0.25">
      <c r="A1182" s="2">
        <v>222</v>
      </c>
      <c r="B1182" t="s">
        <v>1769</v>
      </c>
      <c r="C1182">
        <v>12</v>
      </c>
      <c r="D1182">
        <v>116</v>
      </c>
      <c r="E1182">
        <v>144</v>
      </c>
      <c r="F1182" t="s">
        <v>273</v>
      </c>
      <c r="G1182" s="2" t="s">
        <v>156</v>
      </c>
      <c r="H1182">
        <v>23</v>
      </c>
      <c r="I1182">
        <v>30.45</v>
      </c>
      <c r="J1182" s="2" t="s">
        <v>170</v>
      </c>
      <c r="K1182" s="2" t="s">
        <v>74</v>
      </c>
      <c r="M1182" t="s">
        <v>1999</v>
      </c>
      <c r="P1182" s="19" t="s">
        <v>1573</v>
      </c>
      <c r="Q1182" s="19" t="s">
        <v>25</v>
      </c>
      <c r="R1182" s="19" t="s">
        <v>138</v>
      </c>
      <c r="W1182" s="20">
        <v>22</v>
      </c>
      <c r="X1182" s="65" t="s">
        <v>1572</v>
      </c>
      <c r="Z1182" t="s">
        <v>307</v>
      </c>
      <c r="AB1182" t="s">
        <v>178</v>
      </c>
      <c r="AC1182" t="s">
        <v>1814</v>
      </c>
      <c r="AD1182" s="2" t="s">
        <v>180</v>
      </c>
    </row>
    <row r="1183" spans="1:30" hidden="1" x14ac:dyDescent="0.25">
      <c r="A1183" s="2">
        <v>223</v>
      </c>
      <c r="B1183" t="s">
        <v>1816</v>
      </c>
      <c r="C1183">
        <v>12</v>
      </c>
      <c r="D1183">
        <v>116</v>
      </c>
      <c r="E1183">
        <v>144</v>
      </c>
      <c r="F1183" t="s">
        <v>273</v>
      </c>
      <c r="G1183" s="2" t="s">
        <v>156</v>
      </c>
      <c r="H1183">
        <v>24</v>
      </c>
      <c r="I1183">
        <v>31.78</v>
      </c>
      <c r="J1183" s="2" t="s">
        <v>170</v>
      </c>
      <c r="K1183" s="2" t="s">
        <v>74</v>
      </c>
      <c r="M1183" t="s">
        <v>1999</v>
      </c>
      <c r="P1183" s="19" t="s">
        <v>1573</v>
      </c>
      <c r="Q1183" s="19" t="s">
        <v>25</v>
      </c>
      <c r="R1183" s="19" t="s">
        <v>138</v>
      </c>
      <c r="W1183" s="20">
        <v>22</v>
      </c>
      <c r="X1183" s="65" t="s">
        <v>1572</v>
      </c>
      <c r="Z1183" t="s">
        <v>307</v>
      </c>
      <c r="AB1183" t="s">
        <v>178</v>
      </c>
      <c r="AC1183" t="s">
        <v>1814</v>
      </c>
      <c r="AD1183" s="2" t="s">
        <v>180</v>
      </c>
    </row>
    <row r="1184" spans="1:30" hidden="1" x14ac:dyDescent="0.25">
      <c r="A1184" s="2">
        <v>224</v>
      </c>
      <c r="B1184" t="s">
        <v>1817</v>
      </c>
      <c r="C1184">
        <v>12</v>
      </c>
      <c r="D1184">
        <v>490</v>
      </c>
      <c r="E1184">
        <v>6464</v>
      </c>
      <c r="F1184" t="s">
        <v>273</v>
      </c>
      <c r="G1184" s="2" t="s">
        <v>156</v>
      </c>
      <c r="H1184">
        <v>1</v>
      </c>
      <c r="I1184">
        <v>298.16000000000003</v>
      </c>
      <c r="J1184" s="2" t="s">
        <v>170</v>
      </c>
      <c r="K1184" s="2" t="s">
        <v>74</v>
      </c>
      <c r="M1184" t="s">
        <v>1999</v>
      </c>
      <c r="P1184" s="19" t="s">
        <v>1573</v>
      </c>
      <c r="Q1184" s="19" t="s">
        <v>27</v>
      </c>
      <c r="R1184" s="19" t="s">
        <v>138</v>
      </c>
      <c r="W1184" s="20">
        <v>22</v>
      </c>
      <c r="X1184" s="65" t="s">
        <v>1572</v>
      </c>
      <c r="Z1184" t="s">
        <v>307</v>
      </c>
      <c r="AB1184" t="s">
        <v>178</v>
      </c>
      <c r="AC1184" t="s">
        <v>1814</v>
      </c>
      <c r="AD1184" s="2" t="s">
        <v>180</v>
      </c>
    </row>
    <row r="1185" spans="1:30" hidden="1" x14ac:dyDescent="0.25">
      <c r="A1185" s="2">
        <v>225</v>
      </c>
      <c r="B1185" t="s">
        <v>1818</v>
      </c>
      <c r="C1185">
        <v>12</v>
      </c>
      <c r="D1185">
        <v>490</v>
      </c>
      <c r="E1185">
        <v>6464</v>
      </c>
      <c r="F1185" t="s">
        <v>273</v>
      </c>
      <c r="G1185" s="2" t="s">
        <v>156</v>
      </c>
      <c r="H1185">
        <v>1</v>
      </c>
      <c r="I1185">
        <v>298.16000000000003</v>
      </c>
      <c r="J1185" s="2" t="s">
        <v>170</v>
      </c>
      <c r="K1185" s="2" t="s">
        <v>74</v>
      </c>
      <c r="M1185" t="s">
        <v>1999</v>
      </c>
      <c r="P1185" s="19" t="s">
        <v>1573</v>
      </c>
      <c r="Q1185" s="19" t="s">
        <v>27</v>
      </c>
      <c r="R1185" s="19" t="s">
        <v>138</v>
      </c>
      <c r="W1185" s="20">
        <v>22</v>
      </c>
      <c r="X1185" s="65" t="s">
        <v>1572</v>
      </c>
      <c r="Z1185" t="s">
        <v>307</v>
      </c>
      <c r="AB1185" t="s">
        <v>178</v>
      </c>
      <c r="AC1185" t="s">
        <v>1814</v>
      </c>
      <c r="AD1185" s="2" t="s">
        <v>180</v>
      </c>
    </row>
    <row r="1186" spans="1:30" hidden="1" x14ac:dyDescent="0.25">
      <c r="A1186" s="2">
        <v>226</v>
      </c>
      <c r="B1186" t="s">
        <v>1819</v>
      </c>
      <c r="C1186">
        <v>12</v>
      </c>
      <c r="D1186">
        <v>116</v>
      </c>
      <c r="E1186">
        <v>144</v>
      </c>
      <c r="F1186" t="s">
        <v>273</v>
      </c>
      <c r="G1186" s="2" t="s">
        <v>156</v>
      </c>
      <c r="H1186">
        <v>4</v>
      </c>
      <c r="I1186">
        <v>5.3</v>
      </c>
      <c r="J1186" s="2" t="s">
        <v>170</v>
      </c>
      <c r="K1186" s="2" t="s">
        <v>74</v>
      </c>
      <c r="M1186" t="s">
        <v>1999</v>
      </c>
      <c r="P1186" s="19" t="s">
        <v>1573</v>
      </c>
      <c r="Q1186" s="19" t="s">
        <v>25</v>
      </c>
      <c r="R1186" s="19" t="s">
        <v>138</v>
      </c>
      <c r="W1186" s="20">
        <v>22</v>
      </c>
      <c r="X1186" s="65" t="s">
        <v>1572</v>
      </c>
      <c r="Z1186" t="s">
        <v>307</v>
      </c>
      <c r="AB1186" t="s">
        <v>178</v>
      </c>
      <c r="AC1186" t="s">
        <v>1814</v>
      </c>
      <c r="AD1186" s="2" t="s">
        <v>180</v>
      </c>
    </row>
    <row r="1187" spans="1:30" hidden="1" x14ac:dyDescent="0.25">
      <c r="A1187" s="2">
        <v>227</v>
      </c>
      <c r="B1187" t="s">
        <v>1820</v>
      </c>
      <c r="C1187">
        <v>12</v>
      </c>
      <c r="D1187">
        <v>116</v>
      </c>
      <c r="E1187">
        <v>144</v>
      </c>
      <c r="F1187" t="s">
        <v>273</v>
      </c>
      <c r="G1187" s="2" t="s">
        <v>156</v>
      </c>
      <c r="H1187">
        <v>4</v>
      </c>
      <c r="I1187">
        <v>5.3</v>
      </c>
      <c r="J1187" s="2" t="s">
        <v>170</v>
      </c>
      <c r="K1187" s="2" t="s">
        <v>74</v>
      </c>
      <c r="M1187" t="s">
        <v>1999</v>
      </c>
      <c r="P1187" s="19" t="s">
        <v>1573</v>
      </c>
      <c r="Q1187" s="19" t="s">
        <v>25</v>
      </c>
      <c r="R1187" s="19" t="s">
        <v>138</v>
      </c>
      <c r="W1187" s="20">
        <v>22</v>
      </c>
      <c r="X1187" s="65" t="s">
        <v>1572</v>
      </c>
      <c r="Z1187" t="s">
        <v>307</v>
      </c>
      <c r="AB1187" t="s">
        <v>178</v>
      </c>
      <c r="AC1187" t="s">
        <v>1814</v>
      </c>
      <c r="AD1187" s="2" t="s">
        <v>180</v>
      </c>
    </row>
    <row r="1188" spans="1:30" hidden="1" x14ac:dyDescent="0.25">
      <c r="A1188" s="2">
        <v>228</v>
      </c>
      <c r="B1188" t="s">
        <v>1821</v>
      </c>
      <c r="C1188">
        <v>12</v>
      </c>
      <c r="D1188">
        <v>490</v>
      </c>
      <c r="E1188">
        <v>1388</v>
      </c>
      <c r="F1188" t="s">
        <v>273</v>
      </c>
      <c r="G1188" s="2" t="s">
        <v>156</v>
      </c>
      <c r="H1188">
        <v>1</v>
      </c>
      <c r="I1188">
        <v>63.63</v>
      </c>
      <c r="J1188" s="2" t="s">
        <v>170</v>
      </c>
      <c r="K1188" s="2" t="s">
        <v>74</v>
      </c>
      <c r="M1188" t="s">
        <v>1999</v>
      </c>
      <c r="P1188" s="19" t="s">
        <v>1573</v>
      </c>
      <c r="Q1188" s="19" t="s">
        <v>27</v>
      </c>
      <c r="R1188" s="19" t="s">
        <v>138</v>
      </c>
      <c r="W1188" s="20">
        <v>22</v>
      </c>
      <c r="X1188" s="65" t="s">
        <v>1572</v>
      </c>
      <c r="Z1188" t="s">
        <v>307</v>
      </c>
      <c r="AB1188" t="s">
        <v>178</v>
      </c>
      <c r="AC1188" t="s">
        <v>1814</v>
      </c>
      <c r="AD1188" s="2" t="s">
        <v>180</v>
      </c>
    </row>
    <row r="1189" spans="1:30" hidden="1" x14ac:dyDescent="0.25">
      <c r="A1189" s="2">
        <v>229</v>
      </c>
      <c r="B1189" t="s">
        <v>1822</v>
      </c>
      <c r="C1189">
        <v>12</v>
      </c>
      <c r="D1189">
        <v>490</v>
      </c>
      <c r="E1189">
        <v>1388</v>
      </c>
      <c r="F1189" t="s">
        <v>273</v>
      </c>
      <c r="G1189" s="2" t="s">
        <v>156</v>
      </c>
      <c r="H1189">
        <v>1</v>
      </c>
      <c r="I1189">
        <v>63.63</v>
      </c>
      <c r="J1189" s="2" t="s">
        <v>170</v>
      </c>
      <c r="K1189" s="2" t="s">
        <v>74</v>
      </c>
      <c r="M1189" t="s">
        <v>1999</v>
      </c>
      <c r="P1189" s="19" t="s">
        <v>1573</v>
      </c>
      <c r="Q1189" s="19" t="s">
        <v>27</v>
      </c>
      <c r="R1189" s="19" t="s">
        <v>138</v>
      </c>
      <c r="W1189" s="20">
        <v>22</v>
      </c>
      <c r="X1189" s="65" t="s">
        <v>1572</v>
      </c>
      <c r="Z1189" t="s">
        <v>307</v>
      </c>
      <c r="AB1189" t="s">
        <v>178</v>
      </c>
      <c r="AC1189" t="s">
        <v>1814</v>
      </c>
      <c r="AD1189" s="2" t="s">
        <v>180</v>
      </c>
    </row>
    <row r="1190" spans="1:30" hidden="1" x14ac:dyDescent="0.25">
      <c r="A1190" s="2">
        <v>230</v>
      </c>
      <c r="B1190" t="s">
        <v>1823</v>
      </c>
      <c r="C1190">
        <v>12</v>
      </c>
      <c r="D1190">
        <v>490</v>
      </c>
      <c r="E1190">
        <v>6464</v>
      </c>
      <c r="F1190" t="s">
        <v>273</v>
      </c>
      <c r="G1190" s="2" t="s">
        <v>156</v>
      </c>
      <c r="H1190">
        <v>1</v>
      </c>
      <c r="I1190">
        <v>298.16000000000003</v>
      </c>
      <c r="J1190" s="2" t="s">
        <v>170</v>
      </c>
      <c r="K1190" s="2" t="s">
        <v>74</v>
      </c>
      <c r="M1190" t="s">
        <v>1999</v>
      </c>
      <c r="P1190" s="19" t="s">
        <v>1573</v>
      </c>
      <c r="Q1190" s="19" t="s">
        <v>27</v>
      </c>
      <c r="R1190" s="19" t="s">
        <v>138</v>
      </c>
      <c r="W1190" s="20">
        <v>22</v>
      </c>
      <c r="X1190" s="65" t="s">
        <v>1572</v>
      </c>
      <c r="Z1190" t="s">
        <v>307</v>
      </c>
      <c r="AB1190" t="s">
        <v>178</v>
      </c>
      <c r="AC1190" t="s">
        <v>1814</v>
      </c>
      <c r="AD1190" s="2" t="s">
        <v>180</v>
      </c>
    </row>
    <row r="1191" spans="1:30" hidden="1" x14ac:dyDescent="0.25">
      <c r="A1191" s="2">
        <v>231</v>
      </c>
      <c r="B1191" t="s">
        <v>1824</v>
      </c>
      <c r="C1191">
        <v>12</v>
      </c>
      <c r="D1191">
        <v>490</v>
      </c>
      <c r="E1191">
        <v>6464</v>
      </c>
      <c r="F1191" t="s">
        <v>273</v>
      </c>
      <c r="G1191" s="2" t="s">
        <v>156</v>
      </c>
      <c r="H1191">
        <v>1</v>
      </c>
      <c r="I1191">
        <v>298.16000000000003</v>
      </c>
      <c r="J1191" s="2" t="s">
        <v>170</v>
      </c>
      <c r="K1191" s="2" t="s">
        <v>74</v>
      </c>
      <c r="M1191" t="s">
        <v>1999</v>
      </c>
      <c r="P1191" s="19" t="s">
        <v>1573</v>
      </c>
      <c r="Q1191" s="19" t="s">
        <v>27</v>
      </c>
      <c r="R1191" s="19" t="s">
        <v>138</v>
      </c>
      <c r="W1191" s="20">
        <v>22</v>
      </c>
      <c r="X1191" s="65" t="s">
        <v>1572</v>
      </c>
      <c r="Z1191" t="s">
        <v>307</v>
      </c>
      <c r="AB1191" t="s">
        <v>178</v>
      </c>
      <c r="AC1191" t="s">
        <v>1814</v>
      </c>
      <c r="AD1191" s="2" t="s">
        <v>180</v>
      </c>
    </row>
    <row r="1192" spans="1:30" hidden="1" x14ac:dyDescent="0.25">
      <c r="A1192" s="2">
        <v>232</v>
      </c>
      <c r="B1192" t="s">
        <v>1825</v>
      </c>
      <c r="C1192">
        <v>12</v>
      </c>
      <c r="D1192">
        <v>116</v>
      </c>
      <c r="E1192">
        <v>144</v>
      </c>
      <c r="F1192" t="s">
        <v>273</v>
      </c>
      <c r="G1192" s="2" t="s">
        <v>156</v>
      </c>
      <c r="H1192">
        <v>4</v>
      </c>
      <c r="I1192">
        <v>5.3</v>
      </c>
      <c r="J1192" s="2" t="s">
        <v>170</v>
      </c>
      <c r="K1192" s="2" t="s">
        <v>74</v>
      </c>
      <c r="M1192" t="s">
        <v>1999</v>
      </c>
      <c r="P1192" s="19" t="s">
        <v>1573</v>
      </c>
      <c r="Q1192" s="19" t="s">
        <v>25</v>
      </c>
      <c r="R1192" s="19" t="s">
        <v>138</v>
      </c>
      <c r="W1192" s="20">
        <v>22</v>
      </c>
      <c r="X1192" s="65" t="s">
        <v>1572</v>
      </c>
      <c r="Z1192" t="s">
        <v>307</v>
      </c>
      <c r="AB1192" t="s">
        <v>178</v>
      </c>
      <c r="AC1192" t="s">
        <v>1814</v>
      </c>
      <c r="AD1192" s="2" t="s">
        <v>180</v>
      </c>
    </row>
    <row r="1193" spans="1:30" hidden="1" x14ac:dyDescent="0.25">
      <c r="A1193" s="2">
        <v>233</v>
      </c>
      <c r="B1193" t="s">
        <v>1826</v>
      </c>
      <c r="C1193">
        <v>12</v>
      </c>
      <c r="D1193">
        <v>116</v>
      </c>
      <c r="E1193">
        <v>144</v>
      </c>
      <c r="F1193" t="s">
        <v>273</v>
      </c>
      <c r="G1193" s="2" t="s">
        <v>156</v>
      </c>
      <c r="H1193">
        <v>4</v>
      </c>
      <c r="I1193">
        <v>5.3</v>
      </c>
      <c r="J1193" s="2" t="s">
        <v>170</v>
      </c>
      <c r="K1193" s="2" t="s">
        <v>74</v>
      </c>
      <c r="M1193" t="s">
        <v>1999</v>
      </c>
      <c r="P1193" s="19" t="s">
        <v>1573</v>
      </c>
      <c r="Q1193" s="19" t="s">
        <v>25</v>
      </c>
      <c r="R1193" s="19" t="s">
        <v>138</v>
      </c>
      <c r="W1193" s="20">
        <v>22</v>
      </c>
      <c r="X1193" s="65" t="s">
        <v>1572</v>
      </c>
      <c r="Z1193" t="s">
        <v>307</v>
      </c>
      <c r="AB1193" t="s">
        <v>178</v>
      </c>
      <c r="AC1193" t="s">
        <v>1814</v>
      </c>
      <c r="AD1193" s="2" t="s">
        <v>180</v>
      </c>
    </row>
    <row r="1194" spans="1:30" hidden="1" x14ac:dyDescent="0.25">
      <c r="A1194" s="2">
        <v>234</v>
      </c>
      <c r="B1194" t="s">
        <v>1827</v>
      </c>
      <c r="C1194">
        <v>12</v>
      </c>
      <c r="D1194">
        <v>116</v>
      </c>
      <c r="E1194">
        <v>144</v>
      </c>
      <c r="F1194" t="s">
        <v>273</v>
      </c>
      <c r="G1194" s="2" t="s">
        <v>156</v>
      </c>
      <c r="H1194">
        <v>4</v>
      </c>
      <c r="I1194">
        <v>5.3</v>
      </c>
      <c r="J1194" s="2" t="s">
        <v>170</v>
      </c>
      <c r="K1194" s="2" t="s">
        <v>74</v>
      </c>
      <c r="M1194" t="s">
        <v>1999</v>
      </c>
      <c r="P1194" s="19" t="s">
        <v>1573</v>
      </c>
      <c r="Q1194" s="19" t="s">
        <v>25</v>
      </c>
      <c r="R1194" s="19" t="s">
        <v>138</v>
      </c>
      <c r="W1194" s="20">
        <v>22</v>
      </c>
      <c r="X1194" s="65" t="s">
        <v>1572</v>
      </c>
      <c r="Z1194" t="s">
        <v>307</v>
      </c>
      <c r="AB1194" t="s">
        <v>178</v>
      </c>
      <c r="AC1194" t="s">
        <v>1814</v>
      </c>
      <c r="AD1194" s="2" t="s">
        <v>180</v>
      </c>
    </row>
    <row r="1195" spans="1:30" hidden="1" x14ac:dyDescent="0.25">
      <c r="A1195" s="2">
        <v>235</v>
      </c>
      <c r="B1195" t="s">
        <v>1828</v>
      </c>
      <c r="C1195">
        <v>12</v>
      </c>
      <c r="D1195">
        <v>116</v>
      </c>
      <c r="E1195">
        <v>144</v>
      </c>
      <c r="F1195" t="s">
        <v>273</v>
      </c>
      <c r="G1195" s="2" t="s">
        <v>156</v>
      </c>
      <c r="H1195">
        <v>4</v>
      </c>
      <c r="I1195">
        <v>5.3</v>
      </c>
      <c r="J1195" s="2" t="s">
        <v>170</v>
      </c>
      <c r="K1195" s="2" t="s">
        <v>74</v>
      </c>
      <c r="M1195" t="s">
        <v>1999</v>
      </c>
      <c r="P1195" s="19" t="s">
        <v>1573</v>
      </c>
      <c r="Q1195" s="19" t="s">
        <v>25</v>
      </c>
      <c r="R1195" s="19" t="s">
        <v>138</v>
      </c>
      <c r="W1195" s="20">
        <v>22</v>
      </c>
      <c r="X1195" s="65" t="s">
        <v>1572</v>
      </c>
      <c r="Z1195" t="s">
        <v>307</v>
      </c>
      <c r="AB1195" t="s">
        <v>178</v>
      </c>
      <c r="AC1195" t="s">
        <v>1814</v>
      </c>
      <c r="AD1195" s="2" t="s">
        <v>180</v>
      </c>
    </row>
    <row r="1196" spans="1:30" hidden="1" x14ac:dyDescent="0.25">
      <c r="A1196" s="2">
        <v>236</v>
      </c>
      <c r="B1196" t="s">
        <v>1829</v>
      </c>
      <c r="C1196">
        <v>12</v>
      </c>
      <c r="D1196">
        <v>116</v>
      </c>
      <c r="E1196">
        <v>144</v>
      </c>
      <c r="F1196" t="s">
        <v>273</v>
      </c>
      <c r="G1196" s="2" t="s">
        <v>156</v>
      </c>
      <c r="H1196">
        <v>4</v>
      </c>
      <c r="I1196">
        <v>5.3</v>
      </c>
      <c r="J1196" s="2" t="s">
        <v>170</v>
      </c>
      <c r="K1196" s="2" t="s">
        <v>74</v>
      </c>
      <c r="M1196" t="s">
        <v>1999</v>
      </c>
      <c r="P1196" s="19" t="s">
        <v>1573</v>
      </c>
      <c r="Q1196" s="19" t="s">
        <v>25</v>
      </c>
      <c r="R1196" s="19" t="s">
        <v>138</v>
      </c>
      <c r="W1196" s="20">
        <v>22</v>
      </c>
      <c r="X1196" s="65" t="s">
        <v>1572</v>
      </c>
      <c r="Z1196" t="s">
        <v>307</v>
      </c>
      <c r="AB1196" t="s">
        <v>178</v>
      </c>
      <c r="AC1196" t="s">
        <v>1814</v>
      </c>
      <c r="AD1196" s="2" t="s">
        <v>180</v>
      </c>
    </row>
    <row r="1197" spans="1:30" hidden="1" x14ac:dyDescent="0.25">
      <c r="A1197" s="2">
        <v>237</v>
      </c>
      <c r="B1197" t="s">
        <v>1830</v>
      </c>
      <c r="C1197">
        <v>12</v>
      </c>
      <c r="D1197">
        <v>490</v>
      </c>
      <c r="E1197">
        <v>1388</v>
      </c>
      <c r="F1197" t="s">
        <v>273</v>
      </c>
      <c r="G1197" s="2" t="s">
        <v>156</v>
      </c>
      <c r="H1197">
        <v>1</v>
      </c>
      <c r="I1197">
        <v>63.63</v>
      </c>
      <c r="J1197" s="2" t="s">
        <v>170</v>
      </c>
      <c r="K1197" s="2" t="s">
        <v>74</v>
      </c>
      <c r="M1197" t="s">
        <v>1999</v>
      </c>
      <c r="P1197" s="19" t="s">
        <v>1573</v>
      </c>
      <c r="Q1197" s="19" t="s">
        <v>27</v>
      </c>
      <c r="R1197" s="19" t="s">
        <v>138</v>
      </c>
      <c r="W1197" s="20">
        <v>22</v>
      </c>
      <c r="X1197" s="65" t="s">
        <v>1572</v>
      </c>
      <c r="Z1197" t="s">
        <v>307</v>
      </c>
      <c r="AB1197" t="s">
        <v>178</v>
      </c>
      <c r="AC1197" t="s">
        <v>1814</v>
      </c>
      <c r="AD1197" s="2" t="s">
        <v>180</v>
      </c>
    </row>
    <row r="1198" spans="1:30" hidden="1" x14ac:dyDescent="0.25">
      <c r="A1198" s="2">
        <v>238</v>
      </c>
      <c r="B1198" t="s">
        <v>1831</v>
      </c>
      <c r="C1198">
        <v>12</v>
      </c>
      <c r="D1198">
        <v>490</v>
      </c>
      <c r="E1198">
        <v>1388</v>
      </c>
      <c r="F1198" t="s">
        <v>273</v>
      </c>
      <c r="G1198" s="2" t="s">
        <v>156</v>
      </c>
      <c r="H1198">
        <v>1</v>
      </c>
      <c r="I1198">
        <v>63.63</v>
      </c>
      <c r="J1198" s="2" t="s">
        <v>170</v>
      </c>
      <c r="K1198" s="2" t="s">
        <v>74</v>
      </c>
      <c r="M1198" t="s">
        <v>1999</v>
      </c>
      <c r="P1198" s="19" t="s">
        <v>1573</v>
      </c>
      <c r="Q1198" s="19" t="s">
        <v>27</v>
      </c>
      <c r="R1198" s="19" t="s">
        <v>138</v>
      </c>
      <c r="W1198" s="20">
        <v>22</v>
      </c>
      <c r="X1198" s="65" t="s">
        <v>1572</v>
      </c>
      <c r="Z1198" t="s">
        <v>307</v>
      </c>
      <c r="AB1198" t="s">
        <v>178</v>
      </c>
      <c r="AC1198" t="s">
        <v>1814</v>
      </c>
      <c r="AD1198" s="2" t="s">
        <v>180</v>
      </c>
    </row>
    <row r="1199" spans="1:30" hidden="1" x14ac:dyDescent="0.25">
      <c r="A1199" s="2">
        <v>239</v>
      </c>
      <c r="B1199" t="s">
        <v>1832</v>
      </c>
      <c r="C1199">
        <v>12</v>
      </c>
      <c r="D1199">
        <v>490</v>
      </c>
      <c r="E1199">
        <v>6464</v>
      </c>
      <c r="F1199" t="s">
        <v>273</v>
      </c>
      <c r="G1199" s="2" t="s">
        <v>156</v>
      </c>
      <c r="H1199">
        <v>1</v>
      </c>
      <c r="I1199">
        <v>298.16000000000003</v>
      </c>
      <c r="J1199" s="2" t="s">
        <v>170</v>
      </c>
      <c r="K1199" s="2" t="s">
        <v>74</v>
      </c>
      <c r="M1199" t="s">
        <v>1999</v>
      </c>
      <c r="P1199" s="19" t="s">
        <v>1573</v>
      </c>
      <c r="Q1199" s="19" t="s">
        <v>27</v>
      </c>
      <c r="R1199" s="19" t="s">
        <v>138</v>
      </c>
      <c r="W1199" s="20">
        <v>22</v>
      </c>
      <c r="X1199" s="65" t="s">
        <v>1572</v>
      </c>
      <c r="Z1199" t="s">
        <v>307</v>
      </c>
      <c r="AB1199" t="s">
        <v>178</v>
      </c>
      <c r="AC1199" t="s">
        <v>1833</v>
      </c>
      <c r="AD1199" s="2" t="s">
        <v>180</v>
      </c>
    </row>
    <row r="1200" spans="1:30" hidden="1" x14ac:dyDescent="0.25">
      <c r="A1200" s="2">
        <v>240</v>
      </c>
      <c r="B1200" t="s">
        <v>1835</v>
      </c>
      <c r="C1200">
        <v>12</v>
      </c>
      <c r="D1200">
        <v>490</v>
      </c>
      <c r="E1200">
        <v>6464</v>
      </c>
      <c r="F1200" t="s">
        <v>273</v>
      </c>
      <c r="G1200" s="2" t="s">
        <v>156</v>
      </c>
      <c r="H1200">
        <v>1</v>
      </c>
      <c r="I1200">
        <v>298.16000000000003</v>
      </c>
      <c r="J1200" s="2" t="s">
        <v>170</v>
      </c>
      <c r="K1200" s="2" t="s">
        <v>74</v>
      </c>
      <c r="M1200" t="s">
        <v>1999</v>
      </c>
      <c r="P1200" s="19" t="s">
        <v>1573</v>
      </c>
      <c r="Q1200" s="19" t="s">
        <v>27</v>
      </c>
      <c r="R1200" s="19" t="s">
        <v>138</v>
      </c>
      <c r="W1200" s="20">
        <v>22</v>
      </c>
      <c r="X1200" s="65" t="s">
        <v>1572</v>
      </c>
      <c r="Z1200" t="s">
        <v>307</v>
      </c>
      <c r="AB1200" t="s">
        <v>178</v>
      </c>
      <c r="AC1200" t="s">
        <v>1833</v>
      </c>
      <c r="AD1200" s="2" t="s">
        <v>180</v>
      </c>
    </row>
    <row r="1201" spans="1:30" hidden="1" x14ac:dyDescent="0.25">
      <c r="A1201" s="2">
        <v>241</v>
      </c>
      <c r="B1201" t="s">
        <v>1836</v>
      </c>
      <c r="C1201">
        <v>16</v>
      </c>
      <c r="D1201">
        <v>210</v>
      </c>
      <c r="E1201">
        <v>750</v>
      </c>
      <c r="F1201" t="s">
        <v>172</v>
      </c>
      <c r="G1201" s="2" t="s">
        <v>156</v>
      </c>
      <c r="H1201">
        <v>12</v>
      </c>
      <c r="I1201">
        <v>235.33</v>
      </c>
      <c r="J1201" s="2" t="s">
        <v>170</v>
      </c>
      <c r="K1201" s="2" t="s">
        <v>74</v>
      </c>
      <c r="M1201" t="s">
        <v>1999</v>
      </c>
      <c r="P1201" s="19" t="s">
        <v>1573</v>
      </c>
      <c r="Q1201" s="19" t="s">
        <v>25</v>
      </c>
      <c r="S1201" s="19" t="s">
        <v>138</v>
      </c>
      <c r="W1201" s="20">
        <v>22</v>
      </c>
      <c r="X1201" s="65" t="s">
        <v>1572</v>
      </c>
      <c r="Z1201" t="s">
        <v>307</v>
      </c>
      <c r="AB1201" t="s">
        <v>178</v>
      </c>
      <c r="AC1201" t="s">
        <v>1838</v>
      </c>
      <c r="AD1201" s="2" t="s">
        <v>1839</v>
      </c>
    </row>
    <row r="1202" spans="1:30" hidden="1" x14ac:dyDescent="0.25">
      <c r="A1202" s="2">
        <v>242</v>
      </c>
      <c r="B1202" t="s">
        <v>1841</v>
      </c>
      <c r="C1202">
        <v>16</v>
      </c>
      <c r="D1202">
        <v>210</v>
      </c>
      <c r="E1202">
        <v>651</v>
      </c>
      <c r="F1202" t="s">
        <v>172</v>
      </c>
      <c r="G1202" s="2" t="s">
        <v>156</v>
      </c>
      <c r="H1202">
        <v>10</v>
      </c>
      <c r="I1202">
        <v>171.53</v>
      </c>
      <c r="J1202" s="2" t="s">
        <v>170</v>
      </c>
      <c r="K1202" s="2" t="s">
        <v>74</v>
      </c>
      <c r="M1202" t="s">
        <v>1999</v>
      </c>
      <c r="P1202" s="19" t="s">
        <v>1573</v>
      </c>
      <c r="Q1202" s="19" t="s">
        <v>25</v>
      </c>
      <c r="S1202" s="19" t="s">
        <v>138</v>
      </c>
      <c r="W1202" s="20">
        <v>22</v>
      </c>
      <c r="X1202" s="65" t="s">
        <v>1572</v>
      </c>
      <c r="Z1202" t="s">
        <v>307</v>
      </c>
      <c r="AB1202" t="s">
        <v>178</v>
      </c>
      <c r="AC1202" t="s">
        <v>1838</v>
      </c>
      <c r="AD1202" s="2" t="s">
        <v>1839</v>
      </c>
    </row>
    <row r="1203" spans="1:30" hidden="1" x14ac:dyDescent="0.25">
      <c r="A1203" s="2">
        <v>243</v>
      </c>
      <c r="B1203" t="s">
        <v>1842</v>
      </c>
      <c r="C1203">
        <v>16</v>
      </c>
      <c r="D1203">
        <v>210</v>
      </c>
      <c r="E1203">
        <v>750</v>
      </c>
      <c r="F1203" t="s">
        <v>172</v>
      </c>
      <c r="G1203" s="2" t="s">
        <v>156</v>
      </c>
      <c r="H1203">
        <v>12</v>
      </c>
      <c r="I1203">
        <v>235.33</v>
      </c>
      <c r="J1203" s="2" t="s">
        <v>170</v>
      </c>
      <c r="K1203" s="2" t="s">
        <v>74</v>
      </c>
      <c r="M1203" t="s">
        <v>1999</v>
      </c>
      <c r="P1203" s="19" t="s">
        <v>1573</v>
      </c>
      <c r="Q1203" s="19" t="s">
        <v>25</v>
      </c>
      <c r="S1203" s="19" t="s">
        <v>138</v>
      </c>
      <c r="W1203" s="20">
        <v>22</v>
      </c>
      <c r="X1203" s="65" t="s">
        <v>1572</v>
      </c>
      <c r="Z1203" t="s">
        <v>307</v>
      </c>
      <c r="AB1203" t="s">
        <v>178</v>
      </c>
      <c r="AC1203" t="s">
        <v>1838</v>
      </c>
      <c r="AD1203" s="2" t="s">
        <v>1839</v>
      </c>
    </row>
    <row r="1204" spans="1:30" hidden="1" x14ac:dyDescent="0.25">
      <c r="A1204" s="2">
        <v>244</v>
      </c>
      <c r="B1204" t="s">
        <v>1843</v>
      </c>
      <c r="C1204">
        <v>16</v>
      </c>
      <c r="D1204">
        <v>210</v>
      </c>
      <c r="E1204">
        <v>651</v>
      </c>
      <c r="F1204" t="s">
        <v>172</v>
      </c>
      <c r="G1204" s="2" t="s">
        <v>156</v>
      </c>
      <c r="H1204">
        <v>10</v>
      </c>
      <c r="I1204">
        <v>171.53</v>
      </c>
      <c r="J1204" s="2" t="s">
        <v>170</v>
      </c>
      <c r="K1204" s="2" t="s">
        <v>74</v>
      </c>
      <c r="M1204" t="s">
        <v>1999</v>
      </c>
      <c r="P1204" s="19" t="s">
        <v>1573</v>
      </c>
      <c r="Q1204" s="19" t="s">
        <v>25</v>
      </c>
      <c r="S1204" s="19" t="s">
        <v>138</v>
      </c>
      <c r="W1204" s="20">
        <v>22</v>
      </c>
      <c r="X1204" s="65" t="s">
        <v>1572</v>
      </c>
      <c r="Z1204" t="s">
        <v>307</v>
      </c>
      <c r="AB1204" t="s">
        <v>178</v>
      </c>
      <c r="AC1204" t="s">
        <v>1838</v>
      </c>
      <c r="AD1204" s="2" t="s">
        <v>1839</v>
      </c>
    </row>
    <row r="1205" spans="1:30" hidden="1" x14ac:dyDescent="0.25">
      <c r="A1205" s="2">
        <v>245</v>
      </c>
      <c r="B1205" t="s">
        <v>1844</v>
      </c>
      <c r="C1205">
        <v>16</v>
      </c>
      <c r="D1205">
        <v>210</v>
      </c>
      <c r="E1205">
        <v>750</v>
      </c>
      <c r="F1205" t="s">
        <v>172</v>
      </c>
      <c r="G1205" s="2" t="s">
        <v>156</v>
      </c>
      <c r="H1205">
        <v>12</v>
      </c>
      <c r="I1205">
        <v>235.33</v>
      </c>
      <c r="J1205" s="2" t="s">
        <v>170</v>
      </c>
      <c r="K1205" s="2" t="s">
        <v>74</v>
      </c>
      <c r="M1205" t="s">
        <v>1999</v>
      </c>
      <c r="P1205" s="19" t="s">
        <v>1573</v>
      </c>
      <c r="Q1205" s="19" t="s">
        <v>25</v>
      </c>
      <c r="S1205" s="19" t="s">
        <v>138</v>
      </c>
      <c r="W1205" s="20">
        <v>22</v>
      </c>
      <c r="X1205" s="65" t="s">
        <v>1572</v>
      </c>
      <c r="Z1205" t="s">
        <v>307</v>
      </c>
      <c r="AB1205" t="s">
        <v>178</v>
      </c>
      <c r="AC1205" t="s">
        <v>1838</v>
      </c>
      <c r="AD1205" s="2" t="s">
        <v>1839</v>
      </c>
    </row>
    <row r="1206" spans="1:30" hidden="1" x14ac:dyDescent="0.25">
      <c r="A1206" s="2">
        <v>246</v>
      </c>
      <c r="B1206" t="s">
        <v>1845</v>
      </c>
      <c r="C1206">
        <v>16</v>
      </c>
      <c r="D1206">
        <v>210</v>
      </c>
      <c r="E1206">
        <v>651</v>
      </c>
      <c r="F1206" t="s">
        <v>172</v>
      </c>
      <c r="G1206" s="2" t="s">
        <v>156</v>
      </c>
      <c r="H1206">
        <v>10</v>
      </c>
      <c r="I1206">
        <v>171.53</v>
      </c>
      <c r="J1206" s="2" t="s">
        <v>170</v>
      </c>
      <c r="K1206" s="2" t="s">
        <v>74</v>
      </c>
      <c r="M1206" t="s">
        <v>1999</v>
      </c>
      <c r="P1206" s="19" t="s">
        <v>1573</v>
      </c>
      <c r="Q1206" s="19" t="s">
        <v>25</v>
      </c>
      <c r="S1206" s="19" t="s">
        <v>138</v>
      </c>
      <c r="W1206" s="20">
        <v>22</v>
      </c>
      <c r="X1206" s="65" t="s">
        <v>1572</v>
      </c>
      <c r="Z1206" t="s">
        <v>307</v>
      </c>
      <c r="AB1206" t="s">
        <v>178</v>
      </c>
      <c r="AC1206" t="s">
        <v>1838</v>
      </c>
      <c r="AD1206" s="2" t="s">
        <v>1839</v>
      </c>
    </row>
    <row r="1207" spans="1:30" hidden="1" x14ac:dyDescent="0.25">
      <c r="A1207" s="2">
        <v>247</v>
      </c>
      <c r="B1207" t="s">
        <v>1846</v>
      </c>
      <c r="C1207">
        <v>16</v>
      </c>
      <c r="D1207">
        <v>210</v>
      </c>
      <c r="E1207">
        <v>750</v>
      </c>
      <c r="F1207" t="s">
        <v>172</v>
      </c>
      <c r="G1207" s="2" t="s">
        <v>156</v>
      </c>
      <c r="H1207">
        <v>12</v>
      </c>
      <c r="I1207">
        <v>235.33</v>
      </c>
      <c r="J1207" s="2" t="s">
        <v>170</v>
      </c>
      <c r="K1207" s="2" t="s">
        <v>74</v>
      </c>
      <c r="M1207" t="s">
        <v>1999</v>
      </c>
      <c r="P1207" s="19" t="s">
        <v>1573</v>
      </c>
      <c r="Q1207" s="19" t="s">
        <v>25</v>
      </c>
      <c r="S1207" s="19" t="s">
        <v>138</v>
      </c>
      <c r="W1207" s="20">
        <v>22</v>
      </c>
      <c r="X1207" s="65" t="s">
        <v>1572</v>
      </c>
      <c r="Z1207" t="s">
        <v>307</v>
      </c>
      <c r="AB1207" t="s">
        <v>178</v>
      </c>
      <c r="AC1207" t="s">
        <v>1838</v>
      </c>
      <c r="AD1207" s="2" t="s">
        <v>1839</v>
      </c>
    </row>
    <row r="1208" spans="1:30" hidden="1" x14ac:dyDescent="0.25">
      <c r="A1208" s="2">
        <v>248</v>
      </c>
      <c r="B1208" t="s">
        <v>1847</v>
      </c>
      <c r="C1208">
        <v>16</v>
      </c>
      <c r="D1208">
        <v>210</v>
      </c>
      <c r="E1208">
        <v>651</v>
      </c>
      <c r="F1208" t="s">
        <v>172</v>
      </c>
      <c r="G1208" s="2" t="s">
        <v>156</v>
      </c>
      <c r="H1208">
        <v>10</v>
      </c>
      <c r="I1208">
        <v>171.53</v>
      </c>
      <c r="J1208" s="2" t="s">
        <v>170</v>
      </c>
      <c r="K1208" s="2" t="s">
        <v>74</v>
      </c>
      <c r="M1208" t="s">
        <v>1999</v>
      </c>
      <c r="P1208" s="19" t="s">
        <v>1573</v>
      </c>
      <c r="Q1208" s="19" t="s">
        <v>25</v>
      </c>
      <c r="S1208" s="19" t="s">
        <v>138</v>
      </c>
      <c r="W1208" s="20">
        <v>22</v>
      </c>
      <c r="X1208" s="65" t="s">
        <v>1572</v>
      </c>
      <c r="Z1208" t="s">
        <v>307</v>
      </c>
      <c r="AB1208" t="s">
        <v>178</v>
      </c>
      <c r="AC1208" t="s">
        <v>1838</v>
      </c>
      <c r="AD1208" s="2" t="s">
        <v>1839</v>
      </c>
    </row>
    <row r="1209" spans="1:30" hidden="1" x14ac:dyDescent="0.25">
      <c r="A1209" s="2">
        <v>249</v>
      </c>
      <c r="B1209" t="s">
        <v>1848</v>
      </c>
      <c r="C1209">
        <v>20</v>
      </c>
      <c r="D1209">
        <v>300</v>
      </c>
      <c r="E1209">
        <v>9980</v>
      </c>
      <c r="F1209" t="s">
        <v>273</v>
      </c>
      <c r="G1209" s="2" t="s">
        <v>156</v>
      </c>
      <c r="H1209">
        <v>1</v>
      </c>
      <c r="I1209">
        <v>470.06</v>
      </c>
      <c r="J1209" s="2" t="s">
        <v>170</v>
      </c>
      <c r="K1209" s="2" t="s">
        <v>74</v>
      </c>
      <c r="M1209" t="s">
        <v>1999</v>
      </c>
      <c r="P1209" s="19" t="s">
        <v>1573</v>
      </c>
      <c r="Q1209" s="19" t="s">
        <v>27</v>
      </c>
      <c r="S1209" s="19" t="s">
        <v>138</v>
      </c>
      <c r="W1209" s="20">
        <v>22</v>
      </c>
      <c r="X1209" s="65" t="s">
        <v>1572</v>
      </c>
      <c r="Z1209" t="s">
        <v>307</v>
      </c>
      <c r="AB1209" t="s">
        <v>178</v>
      </c>
      <c r="AC1209" t="s">
        <v>1849</v>
      </c>
      <c r="AD1209" s="2" t="s">
        <v>1850</v>
      </c>
    </row>
    <row r="1210" spans="1:30" hidden="1" x14ac:dyDescent="0.25">
      <c r="A1210" s="2">
        <v>250</v>
      </c>
      <c r="B1210" t="s">
        <v>1852</v>
      </c>
      <c r="C1210">
        <v>20</v>
      </c>
      <c r="D1210">
        <v>300</v>
      </c>
      <c r="E1210">
        <v>9980</v>
      </c>
      <c r="F1210" t="s">
        <v>273</v>
      </c>
      <c r="G1210" s="2" t="s">
        <v>156</v>
      </c>
      <c r="H1210">
        <v>1</v>
      </c>
      <c r="I1210">
        <v>470.06</v>
      </c>
      <c r="J1210" s="2" t="s">
        <v>170</v>
      </c>
      <c r="K1210" s="2" t="s">
        <v>74</v>
      </c>
      <c r="M1210" t="s">
        <v>1999</v>
      </c>
      <c r="P1210" s="19" t="s">
        <v>1573</v>
      </c>
      <c r="Q1210" s="19" t="s">
        <v>27</v>
      </c>
      <c r="S1210" s="19" t="s">
        <v>138</v>
      </c>
      <c r="W1210" s="20">
        <v>22</v>
      </c>
      <c r="X1210" s="65" t="s">
        <v>1572</v>
      </c>
      <c r="Z1210" t="s">
        <v>307</v>
      </c>
      <c r="AB1210" t="s">
        <v>178</v>
      </c>
      <c r="AC1210" t="s">
        <v>1849</v>
      </c>
      <c r="AD1210" s="2" t="s">
        <v>1850</v>
      </c>
    </row>
    <row r="1211" spans="1:30" hidden="1" x14ac:dyDescent="0.25">
      <c r="A1211" s="2">
        <v>251</v>
      </c>
      <c r="B1211" t="s">
        <v>1853</v>
      </c>
      <c r="C1211">
        <v>20</v>
      </c>
      <c r="D1211">
        <v>300</v>
      </c>
      <c r="E1211">
        <v>9980</v>
      </c>
      <c r="F1211" t="s">
        <v>273</v>
      </c>
      <c r="G1211" s="2" t="s">
        <v>156</v>
      </c>
      <c r="H1211">
        <v>1</v>
      </c>
      <c r="I1211">
        <v>470.06</v>
      </c>
      <c r="J1211" s="2" t="s">
        <v>170</v>
      </c>
      <c r="K1211" s="2" t="s">
        <v>74</v>
      </c>
      <c r="M1211" t="s">
        <v>1999</v>
      </c>
      <c r="P1211" s="19" t="s">
        <v>1573</v>
      </c>
      <c r="Q1211" s="19" t="s">
        <v>27</v>
      </c>
      <c r="S1211" s="19" t="s">
        <v>138</v>
      </c>
      <c r="W1211" s="20">
        <v>22</v>
      </c>
      <c r="X1211" s="65" t="s">
        <v>1572</v>
      </c>
      <c r="Z1211" t="s">
        <v>307</v>
      </c>
      <c r="AB1211" t="s">
        <v>178</v>
      </c>
      <c r="AC1211" t="s">
        <v>1849</v>
      </c>
      <c r="AD1211" s="2" t="s">
        <v>1850</v>
      </c>
    </row>
    <row r="1212" spans="1:30" hidden="1" x14ac:dyDescent="0.25">
      <c r="A1212" s="2">
        <v>252</v>
      </c>
      <c r="B1212" t="s">
        <v>1854</v>
      </c>
      <c r="C1212">
        <v>20</v>
      </c>
      <c r="D1212">
        <v>300</v>
      </c>
      <c r="E1212">
        <v>9980</v>
      </c>
      <c r="F1212" t="s">
        <v>273</v>
      </c>
      <c r="G1212" s="2" t="s">
        <v>156</v>
      </c>
      <c r="H1212">
        <v>1</v>
      </c>
      <c r="I1212">
        <v>470.06</v>
      </c>
      <c r="J1212" s="2" t="s">
        <v>170</v>
      </c>
      <c r="K1212" s="2" t="s">
        <v>74</v>
      </c>
      <c r="M1212" t="s">
        <v>1999</v>
      </c>
      <c r="P1212" s="19" t="s">
        <v>1573</v>
      </c>
      <c r="Q1212" s="19" t="s">
        <v>27</v>
      </c>
      <c r="S1212" s="19" t="s">
        <v>138</v>
      </c>
      <c r="W1212" s="20">
        <v>22</v>
      </c>
      <c r="X1212" s="65" t="s">
        <v>1572</v>
      </c>
      <c r="Z1212" t="s">
        <v>307</v>
      </c>
      <c r="AB1212" t="s">
        <v>178</v>
      </c>
      <c r="AC1212" t="s">
        <v>1849</v>
      </c>
      <c r="AD1212" s="2" t="s">
        <v>1850</v>
      </c>
    </row>
    <row r="1213" spans="1:30" hidden="1" x14ac:dyDescent="0.25">
      <c r="A1213" s="2">
        <v>253</v>
      </c>
      <c r="B1213" t="s">
        <v>1855</v>
      </c>
      <c r="C1213">
        <v>20</v>
      </c>
      <c r="D1213">
        <v>300</v>
      </c>
      <c r="E1213">
        <v>9980</v>
      </c>
      <c r="F1213" t="s">
        <v>273</v>
      </c>
      <c r="G1213" s="2" t="s">
        <v>156</v>
      </c>
      <c r="H1213">
        <v>1</v>
      </c>
      <c r="I1213">
        <v>470.06</v>
      </c>
      <c r="J1213" s="2" t="s">
        <v>170</v>
      </c>
      <c r="K1213" s="2" t="s">
        <v>74</v>
      </c>
      <c r="M1213" t="s">
        <v>1999</v>
      </c>
      <c r="P1213" s="19" t="s">
        <v>1573</v>
      </c>
      <c r="Q1213" s="19" t="s">
        <v>27</v>
      </c>
      <c r="S1213" s="19" t="s">
        <v>138</v>
      </c>
      <c r="W1213" s="20">
        <v>22</v>
      </c>
      <c r="X1213" s="65" t="s">
        <v>1572</v>
      </c>
      <c r="Z1213" t="s">
        <v>307</v>
      </c>
      <c r="AB1213" t="s">
        <v>178</v>
      </c>
      <c r="AC1213" t="s">
        <v>1849</v>
      </c>
      <c r="AD1213" s="2" t="s">
        <v>1850</v>
      </c>
    </row>
    <row r="1214" spans="1:30" hidden="1" x14ac:dyDescent="0.25">
      <c r="A1214" s="2">
        <v>254</v>
      </c>
      <c r="B1214" t="s">
        <v>1856</v>
      </c>
      <c r="C1214">
        <v>20</v>
      </c>
      <c r="D1214">
        <v>300</v>
      </c>
      <c r="E1214">
        <v>1383</v>
      </c>
      <c r="F1214" t="s">
        <v>273</v>
      </c>
      <c r="G1214" s="2" t="s">
        <v>156</v>
      </c>
      <c r="H1214">
        <v>1</v>
      </c>
      <c r="I1214">
        <v>65.14</v>
      </c>
      <c r="J1214" s="2" t="s">
        <v>170</v>
      </c>
      <c r="K1214" s="2" t="s">
        <v>74</v>
      </c>
      <c r="M1214" t="s">
        <v>1999</v>
      </c>
      <c r="P1214" s="19" t="s">
        <v>1573</v>
      </c>
      <c r="Q1214" s="19" t="s">
        <v>27</v>
      </c>
      <c r="S1214" s="19" t="s">
        <v>138</v>
      </c>
      <c r="V1214" s="19" t="s">
        <v>138</v>
      </c>
      <c r="W1214" s="20">
        <v>22</v>
      </c>
      <c r="X1214" s="65" t="s">
        <v>1572</v>
      </c>
      <c r="Z1214" t="s">
        <v>307</v>
      </c>
      <c r="AB1214" t="s">
        <v>178</v>
      </c>
      <c r="AC1214" t="s">
        <v>1849</v>
      </c>
      <c r="AD1214" s="2" t="s">
        <v>1850</v>
      </c>
    </row>
    <row r="1215" spans="1:30" hidden="1" x14ac:dyDescent="0.25">
      <c r="A1215" s="2">
        <v>255</v>
      </c>
      <c r="B1215" t="s">
        <v>1857</v>
      </c>
      <c r="C1215">
        <v>20</v>
      </c>
      <c r="D1215">
        <v>300</v>
      </c>
      <c r="E1215">
        <v>1383</v>
      </c>
      <c r="F1215" t="s">
        <v>273</v>
      </c>
      <c r="G1215" s="2" t="s">
        <v>156</v>
      </c>
      <c r="H1215">
        <v>1</v>
      </c>
      <c r="I1215">
        <v>65.14</v>
      </c>
      <c r="J1215" s="2" t="s">
        <v>170</v>
      </c>
      <c r="K1215" s="2" t="s">
        <v>74</v>
      </c>
      <c r="M1215" t="s">
        <v>1999</v>
      </c>
      <c r="P1215" s="19" t="s">
        <v>1573</v>
      </c>
      <c r="Q1215" s="19" t="s">
        <v>27</v>
      </c>
      <c r="S1215" s="19" t="s">
        <v>138</v>
      </c>
      <c r="V1215" s="19" t="s">
        <v>138</v>
      </c>
      <c r="W1215" s="20">
        <v>22</v>
      </c>
      <c r="X1215" s="65" t="s">
        <v>1572</v>
      </c>
      <c r="Z1215" t="s">
        <v>307</v>
      </c>
      <c r="AB1215" t="s">
        <v>178</v>
      </c>
      <c r="AC1215" t="s">
        <v>1849</v>
      </c>
      <c r="AD1215" s="2" t="s">
        <v>1850</v>
      </c>
    </row>
    <row r="1216" spans="1:30" hidden="1" x14ac:dyDescent="0.25">
      <c r="A1216" s="2">
        <v>256</v>
      </c>
      <c r="B1216" t="s">
        <v>1858</v>
      </c>
      <c r="C1216">
        <v>20</v>
      </c>
      <c r="D1216">
        <v>300</v>
      </c>
      <c r="E1216">
        <v>1383</v>
      </c>
      <c r="F1216" t="s">
        <v>273</v>
      </c>
      <c r="G1216" s="2" t="s">
        <v>156</v>
      </c>
      <c r="H1216">
        <v>1</v>
      </c>
      <c r="I1216">
        <v>65.14</v>
      </c>
      <c r="J1216" s="2" t="s">
        <v>170</v>
      </c>
      <c r="K1216" s="2" t="s">
        <v>74</v>
      </c>
      <c r="M1216" t="s">
        <v>1999</v>
      </c>
      <c r="P1216" s="19" t="s">
        <v>1573</v>
      </c>
      <c r="Q1216" s="19" t="s">
        <v>27</v>
      </c>
      <c r="S1216" s="19" t="s">
        <v>138</v>
      </c>
      <c r="V1216" s="19" t="s">
        <v>138</v>
      </c>
      <c r="W1216" s="20">
        <v>22</v>
      </c>
      <c r="X1216" s="65" t="s">
        <v>1572</v>
      </c>
      <c r="Z1216" t="s">
        <v>307</v>
      </c>
      <c r="AB1216" t="s">
        <v>178</v>
      </c>
      <c r="AC1216" t="s">
        <v>1849</v>
      </c>
      <c r="AD1216" s="2" t="s">
        <v>1850</v>
      </c>
    </row>
    <row r="1217" spans="1:30" hidden="1" x14ac:dyDescent="0.25">
      <c r="A1217" s="2">
        <v>257</v>
      </c>
      <c r="B1217" t="s">
        <v>1859</v>
      </c>
      <c r="C1217">
        <v>20</v>
      </c>
      <c r="D1217">
        <v>300</v>
      </c>
      <c r="E1217">
        <v>1383</v>
      </c>
      <c r="F1217" t="s">
        <v>273</v>
      </c>
      <c r="G1217" s="2" t="s">
        <v>156</v>
      </c>
      <c r="H1217">
        <v>1</v>
      </c>
      <c r="I1217">
        <v>65.14</v>
      </c>
      <c r="J1217" s="2" t="s">
        <v>170</v>
      </c>
      <c r="K1217" s="2" t="s">
        <v>74</v>
      </c>
      <c r="M1217" t="s">
        <v>1999</v>
      </c>
      <c r="P1217" s="19" t="s">
        <v>1573</v>
      </c>
      <c r="Q1217" s="19" t="s">
        <v>27</v>
      </c>
      <c r="S1217" s="19" t="s">
        <v>138</v>
      </c>
      <c r="V1217" s="19" t="s">
        <v>138</v>
      </c>
      <c r="W1217" s="20">
        <v>22</v>
      </c>
      <c r="X1217" s="65" t="s">
        <v>1572</v>
      </c>
      <c r="Z1217" t="s">
        <v>307</v>
      </c>
      <c r="AB1217" t="s">
        <v>178</v>
      </c>
      <c r="AC1217" t="s">
        <v>1849</v>
      </c>
      <c r="AD1217" s="2" t="s">
        <v>1850</v>
      </c>
    </row>
    <row r="1218" spans="1:30" hidden="1" x14ac:dyDescent="0.25">
      <c r="A1218" s="2">
        <v>258</v>
      </c>
      <c r="B1218" t="s">
        <v>1860</v>
      </c>
      <c r="C1218">
        <v>20</v>
      </c>
      <c r="D1218">
        <v>300</v>
      </c>
      <c r="E1218">
        <v>1383</v>
      </c>
      <c r="F1218" t="s">
        <v>273</v>
      </c>
      <c r="G1218" s="2" t="s">
        <v>156</v>
      </c>
      <c r="H1218">
        <v>1</v>
      </c>
      <c r="I1218">
        <v>65.14</v>
      </c>
      <c r="J1218" s="2" t="s">
        <v>170</v>
      </c>
      <c r="K1218" s="2" t="s">
        <v>74</v>
      </c>
      <c r="M1218" t="s">
        <v>1999</v>
      </c>
      <c r="P1218" s="19" t="s">
        <v>1573</v>
      </c>
      <c r="Q1218" s="19" t="s">
        <v>27</v>
      </c>
      <c r="S1218" s="19" t="s">
        <v>138</v>
      </c>
      <c r="V1218" s="19" t="s">
        <v>138</v>
      </c>
      <c r="W1218" s="20">
        <v>22</v>
      </c>
      <c r="X1218" s="65" t="s">
        <v>1572</v>
      </c>
      <c r="Z1218" t="s">
        <v>307</v>
      </c>
      <c r="AB1218" t="s">
        <v>178</v>
      </c>
      <c r="AC1218" t="s">
        <v>1849</v>
      </c>
      <c r="AD1218" s="2" t="s">
        <v>1850</v>
      </c>
    </row>
    <row r="1219" spans="1:30" hidden="1" x14ac:dyDescent="0.25">
      <c r="A1219" s="2">
        <v>259</v>
      </c>
      <c r="B1219" t="s">
        <v>1861</v>
      </c>
      <c r="C1219">
        <v>20</v>
      </c>
      <c r="D1219">
        <v>300</v>
      </c>
      <c r="E1219">
        <v>1383</v>
      </c>
      <c r="F1219" t="s">
        <v>273</v>
      </c>
      <c r="G1219" s="2" t="s">
        <v>156</v>
      </c>
      <c r="H1219">
        <v>1</v>
      </c>
      <c r="I1219">
        <v>65.14</v>
      </c>
      <c r="J1219" s="2" t="s">
        <v>170</v>
      </c>
      <c r="K1219" s="2" t="s">
        <v>74</v>
      </c>
      <c r="M1219" t="s">
        <v>1999</v>
      </c>
      <c r="P1219" s="19" t="s">
        <v>1573</v>
      </c>
      <c r="Q1219" s="19" t="s">
        <v>27</v>
      </c>
      <c r="S1219" s="19" t="s">
        <v>138</v>
      </c>
      <c r="V1219" s="19" t="s">
        <v>138</v>
      </c>
      <c r="W1219" s="20">
        <v>22</v>
      </c>
      <c r="X1219" s="65" t="s">
        <v>1572</v>
      </c>
      <c r="Z1219" t="s">
        <v>307</v>
      </c>
      <c r="AB1219" t="s">
        <v>178</v>
      </c>
      <c r="AC1219" t="s">
        <v>1849</v>
      </c>
      <c r="AD1219" s="2" t="s">
        <v>1850</v>
      </c>
    </row>
    <row r="1220" spans="1:30" hidden="1" x14ac:dyDescent="0.25">
      <c r="A1220" s="2">
        <v>260</v>
      </c>
      <c r="B1220" t="s">
        <v>1862</v>
      </c>
      <c r="C1220">
        <v>20</v>
      </c>
      <c r="D1220">
        <v>270</v>
      </c>
      <c r="E1220">
        <v>300</v>
      </c>
      <c r="F1220" t="s">
        <v>273</v>
      </c>
      <c r="G1220" s="2" t="s">
        <v>156</v>
      </c>
      <c r="H1220">
        <v>1</v>
      </c>
      <c r="I1220">
        <v>12.72</v>
      </c>
      <c r="J1220" s="2" t="s">
        <v>170</v>
      </c>
      <c r="K1220" s="2" t="s">
        <v>74</v>
      </c>
      <c r="M1220" t="s">
        <v>1999</v>
      </c>
      <c r="P1220" s="19" t="s">
        <v>1573</v>
      </c>
      <c r="Q1220" s="19" t="s">
        <v>25</v>
      </c>
      <c r="S1220" s="19" t="s">
        <v>138</v>
      </c>
      <c r="W1220" s="20">
        <v>22</v>
      </c>
      <c r="X1220" s="65" t="s">
        <v>1572</v>
      </c>
      <c r="Z1220" t="s">
        <v>307</v>
      </c>
      <c r="AB1220" t="s">
        <v>178</v>
      </c>
      <c r="AC1220" t="s">
        <v>1849</v>
      </c>
      <c r="AD1220" s="2" t="s">
        <v>1850</v>
      </c>
    </row>
    <row r="1221" spans="1:30" hidden="1" x14ac:dyDescent="0.25">
      <c r="A1221" s="2">
        <v>261</v>
      </c>
      <c r="B1221" t="s">
        <v>1863</v>
      </c>
      <c r="C1221">
        <v>20</v>
      </c>
      <c r="D1221">
        <v>300</v>
      </c>
      <c r="E1221">
        <v>480</v>
      </c>
      <c r="F1221" t="s">
        <v>273</v>
      </c>
      <c r="G1221" s="2" t="s">
        <v>156</v>
      </c>
      <c r="H1221">
        <v>5</v>
      </c>
      <c r="I1221">
        <v>113.04</v>
      </c>
      <c r="J1221" s="2" t="s">
        <v>170</v>
      </c>
      <c r="K1221" s="2" t="s">
        <v>74</v>
      </c>
      <c r="M1221" t="s">
        <v>1999</v>
      </c>
      <c r="P1221" s="19" t="s">
        <v>1573</v>
      </c>
      <c r="Q1221" s="19" t="s">
        <v>25</v>
      </c>
      <c r="S1221" s="19" t="s">
        <v>138</v>
      </c>
      <c r="W1221" s="20">
        <v>22</v>
      </c>
      <c r="X1221" s="65" t="s">
        <v>1572</v>
      </c>
      <c r="Z1221" t="s">
        <v>307</v>
      </c>
      <c r="AB1221" t="s">
        <v>178</v>
      </c>
      <c r="AC1221" t="s">
        <v>1849</v>
      </c>
      <c r="AD1221" s="2" t="s">
        <v>1850</v>
      </c>
    </row>
    <row r="1222" spans="1:30" hidden="1" x14ac:dyDescent="0.25">
      <c r="A1222" s="2">
        <v>262</v>
      </c>
      <c r="B1222" t="s">
        <v>1864</v>
      </c>
      <c r="C1222">
        <v>20</v>
      </c>
      <c r="D1222">
        <v>300</v>
      </c>
      <c r="E1222">
        <v>480</v>
      </c>
      <c r="F1222" t="s">
        <v>273</v>
      </c>
      <c r="G1222" s="2" t="s">
        <v>156</v>
      </c>
      <c r="H1222">
        <v>1</v>
      </c>
      <c r="I1222">
        <v>22.61</v>
      </c>
      <c r="J1222" s="2" t="s">
        <v>170</v>
      </c>
      <c r="K1222" s="2" t="s">
        <v>74</v>
      </c>
      <c r="M1222" t="s">
        <v>1999</v>
      </c>
      <c r="P1222" s="19" t="s">
        <v>1573</v>
      </c>
      <c r="Q1222" s="19" t="s">
        <v>25</v>
      </c>
      <c r="S1222" s="19" t="s">
        <v>138</v>
      </c>
      <c r="W1222" s="20">
        <v>22</v>
      </c>
      <c r="X1222" s="65" t="s">
        <v>1572</v>
      </c>
      <c r="Z1222" t="s">
        <v>307</v>
      </c>
      <c r="AB1222" t="s">
        <v>178</v>
      </c>
      <c r="AC1222" t="s">
        <v>1849</v>
      </c>
      <c r="AD1222" s="2" t="s">
        <v>1850</v>
      </c>
    </row>
    <row r="1223" spans="1:30" hidden="1" x14ac:dyDescent="0.25">
      <c r="A1223" s="2">
        <v>263</v>
      </c>
      <c r="B1223" t="s">
        <v>1865</v>
      </c>
      <c r="C1223">
        <v>20</v>
      </c>
      <c r="D1223">
        <v>300</v>
      </c>
      <c r="E1223">
        <v>9980</v>
      </c>
      <c r="F1223" t="s">
        <v>273</v>
      </c>
      <c r="G1223" s="2" t="s">
        <v>156</v>
      </c>
      <c r="H1223">
        <v>1</v>
      </c>
      <c r="I1223">
        <v>470.06</v>
      </c>
      <c r="J1223" s="2" t="s">
        <v>170</v>
      </c>
      <c r="K1223" s="2" t="s">
        <v>74</v>
      </c>
      <c r="M1223" t="s">
        <v>1999</v>
      </c>
      <c r="P1223" s="19" t="s">
        <v>1573</v>
      </c>
      <c r="Q1223" s="19" t="s">
        <v>27</v>
      </c>
      <c r="S1223" s="19" t="s">
        <v>138</v>
      </c>
      <c r="W1223" s="20">
        <v>22</v>
      </c>
      <c r="X1223" s="65" t="s">
        <v>1572</v>
      </c>
      <c r="Z1223" t="s">
        <v>307</v>
      </c>
      <c r="AB1223" t="s">
        <v>178</v>
      </c>
      <c r="AC1223" t="s">
        <v>1849</v>
      </c>
      <c r="AD1223" s="2" t="s">
        <v>1850</v>
      </c>
    </row>
    <row r="1224" spans="1:30" hidden="1" x14ac:dyDescent="0.25">
      <c r="A1224" s="2">
        <v>264</v>
      </c>
      <c r="B1224" t="s">
        <v>1866</v>
      </c>
      <c r="C1224">
        <v>20</v>
      </c>
      <c r="D1224">
        <v>300</v>
      </c>
      <c r="E1224">
        <v>9980</v>
      </c>
      <c r="F1224" t="s">
        <v>273</v>
      </c>
      <c r="G1224" s="2" t="s">
        <v>156</v>
      </c>
      <c r="H1224">
        <v>1</v>
      </c>
      <c r="I1224">
        <v>470.06</v>
      </c>
      <c r="J1224" s="2" t="s">
        <v>170</v>
      </c>
      <c r="K1224" s="2" t="s">
        <v>74</v>
      </c>
      <c r="M1224" t="s">
        <v>1999</v>
      </c>
      <c r="P1224" s="19" t="s">
        <v>1573</v>
      </c>
      <c r="Q1224" s="19" t="s">
        <v>27</v>
      </c>
      <c r="S1224" s="19" t="s">
        <v>138</v>
      </c>
      <c r="W1224" s="20">
        <v>22</v>
      </c>
      <c r="X1224" s="65" t="s">
        <v>1572</v>
      </c>
      <c r="Z1224" t="s">
        <v>307</v>
      </c>
      <c r="AB1224" t="s">
        <v>178</v>
      </c>
      <c r="AC1224" t="s">
        <v>1849</v>
      </c>
      <c r="AD1224" s="2" t="s">
        <v>1850</v>
      </c>
    </row>
    <row r="1225" spans="1:30" hidden="1" x14ac:dyDescent="0.25">
      <c r="A1225" s="2">
        <v>265</v>
      </c>
      <c r="B1225" t="s">
        <v>1867</v>
      </c>
      <c r="C1225">
        <v>20</v>
      </c>
      <c r="D1225">
        <v>300</v>
      </c>
      <c r="E1225">
        <v>1514</v>
      </c>
      <c r="F1225" t="s">
        <v>273</v>
      </c>
      <c r="G1225" s="2" t="s">
        <v>156</v>
      </c>
      <c r="H1225">
        <v>1</v>
      </c>
      <c r="I1225">
        <v>71.31</v>
      </c>
      <c r="J1225" s="2" t="s">
        <v>170</v>
      </c>
      <c r="K1225" s="2" t="s">
        <v>74</v>
      </c>
      <c r="M1225" t="s">
        <v>1999</v>
      </c>
      <c r="P1225" s="19" t="s">
        <v>1573</v>
      </c>
      <c r="Q1225" s="19" t="s">
        <v>27</v>
      </c>
      <c r="S1225" s="19" t="s">
        <v>138</v>
      </c>
      <c r="W1225" s="20">
        <v>22</v>
      </c>
      <c r="X1225" s="65" t="s">
        <v>1572</v>
      </c>
      <c r="Z1225" t="s">
        <v>307</v>
      </c>
      <c r="AB1225" t="s">
        <v>178</v>
      </c>
      <c r="AC1225" t="s">
        <v>1869</v>
      </c>
      <c r="AD1225" s="2" t="s">
        <v>1870</v>
      </c>
    </row>
    <row r="1226" spans="1:30" hidden="1" x14ac:dyDescent="0.25">
      <c r="A1226" s="2">
        <v>266</v>
      </c>
      <c r="B1226" t="s">
        <v>1872</v>
      </c>
      <c r="C1226">
        <v>20</v>
      </c>
      <c r="D1226">
        <v>300</v>
      </c>
      <c r="E1226">
        <v>1514</v>
      </c>
      <c r="F1226" t="s">
        <v>273</v>
      </c>
      <c r="G1226" s="2" t="s">
        <v>156</v>
      </c>
      <c r="H1226">
        <v>1</v>
      </c>
      <c r="I1226">
        <v>71.31</v>
      </c>
      <c r="J1226" s="2" t="s">
        <v>170</v>
      </c>
      <c r="K1226" s="2" t="s">
        <v>74</v>
      </c>
      <c r="M1226" t="s">
        <v>1999</v>
      </c>
      <c r="P1226" s="19" t="s">
        <v>1573</v>
      </c>
      <c r="Q1226" s="19" t="s">
        <v>27</v>
      </c>
      <c r="S1226" s="19" t="s">
        <v>138</v>
      </c>
      <c r="W1226" s="20">
        <v>22</v>
      </c>
      <c r="X1226" s="65" t="s">
        <v>1572</v>
      </c>
      <c r="Z1226" t="s">
        <v>307</v>
      </c>
      <c r="AB1226" t="s">
        <v>178</v>
      </c>
      <c r="AC1226" t="s">
        <v>1869</v>
      </c>
      <c r="AD1226" s="2" t="s">
        <v>1870</v>
      </c>
    </row>
    <row r="1227" spans="1:30" hidden="1" x14ac:dyDescent="0.25">
      <c r="A1227" s="2">
        <v>267</v>
      </c>
      <c r="B1227" t="s">
        <v>1873</v>
      </c>
      <c r="C1227">
        <v>20</v>
      </c>
      <c r="D1227">
        <v>300</v>
      </c>
      <c r="E1227">
        <v>1514</v>
      </c>
      <c r="F1227" t="s">
        <v>273</v>
      </c>
      <c r="G1227" s="2" t="s">
        <v>156</v>
      </c>
      <c r="H1227">
        <v>1</v>
      </c>
      <c r="I1227">
        <v>71.31</v>
      </c>
      <c r="J1227" s="2" t="s">
        <v>170</v>
      </c>
      <c r="K1227" s="2" t="s">
        <v>74</v>
      </c>
      <c r="M1227" t="s">
        <v>1999</v>
      </c>
      <c r="P1227" s="19" t="s">
        <v>1573</v>
      </c>
      <c r="Q1227" s="19" t="s">
        <v>27</v>
      </c>
      <c r="S1227" s="19" t="s">
        <v>138</v>
      </c>
      <c r="W1227" s="20">
        <v>22</v>
      </c>
      <c r="X1227" s="65" t="s">
        <v>1572</v>
      </c>
      <c r="Z1227" t="s">
        <v>307</v>
      </c>
      <c r="AB1227" t="s">
        <v>178</v>
      </c>
      <c r="AC1227" t="s">
        <v>1869</v>
      </c>
      <c r="AD1227" s="2" t="s">
        <v>1870</v>
      </c>
    </row>
    <row r="1228" spans="1:30" hidden="1" x14ac:dyDescent="0.25">
      <c r="A1228" s="2">
        <v>268</v>
      </c>
      <c r="B1228" t="s">
        <v>1874</v>
      </c>
      <c r="C1228">
        <v>20</v>
      </c>
      <c r="D1228">
        <v>300</v>
      </c>
      <c r="E1228">
        <v>1514</v>
      </c>
      <c r="F1228" t="s">
        <v>273</v>
      </c>
      <c r="G1228" s="2" t="s">
        <v>156</v>
      </c>
      <c r="H1228">
        <v>1</v>
      </c>
      <c r="I1228">
        <v>71.31</v>
      </c>
      <c r="J1228" s="2" t="s">
        <v>170</v>
      </c>
      <c r="K1228" s="2" t="s">
        <v>74</v>
      </c>
      <c r="M1228" t="s">
        <v>1999</v>
      </c>
      <c r="P1228" s="19" t="s">
        <v>1573</v>
      </c>
      <c r="Q1228" s="19" t="s">
        <v>27</v>
      </c>
      <c r="S1228" s="19" t="s">
        <v>138</v>
      </c>
      <c r="W1228" s="20">
        <v>22</v>
      </c>
      <c r="X1228" s="65" t="s">
        <v>1572</v>
      </c>
      <c r="Z1228" t="s">
        <v>307</v>
      </c>
      <c r="AB1228" t="s">
        <v>178</v>
      </c>
      <c r="AC1228" t="s">
        <v>1869</v>
      </c>
      <c r="AD1228" s="2" t="s">
        <v>1870</v>
      </c>
    </row>
    <row r="1229" spans="1:30" hidden="1" x14ac:dyDescent="0.25">
      <c r="A1229" s="2">
        <v>269</v>
      </c>
      <c r="B1229" t="s">
        <v>1875</v>
      </c>
      <c r="C1229">
        <v>20</v>
      </c>
      <c r="D1229">
        <v>300</v>
      </c>
      <c r="E1229">
        <v>1514</v>
      </c>
      <c r="F1229" t="s">
        <v>273</v>
      </c>
      <c r="G1229" s="2" t="s">
        <v>156</v>
      </c>
      <c r="H1229">
        <v>1</v>
      </c>
      <c r="I1229">
        <v>71.31</v>
      </c>
      <c r="J1229" s="2" t="s">
        <v>170</v>
      </c>
      <c r="K1229" s="2" t="s">
        <v>74</v>
      </c>
      <c r="M1229" t="s">
        <v>1999</v>
      </c>
      <c r="P1229" s="19" t="s">
        <v>1573</v>
      </c>
      <c r="Q1229" s="19" t="s">
        <v>27</v>
      </c>
      <c r="S1229" s="19" t="s">
        <v>138</v>
      </c>
      <c r="W1229" s="20">
        <v>22</v>
      </c>
      <c r="X1229" s="65" t="s">
        <v>1572</v>
      </c>
      <c r="Z1229" t="s">
        <v>307</v>
      </c>
      <c r="AB1229" t="s">
        <v>178</v>
      </c>
      <c r="AC1229" t="s">
        <v>1869</v>
      </c>
      <c r="AD1229" s="2" t="s">
        <v>1870</v>
      </c>
    </row>
    <row r="1230" spans="1:30" hidden="1" x14ac:dyDescent="0.25">
      <c r="A1230" s="2">
        <v>270</v>
      </c>
      <c r="B1230" t="s">
        <v>1876</v>
      </c>
      <c r="C1230">
        <v>20</v>
      </c>
      <c r="D1230">
        <v>300</v>
      </c>
      <c r="E1230">
        <v>1514</v>
      </c>
      <c r="F1230" t="s">
        <v>273</v>
      </c>
      <c r="G1230" s="2" t="s">
        <v>156</v>
      </c>
      <c r="H1230">
        <v>1</v>
      </c>
      <c r="I1230">
        <v>71.31</v>
      </c>
      <c r="J1230" s="2" t="s">
        <v>170</v>
      </c>
      <c r="K1230" s="2" t="s">
        <v>74</v>
      </c>
      <c r="M1230" t="s">
        <v>1999</v>
      </c>
      <c r="P1230" s="19" t="s">
        <v>1573</v>
      </c>
      <c r="Q1230" s="19" t="s">
        <v>27</v>
      </c>
      <c r="S1230" s="19" t="s">
        <v>138</v>
      </c>
      <c r="W1230" s="20">
        <v>22</v>
      </c>
      <c r="X1230" s="65" t="s">
        <v>1572</v>
      </c>
      <c r="Z1230" t="s">
        <v>307</v>
      </c>
      <c r="AB1230" t="s">
        <v>178</v>
      </c>
      <c r="AC1230" t="s">
        <v>1869</v>
      </c>
      <c r="AD1230" s="2" t="s">
        <v>1870</v>
      </c>
    </row>
    <row r="1231" spans="1:30" hidden="1" x14ac:dyDescent="0.25">
      <c r="A1231" s="2">
        <v>271</v>
      </c>
      <c r="B1231" t="s">
        <v>1877</v>
      </c>
      <c r="C1231">
        <v>20</v>
      </c>
      <c r="D1231">
        <v>300</v>
      </c>
      <c r="E1231">
        <v>1514</v>
      </c>
      <c r="F1231" t="s">
        <v>273</v>
      </c>
      <c r="G1231" s="2" t="s">
        <v>156</v>
      </c>
      <c r="H1231">
        <v>1</v>
      </c>
      <c r="I1231">
        <v>71.31</v>
      </c>
      <c r="J1231" s="2" t="s">
        <v>170</v>
      </c>
      <c r="K1231" s="2" t="s">
        <v>74</v>
      </c>
      <c r="M1231" t="s">
        <v>1999</v>
      </c>
      <c r="P1231" s="19" t="s">
        <v>1573</v>
      </c>
      <c r="Q1231" s="19" t="s">
        <v>27</v>
      </c>
      <c r="S1231" s="19" t="s">
        <v>138</v>
      </c>
      <c r="W1231" s="20">
        <v>22</v>
      </c>
      <c r="X1231" s="65" t="s">
        <v>1572</v>
      </c>
      <c r="Z1231" t="s">
        <v>307</v>
      </c>
      <c r="AB1231" t="s">
        <v>178</v>
      </c>
      <c r="AC1231" t="s">
        <v>1869</v>
      </c>
      <c r="AD1231" s="2" t="s">
        <v>1870</v>
      </c>
    </row>
    <row r="1232" spans="1:30" hidden="1" x14ac:dyDescent="0.25">
      <c r="A1232" s="2">
        <v>272</v>
      </c>
      <c r="B1232" t="s">
        <v>1878</v>
      </c>
      <c r="C1232">
        <v>20</v>
      </c>
      <c r="D1232">
        <v>300</v>
      </c>
      <c r="E1232">
        <v>1514</v>
      </c>
      <c r="F1232" t="s">
        <v>273</v>
      </c>
      <c r="G1232" s="2" t="s">
        <v>156</v>
      </c>
      <c r="H1232">
        <v>1</v>
      </c>
      <c r="I1232">
        <v>71.31</v>
      </c>
      <c r="J1232" s="2" t="s">
        <v>170</v>
      </c>
      <c r="K1232" s="2" t="s">
        <v>74</v>
      </c>
      <c r="M1232" t="s">
        <v>1999</v>
      </c>
      <c r="P1232" s="19" t="s">
        <v>1573</v>
      </c>
      <c r="Q1232" s="19" t="s">
        <v>27</v>
      </c>
      <c r="S1232" s="19" t="s">
        <v>138</v>
      </c>
      <c r="W1232" s="20">
        <v>22</v>
      </c>
      <c r="X1232" s="65" t="s">
        <v>1572</v>
      </c>
      <c r="Z1232" t="s">
        <v>307</v>
      </c>
      <c r="AB1232" t="s">
        <v>178</v>
      </c>
      <c r="AC1232" t="s">
        <v>1869</v>
      </c>
      <c r="AD1232" s="2" t="s">
        <v>1870</v>
      </c>
    </row>
    <row r="1233" spans="1:30" hidden="1" x14ac:dyDescent="0.25">
      <c r="A1233" s="2">
        <v>273</v>
      </c>
      <c r="B1233" t="s">
        <v>1864</v>
      </c>
      <c r="C1233">
        <v>20</v>
      </c>
      <c r="D1233">
        <v>300</v>
      </c>
      <c r="E1233">
        <v>480</v>
      </c>
      <c r="F1233" t="s">
        <v>273</v>
      </c>
      <c r="G1233" s="2" t="s">
        <v>156</v>
      </c>
      <c r="H1233">
        <v>4</v>
      </c>
      <c r="I1233">
        <v>90.43</v>
      </c>
      <c r="J1233" s="2" t="s">
        <v>170</v>
      </c>
      <c r="K1233" s="2" t="s">
        <v>74</v>
      </c>
      <c r="M1233" t="s">
        <v>1999</v>
      </c>
      <c r="P1233" s="19" t="s">
        <v>1573</v>
      </c>
      <c r="Q1233" s="19" t="s">
        <v>25</v>
      </c>
      <c r="S1233" s="19" t="s">
        <v>138</v>
      </c>
      <c r="W1233" s="20">
        <v>22</v>
      </c>
      <c r="X1233" s="65" t="s">
        <v>1572</v>
      </c>
      <c r="Z1233" t="s">
        <v>307</v>
      </c>
      <c r="AB1233" t="s">
        <v>178</v>
      </c>
      <c r="AC1233" t="s">
        <v>1869</v>
      </c>
      <c r="AD1233" s="2" t="s">
        <v>1870</v>
      </c>
    </row>
    <row r="1234" spans="1:30" hidden="1" x14ac:dyDescent="0.25">
      <c r="A1234" s="2">
        <v>274</v>
      </c>
      <c r="B1234" t="s">
        <v>1879</v>
      </c>
      <c r="C1234">
        <v>20</v>
      </c>
      <c r="D1234">
        <v>300</v>
      </c>
      <c r="E1234">
        <v>1096</v>
      </c>
      <c r="F1234" t="s">
        <v>273</v>
      </c>
      <c r="G1234" s="2" t="s">
        <v>156</v>
      </c>
      <c r="H1234">
        <v>2</v>
      </c>
      <c r="I1234">
        <v>103.24</v>
      </c>
      <c r="J1234" s="2" t="s">
        <v>170</v>
      </c>
      <c r="K1234" s="2" t="s">
        <v>74</v>
      </c>
      <c r="M1234" t="s">
        <v>1999</v>
      </c>
      <c r="P1234" s="19" t="s">
        <v>1573</v>
      </c>
      <c r="Q1234" s="19" t="s">
        <v>27</v>
      </c>
      <c r="S1234" s="19" t="s">
        <v>138</v>
      </c>
      <c r="V1234" s="19" t="s">
        <v>138</v>
      </c>
      <c r="W1234" s="20">
        <v>22</v>
      </c>
      <c r="X1234" s="65" t="s">
        <v>1572</v>
      </c>
      <c r="Z1234" t="s">
        <v>307</v>
      </c>
      <c r="AB1234" t="s">
        <v>178</v>
      </c>
      <c r="AC1234" t="s">
        <v>1869</v>
      </c>
      <c r="AD1234" s="2" t="s">
        <v>1870</v>
      </c>
    </row>
    <row r="1235" spans="1:30" hidden="1" x14ac:dyDescent="0.25">
      <c r="A1235" s="2">
        <v>275</v>
      </c>
      <c r="B1235" t="s">
        <v>1880</v>
      </c>
      <c r="C1235">
        <v>20</v>
      </c>
      <c r="D1235">
        <v>300</v>
      </c>
      <c r="E1235">
        <v>1096</v>
      </c>
      <c r="F1235" t="s">
        <v>273</v>
      </c>
      <c r="G1235" s="2" t="s">
        <v>156</v>
      </c>
      <c r="H1235">
        <v>2</v>
      </c>
      <c r="I1235">
        <v>103.24</v>
      </c>
      <c r="J1235" s="2" t="s">
        <v>170</v>
      </c>
      <c r="K1235" s="2" t="s">
        <v>74</v>
      </c>
      <c r="M1235" t="s">
        <v>1999</v>
      </c>
      <c r="P1235" s="19" t="s">
        <v>1573</v>
      </c>
      <c r="Q1235" s="19" t="s">
        <v>27</v>
      </c>
      <c r="S1235" s="19" t="s">
        <v>138</v>
      </c>
      <c r="V1235" s="19" t="s">
        <v>138</v>
      </c>
      <c r="W1235" s="20">
        <v>22</v>
      </c>
      <c r="X1235" s="65" t="s">
        <v>1572</v>
      </c>
      <c r="Z1235" t="s">
        <v>307</v>
      </c>
      <c r="AB1235" t="s">
        <v>178</v>
      </c>
      <c r="AC1235" t="s">
        <v>1869</v>
      </c>
      <c r="AD1235" s="2" t="s">
        <v>1870</v>
      </c>
    </row>
    <row r="1236" spans="1:30" hidden="1" x14ac:dyDescent="0.25">
      <c r="A1236" s="2">
        <v>276</v>
      </c>
      <c r="B1236" t="s">
        <v>1881</v>
      </c>
      <c r="C1236">
        <v>20</v>
      </c>
      <c r="D1236">
        <v>300</v>
      </c>
      <c r="E1236">
        <v>1096</v>
      </c>
      <c r="F1236" t="s">
        <v>273</v>
      </c>
      <c r="G1236" s="2" t="s">
        <v>156</v>
      </c>
      <c r="H1236">
        <v>2</v>
      </c>
      <c r="I1236">
        <v>103.24</v>
      </c>
      <c r="J1236" s="2" t="s">
        <v>170</v>
      </c>
      <c r="K1236" s="2" t="s">
        <v>74</v>
      </c>
      <c r="M1236" t="s">
        <v>1999</v>
      </c>
      <c r="P1236" s="19" t="s">
        <v>1573</v>
      </c>
      <c r="Q1236" s="19" t="s">
        <v>27</v>
      </c>
      <c r="S1236" s="19" t="s">
        <v>138</v>
      </c>
      <c r="V1236" s="19" t="s">
        <v>138</v>
      </c>
      <c r="W1236" s="20">
        <v>22</v>
      </c>
      <c r="X1236" s="65" t="s">
        <v>1572</v>
      </c>
      <c r="Z1236" t="s">
        <v>307</v>
      </c>
      <c r="AB1236" t="s">
        <v>178</v>
      </c>
      <c r="AC1236" t="s">
        <v>1869</v>
      </c>
      <c r="AD1236" s="2" t="s">
        <v>1870</v>
      </c>
    </row>
    <row r="1237" spans="1:30" hidden="1" x14ac:dyDescent="0.25">
      <c r="A1237" s="2">
        <v>277</v>
      </c>
      <c r="B1237" t="s">
        <v>1882</v>
      </c>
      <c r="C1237">
        <v>20</v>
      </c>
      <c r="D1237">
        <v>300</v>
      </c>
      <c r="E1237">
        <v>1096</v>
      </c>
      <c r="F1237" t="s">
        <v>273</v>
      </c>
      <c r="G1237" s="2" t="s">
        <v>156</v>
      </c>
      <c r="H1237">
        <v>2</v>
      </c>
      <c r="I1237">
        <v>103.24</v>
      </c>
      <c r="J1237" s="2" t="s">
        <v>170</v>
      </c>
      <c r="K1237" s="2" t="s">
        <v>74</v>
      </c>
      <c r="M1237" t="s">
        <v>1999</v>
      </c>
      <c r="P1237" s="19" t="s">
        <v>1573</v>
      </c>
      <c r="Q1237" s="19" t="s">
        <v>27</v>
      </c>
      <c r="S1237" s="19" t="s">
        <v>138</v>
      </c>
      <c r="V1237" s="19" t="s">
        <v>138</v>
      </c>
      <c r="W1237" s="20">
        <v>22</v>
      </c>
      <c r="X1237" s="65" t="s">
        <v>1572</v>
      </c>
      <c r="Z1237" t="s">
        <v>307</v>
      </c>
      <c r="AB1237" t="s">
        <v>178</v>
      </c>
      <c r="AC1237" t="s">
        <v>1869</v>
      </c>
      <c r="AD1237" s="2" t="s">
        <v>1870</v>
      </c>
    </row>
    <row r="1238" spans="1:30" hidden="1" x14ac:dyDescent="0.25">
      <c r="A1238" s="2">
        <v>278</v>
      </c>
      <c r="B1238" t="s">
        <v>1883</v>
      </c>
      <c r="C1238">
        <v>20</v>
      </c>
      <c r="D1238">
        <v>300</v>
      </c>
      <c r="E1238">
        <v>1514</v>
      </c>
      <c r="F1238" t="s">
        <v>273</v>
      </c>
      <c r="G1238" s="2" t="s">
        <v>156</v>
      </c>
      <c r="H1238">
        <v>1</v>
      </c>
      <c r="I1238">
        <v>71.31</v>
      </c>
      <c r="J1238" s="2" t="s">
        <v>170</v>
      </c>
      <c r="K1238" s="2" t="s">
        <v>74</v>
      </c>
      <c r="M1238" t="s">
        <v>1999</v>
      </c>
      <c r="P1238" s="19" t="s">
        <v>1573</v>
      </c>
      <c r="Q1238" s="19" t="s">
        <v>27</v>
      </c>
      <c r="S1238" s="19" t="s">
        <v>138</v>
      </c>
      <c r="W1238" s="20">
        <v>22</v>
      </c>
      <c r="X1238" s="65" t="s">
        <v>1572</v>
      </c>
      <c r="Z1238" t="s">
        <v>307</v>
      </c>
      <c r="AB1238" t="s">
        <v>178</v>
      </c>
      <c r="AC1238" t="s">
        <v>1869</v>
      </c>
      <c r="AD1238" s="2" t="s">
        <v>1870</v>
      </c>
    </row>
    <row r="1239" spans="1:30" hidden="1" x14ac:dyDescent="0.25">
      <c r="A1239" s="2">
        <v>279</v>
      </c>
      <c r="B1239" t="s">
        <v>1884</v>
      </c>
      <c r="C1239">
        <v>20</v>
      </c>
      <c r="D1239">
        <v>300</v>
      </c>
      <c r="E1239">
        <v>1514</v>
      </c>
      <c r="F1239" t="s">
        <v>273</v>
      </c>
      <c r="G1239" s="2" t="s">
        <v>156</v>
      </c>
      <c r="H1239">
        <v>1</v>
      </c>
      <c r="I1239">
        <v>71.31</v>
      </c>
      <c r="J1239" s="2" t="s">
        <v>170</v>
      </c>
      <c r="K1239" s="2" t="s">
        <v>74</v>
      </c>
      <c r="M1239" t="s">
        <v>1999</v>
      </c>
      <c r="P1239" s="19" t="s">
        <v>1573</v>
      </c>
      <c r="Q1239" s="19" t="s">
        <v>27</v>
      </c>
      <c r="S1239" s="19" t="s">
        <v>138</v>
      </c>
      <c r="W1239" s="20">
        <v>22</v>
      </c>
      <c r="X1239" s="65" t="s">
        <v>1572</v>
      </c>
      <c r="Z1239" t="s">
        <v>307</v>
      </c>
      <c r="AB1239" t="s">
        <v>178</v>
      </c>
      <c r="AC1239" t="s">
        <v>1869</v>
      </c>
      <c r="AD1239" s="2" t="s">
        <v>1870</v>
      </c>
    </row>
    <row r="1240" spans="1:30" hidden="1" x14ac:dyDescent="0.25">
      <c r="A1240" s="2">
        <v>280</v>
      </c>
      <c r="B1240" t="s">
        <v>1885</v>
      </c>
      <c r="C1240">
        <v>20</v>
      </c>
      <c r="D1240">
        <v>300</v>
      </c>
      <c r="E1240">
        <v>1514</v>
      </c>
      <c r="F1240" t="s">
        <v>273</v>
      </c>
      <c r="G1240" s="2" t="s">
        <v>156</v>
      </c>
      <c r="H1240">
        <v>1</v>
      </c>
      <c r="I1240">
        <v>71.31</v>
      </c>
      <c r="J1240" s="2" t="s">
        <v>170</v>
      </c>
      <c r="K1240" s="2" t="s">
        <v>74</v>
      </c>
      <c r="M1240" t="s">
        <v>1999</v>
      </c>
      <c r="P1240" s="19" t="s">
        <v>1573</v>
      </c>
      <c r="Q1240" s="19" t="s">
        <v>27</v>
      </c>
      <c r="S1240" s="19" t="s">
        <v>138</v>
      </c>
      <c r="W1240" s="20">
        <v>22</v>
      </c>
      <c r="X1240" s="65" t="s">
        <v>1572</v>
      </c>
      <c r="Z1240" t="s">
        <v>307</v>
      </c>
      <c r="AB1240" t="s">
        <v>178</v>
      </c>
      <c r="AC1240" t="s">
        <v>1869</v>
      </c>
      <c r="AD1240" s="2" t="s">
        <v>1870</v>
      </c>
    </row>
    <row r="1241" spans="1:30" hidden="1" x14ac:dyDescent="0.25">
      <c r="A1241" s="2">
        <v>281</v>
      </c>
      <c r="B1241" t="s">
        <v>1886</v>
      </c>
      <c r="C1241">
        <v>20</v>
      </c>
      <c r="D1241">
        <v>300</v>
      </c>
      <c r="E1241">
        <v>1514</v>
      </c>
      <c r="F1241" t="s">
        <v>273</v>
      </c>
      <c r="G1241" s="2" t="s">
        <v>156</v>
      </c>
      <c r="H1241">
        <v>1</v>
      </c>
      <c r="I1241">
        <v>71.31</v>
      </c>
      <c r="J1241" s="2" t="s">
        <v>170</v>
      </c>
      <c r="K1241" s="2" t="s">
        <v>74</v>
      </c>
      <c r="M1241" t="s">
        <v>1999</v>
      </c>
      <c r="P1241" s="19" t="s">
        <v>1573</v>
      </c>
      <c r="Q1241" s="19" t="s">
        <v>27</v>
      </c>
      <c r="S1241" s="19" t="s">
        <v>138</v>
      </c>
      <c r="W1241" s="20">
        <v>22</v>
      </c>
      <c r="X1241" s="65" t="s">
        <v>1572</v>
      </c>
      <c r="Z1241" t="s">
        <v>307</v>
      </c>
      <c r="AB1241" t="s">
        <v>178</v>
      </c>
      <c r="AC1241" t="s">
        <v>1869</v>
      </c>
      <c r="AD1241" s="2" t="s">
        <v>1870</v>
      </c>
    </row>
    <row r="1242" spans="1:30" hidden="1" x14ac:dyDescent="0.25">
      <c r="A1242" s="2">
        <v>282</v>
      </c>
      <c r="B1242" t="s">
        <v>1887</v>
      </c>
      <c r="C1242">
        <v>20</v>
      </c>
      <c r="D1242">
        <v>300</v>
      </c>
      <c r="E1242">
        <v>1514</v>
      </c>
      <c r="F1242" t="s">
        <v>273</v>
      </c>
      <c r="G1242" s="2" t="s">
        <v>156</v>
      </c>
      <c r="H1242">
        <v>1</v>
      </c>
      <c r="I1242">
        <v>71.31</v>
      </c>
      <c r="J1242" s="2" t="s">
        <v>170</v>
      </c>
      <c r="K1242" s="2" t="s">
        <v>74</v>
      </c>
      <c r="M1242" t="s">
        <v>1999</v>
      </c>
      <c r="P1242" s="19" t="s">
        <v>1573</v>
      </c>
      <c r="Q1242" s="19" t="s">
        <v>27</v>
      </c>
      <c r="S1242" s="19" t="s">
        <v>138</v>
      </c>
      <c r="W1242" s="20">
        <v>22</v>
      </c>
      <c r="X1242" s="65" t="s">
        <v>1572</v>
      </c>
      <c r="Z1242" t="s">
        <v>307</v>
      </c>
      <c r="AB1242" t="s">
        <v>178</v>
      </c>
      <c r="AC1242" t="s">
        <v>1869</v>
      </c>
      <c r="AD1242" s="2" t="s">
        <v>1870</v>
      </c>
    </row>
    <row r="1243" spans="1:30" hidden="1" x14ac:dyDescent="0.25">
      <c r="A1243" s="2">
        <v>283</v>
      </c>
      <c r="B1243" t="s">
        <v>1888</v>
      </c>
      <c r="C1243">
        <v>20</v>
      </c>
      <c r="D1243">
        <v>300</v>
      </c>
      <c r="E1243">
        <v>1514</v>
      </c>
      <c r="F1243" t="s">
        <v>273</v>
      </c>
      <c r="G1243" s="2" t="s">
        <v>156</v>
      </c>
      <c r="H1243">
        <v>1</v>
      </c>
      <c r="I1243">
        <v>71.31</v>
      </c>
      <c r="J1243" s="2" t="s">
        <v>170</v>
      </c>
      <c r="K1243" s="2" t="s">
        <v>74</v>
      </c>
      <c r="M1243" t="s">
        <v>1999</v>
      </c>
      <c r="P1243" s="19" t="s">
        <v>1573</v>
      </c>
      <c r="Q1243" s="19" t="s">
        <v>27</v>
      </c>
      <c r="S1243" s="19" t="s">
        <v>138</v>
      </c>
      <c r="W1243" s="20">
        <v>22</v>
      </c>
      <c r="X1243" s="65" t="s">
        <v>1572</v>
      </c>
      <c r="Z1243" t="s">
        <v>307</v>
      </c>
      <c r="AB1243" t="s">
        <v>178</v>
      </c>
      <c r="AC1243" t="s">
        <v>1869</v>
      </c>
      <c r="AD1243" s="2" t="s">
        <v>1870</v>
      </c>
    </row>
    <row r="1244" spans="1:30" hidden="1" x14ac:dyDescent="0.25">
      <c r="A1244" s="2">
        <v>284</v>
      </c>
      <c r="B1244" t="s">
        <v>1889</v>
      </c>
      <c r="C1244">
        <v>20</v>
      </c>
      <c r="D1244">
        <v>300</v>
      </c>
      <c r="E1244">
        <v>1514</v>
      </c>
      <c r="F1244" t="s">
        <v>273</v>
      </c>
      <c r="G1244" s="2" t="s">
        <v>156</v>
      </c>
      <c r="H1244">
        <v>1</v>
      </c>
      <c r="I1244">
        <v>71.31</v>
      </c>
      <c r="J1244" s="2" t="s">
        <v>170</v>
      </c>
      <c r="K1244" s="2" t="s">
        <v>74</v>
      </c>
      <c r="M1244" t="s">
        <v>1999</v>
      </c>
      <c r="P1244" s="19" t="s">
        <v>1573</v>
      </c>
      <c r="Q1244" s="19" t="s">
        <v>27</v>
      </c>
      <c r="S1244" s="19" t="s">
        <v>138</v>
      </c>
      <c r="W1244" s="20">
        <v>22</v>
      </c>
      <c r="X1244" s="65" t="s">
        <v>1572</v>
      </c>
      <c r="Z1244" t="s">
        <v>307</v>
      </c>
      <c r="AB1244" t="s">
        <v>178</v>
      </c>
      <c r="AC1244" t="s">
        <v>1869</v>
      </c>
      <c r="AD1244" s="2" t="s">
        <v>1870</v>
      </c>
    </row>
    <row r="1245" spans="1:30" hidden="1" x14ac:dyDescent="0.25">
      <c r="A1245" s="2">
        <v>285</v>
      </c>
      <c r="B1245" t="s">
        <v>1890</v>
      </c>
      <c r="C1245">
        <v>20</v>
      </c>
      <c r="D1245">
        <v>300</v>
      </c>
      <c r="E1245">
        <v>1514</v>
      </c>
      <c r="F1245" t="s">
        <v>273</v>
      </c>
      <c r="G1245" s="2" t="s">
        <v>156</v>
      </c>
      <c r="H1245">
        <v>1</v>
      </c>
      <c r="I1245">
        <v>71.31</v>
      </c>
      <c r="J1245" s="2" t="s">
        <v>170</v>
      </c>
      <c r="K1245" s="2" t="s">
        <v>74</v>
      </c>
      <c r="M1245" t="s">
        <v>1999</v>
      </c>
      <c r="P1245" s="19" t="s">
        <v>1573</v>
      </c>
      <c r="Q1245" s="19" t="s">
        <v>27</v>
      </c>
      <c r="S1245" s="19" t="s">
        <v>138</v>
      </c>
      <c r="W1245" s="20">
        <v>22</v>
      </c>
      <c r="X1245" s="65" t="s">
        <v>1572</v>
      </c>
      <c r="Z1245" t="s">
        <v>307</v>
      </c>
      <c r="AB1245" t="s">
        <v>178</v>
      </c>
      <c r="AC1245" t="s">
        <v>1869</v>
      </c>
      <c r="AD1245" s="2" t="s">
        <v>1870</v>
      </c>
    </row>
    <row r="1246" spans="1:30" hidden="1" x14ac:dyDescent="0.25">
      <c r="A1246" s="2">
        <v>286</v>
      </c>
      <c r="B1246" t="s">
        <v>1891</v>
      </c>
      <c r="C1246">
        <v>20</v>
      </c>
      <c r="D1246">
        <v>300</v>
      </c>
      <c r="E1246">
        <v>480</v>
      </c>
      <c r="F1246" t="s">
        <v>273</v>
      </c>
      <c r="G1246" s="2" t="s">
        <v>156</v>
      </c>
      <c r="H1246">
        <v>4</v>
      </c>
      <c r="I1246">
        <v>90.43</v>
      </c>
      <c r="J1246" s="2" t="s">
        <v>170</v>
      </c>
      <c r="K1246" s="2" t="s">
        <v>74</v>
      </c>
      <c r="M1246" t="s">
        <v>1999</v>
      </c>
      <c r="P1246" s="19" t="s">
        <v>1573</v>
      </c>
      <c r="Q1246" s="19" t="s">
        <v>25</v>
      </c>
      <c r="S1246" s="19" t="s">
        <v>138</v>
      </c>
      <c r="W1246" s="20">
        <v>22</v>
      </c>
      <c r="X1246" s="65" t="s">
        <v>1572</v>
      </c>
      <c r="Z1246" t="s">
        <v>307</v>
      </c>
      <c r="AB1246" t="s">
        <v>178</v>
      </c>
      <c r="AC1246" t="s">
        <v>1869</v>
      </c>
      <c r="AD1246" s="2" t="s">
        <v>1870</v>
      </c>
    </row>
    <row r="1247" spans="1:30" hidden="1" x14ac:dyDescent="0.25">
      <c r="A1247" s="2">
        <v>287</v>
      </c>
      <c r="B1247" t="s">
        <v>1892</v>
      </c>
      <c r="C1247">
        <v>20</v>
      </c>
      <c r="D1247">
        <v>300</v>
      </c>
      <c r="E1247">
        <v>1096</v>
      </c>
      <c r="F1247" t="s">
        <v>273</v>
      </c>
      <c r="G1247" s="2" t="s">
        <v>156</v>
      </c>
      <c r="H1247">
        <v>2</v>
      </c>
      <c r="I1247">
        <v>103.24</v>
      </c>
      <c r="J1247" s="2" t="s">
        <v>170</v>
      </c>
      <c r="K1247" s="2" t="s">
        <v>74</v>
      </c>
      <c r="M1247" t="s">
        <v>1999</v>
      </c>
      <c r="P1247" s="19" t="s">
        <v>1573</v>
      </c>
      <c r="Q1247" s="19" t="s">
        <v>27</v>
      </c>
      <c r="S1247" s="19" t="s">
        <v>138</v>
      </c>
      <c r="V1247" s="19" t="s">
        <v>138</v>
      </c>
      <c r="W1247" s="20">
        <v>22</v>
      </c>
      <c r="X1247" s="65" t="s">
        <v>1572</v>
      </c>
      <c r="Z1247" t="s">
        <v>307</v>
      </c>
      <c r="AB1247" t="s">
        <v>178</v>
      </c>
      <c r="AC1247" t="s">
        <v>1869</v>
      </c>
      <c r="AD1247" s="2" t="s">
        <v>1870</v>
      </c>
    </row>
    <row r="1248" spans="1:30" hidden="1" x14ac:dyDescent="0.25">
      <c r="A1248" s="2">
        <v>288</v>
      </c>
      <c r="B1248" t="s">
        <v>1893</v>
      </c>
      <c r="C1248">
        <v>20</v>
      </c>
      <c r="D1248">
        <v>300</v>
      </c>
      <c r="E1248">
        <v>1096</v>
      </c>
      <c r="F1248" t="s">
        <v>273</v>
      </c>
      <c r="G1248" s="2" t="s">
        <v>156</v>
      </c>
      <c r="H1248">
        <v>2</v>
      </c>
      <c r="I1248">
        <v>103.24</v>
      </c>
      <c r="J1248" s="2" t="s">
        <v>170</v>
      </c>
      <c r="K1248" s="2" t="s">
        <v>74</v>
      </c>
      <c r="M1248" t="s">
        <v>1999</v>
      </c>
      <c r="P1248" s="19" t="s">
        <v>1573</v>
      </c>
      <c r="Q1248" s="19" t="s">
        <v>27</v>
      </c>
      <c r="S1248" s="19" t="s">
        <v>138</v>
      </c>
      <c r="V1248" s="19" t="s">
        <v>138</v>
      </c>
      <c r="W1248" s="20">
        <v>22</v>
      </c>
      <c r="X1248" s="65" t="s">
        <v>1572</v>
      </c>
      <c r="Z1248" t="s">
        <v>307</v>
      </c>
      <c r="AB1248" t="s">
        <v>178</v>
      </c>
      <c r="AC1248" t="s">
        <v>1869</v>
      </c>
      <c r="AD1248" s="2" t="s">
        <v>1870</v>
      </c>
    </row>
    <row r="1249" spans="1:30" hidden="1" x14ac:dyDescent="0.25">
      <c r="A1249" s="2">
        <v>289</v>
      </c>
      <c r="B1249" t="s">
        <v>1894</v>
      </c>
      <c r="C1249">
        <v>20</v>
      </c>
      <c r="D1249">
        <v>300</v>
      </c>
      <c r="E1249">
        <v>1096</v>
      </c>
      <c r="F1249" t="s">
        <v>273</v>
      </c>
      <c r="G1249" s="2" t="s">
        <v>156</v>
      </c>
      <c r="H1249">
        <v>2</v>
      </c>
      <c r="I1249">
        <v>103.24</v>
      </c>
      <c r="J1249" s="2" t="s">
        <v>170</v>
      </c>
      <c r="K1249" s="2" t="s">
        <v>74</v>
      </c>
      <c r="M1249" t="s">
        <v>1999</v>
      </c>
      <c r="P1249" s="19" t="s">
        <v>1573</v>
      </c>
      <c r="Q1249" s="19" t="s">
        <v>27</v>
      </c>
      <c r="S1249" s="19" t="s">
        <v>138</v>
      </c>
      <c r="V1249" s="19" t="s">
        <v>138</v>
      </c>
      <c r="W1249" s="20">
        <v>22</v>
      </c>
      <c r="X1249" s="65" t="s">
        <v>1572</v>
      </c>
      <c r="Z1249" t="s">
        <v>307</v>
      </c>
      <c r="AB1249" t="s">
        <v>178</v>
      </c>
      <c r="AC1249" t="s">
        <v>1869</v>
      </c>
      <c r="AD1249" s="2" t="s">
        <v>1870</v>
      </c>
    </row>
    <row r="1250" spans="1:30" hidden="1" x14ac:dyDescent="0.25">
      <c r="A1250" s="2">
        <v>290</v>
      </c>
      <c r="B1250" t="s">
        <v>1895</v>
      </c>
      <c r="C1250">
        <v>20</v>
      </c>
      <c r="D1250">
        <v>300</v>
      </c>
      <c r="E1250">
        <v>1096</v>
      </c>
      <c r="F1250" t="s">
        <v>273</v>
      </c>
      <c r="G1250" s="2" t="s">
        <v>156</v>
      </c>
      <c r="H1250">
        <v>2</v>
      </c>
      <c r="I1250">
        <v>103.24</v>
      </c>
      <c r="J1250" s="2" t="s">
        <v>170</v>
      </c>
      <c r="K1250" s="2" t="s">
        <v>74</v>
      </c>
      <c r="M1250" t="s">
        <v>1999</v>
      </c>
      <c r="P1250" s="19" t="s">
        <v>1573</v>
      </c>
      <c r="Q1250" s="19" t="s">
        <v>27</v>
      </c>
      <c r="S1250" s="19" t="s">
        <v>138</v>
      </c>
      <c r="V1250" s="19" t="s">
        <v>138</v>
      </c>
      <c r="W1250" s="20">
        <v>22</v>
      </c>
      <c r="X1250" s="65" t="s">
        <v>1572</v>
      </c>
      <c r="Z1250" t="s">
        <v>307</v>
      </c>
      <c r="AB1250" t="s">
        <v>178</v>
      </c>
      <c r="AC1250" t="s">
        <v>1869</v>
      </c>
      <c r="AD1250" s="2" t="s">
        <v>1870</v>
      </c>
    </row>
    <row r="1251" spans="1:30" hidden="1" x14ac:dyDescent="0.25">
      <c r="A1251" s="2">
        <v>291</v>
      </c>
      <c r="B1251" t="s">
        <v>1896</v>
      </c>
      <c r="C1251">
        <v>20</v>
      </c>
      <c r="D1251">
        <v>300</v>
      </c>
      <c r="E1251">
        <v>6101</v>
      </c>
      <c r="F1251" t="s">
        <v>273</v>
      </c>
      <c r="G1251" s="2" t="s">
        <v>156</v>
      </c>
      <c r="H1251">
        <v>1</v>
      </c>
      <c r="I1251">
        <v>287.36</v>
      </c>
      <c r="J1251" s="2" t="s">
        <v>170</v>
      </c>
      <c r="K1251" s="2" t="s">
        <v>74</v>
      </c>
      <c r="M1251" t="s">
        <v>1999</v>
      </c>
      <c r="P1251" s="19" t="s">
        <v>1573</v>
      </c>
      <c r="Q1251" s="19" t="s">
        <v>27</v>
      </c>
      <c r="R1251" s="19" t="s">
        <v>138</v>
      </c>
      <c r="V1251" s="19" t="s">
        <v>138</v>
      </c>
      <c r="W1251" s="20">
        <v>22</v>
      </c>
      <c r="X1251" s="65" t="s">
        <v>1572</v>
      </c>
      <c r="Z1251" t="s">
        <v>307</v>
      </c>
      <c r="AB1251" t="s">
        <v>178</v>
      </c>
      <c r="AC1251" t="s">
        <v>1897</v>
      </c>
      <c r="AD1251" s="2" t="s">
        <v>180</v>
      </c>
    </row>
    <row r="1252" spans="1:30" hidden="1" x14ac:dyDescent="0.25">
      <c r="A1252" s="2">
        <v>292</v>
      </c>
      <c r="B1252" t="s">
        <v>1899</v>
      </c>
      <c r="C1252">
        <v>20</v>
      </c>
      <c r="D1252">
        <v>300</v>
      </c>
      <c r="E1252">
        <v>6101</v>
      </c>
      <c r="F1252" t="s">
        <v>273</v>
      </c>
      <c r="G1252" s="2" t="s">
        <v>156</v>
      </c>
      <c r="H1252">
        <v>1</v>
      </c>
      <c r="I1252">
        <v>287.36</v>
      </c>
      <c r="J1252" s="2" t="s">
        <v>170</v>
      </c>
      <c r="K1252" s="2" t="s">
        <v>74</v>
      </c>
      <c r="M1252" t="s">
        <v>1999</v>
      </c>
      <c r="P1252" s="19" t="s">
        <v>1573</v>
      </c>
      <c r="Q1252" s="19" t="s">
        <v>27</v>
      </c>
      <c r="R1252" s="19" t="s">
        <v>138</v>
      </c>
      <c r="V1252" s="19" t="s">
        <v>138</v>
      </c>
      <c r="W1252" s="20">
        <v>22</v>
      </c>
      <c r="X1252" s="65" t="s">
        <v>1572</v>
      </c>
      <c r="Z1252" t="s">
        <v>307</v>
      </c>
      <c r="AB1252" t="s">
        <v>178</v>
      </c>
      <c r="AC1252" t="s">
        <v>1897</v>
      </c>
      <c r="AD1252" s="2" t="s">
        <v>180</v>
      </c>
    </row>
    <row r="1253" spans="1:30" hidden="1" x14ac:dyDescent="0.25">
      <c r="A1253" s="2">
        <v>293</v>
      </c>
      <c r="B1253" t="s">
        <v>1900</v>
      </c>
      <c r="C1253">
        <v>20</v>
      </c>
      <c r="D1253">
        <v>300</v>
      </c>
      <c r="E1253">
        <v>6101</v>
      </c>
      <c r="F1253" t="s">
        <v>273</v>
      </c>
      <c r="G1253" s="2" t="s">
        <v>156</v>
      </c>
      <c r="H1253">
        <v>1</v>
      </c>
      <c r="I1253">
        <v>287.36</v>
      </c>
      <c r="J1253" s="2" t="s">
        <v>170</v>
      </c>
      <c r="K1253" s="2" t="s">
        <v>74</v>
      </c>
      <c r="M1253" t="s">
        <v>1999</v>
      </c>
      <c r="P1253" s="19" t="s">
        <v>1573</v>
      </c>
      <c r="Q1253" s="19" t="s">
        <v>27</v>
      </c>
      <c r="R1253" s="19" t="s">
        <v>138</v>
      </c>
      <c r="V1253" s="19" t="s">
        <v>138</v>
      </c>
      <c r="W1253" s="20">
        <v>22</v>
      </c>
      <c r="X1253" s="65" t="s">
        <v>1572</v>
      </c>
      <c r="Z1253" t="s">
        <v>307</v>
      </c>
      <c r="AB1253" t="s">
        <v>178</v>
      </c>
      <c r="AC1253" t="s">
        <v>1897</v>
      </c>
      <c r="AD1253" s="2" t="s">
        <v>180</v>
      </c>
    </row>
    <row r="1254" spans="1:30" hidden="1" x14ac:dyDescent="0.25">
      <c r="A1254" s="2">
        <v>294</v>
      </c>
      <c r="B1254" t="s">
        <v>1901</v>
      </c>
      <c r="C1254">
        <v>20</v>
      </c>
      <c r="D1254">
        <v>300</v>
      </c>
      <c r="E1254">
        <v>6101</v>
      </c>
      <c r="F1254" t="s">
        <v>273</v>
      </c>
      <c r="G1254" s="2" t="s">
        <v>156</v>
      </c>
      <c r="H1254">
        <v>1</v>
      </c>
      <c r="I1254">
        <v>287.36</v>
      </c>
      <c r="J1254" s="2" t="s">
        <v>170</v>
      </c>
      <c r="K1254" s="2" t="s">
        <v>74</v>
      </c>
      <c r="M1254" t="s">
        <v>1999</v>
      </c>
      <c r="P1254" s="19" t="s">
        <v>1573</v>
      </c>
      <c r="Q1254" s="19" t="s">
        <v>27</v>
      </c>
      <c r="R1254" s="19" t="s">
        <v>138</v>
      </c>
      <c r="V1254" s="19" t="s">
        <v>138</v>
      </c>
      <c r="W1254" s="20">
        <v>22</v>
      </c>
      <c r="X1254" s="65" t="s">
        <v>1572</v>
      </c>
      <c r="Z1254" t="s">
        <v>307</v>
      </c>
      <c r="AB1254" t="s">
        <v>178</v>
      </c>
      <c r="AC1254" t="s">
        <v>1897</v>
      </c>
      <c r="AD1254" s="2" t="s">
        <v>180</v>
      </c>
    </row>
    <row r="1255" spans="1:30" hidden="1" x14ac:dyDescent="0.25">
      <c r="A1255" s="2">
        <v>295</v>
      </c>
      <c r="B1255" t="s">
        <v>1902</v>
      </c>
      <c r="C1255">
        <v>20</v>
      </c>
      <c r="D1255">
        <v>300</v>
      </c>
      <c r="E1255">
        <v>6101</v>
      </c>
      <c r="F1255" t="s">
        <v>273</v>
      </c>
      <c r="G1255" s="2" t="s">
        <v>156</v>
      </c>
      <c r="H1255">
        <v>1</v>
      </c>
      <c r="I1255">
        <v>287.36</v>
      </c>
      <c r="J1255" s="2" t="s">
        <v>170</v>
      </c>
      <c r="K1255" s="2" t="s">
        <v>74</v>
      </c>
      <c r="M1255" t="s">
        <v>1999</v>
      </c>
      <c r="P1255" s="19" t="s">
        <v>1573</v>
      </c>
      <c r="Q1255" s="19" t="s">
        <v>27</v>
      </c>
      <c r="R1255" s="19" t="s">
        <v>138</v>
      </c>
      <c r="V1255" s="19" t="s">
        <v>138</v>
      </c>
      <c r="W1255" s="20">
        <v>22</v>
      </c>
      <c r="X1255" s="65" t="s">
        <v>1572</v>
      </c>
      <c r="Z1255" t="s">
        <v>307</v>
      </c>
      <c r="AB1255" t="s">
        <v>178</v>
      </c>
      <c r="AC1255" t="s">
        <v>1897</v>
      </c>
      <c r="AD1255" s="2" t="s">
        <v>180</v>
      </c>
    </row>
    <row r="1256" spans="1:30" hidden="1" x14ac:dyDescent="0.25">
      <c r="A1256" s="2">
        <v>296</v>
      </c>
      <c r="B1256" t="s">
        <v>1903</v>
      </c>
      <c r="C1256">
        <v>20</v>
      </c>
      <c r="D1256">
        <v>300</v>
      </c>
      <c r="E1256">
        <v>6101</v>
      </c>
      <c r="F1256" t="s">
        <v>273</v>
      </c>
      <c r="G1256" s="2" t="s">
        <v>156</v>
      </c>
      <c r="H1256">
        <v>1</v>
      </c>
      <c r="I1256">
        <v>287.36</v>
      </c>
      <c r="J1256" s="2" t="s">
        <v>170</v>
      </c>
      <c r="K1256" s="2" t="s">
        <v>74</v>
      </c>
      <c r="M1256" t="s">
        <v>1999</v>
      </c>
      <c r="P1256" s="19" t="s">
        <v>1573</v>
      </c>
      <c r="Q1256" s="19" t="s">
        <v>27</v>
      </c>
      <c r="R1256" s="19" t="s">
        <v>138</v>
      </c>
      <c r="V1256" s="19" t="s">
        <v>138</v>
      </c>
      <c r="W1256" s="20">
        <v>22</v>
      </c>
      <c r="X1256" s="65" t="s">
        <v>1572</v>
      </c>
      <c r="Z1256" t="s">
        <v>307</v>
      </c>
      <c r="AB1256" t="s">
        <v>178</v>
      </c>
      <c r="AC1256" t="s">
        <v>1897</v>
      </c>
      <c r="AD1256" s="2" t="s">
        <v>180</v>
      </c>
    </row>
    <row r="1257" spans="1:30" hidden="1" x14ac:dyDescent="0.25">
      <c r="A1257" s="2">
        <v>297</v>
      </c>
      <c r="B1257" t="s">
        <v>1904</v>
      </c>
      <c r="C1257">
        <v>20</v>
      </c>
      <c r="D1257">
        <v>300</v>
      </c>
      <c r="E1257">
        <v>6101</v>
      </c>
      <c r="F1257" t="s">
        <v>273</v>
      </c>
      <c r="G1257" s="2" t="s">
        <v>156</v>
      </c>
      <c r="H1257">
        <v>1</v>
      </c>
      <c r="I1257">
        <v>287.36</v>
      </c>
      <c r="J1257" s="2" t="s">
        <v>170</v>
      </c>
      <c r="K1257" s="2" t="s">
        <v>74</v>
      </c>
      <c r="M1257" t="s">
        <v>1999</v>
      </c>
      <c r="P1257" s="19" t="s">
        <v>1573</v>
      </c>
      <c r="Q1257" s="19" t="s">
        <v>27</v>
      </c>
      <c r="R1257" s="19" t="s">
        <v>138</v>
      </c>
      <c r="V1257" s="19" t="s">
        <v>138</v>
      </c>
      <c r="W1257" s="20">
        <v>22</v>
      </c>
      <c r="X1257" s="65" t="s">
        <v>1572</v>
      </c>
      <c r="Z1257" t="s">
        <v>307</v>
      </c>
      <c r="AB1257" t="s">
        <v>178</v>
      </c>
      <c r="AC1257" t="s">
        <v>1897</v>
      </c>
      <c r="AD1257" s="2" t="s">
        <v>180</v>
      </c>
    </row>
    <row r="1258" spans="1:30" hidden="1" x14ac:dyDescent="0.25">
      <c r="A1258" s="2">
        <v>298</v>
      </c>
      <c r="B1258" t="s">
        <v>1905</v>
      </c>
      <c r="C1258">
        <v>20</v>
      </c>
      <c r="D1258">
        <v>300</v>
      </c>
      <c r="E1258">
        <v>6101</v>
      </c>
      <c r="F1258" t="s">
        <v>273</v>
      </c>
      <c r="G1258" s="2" t="s">
        <v>156</v>
      </c>
      <c r="H1258">
        <v>1</v>
      </c>
      <c r="I1258">
        <v>287.36</v>
      </c>
      <c r="J1258" s="2" t="s">
        <v>170</v>
      </c>
      <c r="K1258" s="2" t="s">
        <v>74</v>
      </c>
      <c r="M1258" t="s">
        <v>1999</v>
      </c>
      <c r="P1258" s="19" t="s">
        <v>1573</v>
      </c>
      <c r="Q1258" s="19" t="s">
        <v>27</v>
      </c>
      <c r="R1258" s="19" t="s">
        <v>138</v>
      </c>
      <c r="V1258" s="19" t="s">
        <v>138</v>
      </c>
      <c r="W1258" s="20">
        <v>22</v>
      </c>
      <c r="X1258" s="65" t="s">
        <v>1572</v>
      </c>
      <c r="Z1258" t="s">
        <v>307</v>
      </c>
      <c r="AB1258" t="s">
        <v>178</v>
      </c>
      <c r="AC1258" t="s">
        <v>1897</v>
      </c>
      <c r="AD1258" s="2" t="s">
        <v>180</v>
      </c>
    </row>
    <row r="1259" spans="1:30" hidden="1" x14ac:dyDescent="0.25">
      <c r="A1259" s="2">
        <v>299</v>
      </c>
      <c r="B1259" t="s">
        <v>1906</v>
      </c>
      <c r="C1259">
        <v>20</v>
      </c>
      <c r="D1259">
        <v>270</v>
      </c>
      <c r="E1259">
        <v>300</v>
      </c>
      <c r="F1259" t="s">
        <v>273</v>
      </c>
      <c r="G1259" s="2" t="s">
        <v>156</v>
      </c>
      <c r="H1259">
        <v>1</v>
      </c>
      <c r="I1259">
        <v>12.72</v>
      </c>
      <c r="J1259" s="2" t="s">
        <v>170</v>
      </c>
      <c r="K1259" s="2" t="s">
        <v>74</v>
      </c>
      <c r="M1259" t="s">
        <v>1999</v>
      </c>
      <c r="P1259" s="19" t="s">
        <v>1573</v>
      </c>
      <c r="Q1259" s="19" t="s">
        <v>25</v>
      </c>
      <c r="R1259" s="19" t="s">
        <v>138</v>
      </c>
      <c r="W1259" s="20">
        <v>22</v>
      </c>
      <c r="X1259" s="65" t="s">
        <v>1572</v>
      </c>
      <c r="Z1259" t="s">
        <v>307</v>
      </c>
      <c r="AB1259" t="s">
        <v>178</v>
      </c>
      <c r="AC1259" t="s">
        <v>1897</v>
      </c>
      <c r="AD1259" s="2" t="s">
        <v>180</v>
      </c>
    </row>
    <row r="1260" spans="1:30" hidden="1" x14ac:dyDescent="0.25">
      <c r="A1260" s="2">
        <v>300</v>
      </c>
      <c r="B1260" t="s">
        <v>1907</v>
      </c>
      <c r="C1260">
        <v>20</v>
      </c>
      <c r="D1260">
        <v>300</v>
      </c>
      <c r="E1260">
        <v>6101</v>
      </c>
      <c r="F1260" t="s">
        <v>273</v>
      </c>
      <c r="G1260" s="2" t="s">
        <v>156</v>
      </c>
      <c r="H1260">
        <v>1</v>
      </c>
      <c r="I1260">
        <v>287.36</v>
      </c>
      <c r="J1260" s="2" t="s">
        <v>170</v>
      </c>
      <c r="K1260" s="2" t="s">
        <v>74</v>
      </c>
      <c r="M1260" t="s">
        <v>1999</v>
      </c>
      <c r="P1260" s="19" t="s">
        <v>1573</v>
      </c>
      <c r="Q1260" s="19" t="s">
        <v>27</v>
      </c>
      <c r="R1260" s="19" t="s">
        <v>138</v>
      </c>
      <c r="V1260" s="19" t="s">
        <v>138</v>
      </c>
      <c r="W1260" s="20">
        <v>22</v>
      </c>
      <c r="X1260" s="65" t="s">
        <v>1572</v>
      </c>
      <c r="Z1260" t="s">
        <v>307</v>
      </c>
      <c r="AB1260" t="s">
        <v>178</v>
      </c>
      <c r="AC1260" t="s">
        <v>1897</v>
      </c>
      <c r="AD1260" s="2" t="s">
        <v>180</v>
      </c>
    </row>
    <row r="1261" spans="1:30" hidden="1" x14ac:dyDescent="0.25">
      <c r="A1261" s="2">
        <v>301</v>
      </c>
      <c r="B1261" t="s">
        <v>1908</v>
      </c>
      <c r="C1261">
        <v>20</v>
      </c>
      <c r="D1261">
        <v>300</v>
      </c>
      <c r="E1261">
        <v>6101</v>
      </c>
      <c r="F1261" t="s">
        <v>273</v>
      </c>
      <c r="G1261" s="2" t="s">
        <v>156</v>
      </c>
      <c r="H1261">
        <v>1</v>
      </c>
      <c r="I1261">
        <v>287.36</v>
      </c>
      <c r="J1261" s="2" t="s">
        <v>170</v>
      </c>
      <c r="K1261" s="2" t="s">
        <v>74</v>
      </c>
      <c r="M1261" t="s">
        <v>1999</v>
      </c>
      <c r="P1261" s="19" t="s">
        <v>1573</v>
      </c>
      <c r="Q1261" s="19" t="s">
        <v>27</v>
      </c>
      <c r="R1261" s="19" t="s">
        <v>138</v>
      </c>
      <c r="V1261" s="19" t="s">
        <v>138</v>
      </c>
      <c r="W1261" s="20">
        <v>22</v>
      </c>
      <c r="X1261" s="65" t="s">
        <v>1572</v>
      </c>
      <c r="Z1261" t="s">
        <v>307</v>
      </c>
      <c r="AB1261" t="s">
        <v>178</v>
      </c>
      <c r="AC1261" t="s">
        <v>1897</v>
      </c>
      <c r="AD1261" s="2" t="s">
        <v>180</v>
      </c>
    </row>
    <row r="1262" spans="1:30" hidden="1" x14ac:dyDescent="0.25">
      <c r="A1262" s="2">
        <v>302</v>
      </c>
      <c r="B1262" t="s">
        <v>1909</v>
      </c>
      <c r="C1262">
        <v>20</v>
      </c>
      <c r="D1262">
        <v>300</v>
      </c>
      <c r="E1262">
        <v>6101</v>
      </c>
      <c r="F1262" t="s">
        <v>273</v>
      </c>
      <c r="G1262" s="2" t="s">
        <v>156</v>
      </c>
      <c r="H1262">
        <v>1</v>
      </c>
      <c r="I1262">
        <v>287.36</v>
      </c>
      <c r="J1262" s="2" t="s">
        <v>170</v>
      </c>
      <c r="K1262" s="2" t="s">
        <v>74</v>
      </c>
      <c r="M1262" t="s">
        <v>1999</v>
      </c>
      <c r="P1262" s="19" t="s">
        <v>1573</v>
      </c>
      <c r="Q1262" s="19" t="s">
        <v>27</v>
      </c>
      <c r="R1262" s="19" t="s">
        <v>138</v>
      </c>
      <c r="V1262" s="19" t="s">
        <v>138</v>
      </c>
      <c r="W1262" s="20">
        <v>22</v>
      </c>
      <c r="X1262" s="65" t="s">
        <v>1572</v>
      </c>
      <c r="Z1262" t="s">
        <v>307</v>
      </c>
      <c r="AB1262" t="s">
        <v>178</v>
      </c>
      <c r="AC1262" t="s">
        <v>1897</v>
      </c>
      <c r="AD1262" s="2" t="s">
        <v>180</v>
      </c>
    </row>
    <row r="1263" spans="1:30" hidden="1" x14ac:dyDescent="0.25">
      <c r="A1263" s="2">
        <v>303</v>
      </c>
      <c r="B1263" t="s">
        <v>1910</v>
      </c>
      <c r="C1263">
        <v>20</v>
      </c>
      <c r="D1263">
        <v>300</v>
      </c>
      <c r="E1263">
        <v>6101</v>
      </c>
      <c r="F1263" t="s">
        <v>273</v>
      </c>
      <c r="G1263" s="2" t="s">
        <v>156</v>
      </c>
      <c r="H1263">
        <v>1</v>
      </c>
      <c r="I1263">
        <v>287.36</v>
      </c>
      <c r="J1263" s="2" t="s">
        <v>170</v>
      </c>
      <c r="K1263" s="2" t="s">
        <v>74</v>
      </c>
      <c r="M1263" t="s">
        <v>1999</v>
      </c>
      <c r="P1263" s="19" t="s">
        <v>1573</v>
      </c>
      <c r="Q1263" s="19" t="s">
        <v>27</v>
      </c>
      <c r="R1263" s="19" t="s">
        <v>138</v>
      </c>
      <c r="V1263" s="19" t="s">
        <v>138</v>
      </c>
      <c r="W1263" s="20">
        <v>22</v>
      </c>
      <c r="X1263" s="65" t="s">
        <v>1572</v>
      </c>
      <c r="Z1263" t="s">
        <v>307</v>
      </c>
      <c r="AB1263" t="s">
        <v>178</v>
      </c>
      <c r="AC1263" t="s">
        <v>1897</v>
      </c>
      <c r="AD1263" s="2" t="s">
        <v>180</v>
      </c>
    </row>
    <row r="1264" spans="1:30" hidden="1" x14ac:dyDescent="0.25">
      <c r="A1264" s="2">
        <v>304</v>
      </c>
      <c r="B1264" t="s">
        <v>1911</v>
      </c>
      <c r="C1264">
        <v>20</v>
      </c>
      <c r="D1264">
        <v>300</v>
      </c>
      <c r="E1264">
        <v>6101</v>
      </c>
      <c r="F1264" t="s">
        <v>273</v>
      </c>
      <c r="G1264" s="2" t="s">
        <v>156</v>
      </c>
      <c r="H1264">
        <v>1</v>
      </c>
      <c r="I1264">
        <v>287.36</v>
      </c>
      <c r="J1264" s="2" t="s">
        <v>170</v>
      </c>
      <c r="K1264" s="2" t="s">
        <v>74</v>
      </c>
      <c r="M1264" t="s">
        <v>1999</v>
      </c>
      <c r="P1264" s="19" t="s">
        <v>1573</v>
      </c>
      <c r="Q1264" s="19" t="s">
        <v>27</v>
      </c>
      <c r="R1264" s="19" t="s">
        <v>138</v>
      </c>
      <c r="V1264" s="19" t="s">
        <v>138</v>
      </c>
      <c r="W1264" s="20">
        <v>22</v>
      </c>
      <c r="X1264" s="65" t="s">
        <v>1572</v>
      </c>
      <c r="Z1264" t="s">
        <v>307</v>
      </c>
      <c r="AB1264" t="s">
        <v>178</v>
      </c>
      <c r="AC1264" t="s">
        <v>1897</v>
      </c>
      <c r="AD1264" s="2" t="s">
        <v>180</v>
      </c>
    </row>
    <row r="1265" spans="1:30" hidden="1" x14ac:dyDescent="0.25">
      <c r="A1265" s="2">
        <v>305</v>
      </c>
      <c r="B1265" t="s">
        <v>1912</v>
      </c>
      <c r="C1265">
        <v>20</v>
      </c>
      <c r="D1265">
        <v>300</v>
      </c>
      <c r="E1265">
        <v>6101</v>
      </c>
      <c r="F1265" t="s">
        <v>273</v>
      </c>
      <c r="G1265" s="2" t="s">
        <v>156</v>
      </c>
      <c r="H1265">
        <v>1</v>
      </c>
      <c r="I1265">
        <v>287.36</v>
      </c>
      <c r="J1265" s="2" t="s">
        <v>170</v>
      </c>
      <c r="K1265" s="2" t="s">
        <v>74</v>
      </c>
      <c r="M1265" t="s">
        <v>1999</v>
      </c>
      <c r="P1265" s="19" t="s">
        <v>1573</v>
      </c>
      <c r="Q1265" s="19" t="s">
        <v>27</v>
      </c>
      <c r="R1265" s="19" t="s">
        <v>138</v>
      </c>
      <c r="V1265" s="19" t="s">
        <v>138</v>
      </c>
      <c r="W1265" s="20">
        <v>22</v>
      </c>
      <c r="X1265" s="65" t="s">
        <v>1572</v>
      </c>
      <c r="Z1265" t="s">
        <v>307</v>
      </c>
      <c r="AB1265" t="s">
        <v>178</v>
      </c>
      <c r="AC1265" t="s">
        <v>1897</v>
      </c>
      <c r="AD1265" s="2" t="s">
        <v>180</v>
      </c>
    </row>
    <row r="1266" spans="1:30" hidden="1" x14ac:dyDescent="0.25">
      <c r="A1266" s="2">
        <v>306</v>
      </c>
      <c r="B1266" t="s">
        <v>1913</v>
      </c>
      <c r="C1266">
        <v>20</v>
      </c>
      <c r="D1266">
        <v>300</v>
      </c>
      <c r="E1266">
        <v>6101</v>
      </c>
      <c r="F1266" t="s">
        <v>273</v>
      </c>
      <c r="G1266" s="2" t="s">
        <v>156</v>
      </c>
      <c r="H1266">
        <v>1</v>
      </c>
      <c r="I1266">
        <v>287.36</v>
      </c>
      <c r="J1266" s="2" t="s">
        <v>170</v>
      </c>
      <c r="K1266" s="2" t="s">
        <v>74</v>
      </c>
      <c r="M1266" t="s">
        <v>1999</v>
      </c>
      <c r="P1266" s="19" t="s">
        <v>1573</v>
      </c>
      <c r="Q1266" s="19" t="s">
        <v>27</v>
      </c>
      <c r="R1266" s="19" t="s">
        <v>138</v>
      </c>
      <c r="V1266" s="19" t="s">
        <v>138</v>
      </c>
      <c r="W1266" s="20">
        <v>22</v>
      </c>
      <c r="X1266" s="65" t="s">
        <v>1572</v>
      </c>
      <c r="Z1266" t="s">
        <v>307</v>
      </c>
      <c r="AB1266" t="s">
        <v>178</v>
      </c>
      <c r="AC1266" t="s">
        <v>1897</v>
      </c>
      <c r="AD1266" s="2" t="s">
        <v>180</v>
      </c>
    </row>
    <row r="1267" spans="1:30" hidden="1" x14ac:dyDescent="0.25">
      <c r="A1267" s="2">
        <v>307</v>
      </c>
      <c r="B1267" t="s">
        <v>1914</v>
      </c>
      <c r="C1267">
        <v>20</v>
      </c>
      <c r="D1267">
        <v>300</v>
      </c>
      <c r="E1267">
        <v>6101</v>
      </c>
      <c r="F1267" t="s">
        <v>273</v>
      </c>
      <c r="G1267" s="2" t="s">
        <v>156</v>
      </c>
      <c r="H1267">
        <v>1</v>
      </c>
      <c r="I1267">
        <v>287.36</v>
      </c>
      <c r="J1267" s="2" t="s">
        <v>170</v>
      </c>
      <c r="K1267" s="2" t="s">
        <v>74</v>
      </c>
      <c r="M1267" t="s">
        <v>1999</v>
      </c>
      <c r="P1267" s="19" t="s">
        <v>1573</v>
      </c>
      <c r="Q1267" s="19" t="s">
        <v>27</v>
      </c>
      <c r="R1267" s="19" t="s">
        <v>138</v>
      </c>
      <c r="V1267" s="19" t="s">
        <v>138</v>
      </c>
      <c r="W1267" s="20">
        <v>22</v>
      </c>
      <c r="X1267" s="65" t="s">
        <v>1572</v>
      </c>
      <c r="Z1267" t="s">
        <v>307</v>
      </c>
      <c r="AB1267" t="s">
        <v>178</v>
      </c>
      <c r="AC1267" t="s">
        <v>1897</v>
      </c>
      <c r="AD1267" s="2" t="s">
        <v>180</v>
      </c>
    </row>
    <row r="1268" spans="1:30" hidden="1" x14ac:dyDescent="0.25">
      <c r="A1268" s="2">
        <v>308</v>
      </c>
      <c r="B1268" t="s">
        <v>1915</v>
      </c>
      <c r="C1268">
        <v>20</v>
      </c>
      <c r="D1268">
        <v>270</v>
      </c>
      <c r="E1268">
        <v>300</v>
      </c>
      <c r="F1268" t="s">
        <v>273</v>
      </c>
      <c r="G1268" s="2" t="s">
        <v>156</v>
      </c>
      <c r="H1268">
        <v>4</v>
      </c>
      <c r="I1268">
        <v>50.87</v>
      </c>
      <c r="J1268" s="2" t="s">
        <v>170</v>
      </c>
      <c r="K1268" s="2" t="s">
        <v>74</v>
      </c>
      <c r="M1268" t="s">
        <v>1999</v>
      </c>
      <c r="P1268" s="19" t="s">
        <v>1573</v>
      </c>
      <c r="Q1268" s="19" t="s">
        <v>25</v>
      </c>
      <c r="R1268" s="19" t="s">
        <v>138</v>
      </c>
      <c r="W1268" s="20">
        <v>22</v>
      </c>
      <c r="X1268" s="65" t="s">
        <v>1572</v>
      </c>
      <c r="Z1268" t="s">
        <v>307</v>
      </c>
      <c r="AB1268" t="s">
        <v>178</v>
      </c>
      <c r="AC1268" t="s">
        <v>1897</v>
      </c>
      <c r="AD1268" s="2" t="s">
        <v>180</v>
      </c>
    </row>
    <row r="1269" spans="1:30" hidden="1" x14ac:dyDescent="0.25">
      <c r="A1269" s="2">
        <v>309</v>
      </c>
      <c r="B1269" t="s">
        <v>1916</v>
      </c>
      <c r="C1269">
        <v>20</v>
      </c>
      <c r="D1269">
        <v>300</v>
      </c>
      <c r="E1269">
        <v>480</v>
      </c>
      <c r="F1269" t="s">
        <v>273</v>
      </c>
      <c r="G1269" s="2" t="s">
        <v>156</v>
      </c>
      <c r="H1269">
        <v>3</v>
      </c>
      <c r="I1269">
        <v>67.819999999999993</v>
      </c>
      <c r="J1269" s="2" t="s">
        <v>170</v>
      </c>
      <c r="K1269" s="2" t="s">
        <v>74</v>
      </c>
      <c r="M1269" t="s">
        <v>1999</v>
      </c>
      <c r="P1269" s="19" t="s">
        <v>1573</v>
      </c>
      <c r="Q1269" s="19" t="s">
        <v>25</v>
      </c>
      <c r="R1269" s="19" t="s">
        <v>138</v>
      </c>
      <c r="W1269" s="20">
        <v>22</v>
      </c>
      <c r="X1269" s="65" t="s">
        <v>1572</v>
      </c>
      <c r="Z1269" t="s">
        <v>307</v>
      </c>
      <c r="AB1269" t="s">
        <v>178</v>
      </c>
      <c r="AC1269" t="s">
        <v>1897</v>
      </c>
      <c r="AD1269" s="2" t="s">
        <v>180</v>
      </c>
    </row>
    <row r="1270" spans="1:30" hidden="1" x14ac:dyDescent="0.25">
      <c r="A1270" s="2">
        <v>310</v>
      </c>
      <c r="B1270" t="s">
        <v>1917</v>
      </c>
      <c r="C1270">
        <v>20</v>
      </c>
      <c r="D1270">
        <v>270</v>
      </c>
      <c r="E1270">
        <v>300</v>
      </c>
      <c r="F1270" t="s">
        <v>273</v>
      </c>
      <c r="G1270" s="2" t="s">
        <v>156</v>
      </c>
      <c r="H1270">
        <v>4</v>
      </c>
      <c r="I1270">
        <v>50.87</v>
      </c>
      <c r="J1270" s="2" t="s">
        <v>170</v>
      </c>
      <c r="K1270" s="2" t="s">
        <v>74</v>
      </c>
      <c r="M1270" t="s">
        <v>1999</v>
      </c>
      <c r="P1270" s="19" t="s">
        <v>1573</v>
      </c>
      <c r="Q1270" s="19" t="s">
        <v>25</v>
      </c>
      <c r="R1270" s="19" t="s">
        <v>138</v>
      </c>
      <c r="W1270" s="20">
        <v>22</v>
      </c>
      <c r="X1270" s="65" t="s">
        <v>1572</v>
      </c>
      <c r="Z1270" t="s">
        <v>307</v>
      </c>
      <c r="AB1270" t="s">
        <v>178</v>
      </c>
      <c r="AC1270" t="s">
        <v>1897</v>
      </c>
      <c r="AD1270" s="2" t="s">
        <v>180</v>
      </c>
    </row>
    <row r="1271" spans="1:30" hidden="1" x14ac:dyDescent="0.25">
      <c r="A1271" s="2">
        <v>311</v>
      </c>
      <c r="B1271" t="s">
        <v>1918</v>
      </c>
      <c r="C1271">
        <v>20</v>
      </c>
      <c r="D1271">
        <v>300</v>
      </c>
      <c r="E1271">
        <v>6232</v>
      </c>
      <c r="F1271" t="s">
        <v>273</v>
      </c>
      <c r="G1271" s="2" t="s">
        <v>156</v>
      </c>
      <c r="H1271">
        <v>1</v>
      </c>
      <c r="I1271">
        <v>293.52999999999997</v>
      </c>
      <c r="J1271" s="2" t="s">
        <v>170</v>
      </c>
      <c r="K1271" s="2" t="s">
        <v>74</v>
      </c>
      <c r="M1271" t="s">
        <v>1999</v>
      </c>
      <c r="P1271" s="19" t="s">
        <v>1573</v>
      </c>
      <c r="Q1271" s="19" t="s">
        <v>27</v>
      </c>
      <c r="R1271" s="19" t="s">
        <v>138</v>
      </c>
      <c r="W1271" s="20">
        <v>22</v>
      </c>
      <c r="X1271" s="65" t="s">
        <v>1572</v>
      </c>
      <c r="Z1271" t="s">
        <v>307</v>
      </c>
      <c r="AB1271" t="s">
        <v>178</v>
      </c>
      <c r="AC1271" t="s">
        <v>1919</v>
      </c>
      <c r="AD1271" s="2" t="s">
        <v>180</v>
      </c>
    </row>
    <row r="1272" spans="1:30" hidden="1" x14ac:dyDescent="0.25">
      <c r="A1272" s="2">
        <v>312</v>
      </c>
      <c r="B1272" t="s">
        <v>1921</v>
      </c>
      <c r="C1272">
        <v>20</v>
      </c>
      <c r="D1272">
        <v>300</v>
      </c>
      <c r="E1272">
        <v>6464</v>
      </c>
      <c r="F1272" t="s">
        <v>273</v>
      </c>
      <c r="G1272" s="2" t="s">
        <v>156</v>
      </c>
      <c r="H1272">
        <v>1</v>
      </c>
      <c r="I1272">
        <v>304.45</v>
      </c>
      <c r="J1272" s="2" t="s">
        <v>170</v>
      </c>
      <c r="K1272" s="2" t="s">
        <v>74</v>
      </c>
      <c r="M1272" t="s">
        <v>1999</v>
      </c>
      <c r="P1272" s="19" t="s">
        <v>1573</v>
      </c>
      <c r="Q1272" s="19" t="s">
        <v>27</v>
      </c>
      <c r="R1272" s="19" t="s">
        <v>138</v>
      </c>
      <c r="W1272" s="20">
        <v>22</v>
      </c>
      <c r="X1272" s="65" t="s">
        <v>1572</v>
      </c>
      <c r="Z1272" t="s">
        <v>307</v>
      </c>
      <c r="AB1272" t="s">
        <v>178</v>
      </c>
      <c r="AC1272" t="s">
        <v>1919</v>
      </c>
      <c r="AD1272" s="2" t="s">
        <v>180</v>
      </c>
    </row>
    <row r="1273" spans="1:30" hidden="1" x14ac:dyDescent="0.25">
      <c r="A1273" s="2">
        <v>313</v>
      </c>
      <c r="B1273" t="s">
        <v>1922</v>
      </c>
      <c r="C1273">
        <v>20</v>
      </c>
      <c r="D1273">
        <v>300</v>
      </c>
      <c r="E1273">
        <v>6464</v>
      </c>
      <c r="F1273" t="s">
        <v>273</v>
      </c>
      <c r="G1273" s="2" t="s">
        <v>156</v>
      </c>
      <c r="H1273">
        <v>1</v>
      </c>
      <c r="I1273">
        <v>304.45</v>
      </c>
      <c r="J1273" s="2" t="s">
        <v>170</v>
      </c>
      <c r="K1273" s="2" t="s">
        <v>74</v>
      </c>
      <c r="M1273" t="s">
        <v>1999</v>
      </c>
      <c r="P1273" s="19" t="s">
        <v>1573</v>
      </c>
      <c r="Q1273" s="19" t="s">
        <v>27</v>
      </c>
      <c r="R1273" s="19" t="s">
        <v>138</v>
      </c>
      <c r="W1273" s="20">
        <v>22</v>
      </c>
      <c r="X1273" s="65" t="s">
        <v>1572</v>
      </c>
      <c r="Z1273" t="s">
        <v>307</v>
      </c>
      <c r="AB1273" t="s">
        <v>178</v>
      </c>
      <c r="AC1273" t="s">
        <v>1919</v>
      </c>
      <c r="AD1273" s="2" t="s">
        <v>180</v>
      </c>
    </row>
    <row r="1274" spans="1:30" hidden="1" x14ac:dyDescent="0.25">
      <c r="A1274" s="2">
        <v>314</v>
      </c>
      <c r="B1274" t="s">
        <v>1923</v>
      </c>
      <c r="C1274">
        <v>20</v>
      </c>
      <c r="D1274">
        <v>300</v>
      </c>
      <c r="E1274">
        <v>6464</v>
      </c>
      <c r="F1274" t="s">
        <v>273</v>
      </c>
      <c r="G1274" s="2" t="s">
        <v>156</v>
      </c>
      <c r="H1274">
        <v>1</v>
      </c>
      <c r="I1274">
        <v>304.45</v>
      </c>
      <c r="J1274" s="2" t="s">
        <v>170</v>
      </c>
      <c r="K1274" s="2" t="s">
        <v>74</v>
      </c>
      <c r="M1274" t="s">
        <v>1999</v>
      </c>
      <c r="P1274" s="19" t="s">
        <v>1573</v>
      </c>
      <c r="Q1274" s="19" t="s">
        <v>27</v>
      </c>
      <c r="R1274" s="19" t="s">
        <v>138</v>
      </c>
      <c r="W1274" s="20">
        <v>22</v>
      </c>
      <c r="X1274" s="65" t="s">
        <v>1572</v>
      </c>
      <c r="Z1274" t="s">
        <v>307</v>
      </c>
      <c r="AB1274" t="s">
        <v>178</v>
      </c>
      <c r="AC1274" t="s">
        <v>1919</v>
      </c>
      <c r="AD1274" s="2" t="s">
        <v>180</v>
      </c>
    </row>
    <row r="1275" spans="1:30" hidden="1" x14ac:dyDescent="0.25">
      <c r="A1275" s="2">
        <v>315</v>
      </c>
      <c r="B1275" t="s">
        <v>1924</v>
      </c>
      <c r="C1275">
        <v>20</v>
      </c>
      <c r="D1275">
        <v>300</v>
      </c>
      <c r="E1275">
        <v>6464</v>
      </c>
      <c r="F1275" t="s">
        <v>273</v>
      </c>
      <c r="G1275" s="2" t="s">
        <v>156</v>
      </c>
      <c r="H1275">
        <v>1</v>
      </c>
      <c r="I1275">
        <v>304.45</v>
      </c>
      <c r="J1275" s="2" t="s">
        <v>170</v>
      </c>
      <c r="K1275" s="2" t="s">
        <v>74</v>
      </c>
      <c r="M1275" t="s">
        <v>1999</v>
      </c>
      <c r="P1275" s="19" t="s">
        <v>1573</v>
      </c>
      <c r="Q1275" s="19" t="s">
        <v>27</v>
      </c>
      <c r="R1275" s="19" t="s">
        <v>138</v>
      </c>
      <c r="W1275" s="20">
        <v>22</v>
      </c>
      <c r="X1275" s="65" t="s">
        <v>1572</v>
      </c>
      <c r="Z1275" t="s">
        <v>307</v>
      </c>
      <c r="AB1275" t="s">
        <v>178</v>
      </c>
      <c r="AC1275" t="s">
        <v>1919</v>
      </c>
      <c r="AD1275" s="2" t="s">
        <v>180</v>
      </c>
    </row>
    <row r="1276" spans="1:30" hidden="1" x14ac:dyDescent="0.25">
      <c r="A1276" s="2">
        <v>316</v>
      </c>
      <c r="B1276" t="s">
        <v>1925</v>
      </c>
      <c r="C1276">
        <v>20</v>
      </c>
      <c r="D1276">
        <v>300</v>
      </c>
      <c r="E1276">
        <v>6232</v>
      </c>
      <c r="F1276" t="s">
        <v>273</v>
      </c>
      <c r="G1276" s="2" t="s">
        <v>156</v>
      </c>
      <c r="H1276">
        <v>1</v>
      </c>
      <c r="I1276">
        <v>293.52999999999997</v>
      </c>
      <c r="J1276" s="2" t="s">
        <v>170</v>
      </c>
      <c r="K1276" s="2" t="s">
        <v>74</v>
      </c>
      <c r="M1276" t="s">
        <v>1999</v>
      </c>
      <c r="P1276" s="19" t="s">
        <v>1573</v>
      </c>
      <c r="Q1276" s="19" t="s">
        <v>27</v>
      </c>
      <c r="R1276" s="19" t="s">
        <v>138</v>
      </c>
      <c r="W1276" s="20">
        <v>22</v>
      </c>
      <c r="X1276" s="65" t="s">
        <v>1572</v>
      </c>
      <c r="Z1276" t="s">
        <v>307</v>
      </c>
      <c r="AB1276" t="s">
        <v>178</v>
      </c>
      <c r="AC1276" t="s">
        <v>1919</v>
      </c>
      <c r="AD1276" s="2" t="s">
        <v>180</v>
      </c>
    </row>
    <row r="1277" spans="1:30" hidden="1" x14ac:dyDescent="0.25">
      <c r="A1277" s="2">
        <v>317</v>
      </c>
      <c r="B1277" t="s">
        <v>1926</v>
      </c>
      <c r="C1277">
        <v>20</v>
      </c>
      <c r="D1277">
        <v>1436</v>
      </c>
      <c r="E1277">
        <v>6298</v>
      </c>
      <c r="F1277" t="s">
        <v>273</v>
      </c>
      <c r="G1277" s="2" t="s">
        <v>156</v>
      </c>
      <c r="H1277">
        <v>1</v>
      </c>
      <c r="I1277">
        <v>1414.64</v>
      </c>
      <c r="J1277" s="2" t="s">
        <v>170</v>
      </c>
      <c r="K1277" s="2" t="s">
        <v>74</v>
      </c>
      <c r="M1277" t="s">
        <v>1999</v>
      </c>
      <c r="P1277" s="19" t="s">
        <v>1573</v>
      </c>
      <c r="Q1277" s="19" t="s">
        <v>27</v>
      </c>
      <c r="R1277" s="19" t="s">
        <v>138</v>
      </c>
      <c r="V1277" s="19" t="s">
        <v>138</v>
      </c>
      <c r="W1277" s="20">
        <v>22</v>
      </c>
      <c r="X1277" s="65" t="s">
        <v>1572</v>
      </c>
      <c r="Z1277" t="s">
        <v>307</v>
      </c>
      <c r="AB1277" t="s">
        <v>178</v>
      </c>
      <c r="AC1277" t="s">
        <v>1919</v>
      </c>
      <c r="AD1277" s="2" t="s">
        <v>180</v>
      </c>
    </row>
    <row r="1278" spans="1:30" hidden="1" x14ac:dyDescent="0.25">
      <c r="A1278" s="2">
        <v>318</v>
      </c>
      <c r="B1278" t="s">
        <v>1927</v>
      </c>
      <c r="C1278">
        <v>20</v>
      </c>
      <c r="D1278">
        <v>1436</v>
      </c>
      <c r="E1278">
        <v>6298</v>
      </c>
      <c r="F1278" t="s">
        <v>273</v>
      </c>
      <c r="G1278" s="2" t="s">
        <v>156</v>
      </c>
      <c r="H1278">
        <v>1</v>
      </c>
      <c r="I1278">
        <v>1414.64</v>
      </c>
      <c r="J1278" s="2" t="s">
        <v>170</v>
      </c>
      <c r="K1278" s="2" t="s">
        <v>74</v>
      </c>
      <c r="M1278" t="s">
        <v>1999</v>
      </c>
      <c r="P1278" s="19" t="s">
        <v>1573</v>
      </c>
      <c r="Q1278" s="19" t="s">
        <v>27</v>
      </c>
      <c r="R1278" s="19" t="s">
        <v>138</v>
      </c>
      <c r="V1278" s="19" t="s">
        <v>138</v>
      </c>
      <c r="W1278" s="20">
        <v>22</v>
      </c>
      <c r="X1278" s="65" t="s">
        <v>1572</v>
      </c>
      <c r="Z1278" t="s">
        <v>307</v>
      </c>
      <c r="AB1278" t="s">
        <v>178</v>
      </c>
      <c r="AC1278" t="s">
        <v>1919</v>
      </c>
      <c r="AD1278" s="2" t="s">
        <v>180</v>
      </c>
    </row>
    <row r="1279" spans="1:30" hidden="1" x14ac:dyDescent="0.25">
      <c r="A1279" s="2">
        <v>319</v>
      </c>
      <c r="B1279" t="s">
        <v>1928</v>
      </c>
      <c r="C1279">
        <v>20</v>
      </c>
      <c r="D1279">
        <v>300</v>
      </c>
      <c r="E1279">
        <v>6464</v>
      </c>
      <c r="F1279" t="s">
        <v>273</v>
      </c>
      <c r="G1279" s="2" t="s">
        <v>156</v>
      </c>
      <c r="H1279">
        <v>1</v>
      </c>
      <c r="I1279">
        <v>304.45</v>
      </c>
      <c r="J1279" s="2" t="s">
        <v>170</v>
      </c>
      <c r="K1279" s="2" t="s">
        <v>74</v>
      </c>
      <c r="M1279" t="s">
        <v>1999</v>
      </c>
      <c r="P1279" s="19" t="s">
        <v>1573</v>
      </c>
      <c r="Q1279" s="19" t="s">
        <v>27</v>
      </c>
      <c r="R1279" s="19" t="s">
        <v>138</v>
      </c>
      <c r="W1279" s="20">
        <v>22</v>
      </c>
      <c r="X1279" s="65" t="s">
        <v>1572</v>
      </c>
      <c r="Z1279" t="s">
        <v>307</v>
      </c>
      <c r="AB1279" t="s">
        <v>178</v>
      </c>
      <c r="AC1279" t="s">
        <v>1929</v>
      </c>
      <c r="AD1279" s="2" t="s">
        <v>180</v>
      </c>
    </row>
    <row r="1280" spans="1:30" hidden="1" x14ac:dyDescent="0.25">
      <c r="A1280" s="2">
        <v>320</v>
      </c>
      <c r="B1280" t="s">
        <v>1931</v>
      </c>
      <c r="C1280">
        <v>20</v>
      </c>
      <c r="D1280">
        <v>300</v>
      </c>
      <c r="E1280">
        <v>6464</v>
      </c>
      <c r="F1280" t="s">
        <v>273</v>
      </c>
      <c r="G1280" s="2" t="s">
        <v>156</v>
      </c>
      <c r="H1280">
        <v>1</v>
      </c>
      <c r="I1280">
        <v>304.45</v>
      </c>
      <c r="J1280" s="2" t="s">
        <v>170</v>
      </c>
      <c r="K1280" s="2" t="s">
        <v>74</v>
      </c>
      <c r="M1280" t="s">
        <v>1999</v>
      </c>
      <c r="P1280" s="19" t="s">
        <v>1573</v>
      </c>
      <c r="Q1280" s="19" t="s">
        <v>27</v>
      </c>
      <c r="R1280" s="19" t="s">
        <v>138</v>
      </c>
      <c r="W1280" s="20">
        <v>22</v>
      </c>
      <c r="X1280" s="65" t="s">
        <v>1572</v>
      </c>
      <c r="Z1280" t="s">
        <v>307</v>
      </c>
      <c r="AB1280" t="s">
        <v>178</v>
      </c>
      <c r="AC1280" t="s">
        <v>1929</v>
      </c>
      <c r="AD1280" s="2" t="s">
        <v>180</v>
      </c>
    </row>
    <row r="1281" spans="1:30" hidden="1" x14ac:dyDescent="0.25">
      <c r="A1281" s="2">
        <v>321</v>
      </c>
      <c r="B1281" t="s">
        <v>1932</v>
      </c>
      <c r="C1281">
        <v>20</v>
      </c>
      <c r="D1281">
        <v>300</v>
      </c>
      <c r="E1281">
        <v>6464</v>
      </c>
      <c r="F1281" t="s">
        <v>273</v>
      </c>
      <c r="G1281" s="2" t="s">
        <v>156</v>
      </c>
      <c r="H1281">
        <v>1</v>
      </c>
      <c r="I1281">
        <v>304.45</v>
      </c>
      <c r="J1281" s="2" t="s">
        <v>170</v>
      </c>
      <c r="K1281" s="2" t="s">
        <v>74</v>
      </c>
      <c r="M1281" t="s">
        <v>1999</v>
      </c>
      <c r="P1281" s="19" t="s">
        <v>1573</v>
      </c>
      <c r="Q1281" s="19" t="s">
        <v>27</v>
      </c>
      <c r="R1281" s="19" t="s">
        <v>138</v>
      </c>
      <c r="W1281" s="20">
        <v>22</v>
      </c>
      <c r="X1281" s="65" t="s">
        <v>1572</v>
      </c>
      <c r="Z1281" t="s">
        <v>307</v>
      </c>
      <c r="AB1281" t="s">
        <v>178</v>
      </c>
      <c r="AC1281" t="s">
        <v>1929</v>
      </c>
      <c r="AD1281" s="2" t="s">
        <v>180</v>
      </c>
    </row>
    <row r="1282" spans="1:30" hidden="1" x14ac:dyDescent="0.25">
      <c r="A1282" s="2">
        <v>322</v>
      </c>
      <c r="B1282" t="s">
        <v>1933</v>
      </c>
      <c r="C1282">
        <v>20</v>
      </c>
      <c r="D1282">
        <v>300</v>
      </c>
      <c r="E1282">
        <v>6464</v>
      </c>
      <c r="F1282" t="s">
        <v>273</v>
      </c>
      <c r="G1282" s="2" t="s">
        <v>156</v>
      </c>
      <c r="H1282">
        <v>1</v>
      </c>
      <c r="I1282">
        <v>304.45</v>
      </c>
      <c r="J1282" s="2" t="s">
        <v>170</v>
      </c>
      <c r="K1282" s="2" t="s">
        <v>74</v>
      </c>
      <c r="M1282" t="s">
        <v>1999</v>
      </c>
      <c r="P1282" s="19" t="s">
        <v>1573</v>
      </c>
      <c r="Q1282" s="19" t="s">
        <v>27</v>
      </c>
      <c r="R1282" s="19" t="s">
        <v>138</v>
      </c>
      <c r="W1282" s="20">
        <v>22</v>
      </c>
      <c r="X1282" s="65" t="s">
        <v>1572</v>
      </c>
      <c r="Z1282" t="s">
        <v>307</v>
      </c>
      <c r="AB1282" t="s">
        <v>178</v>
      </c>
      <c r="AC1282" t="s">
        <v>1929</v>
      </c>
      <c r="AD1282" s="2" t="s">
        <v>180</v>
      </c>
    </row>
    <row r="1283" spans="1:30" hidden="1" x14ac:dyDescent="0.25">
      <c r="A1283" s="2">
        <v>323</v>
      </c>
      <c r="B1283" t="s">
        <v>1934</v>
      </c>
      <c r="C1283">
        <v>20</v>
      </c>
      <c r="D1283">
        <v>300</v>
      </c>
      <c r="E1283">
        <v>6464</v>
      </c>
      <c r="F1283" t="s">
        <v>273</v>
      </c>
      <c r="G1283" s="2" t="s">
        <v>156</v>
      </c>
      <c r="H1283">
        <v>1</v>
      </c>
      <c r="I1283">
        <v>304.45</v>
      </c>
      <c r="J1283" s="2" t="s">
        <v>170</v>
      </c>
      <c r="K1283" s="2" t="s">
        <v>74</v>
      </c>
      <c r="M1283" t="s">
        <v>1999</v>
      </c>
      <c r="P1283" s="19" t="s">
        <v>1573</v>
      </c>
      <c r="Q1283" s="19" t="s">
        <v>27</v>
      </c>
      <c r="R1283" s="19" t="s">
        <v>138</v>
      </c>
      <c r="W1283" s="20">
        <v>22</v>
      </c>
      <c r="X1283" s="65" t="s">
        <v>1572</v>
      </c>
      <c r="Z1283" t="s">
        <v>307</v>
      </c>
      <c r="AB1283" t="s">
        <v>178</v>
      </c>
      <c r="AC1283" t="s">
        <v>1929</v>
      </c>
      <c r="AD1283" s="2" t="s">
        <v>180</v>
      </c>
    </row>
    <row r="1284" spans="1:30" hidden="1" x14ac:dyDescent="0.25">
      <c r="A1284" s="2">
        <v>324</v>
      </c>
      <c r="B1284" t="s">
        <v>1935</v>
      </c>
      <c r="C1284">
        <v>20</v>
      </c>
      <c r="D1284">
        <v>300</v>
      </c>
      <c r="E1284">
        <v>6464</v>
      </c>
      <c r="F1284" t="s">
        <v>273</v>
      </c>
      <c r="G1284" s="2" t="s">
        <v>156</v>
      </c>
      <c r="H1284">
        <v>1</v>
      </c>
      <c r="I1284">
        <v>304.45</v>
      </c>
      <c r="J1284" s="2" t="s">
        <v>170</v>
      </c>
      <c r="K1284" s="2" t="s">
        <v>74</v>
      </c>
      <c r="M1284" t="s">
        <v>1999</v>
      </c>
      <c r="P1284" s="19" t="s">
        <v>1573</v>
      </c>
      <c r="Q1284" s="19" t="s">
        <v>27</v>
      </c>
      <c r="R1284" s="19" t="s">
        <v>138</v>
      </c>
      <c r="W1284" s="20">
        <v>22</v>
      </c>
      <c r="X1284" s="65" t="s">
        <v>1572</v>
      </c>
      <c r="Z1284" t="s">
        <v>307</v>
      </c>
      <c r="AB1284" t="s">
        <v>178</v>
      </c>
      <c r="AC1284" t="s">
        <v>1929</v>
      </c>
      <c r="AD1284" s="2" t="s">
        <v>180</v>
      </c>
    </row>
    <row r="1285" spans="1:30" hidden="1" x14ac:dyDescent="0.25">
      <c r="A1285" s="2">
        <v>325</v>
      </c>
      <c r="B1285" t="s">
        <v>1936</v>
      </c>
      <c r="C1285">
        <v>20</v>
      </c>
      <c r="D1285">
        <v>300</v>
      </c>
      <c r="E1285">
        <v>6464</v>
      </c>
      <c r="F1285" t="s">
        <v>273</v>
      </c>
      <c r="G1285" s="2" t="s">
        <v>156</v>
      </c>
      <c r="H1285">
        <v>1</v>
      </c>
      <c r="I1285">
        <v>304.45</v>
      </c>
      <c r="J1285" s="2" t="s">
        <v>170</v>
      </c>
      <c r="K1285" s="2" t="s">
        <v>74</v>
      </c>
      <c r="M1285" t="s">
        <v>1999</v>
      </c>
      <c r="P1285" s="19" t="s">
        <v>1573</v>
      </c>
      <c r="Q1285" s="19" t="s">
        <v>27</v>
      </c>
      <c r="R1285" s="19" t="s">
        <v>138</v>
      </c>
      <c r="W1285" s="20">
        <v>22</v>
      </c>
      <c r="X1285" s="65" t="s">
        <v>1572</v>
      </c>
      <c r="Z1285" t="s">
        <v>307</v>
      </c>
      <c r="AB1285" t="s">
        <v>178</v>
      </c>
      <c r="AC1285" t="s">
        <v>1929</v>
      </c>
      <c r="AD1285" s="2" t="s">
        <v>180</v>
      </c>
    </row>
    <row r="1286" spans="1:30" hidden="1" x14ac:dyDescent="0.25">
      <c r="A1286" s="2">
        <v>326</v>
      </c>
      <c r="B1286" t="s">
        <v>1937</v>
      </c>
      <c r="C1286">
        <v>20</v>
      </c>
      <c r="D1286">
        <v>300</v>
      </c>
      <c r="E1286">
        <v>6464</v>
      </c>
      <c r="F1286" t="s">
        <v>273</v>
      </c>
      <c r="G1286" s="2" t="s">
        <v>156</v>
      </c>
      <c r="H1286">
        <v>1</v>
      </c>
      <c r="I1286">
        <v>304.45</v>
      </c>
      <c r="J1286" s="2" t="s">
        <v>170</v>
      </c>
      <c r="K1286" s="2" t="s">
        <v>74</v>
      </c>
      <c r="M1286" t="s">
        <v>1999</v>
      </c>
      <c r="P1286" s="19" t="s">
        <v>1573</v>
      </c>
      <c r="Q1286" s="19" t="s">
        <v>27</v>
      </c>
      <c r="R1286" s="19" t="s">
        <v>138</v>
      </c>
      <c r="W1286" s="20">
        <v>22</v>
      </c>
      <c r="X1286" s="65" t="s">
        <v>1572</v>
      </c>
      <c r="Z1286" t="s">
        <v>307</v>
      </c>
      <c r="AB1286" t="s">
        <v>178</v>
      </c>
      <c r="AC1286" t="s">
        <v>1929</v>
      </c>
      <c r="AD1286" s="2" t="s">
        <v>180</v>
      </c>
    </row>
    <row r="1287" spans="1:30" hidden="1" x14ac:dyDescent="0.25">
      <c r="A1287" s="2">
        <v>327</v>
      </c>
      <c r="B1287" t="s">
        <v>1938</v>
      </c>
      <c r="C1287">
        <v>20</v>
      </c>
      <c r="D1287">
        <v>300</v>
      </c>
      <c r="E1287">
        <v>6464</v>
      </c>
      <c r="F1287" t="s">
        <v>273</v>
      </c>
      <c r="G1287" s="2" t="s">
        <v>156</v>
      </c>
      <c r="H1287">
        <v>1</v>
      </c>
      <c r="I1287">
        <v>304.45</v>
      </c>
      <c r="J1287" s="2" t="s">
        <v>170</v>
      </c>
      <c r="K1287" s="2" t="s">
        <v>74</v>
      </c>
      <c r="M1287" t="s">
        <v>1999</v>
      </c>
      <c r="P1287" s="19" t="s">
        <v>1573</v>
      </c>
      <c r="Q1287" s="19" t="s">
        <v>27</v>
      </c>
      <c r="R1287" s="19" t="s">
        <v>138</v>
      </c>
      <c r="W1287" s="20">
        <v>22</v>
      </c>
      <c r="X1287" s="65" t="s">
        <v>1572</v>
      </c>
      <c r="Z1287" t="s">
        <v>307</v>
      </c>
      <c r="AB1287" t="s">
        <v>178</v>
      </c>
      <c r="AC1287" t="s">
        <v>1929</v>
      </c>
      <c r="AD1287" s="2" t="s">
        <v>180</v>
      </c>
    </row>
    <row r="1288" spans="1:30" hidden="1" x14ac:dyDescent="0.25">
      <c r="A1288" s="2">
        <v>328</v>
      </c>
      <c r="B1288" t="s">
        <v>1939</v>
      </c>
      <c r="C1288">
        <v>20</v>
      </c>
      <c r="D1288">
        <v>300</v>
      </c>
      <c r="E1288">
        <v>6464</v>
      </c>
      <c r="F1288" t="s">
        <v>273</v>
      </c>
      <c r="G1288" s="2" t="s">
        <v>156</v>
      </c>
      <c r="H1288">
        <v>1</v>
      </c>
      <c r="I1288">
        <v>304.45</v>
      </c>
      <c r="J1288" s="2" t="s">
        <v>170</v>
      </c>
      <c r="K1288" s="2" t="s">
        <v>74</v>
      </c>
      <c r="M1288" t="s">
        <v>1999</v>
      </c>
      <c r="P1288" s="19" t="s">
        <v>1573</v>
      </c>
      <c r="Q1288" s="19" t="s">
        <v>27</v>
      </c>
      <c r="R1288" s="19" t="s">
        <v>138</v>
      </c>
      <c r="W1288" s="20">
        <v>22</v>
      </c>
      <c r="X1288" s="65" t="s">
        <v>1572</v>
      </c>
      <c r="Z1288" t="s">
        <v>307</v>
      </c>
      <c r="AB1288" t="s">
        <v>178</v>
      </c>
      <c r="AC1288" t="s">
        <v>1929</v>
      </c>
      <c r="AD1288" s="2" t="s">
        <v>180</v>
      </c>
    </row>
    <row r="1289" spans="1:30" hidden="1" x14ac:dyDescent="0.25">
      <c r="A1289" s="2">
        <v>329</v>
      </c>
      <c r="B1289" t="s">
        <v>1940</v>
      </c>
      <c r="C1289">
        <v>20</v>
      </c>
      <c r="D1289">
        <v>300</v>
      </c>
      <c r="E1289">
        <v>6464</v>
      </c>
      <c r="F1289" t="s">
        <v>273</v>
      </c>
      <c r="G1289" s="2" t="s">
        <v>156</v>
      </c>
      <c r="H1289">
        <v>1</v>
      </c>
      <c r="I1289">
        <v>304.45</v>
      </c>
      <c r="J1289" s="2" t="s">
        <v>170</v>
      </c>
      <c r="K1289" s="2" t="s">
        <v>74</v>
      </c>
      <c r="M1289" t="s">
        <v>1999</v>
      </c>
      <c r="P1289" s="19" t="s">
        <v>1573</v>
      </c>
      <c r="Q1289" s="19" t="s">
        <v>27</v>
      </c>
      <c r="R1289" s="19" t="s">
        <v>138</v>
      </c>
      <c r="W1289" s="20">
        <v>22</v>
      </c>
      <c r="X1289" s="65" t="s">
        <v>1572</v>
      </c>
      <c r="Z1289" t="s">
        <v>307</v>
      </c>
      <c r="AB1289" t="s">
        <v>178</v>
      </c>
      <c r="AC1289" t="s">
        <v>1929</v>
      </c>
      <c r="AD1289" s="2" t="s">
        <v>180</v>
      </c>
    </row>
    <row r="1290" spans="1:30" hidden="1" x14ac:dyDescent="0.25">
      <c r="A1290" s="2">
        <v>330</v>
      </c>
      <c r="B1290" t="s">
        <v>1941</v>
      </c>
      <c r="C1290">
        <v>20</v>
      </c>
      <c r="D1290">
        <v>300</v>
      </c>
      <c r="E1290">
        <v>6464</v>
      </c>
      <c r="F1290" t="s">
        <v>273</v>
      </c>
      <c r="G1290" s="2" t="s">
        <v>156</v>
      </c>
      <c r="H1290">
        <v>1</v>
      </c>
      <c r="I1290">
        <v>304.45</v>
      </c>
      <c r="J1290" s="2" t="s">
        <v>170</v>
      </c>
      <c r="K1290" s="2" t="s">
        <v>74</v>
      </c>
      <c r="M1290" t="s">
        <v>1999</v>
      </c>
      <c r="P1290" s="19" t="s">
        <v>1573</v>
      </c>
      <c r="Q1290" s="19" t="s">
        <v>27</v>
      </c>
      <c r="R1290" s="19" t="s">
        <v>138</v>
      </c>
      <c r="W1290" s="20">
        <v>22</v>
      </c>
      <c r="X1290" s="65" t="s">
        <v>1572</v>
      </c>
      <c r="Z1290" t="s">
        <v>307</v>
      </c>
      <c r="AB1290" t="s">
        <v>178</v>
      </c>
      <c r="AC1290" t="s">
        <v>1929</v>
      </c>
      <c r="AD1290" s="2" t="s">
        <v>180</v>
      </c>
    </row>
    <row r="1291" spans="1:30" hidden="1" x14ac:dyDescent="0.25">
      <c r="A1291" s="2">
        <v>331</v>
      </c>
      <c r="B1291" t="s">
        <v>1942</v>
      </c>
      <c r="C1291">
        <v>20</v>
      </c>
      <c r="D1291">
        <v>300</v>
      </c>
      <c r="E1291">
        <v>6464</v>
      </c>
      <c r="F1291" t="s">
        <v>273</v>
      </c>
      <c r="G1291" s="2" t="s">
        <v>156</v>
      </c>
      <c r="H1291">
        <v>1</v>
      </c>
      <c r="I1291">
        <v>304.45</v>
      </c>
      <c r="J1291" s="2" t="s">
        <v>170</v>
      </c>
      <c r="K1291" s="2" t="s">
        <v>74</v>
      </c>
      <c r="M1291" t="s">
        <v>1999</v>
      </c>
      <c r="P1291" s="19" t="s">
        <v>1573</v>
      </c>
      <c r="Q1291" s="19" t="s">
        <v>27</v>
      </c>
      <c r="R1291" s="19" t="s">
        <v>138</v>
      </c>
      <c r="W1291" s="20">
        <v>22</v>
      </c>
      <c r="X1291" s="65" t="s">
        <v>1572</v>
      </c>
      <c r="Z1291" t="s">
        <v>307</v>
      </c>
      <c r="AB1291" t="s">
        <v>178</v>
      </c>
      <c r="AC1291" t="s">
        <v>1929</v>
      </c>
      <c r="AD1291" s="2" t="s">
        <v>180</v>
      </c>
    </row>
    <row r="1292" spans="1:30" hidden="1" x14ac:dyDescent="0.25">
      <c r="A1292" s="2">
        <v>332</v>
      </c>
      <c r="B1292" t="s">
        <v>1943</v>
      </c>
      <c r="C1292">
        <v>20</v>
      </c>
      <c r="D1292">
        <v>300</v>
      </c>
      <c r="E1292">
        <v>6464</v>
      </c>
      <c r="F1292" t="s">
        <v>273</v>
      </c>
      <c r="G1292" s="2" t="s">
        <v>156</v>
      </c>
      <c r="H1292">
        <v>1</v>
      </c>
      <c r="I1292">
        <v>304.45</v>
      </c>
      <c r="J1292" s="2" t="s">
        <v>170</v>
      </c>
      <c r="K1292" s="2" t="s">
        <v>74</v>
      </c>
      <c r="M1292" t="s">
        <v>1999</v>
      </c>
      <c r="P1292" s="19" t="s">
        <v>1573</v>
      </c>
      <c r="Q1292" s="19" t="s">
        <v>27</v>
      </c>
      <c r="R1292" s="19" t="s">
        <v>138</v>
      </c>
      <c r="W1292" s="20">
        <v>22</v>
      </c>
      <c r="X1292" s="65" t="s">
        <v>1572</v>
      </c>
      <c r="Z1292" t="s">
        <v>307</v>
      </c>
      <c r="AB1292" t="s">
        <v>178</v>
      </c>
      <c r="AC1292" t="s">
        <v>1929</v>
      </c>
      <c r="AD1292" s="2" t="s">
        <v>180</v>
      </c>
    </row>
    <row r="1293" spans="1:30" hidden="1" x14ac:dyDescent="0.25">
      <c r="A1293" s="2">
        <v>333</v>
      </c>
      <c r="B1293" t="s">
        <v>1944</v>
      </c>
      <c r="C1293">
        <v>20</v>
      </c>
      <c r="D1293">
        <v>300</v>
      </c>
      <c r="E1293">
        <v>6464</v>
      </c>
      <c r="F1293" t="s">
        <v>273</v>
      </c>
      <c r="G1293" s="2" t="s">
        <v>156</v>
      </c>
      <c r="H1293">
        <v>1</v>
      </c>
      <c r="I1293">
        <v>304.45</v>
      </c>
      <c r="J1293" s="2" t="s">
        <v>170</v>
      </c>
      <c r="K1293" s="2" t="s">
        <v>74</v>
      </c>
      <c r="M1293" t="s">
        <v>1999</v>
      </c>
      <c r="P1293" s="19" t="s">
        <v>1573</v>
      </c>
      <c r="Q1293" s="19" t="s">
        <v>27</v>
      </c>
      <c r="R1293" s="19" t="s">
        <v>138</v>
      </c>
      <c r="W1293" s="20">
        <v>22</v>
      </c>
      <c r="X1293" s="65" t="s">
        <v>1572</v>
      </c>
      <c r="Z1293" t="s">
        <v>307</v>
      </c>
      <c r="AB1293" t="s">
        <v>178</v>
      </c>
      <c r="AC1293" t="s">
        <v>1929</v>
      </c>
      <c r="AD1293" s="2" t="s">
        <v>180</v>
      </c>
    </row>
    <row r="1294" spans="1:30" hidden="1" x14ac:dyDescent="0.25">
      <c r="A1294" s="2">
        <v>334</v>
      </c>
      <c r="B1294" t="s">
        <v>1945</v>
      </c>
      <c r="C1294">
        <v>20</v>
      </c>
      <c r="D1294">
        <v>300</v>
      </c>
      <c r="E1294">
        <v>6464</v>
      </c>
      <c r="F1294" t="s">
        <v>273</v>
      </c>
      <c r="G1294" s="2" t="s">
        <v>156</v>
      </c>
      <c r="H1294">
        <v>1</v>
      </c>
      <c r="I1294">
        <v>304.45</v>
      </c>
      <c r="J1294" s="2" t="s">
        <v>170</v>
      </c>
      <c r="K1294" s="2" t="s">
        <v>74</v>
      </c>
      <c r="M1294" t="s">
        <v>1999</v>
      </c>
      <c r="P1294" s="19" t="s">
        <v>1573</v>
      </c>
      <c r="Q1294" s="19" t="s">
        <v>27</v>
      </c>
      <c r="R1294" s="19" t="s">
        <v>138</v>
      </c>
      <c r="W1294" s="20">
        <v>22</v>
      </c>
      <c r="X1294" s="65" t="s">
        <v>1572</v>
      </c>
      <c r="Z1294" t="s">
        <v>307</v>
      </c>
      <c r="AB1294" t="s">
        <v>178</v>
      </c>
      <c r="AC1294" t="s">
        <v>1929</v>
      </c>
      <c r="AD1294" s="2" t="s">
        <v>180</v>
      </c>
    </row>
    <row r="1295" spans="1:30" hidden="1" x14ac:dyDescent="0.25">
      <c r="A1295" s="2">
        <v>335</v>
      </c>
      <c r="B1295" t="s">
        <v>1946</v>
      </c>
      <c r="C1295">
        <v>20</v>
      </c>
      <c r="D1295">
        <v>300</v>
      </c>
      <c r="E1295">
        <v>9516</v>
      </c>
      <c r="F1295" t="s">
        <v>273</v>
      </c>
      <c r="G1295" s="2" t="s">
        <v>156</v>
      </c>
      <c r="H1295">
        <v>1</v>
      </c>
      <c r="I1295">
        <v>448.2</v>
      </c>
      <c r="J1295" s="2" t="s">
        <v>170</v>
      </c>
      <c r="K1295" s="2" t="s">
        <v>74</v>
      </c>
      <c r="M1295" t="s">
        <v>1999</v>
      </c>
      <c r="P1295" s="19" t="s">
        <v>1573</v>
      </c>
      <c r="Q1295" s="19" t="s">
        <v>27</v>
      </c>
      <c r="R1295" s="19" t="s">
        <v>138</v>
      </c>
      <c r="V1295" s="19" t="s">
        <v>138</v>
      </c>
      <c r="W1295" s="20">
        <v>22</v>
      </c>
      <c r="X1295" s="65" t="s">
        <v>1572</v>
      </c>
      <c r="Z1295" t="s">
        <v>307</v>
      </c>
      <c r="AB1295" t="s">
        <v>178</v>
      </c>
      <c r="AC1295" t="s">
        <v>1947</v>
      </c>
      <c r="AD1295" s="2" t="s">
        <v>180</v>
      </c>
    </row>
    <row r="1296" spans="1:30" hidden="1" x14ac:dyDescent="0.25">
      <c r="A1296" s="2">
        <v>336</v>
      </c>
      <c r="B1296" t="s">
        <v>1949</v>
      </c>
      <c r="C1296">
        <v>20</v>
      </c>
      <c r="D1296">
        <v>300</v>
      </c>
      <c r="E1296">
        <v>9516</v>
      </c>
      <c r="F1296" t="s">
        <v>273</v>
      </c>
      <c r="G1296" s="2" t="s">
        <v>156</v>
      </c>
      <c r="H1296">
        <v>1</v>
      </c>
      <c r="I1296">
        <v>448.2</v>
      </c>
      <c r="J1296" s="2" t="s">
        <v>170</v>
      </c>
      <c r="K1296" s="2" t="s">
        <v>74</v>
      </c>
      <c r="M1296" t="s">
        <v>1999</v>
      </c>
      <c r="P1296" s="19" t="s">
        <v>1573</v>
      </c>
      <c r="Q1296" s="19" t="s">
        <v>27</v>
      </c>
      <c r="R1296" s="19" t="s">
        <v>138</v>
      </c>
      <c r="V1296" s="19" t="s">
        <v>138</v>
      </c>
      <c r="W1296" s="20">
        <v>22</v>
      </c>
      <c r="X1296" s="65" t="s">
        <v>1572</v>
      </c>
      <c r="Z1296" t="s">
        <v>307</v>
      </c>
      <c r="AB1296" t="s">
        <v>178</v>
      </c>
      <c r="AC1296" t="s">
        <v>1947</v>
      </c>
      <c r="AD1296" s="2" t="s">
        <v>180</v>
      </c>
    </row>
    <row r="1297" spans="1:30" hidden="1" x14ac:dyDescent="0.25">
      <c r="A1297" s="2">
        <v>337</v>
      </c>
      <c r="B1297" t="s">
        <v>1950</v>
      </c>
      <c r="C1297">
        <v>20</v>
      </c>
      <c r="D1297">
        <v>300</v>
      </c>
      <c r="E1297">
        <v>9516</v>
      </c>
      <c r="F1297" t="s">
        <v>273</v>
      </c>
      <c r="G1297" s="2" t="s">
        <v>156</v>
      </c>
      <c r="H1297">
        <v>1</v>
      </c>
      <c r="I1297">
        <v>448.2</v>
      </c>
      <c r="J1297" s="2" t="s">
        <v>170</v>
      </c>
      <c r="K1297" s="2" t="s">
        <v>74</v>
      </c>
      <c r="M1297" t="s">
        <v>1999</v>
      </c>
      <c r="P1297" s="19" t="s">
        <v>1573</v>
      </c>
      <c r="Q1297" s="19" t="s">
        <v>27</v>
      </c>
      <c r="R1297" s="19" t="s">
        <v>138</v>
      </c>
      <c r="V1297" s="19" t="s">
        <v>138</v>
      </c>
      <c r="W1297" s="20">
        <v>22</v>
      </c>
      <c r="X1297" s="65" t="s">
        <v>1572</v>
      </c>
      <c r="Z1297" t="s">
        <v>307</v>
      </c>
      <c r="AB1297" t="s">
        <v>178</v>
      </c>
      <c r="AC1297" t="s">
        <v>1947</v>
      </c>
      <c r="AD1297" s="2" t="s">
        <v>180</v>
      </c>
    </row>
    <row r="1298" spans="1:30" hidden="1" x14ac:dyDescent="0.25">
      <c r="A1298" s="2">
        <v>338</v>
      </c>
      <c r="B1298" t="s">
        <v>1951</v>
      </c>
      <c r="C1298">
        <v>20</v>
      </c>
      <c r="D1298">
        <v>300</v>
      </c>
      <c r="E1298">
        <v>9516</v>
      </c>
      <c r="F1298" t="s">
        <v>273</v>
      </c>
      <c r="G1298" s="2" t="s">
        <v>156</v>
      </c>
      <c r="H1298">
        <v>1</v>
      </c>
      <c r="I1298">
        <v>448.2</v>
      </c>
      <c r="J1298" s="2" t="s">
        <v>170</v>
      </c>
      <c r="K1298" s="2" t="s">
        <v>74</v>
      </c>
      <c r="M1298" t="s">
        <v>1999</v>
      </c>
      <c r="P1298" s="19" t="s">
        <v>1573</v>
      </c>
      <c r="Q1298" s="19" t="s">
        <v>27</v>
      </c>
      <c r="R1298" s="19" t="s">
        <v>138</v>
      </c>
      <c r="V1298" s="19" t="s">
        <v>138</v>
      </c>
      <c r="W1298" s="20">
        <v>22</v>
      </c>
      <c r="X1298" s="65" t="s">
        <v>1572</v>
      </c>
      <c r="Z1298" t="s">
        <v>307</v>
      </c>
      <c r="AB1298" t="s">
        <v>178</v>
      </c>
      <c r="AC1298" t="s">
        <v>1947</v>
      </c>
      <c r="AD1298" s="2" t="s">
        <v>180</v>
      </c>
    </row>
    <row r="1299" spans="1:30" hidden="1" x14ac:dyDescent="0.25">
      <c r="A1299" s="2">
        <v>339</v>
      </c>
      <c r="B1299" t="s">
        <v>1952</v>
      </c>
      <c r="C1299">
        <v>20</v>
      </c>
      <c r="D1299">
        <v>300</v>
      </c>
      <c r="E1299">
        <v>9516</v>
      </c>
      <c r="F1299" t="s">
        <v>273</v>
      </c>
      <c r="G1299" s="2" t="s">
        <v>156</v>
      </c>
      <c r="H1299">
        <v>1</v>
      </c>
      <c r="I1299">
        <v>448.2</v>
      </c>
      <c r="J1299" s="2" t="s">
        <v>170</v>
      </c>
      <c r="K1299" s="2" t="s">
        <v>74</v>
      </c>
      <c r="M1299" t="s">
        <v>1999</v>
      </c>
      <c r="P1299" s="19" t="s">
        <v>1573</v>
      </c>
      <c r="Q1299" s="19" t="s">
        <v>27</v>
      </c>
      <c r="R1299" s="19" t="s">
        <v>138</v>
      </c>
      <c r="V1299" s="19" t="s">
        <v>138</v>
      </c>
      <c r="W1299" s="20">
        <v>22</v>
      </c>
      <c r="X1299" s="65" t="s">
        <v>1572</v>
      </c>
      <c r="Z1299" t="s">
        <v>307</v>
      </c>
      <c r="AB1299" t="s">
        <v>178</v>
      </c>
      <c r="AC1299" t="s">
        <v>1947</v>
      </c>
      <c r="AD1299" s="2" t="s">
        <v>180</v>
      </c>
    </row>
    <row r="1300" spans="1:30" hidden="1" x14ac:dyDescent="0.25">
      <c r="A1300" s="2">
        <v>340</v>
      </c>
      <c r="B1300" t="s">
        <v>1953</v>
      </c>
      <c r="C1300">
        <v>20</v>
      </c>
      <c r="D1300">
        <v>300</v>
      </c>
      <c r="E1300">
        <v>1383</v>
      </c>
      <c r="F1300" t="s">
        <v>273</v>
      </c>
      <c r="G1300" s="2" t="s">
        <v>156</v>
      </c>
      <c r="H1300">
        <v>1</v>
      </c>
      <c r="I1300">
        <v>65.14</v>
      </c>
      <c r="J1300" s="2" t="s">
        <v>170</v>
      </c>
      <c r="K1300" s="2" t="s">
        <v>74</v>
      </c>
      <c r="M1300" t="s">
        <v>1999</v>
      </c>
      <c r="P1300" s="19" t="s">
        <v>1573</v>
      </c>
      <c r="Q1300" s="19" t="s">
        <v>27</v>
      </c>
      <c r="R1300" s="19" t="s">
        <v>138</v>
      </c>
      <c r="V1300" s="19" t="s">
        <v>138</v>
      </c>
      <c r="W1300" s="20">
        <v>22</v>
      </c>
      <c r="X1300" s="65" t="s">
        <v>1572</v>
      </c>
      <c r="Z1300" t="s">
        <v>307</v>
      </c>
      <c r="AB1300" t="s">
        <v>178</v>
      </c>
      <c r="AC1300" t="s">
        <v>1947</v>
      </c>
      <c r="AD1300" s="2" t="s">
        <v>180</v>
      </c>
    </row>
    <row r="1301" spans="1:30" hidden="1" x14ac:dyDescent="0.25">
      <c r="A1301" s="2">
        <v>341</v>
      </c>
      <c r="B1301" t="s">
        <v>1954</v>
      </c>
      <c r="C1301">
        <v>20</v>
      </c>
      <c r="D1301">
        <v>300</v>
      </c>
      <c r="E1301">
        <v>1383</v>
      </c>
      <c r="F1301" t="s">
        <v>273</v>
      </c>
      <c r="G1301" s="2" t="s">
        <v>156</v>
      </c>
      <c r="H1301">
        <v>1</v>
      </c>
      <c r="I1301">
        <v>65.14</v>
      </c>
      <c r="J1301" s="2" t="s">
        <v>170</v>
      </c>
      <c r="K1301" s="2" t="s">
        <v>74</v>
      </c>
      <c r="M1301" t="s">
        <v>1999</v>
      </c>
      <c r="P1301" s="19" t="s">
        <v>1573</v>
      </c>
      <c r="Q1301" s="19" t="s">
        <v>27</v>
      </c>
      <c r="R1301" s="19" t="s">
        <v>138</v>
      </c>
      <c r="V1301" s="19" t="s">
        <v>138</v>
      </c>
      <c r="W1301" s="20">
        <v>22</v>
      </c>
      <c r="X1301" s="65" t="s">
        <v>1572</v>
      </c>
      <c r="Z1301" t="s">
        <v>307</v>
      </c>
      <c r="AB1301" t="s">
        <v>178</v>
      </c>
      <c r="AC1301" t="s">
        <v>1947</v>
      </c>
      <c r="AD1301" s="2" t="s">
        <v>180</v>
      </c>
    </row>
    <row r="1302" spans="1:30" hidden="1" x14ac:dyDescent="0.25">
      <c r="A1302" s="2">
        <v>342</v>
      </c>
      <c r="B1302" t="s">
        <v>1862</v>
      </c>
      <c r="C1302">
        <v>20</v>
      </c>
      <c r="D1302">
        <v>270</v>
      </c>
      <c r="E1302">
        <v>300</v>
      </c>
      <c r="F1302" t="s">
        <v>273</v>
      </c>
      <c r="G1302" s="2" t="s">
        <v>156</v>
      </c>
      <c r="H1302">
        <v>3</v>
      </c>
      <c r="I1302">
        <v>38.15</v>
      </c>
      <c r="J1302" s="2" t="s">
        <v>170</v>
      </c>
      <c r="K1302" s="2" t="s">
        <v>74</v>
      </c>
      <c r="M1302" t="s">
        <v>1999</v>
      </c>
      <c r="P1302" s="19" t="s">
        <v>1573</v>
      </c>
      <c r="Q1302" s="19" t="s">
        <v>25</v>
      </c>
      <c r="R1302" s="19" t="s">
        <v>138</v>
      </c>
      <c r="W1302" s="20">
        <v>22</v>
      </c>
      <c r="X1302" s="65" t="s">
        <v>1572</v>
      </c>
      <c r="Z1302" t="s">
        <v>307</v>
      </c>
      <c r="AB1302" t="s">
        <v>178</v>
      </c>
      <c r="AC1302" t="s">
        <v>1947</v>
      </c>
      <c r="AD1302" s="2" t="s">
        <v>180</v>
      </c>
    </row>
    <row r="1303" spans="1:30" hidden="1" x14ac:dyDescent="0.25">
      <c r="A1303" s="2">
        <v>343</v>
      </c>
      <c r="B1303" t="s">
        <v>1906</v>
      </c>
      <c r="C1303">
        <v>20</v>
      </c>
      <c r="D1303">
        <v>270</v>
      </c>
      <c r="E1303">
        <v>300</v>
      </c>
      <c r="F1303" t="s">
        <v>273</v>
      </c>
      <c r="G1303" s="2" t="s">
        <v>156</v>
      </c>
      <c r="H1303">
        <v>3</v>
      </c>
      <c r="I1303">
        <v>38.15</v>
      </c>
      <c r="J1303" s="2" t="s">
        <v>170</v>
      </c>
      <c r="K1303" s="2" t="s">
        <v>74</v>
      </c>
      <c r="M1303" t="s">
        <v>1999</v>
      </c>
      <c r="P1303" s="19" t="s">
        <v>1573</v>
      </c>
      <c r="Q1303" s="19" t="s">
        <v>25</v>
      </c>
      <c r="R1303" s="19" t="s">
        <v>138</v>
      </c>
      <c r="W1303" s="20">
        <v>22</v>
      </c>
      <c r="X1303" s="65" t="s">
        <v>1572</v>
      </c>
      <c r="Z1303" t="s">
        <v>307</v>
      </c>
      <c r="AB1303" t="s">
        <v>178</v>
      </c>
      <c r="AC1303" t="s">
        <v>1947</v>
      </c>
      <c r="AD1303" s="2" t="s">
        <v>180</v>
      </c>
    </row>
    <row r="1304" spans="1:30" hidden="1" x14ac:dyDescent="0.25">
      <c r="A1304" s="2">
        <v>344</v>
      </c>
      <c r="B1304" t="s">
        <v>1955</v>
      </c>
      <c r="C1304">
        <v>20</v>
      </c>
      <c r="D1304">
        <v>300</v>
      </c>
      <c r="E1304">
        <v>9980</v>
      </c>
      <c r="F1304" t="s">
        <v>273</v>
      </c>
      <c r="G1304" s="2" t="s">
        <v>156</v>
      </c>
      <c r="H1304">
        <v>1</v>
      </c>
      <c r="I1304">
        <v>470.06</v>
      </c>
      <c r="J1304" s="2" t="s">
        <v>170</v>
      </c>
      <c r="K1304" s="2" t="s">
        <v>74</v>
      </c>
      <c r="M1304" t="s">
        <v>1999</v>
      </c>
      <c r="P1304" s="19" t="s">
        <v>1573</v>
      </c>
      <c r="Q1304" s="19" t="s">
        <v>27</v>
      </c>
      <c r="R1304" s="19" t="s">
        <v>138</v>
      </c>
      <c r="W1304" s="20">
        <v>22</v>
      </c>
      <c r="X1304" s="65" t="s">
        <v>1572</v>
      </c>
      <c r="Z1304" t="s">
        <v>307</v>
      </c>
      <c r="AB1304" t="s">
        <v>178</v>
      </c>
      <c r="AC1304" t="s">
        <v>1947</v>
      </c>
      <c r="AD1304" s="2" t="s">
        <v>180</v>
      </c>
    </row>
    <row r="1305" spans="1:30" hidden="1" x14ac:dyDescent="0.25">
      <c r="A1305" s="2">
        <v>345</v>
      </c>
      <c r="B1305" t="s">
        <v>1956</v>
      </c>
      <c r="C1305">
        <v>20</v>
      </c>
      <c r="D1305">
        <v>300</v>
      </c>
      <c r="E1305">
        <v>9980</v>
      </c>
      <c r="F1305" t="s">
        <v>273</v>
      </c>
      <c r="G1305" s="2" t="s">
        <v>156</v>
      </c>
      <c r="H1305">
        <v>1</v>
      </c>
      <c r="I1305">
        <v>470.06</v>
      </c>
      <c r="J1305" s="2" t="s">
        <v>170</v>
      </c>
      <c r="K1305" s="2" t="s">
        <v>74</v>
      </c>
      <c r="M1305" t="s">
        <v>1999</v>
      </c>
      <c r="P1305" s="19" t="s">
        <v>1573</v>
      </c>
      <c r="Q1305" s="19" t="s">
        <v>27</v>
      </c>
      <c r="R1305" s="19" t="s">
        <v>138</v>
      </c>
      <c r="W1305" s="20">
        <v>22</v>
      </c>
      <c r="X1305" s="65" t="s">
        <v>1572</v>
      </c>
      <c r="Z1305" t="s">
        <v>307</v>
      </c>
      <c r="AB1305" t="s">
        <v>178</v>
      </c>
      <c r="AC1305" t="s">
        <v>1947</v>
      </c>
      <c r="AD1305" s="2" t="s">
        <v>180</v>
      </c>
    </row>
    <row r="1306" spans="1:30" hidden="1" x14ac:dyDescent="0.25">
      <c r="A1306" s="2">
        <v>346</v>
      </c>
      <c r="B1306" t="s">
        <v>1957</v>
      </c>
      <c r="C1306">
        <v>20</v>
      </c>
      <c r="D1306">
        <v>300</v>
      </c>
      <c r="E1306">
        <v>9980</v>
      </c>
      <c r="F1306" t="s">
        <v>273</v>
      </c>
      <c r="G1306" s="2" t="s">
        <v>156</v>
      </c>
      <c r="H1306">
        <v>1</v>
      </c>
      <c r="I1306">
        <v>470.06</v>
      </c>
      <c r="J1306" s="2" t="s">
        <v>170</v>
      </c>
      <c r="K1306" s="2" t="s">
        <v>74</v>
      </c>
      <c r="M1306" t="s">
        <v>1999</v>
      </c>
      <c r="P1306" s="19" t="s">
        <v>1573</v>
      </c>
      <c r="Q1306" s="19" t="s">
        <v>27</v>
      </c>
      <c r="R1306" s="19" t="s">
        <v>138</v>
      </c>
      <c r="W1306" s="20">
        <v>22</v>
      </c>
      <c r="X1306" s="65" t="s">
        <v>1572</v>
      </c>
      <c r="Z1306" t="s">
        <v>307</v>
      </c>
      <c r="AB1306" t="s">
        <v>178</v>
      </c>
      <c r="AC1306" t="s">
        <v>1947</v>
      </c>
      <c r="AD1306" s="2" t="s">
        <v>180</v>
      </c>
    </row>
    <row r="1307" spans="1:30" hidden="1" x14ac:dyDescent="0.25">
      <c r="A1307" s="2">
        <v>347</v>
      </c>
      <c r="B1307" t="s">
        <v>1958</v>
      </c>
      <c r="C1307">
        <v>20</v>
      </c>
      <c r="D1307">
        <v>300</v>
      </c>
      <c r="E1307">
        <v>1383</v>
      </c>
      <c r="F1307" t="s">
        <v>273</v>
      </c>
      <c r="G1307" s="2" t="s">
        <v>156</v>
      </c>
      <c r="H1307">
        <v>1</v>
      </c>
      <c r="I1307">
        <v>65.14</v>
      </c>
      <c r="J1307" s="2" t="s">
        <v>170</v>
      </c>
      <c r="K1307" s="2" t="s">
        <v>74</v>
      </c>
      <c r="M1307" t="s">
        <v>1999</v>
      </c>
      <c r="P1307" s="19" t="s">
        <v>1573</v>
      </c>
      <c r="Q1307" s="19" t="s">
        <v>27</v>
      </c>
      <c r="R1307" s="19" t="s">
        <v>138</v>
      </c>
      <c r="V1307" s="19" t="s">
        <v>138</v>
      </c>
      <c r="W1307" s="20">
        <v>22</v>
      </c>
      <c r="X1307" s="65" t="s">
        <v>1572</v>
      </c>
      <c r="Z1307" t="s">
        <v>307</v>
      </c>
      <c r="AB1307" t="s">
        <v>178</v>
      </c>
      <c r="AC1307" t="s">
        <v>1947</v>
      </c>
      <c r="AD1307" s="2" t="s">
        <v>180</v>
      </c>
    </row>
    <row r="1308" spans="1:30" hidden="1" x14ac:dyDescent="0.25">
      <c r="A1308" s="2">
        <v>348</v>
      </c>
      <c r="B1308" t="s">
        <v>1959</v>
      </c>
      <c r="C1308">
        <v>20</v>
      </c>
      <c r="D1308">
        <v>300</v>
      </c>
      <c r="E1308">
        <v>1383</v>
      </c>
      <c r="F1308" t="s">
        <v>273</v>
      </c>
      <c r="G1308" s="2" t="s">
        <v>156</v>
      </c>
      <c r="H1308">
        <v>1</v>
      </c>
      <c r="I1308">
        <v>65.14</v>
      </c>
      <c r="J1308" s="2" t="s">
        <v>170</v>
      </c>
      <c r="K1308" s="2" t="s">
        <v>74</v>
      </c>
      <c r="M1308" t="s">
        <v>1999</v>
      </c>
      <c r="P1308" s="19" t="s">
        <v>1573</v>
      </c>
      <c r="Q1308" s="19" t="s">
        <v>27</v>
      </c>
      <c r="R1308" s="19" t="s">
        <v>138</v>
      </c>
      <c r="V1308" s="19" t="s">
        <v>138</v>
      </c>
      <c r="W1308" s="20">
        <v>22</v>
      </c>
      <c r="X1308" s="65" t="s">
        <v>1572</v>
      </c>
      <c r="Z1308" t="s">
        <v>307</v>
      </c>
      <c r="AB1308" t="s">
        <v>178</v>
      </c>
      <c r="AC1308" t="s">
        <v>1947</v>
      </c>
      <c r="AD1308" s="2" t="s">
        <v>180</v>
      </c>
    </row>
    <row r="1309" spans="1:30" hidden="1" x14ac:dyDescent="0.25">
      <c r="A1309" s="2">
        <v>349</v>
      </c>
      <c r="B1309" t="s">
        <v>1960</v>
      </c>
      <c r="C1309">
        <v>20</v>
      </c>
      <c r="D1309">
        <v>300</v>
      </c>
      <c r="E1309">
        <v>1383</v>
      </c>
      <c r="F1309" t="s">
        <v>273</v>
      </c>
      <c r="G1309" s="2" t="s">
        <v>156</v>
      </c>
      <c r="H1309">
        <v>1</v>
      </c>
      <c r="I1309">
        <v>65.14</v>
      </c>
      <c r="J1309" s="2" t="s">
        <v>170</v>
      </c>
      <c r="K1309" s="2" t="s">
        <v>74</v>
      </c>
      <c r="M1309" t="s">
        <v>1999</v>
      </c>
      <c r="P1309" s="19" t="s">
        <v>1573</v>
      </c>
      <c r="Q1309" s="19" t="s">
        <v>27</v>
      </c>
      <c r="R1309" s="19" t="s">
        <v>138</v>
      </c>
      <c r="V1309" s="19" t="s">
        <v>138</v>
      </c>
      <c r="W1309" s="20">
        <v>22</v>
      </c>
      <c r="X1309" s="65" t="s">
        <v>1572</v>
      </c>
      <c r="Z1309" t="s">
        <v>307</v>
      </c>
      <c r="AB1309" t="s">
        <v>178</v>
      </c>
      <c r="AC1309" t="s">
        <v>1947</v>
      </c>
      <c r="AD1309" s="2" t="s">
        <v>180</v>
      </c>
    </row>
    <row r="1310" spans="1:30" hidden="1" x14ac:dyDescent="0.25">
      <c r="A1310" s="2">
        <v>350</v>
      </c>
      <c r="B1310" t="s">
        <v>1891</v>
      </c>
      <c r="C1310">
        <v>20</v>
      </c>
      <c r="D1310">
        <v>300</v>
      </c>
      <c r="E1310">
        <v>480</v>
      </c>
      <c r="F1310" t="s">
        <v>273</v>
      </c>
      <c r="G1310" s="2" t="s">
        <v>156</v>
      </c>
      <c r="H1310">
        <v>1</v>
      </c>
      <c r="I1310">
        <v>22.61</v>
      </c>
      <c r="J1310" s="2" t="s">
        <v>170</v>
      </c>
      <c r="K1310" s="2" t="s">
        <v>74</v>
      </c>
      <c r="M1310" t="s">
        <v>1999</v>
      </c>
      <c r="P1310" s="19" t="s">
        <v>1573</v>
      </c>
      <c r="Q1310" s="19" t="s">
        <v>25</v>
      </c>
      <c r="R1310" s="19" t="s">
        <v>138</v>
      </c>
      <c r="W1310" s="20">
        <v>22</v>
      </c>
      <c r="X1310" s="65" t="s">
        <v>1572</v>
      </c>
      <c r="Z1310" t="s">
        <v>307</v>
      </c>
      <c r="AB1310" t="s">
        <v>178</v>
      </c>
      <c r="AC1310" t="s">
        <v>1947</v>
      </c>
      <c r="AD1310" s="2" t="s">
        <v>180</v>
      </c>
    </row>
    <row r="1311" spans="1:30" hidden="1" x14ac:dyDescent="0.25">
      <c r="A1311" s="2">
        <v>351</v>
      </c>
      <c r="B1311" t="s">
        <v>1916</v>
      </c>
      <c r="C1311">
        <v>20</v>
      </c>
      <c r="D1311">
        <v>300</v>
      </c>
      <c r="E1311">
        <v>480</v>
      </c>
      <c r="F1311" t="s">
        <v>273</v>
      </c>
      <c r="G1311" s="2" t="s">
        <v>156</v>
      </c>
      <c r="H1311">
        <v>2</v>
      </c>
      <c r="I1311">
        <v>45.22</v>
      </c>
      <c r="J1311" s="2" t="s">
        <v>170</v>
      </c>
      <c r="K1311" s="2" t="s">
        <v>74</v>
      </c>
      <c r="M1311" t="s">
        <v>1999</v>
      </c>
      <c r="P1311" s="19" t="s">
        <v>1573</v>
      </c>
      <c r="Q1311" s="19" t="s">
        <v>25</v>
      </c>
      <c r="R1311" s="19" t="s">
        <v>138</v>
      </c>
      <c r="W1311" s="20">
        <v>22</v>
      </c>
      <c r="X1311" s="65" t="s">
        <v>1572</v>
      </c>
      <c r="Z1311" t="s">
        <v>307</v>
      </c>
      <c r="AB1311" t="s">
        <v>178</v>
      </c>
      <c r="AC1311" t="s">
        <v>1947</v>
      </c>
      <c r="AD1311" s="2" t="s">
        <v>180</v>
      </c>
    </row>
    <row r="1312" spans="1:30" hidden="1" x14ac:dyDescent="0.25">
      <c r="A1312" s="2">
        <v>352</v>
      </c>
      <c r="B1312" t="s">
        <v>1961</v>
      </c>
      <c r="C1312">
        <v>20</v>
      </c>
      <c r="D1312">
        <v>300</v>
      </c>
      <c r="E1312">
        <v>9516</v>
      </c>
      <c r="F1312" t="s">
        <v>273</v>
      </c>
      <c r="G1312" s="2" t="s">
        <v>156</v>
      </c>
      <c r="H1312">
        <v>1</v>
      </c>
      <c r="I1312">
        <v>448.2</v>
      </c>
      <c r="J1312" s="2" t="s">
        <v>170</v>
      </c>
      <c r="K1312" s="2" t="s">
        <v>74</v>
      </c>
      <c r="M1312" t="s">
        <v>1999</v>
      </c>
      <c r="P1312" s="19" t="s">
        <v>1573</v>
      </c>
      <c r="Q1312" s="19" t="s">
        <v>27</v>
      </c>
      <c r="R1312" s="19" t="s">
        <v>138</v>
      </c>
      <c r="V1312" s="19" t="s">
        <v>138</v>
      </c>
      <c r="W1312" s="20">
        <v>22</v>
      </c>
      <c r="X1312" s="65" t="s">
        <v>1572</v>
      </c>
      <c r="Z1312" t="s">
        <v>307</v>
      </c>
      <c r="AB1312" t="s">
        <v>178</v>
      </c>
      <c r="AC1312" t="s">
        <v>1962</v>
      </c>
      <c r="AD1312" s="2" t="s">
        <v>180</v>
      </c>
    </row>
    <row r="1313" spans="1:30" hidden="1" x14ac:dyDescent="0.25">
      <c r="A1313" s="2">
        <v>353</v>
      </c>
      <c r="B1313" t="s">
        <v>1964</v>
      </c>
      <c r="C1313">
        <v>20</v>
      </c>
      <c r="D1313">
        <v>300</v>
      </c>
      <c r="E1313">
        <v>9516</v>
      </c>
      <c r="F1313" t="s">
        <v>273</v>
      </c>
      <c r="G1313" s="2" t="s">
        <v>156</v>
      </c>
      <c r="H1313">
        <v>1</v>
      </c>
      <c r="I1313">
        <v>448.2</v>
      </c>
      <c r="J1313" s="2" t="s">
        <v>170</v>
      </c>
      <c r="K1313" s="2" t="s">
        <v>74</v>
      </c>
      <c r="M1313" t="s">
        <v>1999</v>
      </c>
      <c r="P1313" s="19" t="s">
        <v>1573</v>
      </c>
      <c r="Q1313" s="19" t="s">
        <v>27</v>
      </c>
      <c r="R1313" s="19" t="s">
        <v>138</v>
      </c>
      <c r="V1313" s="19" t="s">
        <v>138</v>
      </c>
      <c r="W1313" s="20">
        <v>22</v>
      </c>
      <c r="X1313" s="65" t="s">
        <v>1572</v>
      </c>
      <c r="Z1313" t="s">
        <v>307</v>
      </c>
      <c r="AB1313" t="s">
        <v>178</v>
      </c>
      <c r="AC1313" t="s">
        <v>1962</v>
      </c>
      <c r="AD1313" s="2" t="s">
        <v>180</v>
      </c>
    </row>
    <row r="1314" spans="1:30" hidden="1" x14ac:dyDescent="0.25">
      <c r="A1314" s="2">
        <v>354</v>
      </c>
      <c r="B1314" t="s">
        <v>1965</v>
      </c>
      <c r="C1314">
        <v>20</v>
      </c>
      <c r="D1314">
        <v>300</v>
      </c>
      <c r="E1314">
        <v>9516</v>
      </c>
      <c r="F1314" t="s">
        <v>273</v>
      </c>
      <c r="G1314" s="2" t="s">
        <v>156</v>
      </c>
      <c r="H1314">
        <v>1</v>
      </c>
      <c r="I1314">
        <v>448.2</v>
      </c>
      <c r="J1314" s="2" t="s">
        <v>170</v>
      </c>
      <c r="K1314" s="2" t="s">
        <v>74</v>
      </c>
      <c r="M1314" t="s">
        <v>1999</v>
      </c>
      <c r="P1314" s="19" t="s">
        <v>1573</v>
      </c>
      <c r="Q1314" s="19" t="s">
        <v>27</v>
      </c>
      <c r="R1314" s="19" t="s">
        <v>138</v>
      </c>
      <c r="V1314" s="19" t="s">
        <v>138</v>
      </c>
      <c r="W1314" s="20">
        <v>22</v>
      </c>
      <c r="X1314" s="65" t="s">
        <v>1572</v>
      </c>
      <c r="Z1314" t="s">
        <v>307</v>
      </c>
      <c r="AB1314" t="s">
        <v>178</v>
      </c>
      <c r="AC1314" t="s">
        <v>1962</v>
      </c>
      <c r="AD1314" s="2" t="s">
        <v>180</v>
      </c>
    </row>
    <row r="1315" spans="1:30" hidden="1" x14ac:dyDescent="0.25">
      <c r="A1315" s="2">
        <v>355</v>
      </c>
      <c r="B1315" t="s">
        <v>1966</v>
      </c>
      <c r="C1315">
        <v>20</v>
      </c>
      <c r="D1315">
        <v>300</v>
      </c>
      <c r="E1315">
        <v>9516</v>
      </c>
      <c r="F1315" t="s">
        <v>273</v>
      </c>
      <c r="G1315" s="2" t="s">
        <v>156</v>
      </c>
      <c r="H1315">
        <v>1</v>
      </c>
      <c r="I1315">
        <v>448.2</v>
      </c>
      <c r="J1315" s="2" t="s">
        <v>170</v>
      </c>
      <c r="K1315" s="2" t="s">
        <v>74</v>
      </c>
      <c r="M1315" t="s">
        <v>1999</v>
      </c>
      <c r="P1315" s="19" t="s">
        <v>1573</v>
      </c>
      <c r="Q1315" s="19" t="s">
        <v>27</v>
      </c>
      <c r="R1315" s="19" t="s">
        <v>138</v>
      </c>
      <c r="V1315" s="19" t="s">
        <v>138</v>
      </c>
      <c r="W1315" s="20">
        <v>22</v>
      </c>
      <c r="X1315" s="65" t="s">
        <v>1572</v>
      </c>
      <c r="Z1315" t="s">
        <v>307</v>
      </c>
      <c r="AB1315" t="s">
        <v>178</v>
      </c>
      <c r="AC1315" t="s">
        <v>1962</v>
      </c>
      <c r="AD1315" s="2" t="s">
        <v>180</v>
      </c>
    </row>
    <row r="1316" spans="1:30" hidden="1" x14ac:dyDescent="0.25">
      <c r="A1316" s="2">
        <v>356</v>
      </c>
      <c r="B1316" t="s">
        <v>1967</v>
      </c>
      <c r="C1316">
        <v>20</v>
      </c>
      <c r="D1316">
        <v>300</v>
      </c>
      <c r="E1316">
        <v>9516</v>
      </c>
      <c r="F1316" t="s">
        <v>273</v>
      </c>
      <c r="G1316" s="2" t="s">
        <v>156</v>
      </c>
      <c r="H1316">
        <v>1</v>
      </c>
      <c r="I1316">
        <v>448.2</v>
      </c>
      <c r="J1316" s="2" t="s">
        <v>170</v>
      </c>
      <c r="K1316" s="2" t="s">
        <v>74</v>
      </c>
      <c r="M1316" t="s">
        <v>1999</v>
      </c>
      <c r="P1316" s="19" t="s">
        <v>1573</v>
      </c>
      <c r="Q1316" s="19" t="s">
        <v>27</v>
      </c>
      <c r="R1316" s="19" t="s">
        <v>138</v>
      </c>
      <c r="V1316" s="19" t="s">
        <v>138</v>
      </c>
      <c r="W1316" s="20">
        <v>22</v>
      </c>
      <c r="X1316" s="65" t="s">
        <v>1572</v>
      </c>
      <c r="Z1316" t="s">
        <v>307</v>
      </c>
      <c r="AB1316" t="s">
        <v>178</v>
      </c>
      <c r="AC1316" t="s">
        <v>1962</v>
      </c>
      <c r="AD1316" s="2" t="s">
        <v>180</v>
      </c>
    </row>
    <row r="1317" spans="1:30" hidden="1" x14ac:dyDescent="0.25">
      <c r="A1317" s="2">
        <v>357</v>
      </c>
      <c r="B1317" t="s">
        <v>1968</v>
      </c>
      <c r="C1317">
        <v>20</v>
      </c>
      <c r="D1317">
        <v>300</v>
      </c>
      <c r="E1317">
        <v>1383</v>
      </c>
      <c r="F1317" t="s">
        <v>273</v>
      </c>
      <c r="G1317" s="2" t="s">
        <v>156</v>
      </c>
      <c r="H1317">
        <v>1</v>
      </c>
      <c r="I1317">
        <v>65.14</v>
      </c>
      <c r="J1317" s="2" t="s">
        <v>170</v>
      </c>
      <c r="K1317" s="2" t="s">
        <v>74</v>
      </c>
      <c r="M1317" t="s">
        <v>1999</v>
      </c>
      <c r="P1317" s="19" t="s">
        <v>1573</v>
      </c>
      <c r="Q1317" s="19" t="s">
        <v>27</v>
      </c>
      <c r="R1317" s="19" t="s">
        <v>138</v>
      </c>
      <c r="V1317" s="19" t="s">
        <v>138</v>
      </c>
      <c r="W1317" s="20">
        <v>22</v>
      </c>
      <c r="X1317" s="65" t="s">
        <v>1572</v>
      </c>
      <c r="Z1317" t="s">
        <v>307</v>
      </c>
      <c r="AB1317" t="s">
        <v>178</v>
      </c>
      <c r="AC1317" t="s">
        <v>1962</v>
      </c>
      <c r="AD1317" s="2" t="s">
        <v>180</v>
      </c>
    </row>
    <row r="1318" spans="1:30" hidden="1" x14ac:dyDescent="0.25">
      <c r="A1318" s="2">
        <v>358</v>
      </c>
      <c r="B1318" t="s">
        <v>1969</v>
      </c>
      <c r="C1318">
        <v>20</v>
      </c>
      <c r="D1318">
        <v>300</v>
      </c>
      <c r="E1318">
        <v>1383</v>
      </c>
      <c r="F1318" t="s">
        <v>273</v>
      </c>
      <c r="G1318" s="2" t="s">
        <v>156</v>
      </c>
      <c r="H1318">
        <v>1</v>
      </c>
      <c r="I1318">
        <v>65.14</v>
      </c>
      <c r="J1318" s="2" t="s">
        <v>170</v>
      </c>
      <c r="K1318" s="2" t="s">
        <v>74</v>
      </c>
      <c r="M1318" t="s">
        <v>1999</v>
      </c>
      <c r="P1318" s="19" t="s">
        <v>1573</v>
      </c>
      <c r="Q1318" s="19" t="s">
        <v>27</v>
      </c>
      <c r="R1318" s="19" t="s">
        <v>138</v>
      </c>
      <c r="V1318" s="19" t="s">
        <v>138</v>
      </c>
      <c r="W1318" s="20">
        <v>22</v>
      </c>
      <c r="X1318" s="65" t="s">
        <v>1572</v>
      </c>
      <c r="Z1318" t="s">
        <v>307</v>
      </c>
      <c r="AB1318" t="s">
        <v>178</v>
      </c>
      <c r="AC1318" t="s">
        <v>1962</v>
      </c>
      <c r="AD1318" s="2" t="s">
        <v>180</v>
      </c>
    </row>
    <row r="1319" spans="1:30" hidden="1" x14ac:dyDescent="0.25">
      <c r="A1319" s="2">
        <v>359</v>
      </c>
      <c r="B1319" t="s">
        <v>1970</v>
      </c>
      <c r="C1319">
        <v>20</v>
      </c>
      <c r="D1319">
        <v>300</v>
      </c>
      <c r="E1319">
        <v>1383</v>
      </c>
      <c r="F1319" t="s">
        <v>273</v>
      </c>
      <c r="G1319" s="2" t="s">
        <v>156</v>
      </c>
      <c r="H1319">
        <v>1</v>
      </c>
      <c r="I1319">
        <v>65.14</v>
      </c>
      <c r="J1319" s="2" t="s">
        <v>170</v>
      </c>
      <c r="K1319" s="2" t="s">
        <v>74</v>
      </c>
      <c r="M1319" t="s">
        <v>1999</v>
      </c>
      <c r="P1319" s="19" t="s">
        <v>1573</v>
      </c>
      <c r="Q1319" s="19" t="s">
        <v>27</v>
      </c>
      <c r="R1319" s="19" t="s">
        <v>138</v>
      </c>
      <c r="V1319" s="19" t="s">
        <v>138</v>
      </c>
      <c r="W1319" s="20">
        <v>22</v>
      </c>
      <c r="X1319" s="65" t="s">
        <v>1572</v>
      </c>
      <c r="Z1319" t="s">
        <v>307</v>
      </c>
      <c r="AB1319" t="s">
        <v>178</v>
      </c>
      <c r="AC1319" t="s">
        <v>1962</v>
      </c>
      <c r="AD1319" s="2" t="s">
        <v>180</v>
      </c>
    </row>
    <row r="1320" spans="1:30" hidden="1" x14ac:dyDescent="0.25">
      <c r="A1320" s="2">
        <v>360</v>
      </c>
      <c r="B1320" t="s">
        <v>1971</v>
      </c>
      <c r="C1320">
        <v>20</v>
      </c>
      <c r="D1320">
        <v>300</v>
      </c>
      <c r="E1320">
        <v>1383</v>
      </c>
      <c r="F1320" t="s">
        <v>273</v>
      </c>
      <c r="G1320" s="2" t="s">
        <v>156</v>
      </c>
      <c r="H1320">
        <v>1</v>
      </c>
      <c r="I1320">
        <v>65.14</v>
      </c>
      <c r="J1320" s="2" t="s">
        <v>170</v>
      </c>
      <c r="K1320" s="2" t="s">
        <v>74</v>
      </c>
      <c r="M1320" t="s">
        <v>1999</v>
      </c>
      <c r="P1320" s="19" t="s">
        <v>1573</v>
      </c>
      <c r="Q1320" s="19" t="s">
        <v>27</v>
      </c>
      <c r="R1320" s="19" t="s">
        <v>138</v>
      </c>
      <c r="V1320" s="19" t="s">
        <v>138</v>
      </c>
      <c r="W1320" s="20">
        <v>22</v>
      </c>
      <c r="X1320" s="65" t="s">
        <v>1572</v>
      </c>
      <c r="Z1320" t="s">
        <v>307</v>
      </c>
      <c r="AB1320" t="s">
        <v>178</v>
      </c>
      <c r="AC1320" t="s">
        <v>1962</v>
      </c>
      <c r="AD1320" s="2" t="s">
        <v>180</v>
      </c>
    </row>
    <row r="1321" spans="1:30" hidden="1" x14ac:dyDescent="0.25">
      <c r="A1321" s="2">
        <v>361</v>
      </c>
      <c r="B1321" t="s">
        <v>1972</v>
      </c>
      <c r="C1321">
        <v>20</v>
      </c>
      <c r="D1321">
        <v>300</v>
      </c>
      <c r="E1321">
        <v>1383</v>
      </c>
      <c r="F1321" t="s">
        <v>273</v>
      </c>
      <c r="G1321" s="2" t="s">
        <v>156</v>
      </c>
      <c r="H1321">
        <v>1</v>
      </c>
      <c r="I1321">
        <v>65.14</v>
      </c>
      <c r="J1321" s="2" t="s">
        <v>170</v>
      </c>
      <c r="K1321" s="2" t="s">
        <v>74</v>
      </c>
      <c r="M1321" t="s">
        <v>1999</v>
      </c>
      <c r="P1321" s="19" t="s">
        <v>1573</v>
      </c>
      <c r="Q1321" s="19" t="s">
        <v>27</v>
      </c>
      <c r="R1321" s="19" t="s">
        <v>138</v>
      </c>
      <c r="V1321" s="19" t="s">
        <v>138</v>
      </c>
      <c r="W1321" s="20">
        <v>22</v>
      </c>
      <c r="X1321" s="65" t="s">
        <v>1572</v>
      </c>
      <c r="Z1321" t="s">
        <v>307</v>
      </c>
      <c r="AB1321" t="s">
        <v>178</v>
      </c>
      <c r="AC1321" t="s">
        <v>1962</v>
      </c>
      <c r="AD1321" s="2" t="s">
        <v>180</v>
      </c>
    </row>
    <row r="1322" spans="1:30" hidden="1" x14ac:dyDescent="0.25">
      <c r="A1322" s="2">
        <v>362</v>
      </c>
      <c r="B1322" t="s">
        <v>1973</v>
      </c>
      <c r="C1322">
        <v>20</v>
      </c>
      <c r="D1322">
        <v>300</v>
      </c>
      <c r="E1322">
        <v>6232</v>
      </c>
      <c r="F1322" t="s">
        <v>273</v>
      </c>
      <c r="G1322" s="2" t="s">
        <v>156</v>
      </c>
      <c r="H1322">
        <v>1</v>
      </c>
      <c r="I1322">
        <v>293.52999999999997</v>
      </c>
      <c r="J1322" s="2" t="s">
        <v>170</v>
      </c>
      <c r="K1322" s="2" t="s">
        <v>74</v>
      </c>
      <c r="M1322" t="s">
        <v>1999</v>
      </c>
      <c r="P1322" s="19" t="s">
        <v>1573</v>
      </c>
      <c r="Q1322" s="19" t="s">
        <v>27</v>
      </c>
      <c r="R1322" s="19" t="s">
        <v>138</v>
      </c>
      <c r="W1322" s="20">
        <v>22</v>
      </c>
      <c r="X1322" s="65" t="s">
        <v>1572</v>
      </c>
      <c r="Z1322" t="s">
        <v>307</v>
      </c>
      <c r="AB1322" t="s">
        <v>178</v>
      </c>
      <c r="AC1322" t="s">
        <v>1974</v>
      </c>
      <c r="AD1322" s="2" t="s">
        <v>180</v>
      </c>
    </row>
    <row r="1323" spans="1:30" hidden="1" x14ac:dyDescent="0.25">
      <c r="A1323" s="2">
        <v>363</v>
      </c>
      <c r="B1323" t="s">
        <v>1976</v>
      </c>
      <c r="C1323">
        <v>20</v>
      </c>
      <c r="D1323">
        <v>300</v>
      </c>
      <c r="E1323">
        <v>9068</v>
      </c>
      <c r="F1323" t="s">
        <v>273</v>
      </c>
      <c r="G1323" s="2" t="s">
        <v>156</v>
      </c>
      <c r="H1323">
        <v>1</v>
      </c>
      <c r="I1323">
        <v>427.1</v>
      </c>
      <c r="J1323" s="2" t="s">
        <v>170</v>
      </c>
      <c r="K1323" s="2" t="s">
        <v>74</v>
      </c>
      <c r="M1323" t="s">
        <v>1999</v>
      </c>
      <c r="P1323" s="19" t="s">
        <v>1573</v>
      </c>
      <c r="Q1323" s="19" t="s">
        <v>27</v>
      </c>
      <c r="R1323" s="19" t="s">
        <v>138</v>
      </c>
      <c r="W1323" s="20">
        <v>22</v>
      </c>
      <c r="X1323" s="65" t="s">
        <v>1572</v>
      </c>
      <c r="Z1323" t="s">
        <v>307</v>
      </c>
      <c r="AB1323" t="s">
        <v>178</v>
      </c>
      <c r="AC1323" t="s">
        <v>1974</v>
      </c>
      <c r="AD1323" s="2" t="s">
        <v>180</v>
      </c>
    </row>
    <row r="1324" spans="1:30" hidden="1" x14ac:dyDescent="0.25">
      <c r="A1324" s="2">
        <v>364</v>
      </c>
      <c r="B1324" t="s">
        <v>1977</v>
      </c>
      <c r="C1324">
        <v>20</v>
      </c>
      <c r="D1324">
        <v>1436</v>
      </c>
      <c r="E1324">
        <v>9068</v>
      </c>
      <c r="F1324" t="s">
        <v>273</v>
      </c>
      <c r="G1324" s="2" t="s">
        <v>156</v>
      </c>
      <c r="H1324">
        <v>1</v>
      </c>
      <c r="I1324">
        <v>2029.94</v>
      </c>
      <c r="J1324" s="2" t="s">
        <v>170</v>
      </c>
      <c r="K1324" s="2" t="s">
        <v>74</v>
      </c>
      <c r="M1324" t="s">
        <v>1999</v>
      </c>
      <c r="P1324" s="19" t="s">
        <v>1573</v>
      </c>
      <c r="Q1324" s="19" t="s">
        <v>27</v>
      </c>
      <c r="R1324" s="19" t="s">
        <v>138</v>
      </c>
      <c r="W1324" s="20">
        <v>22</v>
      </c>
      <c r="X1324" s="65" t="s">
        <v>1572</v>
      </c>
      <c r="Z1324" t="s">
        <v>307</v>
      </c>
      <c r="AB1324" t="s">
        <v>178</v>
      </c>
      <c r="AC1324" t="s">
        <v>1974</v>
      </c>
      <c r="AD1324" s="2" t="s">
        <v>180</v>
      </c>
    </row>
    <row r="1325" spans="1:30" hidden="1" x14ac:dyDescent="0.25">
      <c r="A1325" s="2">
        <v>365</v>
      </c>
      <c r="B1325" t="s">
        <v>1978</v>
      </c>
      <c r="C1325">
        <v>20</v>
      </c>
      <c r="D1325">
        <v>300</v>
      </c>
      <c r="E1325">
        <v>9068</v>
      </c>
      <c r="F1325" t="s">
        <v>273</v>
      </c>
      <c r="G1325" s="2" t="s">
        <v>156</v>
      </c>
      <c r="H1325">
        <v>1</v>
      </c>
      <c r="I1325">
        <v>427.1</v>
      </c>
      <c r="J1325" s="2" t="s">
        <v>170</v>
      </c>
      <c r="K1325" s="2" t="s">
        <v>74</v>
      </c>
      <c r="M1325" t="s">
        <v>1999</v>
      </c>
      <c r="P1325" s="19" t="s">
        <v>1573</v>
      </c>
      <c r="Q1325" s="19" t="s">
        <v>27</v>
      </c>
      <c r="R1325" s="19" t="s">
        <v>138</v>
      </c>
      <c r="W1325" s="20">
        <v>22</v>
      </c>
      <c r="X1325" s="65" t="s">
        <v>1572</v>
      </c>
      <c r="Z1325" t="s">
        <v>307</v>
      </c>
      <c r="AB1325" t="s">
        <v>178</v>
      </c>
      <c r="AC1325" t="s">
        <v>1974</v>
      </c>
      <c r="AD1325" s="2" t="s">
        <v>180</v>
      </c>
    </row>
    <row r="1326" spans="1:30" hidden="1" x14ac:dyDescent="0.25">
      <c r="A1326" s="2">
        <v>366</v>
      </c>
      <c r="B1326" t="s">
        <v>1979</v>
      </c>
      <c r="C1326">
        <v>20</v>
      </c>
      <c r="D1326">
        <v>300</v>
      </c>
      <c r="E1326">
        <v>8016</v>
      </c>
      <c r="F1326" t="s">
        <v>273</v>
      </c>
      <c r="G1326" s="2" t="s">
        <v>156</v>
      </c>
      <c r="H1326">
        <v>1</v>
      </c>
      <c r="I1326">
        <v>377.55</v>
      </c>
      <c r="J1326" s="2" t="s">
        <v>170</v>
      </c>
      <c r="K1326" s="2" t="s">
        <v>74</v>
      </c>
      <c r="M1326" t="s">
        <v>1999</v>
      </c>
      <c r="P1326" s="19" t="s">
        <v>1573</v>
      </c>
      <c r="Q1326" s="19" t="s">
        <v>27</v>
      </c>
      <c r="R1326" s="19" t="s">
        <v>138</v>
      </c>
      <c r="V1326" s="19" t="s">
        <v>138</v>
      </c>
      <c r="W1326" s="20">
        <v>22</v>
      </c>
      <c r="X1326" s="65" t="s">
        <v>1572</v>
      </c>
      <c r="Z1326" t="s">
        <v>307</v>
      </c>
      <c r="AB1326" t="s">
        <v>178</v>
      </c>
      <c r="AC1326" t="s">
        <v>1980</v>
      </c>
      <c r="AD1326" s="2" t="s">
        <v>180</v>
      </c>
    </row>
    <row r="1327" spans="1:30" hidden="1" x14ac:dyDescent="0.25">
      <c r="A1327" s="2">
        <v>367</v>
      </c>
      <c r="B1327" t="s">
        <v>1982</v>
      </c>
      <c r="C1327">
        <v>20</v>
      </c>
      <c r="D1327">
        <v>1436</v>
      </c>
      <c r="E1327">
        <v>9068</v>
      </c>
      <c r="F1327" t="s">
        <v>273</v>
      </c>
      <c r="G1327" s="2" t="s">
        <v>156</v>
      </c>
      <c r="H1327">
        <v>1</v>
      </c>
      <c r="I1327">
        <v>2029.94</v>
      </c>
      <c r="J1327" s="2" t="s">
        <v>170</v>
      </c>
      <c r="K1327" s="2" t="s">
        <v>74</v>
      </c>
      <c r="M1327" t="s">
        <v>1999</v>
      </c>
      <c r="P1327" s="19" t="s">
        <v>1573</v>
      </c>
      <c r="Q1327" s="19" t="s">
        <v>27</v>
      </c>
      <c r="R1327" s="19" t="s">
        <v>138</v>
      </c>
      <c r="W1327" s="20">
        <v>22</v>
      </c>
      <c r="X1327" s="65" t="s">
        <v>1572</v>
      </c>
      <c r="Z1327" t="s">
        <v>307</v>
      </c>
      <c r="AB1327" t="s">
        <v>178</v>
      </c>
      <c r="AC1327" t="s">
        <v>1980</v>
      </c>
      <c r="AD1327" s="2" t="s">
        <v>180</v>
      </c>
    </row>
    <row r="1328" spans="1:30" hidden="1" x14ac:dyDescent="0.25">
      <c r="A1328" s="2">
        <v>368</v>
      </c>
      <c r="B1328" t="s">
        <v>1983</v>
      </c>
      <c r="C1328">
        <v>20</v>
      </c>
      <c r="D1328">
        <v>300</v>
      </c>
      <c r="E1328">
        <v>8016</v>
      </c>
      <c r="F1328" t="s">
        <v>273</v>
      </c>
      <c r="G1328" s="2" t="s">
        <v>156</v>
      </c>
      <c r="H1328">
        <v>1</v>
      </c>
      <c r="I1328">
        <v>377.55</v>
      </c>
      <c r="J1328" s="2" t="s">
        <v>170</v>
      </c>
      <c r="K1328" s="2" t="s">
        <v>74</v>
      </c>
      <c r="M1328" t="s">
        <v>1999</v>
      </c>
      <c r="P1328" s="19" t="s">
        <v>1573</v>
      </c>
      <c r="Q1328" s="19" t="s">
        <v>27</v>
      </c>
      <c r="R1328" s="19" t="s">
        <v>138</v>
      </c>
      <c r="V1328" s="19" t="s">
        <v>138</v>
      </c>
      <c r="W1328" s="20">
        <v>22</v>
      </c>
      <c r="X1328" s="65" t="s">
        <v>1572</v>
      </c>
      <c r="Z1328" t="s">
        <v>307</v>
      </c>
      <c r="AB1328" t="s">
        <v>178</v>
      </c>
      <c r="AC1328" t="s">
        <v>1980</v>
      </c>
      <c r="AD1328" s="2" t="s">
        <v>180</v>
      </c>
    </row>
    <row r="1329" spans="1:30" hidden="1" x14ac:dyDescent="0.25">
      <c r="A1329" s="2">
        <v>369</v>
      </c>
      <c r="B1329" t="s">
        <v>1984</v>
      </c>
      <c r="C1329">
        <v>20</v>
      </c>
      <c r="D1329">
        <v>300</v>
      </c>
      <c r="E1329">
        <v>6232</v>
      </c>
      <c r="F1329" t="s">
        <v>273</v>
      </c>
      <c r="G1329" s="2" t="s">
        <v>156</v>
      </c>
      <c r="H1329">
        <v>1</v>
      </c>
      <c r="I1329">
        <v>293.52999999999997</v>
      </c>
      <c r="J1329" s="2" t="s">
        <v>170</v>
      </c>
      <c r="K1329" s="2" t="s">
        <v>74</v>
      </c>
      <c r="M1329" t="s">
        <v>1999</v>
      </c>
      <c r="P1329" s="19" t="s">
        <v>1573</v>
      </c>
      <c r="Q1329" s="19" t="s">
        <v>27</v>
      </c>
      <c r="R1329" s="19" t="s">
        <v>138</v>
      </c>
      <c r="W1329" s="20">
        <v>22</v>
      </c>
      <c r="X1329" s="65" t="s">
        <v>1572</v>
      </c>
      <c r="Z1329" t="s">
        <v>307</v>
      </c>
      <c r="AB1329" t="s">
        <v>178</v>
      </c>
      <c r="AC1329" t="s">
        <v>1980</v>
      </c>
      <c r="AD1329" s="2" t="s">
        <v>180</v>
      </c>
    </row>
    <row r="1330" spans="1:30" hidden="1" x14ac:dyDescent="0.25">
      <c r="A1330" s="2">
        <v>370</v>
      </c>
      <c r="B1330" t="s">
        <v>1985</v>
      </c>
      <c r="C1330">
        <v>20</v>
      </c>
      <c r="D1330">
        <v>300</v>
      </c>
      <c r="E1330">
        <v>7800</v>
      </c>
      <c r="F1330" t="s">
        <v>273</v>
      </c>
      <c r="G1330" s="2" t="s">
        <v>156</v>
      </c>
      <c r="H1330">
        <v>2</v>
      </c>
      <c r="I1330">
        <v>734.76</v>
      </c>
      <c r="J1330" s="2" t="s">
        <v>170</v>
      </c>
      <c r="K1330" s="2" t="s">
        <v>74</v>
      </c>
      <c r="M1330" t="s">
        <v>1999</v>
      </c>
      <c r="P1330" s="19" t="s">
        <v>1573</v>
      </c>
      <c r="Q1330" s="19" t="s">
        <v>27</v>
      </c>
      <c r="R1330" s="19" t="s">
        <v>138</v>
      </c>
      <c r="W1330" s="20">
        <v>22</v>
      </c>
      <c r="X1330" s="65" t="s">
        <v>1572</v>
      </c>
      <c r="Z1330" t="s">
        <v>307</v>
      </c>
      <c r="AB1330" t="s">
        <v>178</v>
      </c>
      <c r="AC1330" t="s">
        <v>1986</v>
      </c>
      <c r="AD1330" s="2" t="s">
        <v>180</v>
      </c>
    </row>
    <row r="1331" spans="1:30" hidden="1" x14ac:dyDescent="0.25">
      <c r="A1331" s="2">
        <v>371</v>
      </c>
      <c r="B1331" t="s">
        <v>1988</v>
      </c>
      <c r="C1331">
        <v>20</v>
      </c>
      <c r="D1331">
        <v>300</v>
      </c>
      <c r="E1331">
        <v>7800</v>
      </c>
      <c r="F1331" t="s">
        <v>273</v>
      </c>
      <c r="G1331" s="2" t="s">
        <v>156</v>
      </c>
      <c r="H1331">
        <v>2</v>
      </c>
      <c r="I1331">
        <v>734.76</v>
      </c>
      <c r="J1331" s="2" t="s">
        <v>170</v>
      </c>
      <c r="K1331" s="2" t="s">
        <v>74</v>
      </c>
      <c r="M1331" t="s">
        <v>1999</v>
      </c>
      <c r="P1331" s="19" t="s">
        <v>1573</v>
      </c>
      <c r="Q1331" s="19" t="s">
        <v>27</v>
      </c>
      <c r="R1331" s="19" t="s">
        <v>138</v>
      </c>
      <c r="W1331" s="20">
        <v>22</v>
      </c>
      <c r="X1331" s="65" t="s">
        <v>1572</v>
      </c>
      <c r="Z1331" t="s">
        <v>307</v>
      </c>
      <c r="AB1331" t="s">
        <v>178</v>
      </c>
      <c r="AC1331" t="s">
        <v>1986</v>
      </c>
      <c r="AD1331" s="2" t="s">
        <v>180</v>
      </c>
    </row>
    <row r="1332" spans="1:30" hidden="1" x14ac:dyDescent="0.25">
      <c r="A1332" s="2">
        <v>372</v>
      </c>
      <c r="B1332" t="s">
        <v>1989</v>
      </c>
      <c r="C1332">
        <v>32</v>
      </c>
      <c r="D1332">
        <v>550</v>
      </c>
      <c r="E1332">
        <v>7896</v>
      </c>
      <c r="F1332" t="s">
        <v>273</v>
      </c>
      <c r="G1332" s="2" t="s">
        <v>156</v>
      </c>
      <c r="H1332">
        <v>1</v>
      </c>
      <c r="I1332">
        <v>1090.9100000000001</v>
      </c>
      <c r="J1332" s="2" t="s">
        <v>170</v>
      </c>
      <c r="K1332" s="2" t="s">
        <v>74</v>
      </c>
      <c r="M1332" t="s">
        <v>1999</v>
      </c>
      <c r="P1332" s="19" t="s">
        <v>1573</v>
      </c>
      <c r="Q1332" s="19" t="s">
        <v>27</v>
      </c>
      <c r="S1332" s="19" t="s">
        <v>138</v>
      </c>
      <c r="V1332" s="19" t="s">
        <v>138</v>
      </c>
      <c r="W1332" s="20">
        <v>22</v>
      </c>
      <c r="X1332" s="65" t="s">
        <v>1572</v>
      </c>
      <c r="Z1332" t="s">
        <v>307</v>
      </c>
      <c r="AB1332" t="s">
        <v>178</v>
      </c>
      <c r="AC1332" t="s">
        <v>1990</v>
      </c>
      <c r="AD1332" s="2" t="s">
        <v>1991</v>
      </c>
    </row>
    <row r="1333" spans="1:30" hidden="1" x14ac:dyDescent="0.25">
      <c r="A1333" s="2">
        <v>373</v>
      </c>
      <c r="B1333" t="s">
        <v>1993</v>
      </c>
      <c r="C1333">
        <v>32</v>
      </c>
      <c r="D1333">
        <v>550</v>
      </c>
      <c r="E1333">
        <v>7896</v>
      </c>
      <c r="F1333" t="s">
        <v>273</v>
      </c>
      <c r="G1333" s="2" t="s">
        <v>156</v>
      </c>
      <c r="H1333">
        <v>1</v>
      </c>
      <c r="I1333">
        <v>1090.9100000000001</v>
      </c>
      <c r="J1333" s="2" t="s">
        <v>170</v>
      </c>
      <c r="K1333" s="2" t="s">
        <v>74</v>
      </c>
      <c r="M1333" t="s">
        <v>1999</v>
      </c>
      <c r="P1333" s="19" t="s">
        <v>1573</v>
      </c>
      <c r="Q1333" s="19" t="s">
        <v>27</v>
      </c>
      <c r="S1333" s="19" t="s">
        <v>138</v>
      </c>
      <c r="V1333" s="19" t="s">
        <v>138</v>
      </c>
      <c r="W1333" s="20">
        <v>22</v>
      </c>
      <c r="X1333" s="65" t="s">
        <v>1572</v>
      </c>
      <c r="Z1333" t="s">
        <v>307</v>
      </c>
      <c r="AB1333" t="s">
        <v>178</v>
      </c>
      <c r="AC1333" t="s">
        <v>1990</v>
      </c>
      <c r="AD1333" s="2" t="s">
        <v>1991</v>
      </c>
    </row>
    <row r="1334" spans="1:30" hidden="1" x14ac:dyDescent="0.25">
      <c r="A1334" s="2">
        <v>374</v>
      </c>
      <c r="B1334" t="s">
        <v>1994</v>
      </c>
      <c r="C1334">
        <v>32</v>
      </c>
      <c r="D1334">
        <v>550</v>
      </c>
      <c r="E1334">
        <v>7660</v>
      </c>
      <c r="F1334" t="s">
        <v>273</v>
      </c>
      <c r="G1334" s="2" t="s">
        <v>156</v>
      </c>
      <c r="H1334">
        <v>2</v>
      </c>
      <c r="I1334">
        <v>2116.61</v>
      </c>
      <c r="J1334" s="2" t="s">
        <v>170</v>
      </c>
      <c r="K1334" s="2" t="s">
        <v>74</v>
      </c>
      <c r="M1334" t="s">
        <v>1999</v>
      </c>
      <c r="P1334" s="19" t="s">
        <v>1573</v>
      </c>
      <c r="Q1334" s="19" t="s">
        <v>27</v>
      </c>
      <c r="R1334" s="19" t="s">
        <v>138</v>
      </c>
      <c r="W1334" s="20">
        <v>22</v>
      </c>
      <c r="X1334" s="65" t="s">
        <v>1572</v>
      </c>
      <c r="Z1334" t="s">
        <v>307</v>
      </c>
      <c r="AB1334" t="s">
        <v>178</v>
      </c>
      <c r="AC1334" t="s">
        <v>1995</v>
      </c>
      <c r="AD1334" s="2" t="s">
        <v>180</v>
      </c>
    </row>
    <row r="1335" spans="1:30" hidden="1" x14ac:dyDescent="0.25">
      <c r="A1335" s="2">
        <v>375</v>
      </c>
      <c r="B1335" t="s">
        <v>1997</v>
      </c>
      <c r="C1335">
        <v>32</v>
      </c>
      <c r="D1335">
        <v>550</v>
      </c>
      <c r="E1335">
        <v>7660</v>
      </c>
      <c r="F1335" t="s">
        <v>273</v>
      </c>
      <c r="G1335" s="2" t="s">
        <v>156</v>
      </c>
      <c r="H1335">
        <v>2</v>
      </c>
      <c r="I1335">
        <v>2116.61</v>
      </c>
      <c r="J1335" s="2" t="s">
        <v>170</v>
      </c>
      <c r="K1335" s="2" t="s">
        <v>74</v>
      </c>
      <c r="M1335" t="s">
        <v>1999</v>
      </c>
      <c r="P1335" s="19" t="s">
        <v>1573</v>
      </c>
      <c r="Q1335" s="19" t="s">
        <v>27</v>
      </c>
      <c r="R1335" s="19" t="s">
        <v>138</v>
      </c>
      <c r="W1335" s="20">
        <v>22</v>
      </c>
      <c r="X1335" s="65" t="s">
        <v>1572</v>
      </c>
      <c r="Z1335" t="s">
        <v>307</v>
      </c>
      <c r="AB1335" t="s">
        <v>178</v>
      </c>
      <c r="AC1335" t="s">
        <v>1995</v>
      </c>
      <c r="AD1335" s="2" t="s">
        <v>180</v>
      </c>
    </row>
    <row r="1336" spans="1:30" hidden="1" x14ac:dyDescent="0.25">
      <c r="A1336" s="2">
        <v>1</v>
      </c>
      <c r="B1336" t="s">
        <v>2008</v>
      </c>
      <c r="C1336">
        <v>12</v>
      </c>
      <c r="D1336">
        <v>135</v>
      </c>
      <c r="E1336">
        <v>488</v>
      </c>
      <c r="F1336" t="s">
        <v>273</v>
      </c>
      <c r="G1336" s="2" t="s">
        <v>156</v>
      </c>
      <c r="H1336">
        <v>2</v>
      </c>
      <c r="I1336">
        <v>12.38</v>
      </c>
      <c r="J1336" s="2" t="s">
        <v>170</v>
      </c>
      <c r="K1336" s="2" t="s">
        <v>74</v>
      </c>
      <c r="M1336" t="s">
        <v>2440</v>
      </c>
      <c r="P1336" s="19" t="s">
        <v>2011</v>
      </c>
      <c r="Q1336" s="19" t="s">
        <v>25</v>
      </c>
      <c r="S1336" s="19" t="s">
        <v>138</v>
      </c>
      <c r="W1336" s="20">
        <v>23</v>
      </c>
      <c r="X1336" s="65" t="s">
        <v>2010</v>
      </c>
      <c r="Z1336" t="s">
        <v>307</v>
      </c>
      <c r="AB1336" t="s">
        <v>178</v>
      </c>
      <c r="AC1336" t="s">
        <v>2009</v>
      </c>
      <c r="AD1336" s="2" t="s">
        <v>2012</v>
      </c>
    </row>
    <row r="1337" spans="1:30" hidden="1" x14ac:dyDescent="0.25">
      <c r="A1337" s="2">
        <v>2</v>
      </c>
      <c r="B1337" t="s">
        <v>2014</v>
      </c>
      <c r="C1337">
        <v>12</v>
      </c>
      <c r="D1337">
        <v>120</v>
      </c>
      <c r="E1337">
        <v>129</v>
      </c>
      <c r="F1337" t="s">
        <v>273</v>
      </c>
      <c r="G1337" s="2" t="s">
        <v>156</v>
      </c>
      <c r="H1337">
        <v>2</v>
      </c>
      <c r="I1337">
        <v>2.65</v>
      </c>
      <c r="J1337" s="2" t="s">
        <v>170</v>
      </c>
      <c r="K1337" s="2" t="s">
        <v>74</v>
      </c>
      <c r="M1337" t="s">
        <v>2440</v>
      </c>
      <c r="P1337" s="19" t="s">
        <v>2011</v>
      </c>
      <c r="Q1337" s="19" t="s">
        <v>25</v>
      </c>
      <c r="S1337" s="19" t="s">
        <v>138</v>
      </c>
      <c r="W1337" s="20">
        <v>23</v>
      </c>
      <c r="X1337" s="65" t="s">
        <v>2010</v>
      </c>
      <c r="Z1337" t="s">
        <v>307</v>
      </c>
      <c r="AB1337" t="s">
        <v>178</v>
      </c>
      <c r="AC1337" t="s">
        <v>2009</v>
      </c>
      <c r="AD1337" s="2" t="s">
        <v>2012</v>
      </c>
    </row>
    <row r="1338" spans="1:30" hidden="1" x14ac:dyDescent="0.25">
      <c r="A1338" s="2">
        <v>3</v>
      </c>
      <c r="B1338" t="s">
        <v>2015</v>
      </c>
      <c r="C1338">
        <v>12</v>
      </c>
      <c r="D1338">
        <v>490</v>
      </c>
      <c r="E1338">
        <v>9980</v>
      </c>
      <c r="F1338" t="s">
        <v>273</v>
      </c>
      <c r="G1338" s="2" t="s">
        <v>156</v>
      </c>
      <c r="H1338">
        <v>1</v>
      </c>
      <c r="I1338">
        <v>460.46</v>
      </c>
      <c r="J1338" s="2" t="s">
        <v>170</v>
      </c>
      <c r="K1338" s="2" t="s">
        <v>74</v>
      </c>
      <c r="M1338" t="s">
        <v>2440</v>
      </c>
      <c r="P1338" s="19" t="s">
        <v>2011</v>
      </c>
      <c r="Q1338" s="19" t="s">
        <v>27</v>
      </c>
      <c r="S1338" s="19" t="s">
        <v>138</v>
      </c>
      <c r="W1338" s="20">
        <v>23</v>
      </c>
      <c r="X1338" s="65" t="s">
        <v>2010</v>
      </c>
      <c r="Z1338" t="s">
        <v>307</v>
      </c>
      <c r="AB1338" t="s">
        <v>178</v>
      </c>
      <c r="AC1338" t="s">
        <v>2009</v>
      </c>
      <c r="AD1338" s="2" t="s">
        <v>2012</v>
      </c>
    </row>
    <row r="1339" spans="1:30" hidden="1" x14ac:dyDescent="0.25">
      <c r="A1339" s="2">
        <v>4</v>
      </c>
      <c r="B1339" t="s">
        <v>2016</v>
      </c>
      <c r="C1339">
        <v>12</v>
      </c>
      <c r="D1339">
        <v>100</v>
      </c>
      <c r="E1339">
        <v>150</v>
      </c>
      <c r="F1339" t="s">
        <v>273</v>
      </c>
      <c r="G1339" s="2" t="s">
        <v>156</v>
      </c>
      <c r="H1339">
        <v>1</v>
      </c>
      <c r="I1339">
        <v>1.41</v>
      </c>
      <c r="J1339" s="2" t="s">
        <v>170</v>
      </c>
      <c r="K1339" s="2" t="s">
        <v>74</v>
      </c>
      <c r="M1339" t="s">
        <v>2440</v>
      </c>
      <c r="P1339" s="19" t="s">
        <v>2011</v>
      </c>
      <c r="Q1339" s="19" t="s">
        <v>25</v>
      </c>
      <c r="S1339" s="19" t="s">
        <v>138</v>
      </c>
      <c r="W1339" s="20">
        <v>23</v>
      </c>
      <c r="X1339" s="65" t="s">
        <v>2010</v>
      </c>
      <c r="Z1339" t="s">
        <v>307</v>
      </c>
      <c r="AB1339" t="s">
        <v>178</v>
      </c>
      <c r="AC1339" t="s">
        <v>2009</v>
      </c>
      <c r="AD1339" s="2" t="s">
        <v>2012</v>
      </c>
    </row>
    <row r="1340" spans="1:30" hidden="1" x14ac:dyDescent="0.25">
      <c r="A1340" s="2">
        <v>5</v>
      </c>
      <c r="B1340" t="s">
        <v>2017</v>
      </c>
      <c r="C1340">
        <v>12</v>
      </c>
      <c r="D1340">
        <v>100</v>
      </c>
      <c r="E1340">
        <v>150</v>
      </c>
      <c r="F1340" t="s">
        <v>273</v>
      </c>
      <c r="G1340" s="2" t="s">
        <v>156</v>
      </c>
      <c r="H1340">
        <v>1</v>
      </c>
      <c r="I1340">
        <v>1.41</v>
      </c>
      <c r="J1340" s="2" t="s">
        <v>170</v>
      </c>
      <c r="K1340" s="2" t="s">
        <v>74</v>
      </c>
      <c r="M1340" t="s">
        <v>2440</v>
      </c>
      <c r="P1340" s="19" t="s">
        <v>2011</v>
      </c>
      <c r="Q1340" s="19" t="s">
        <v>25</v>
      </c>
      <c r="S1340" s="19" t="s">
        <v>138</v>
      </c>
      <c r="W1340" s="20">
        <v>23</v>
      </c>
      <c r="X1340" s="65" t="s">
        <v>2010</v>
      </c>
      <c r="Z1340" t="s">
        <v>307</v>
      </c>
      <c r="AB1340" t="s">
        <v>178</v>
      </c>
      <c r="AC1340" t="s">
        <v>2009</v>
      </c>
      <c r="AD1340" s="2" t="s">
        <v>2012</v>
      </c>
    </row>
    <row r="1341" spans="1:30" hidden="1" x14ac:dyDescent="0.25">
      <c r="A1341" s="2">
        <v>6</v>
      </c>
      <c r="B1341" t="s">
        <v>2018</v>
      </c>
      <c r="C1341">
        <v>12</v>
      </c>
      <c r="D1341">
        <v>95</v>
      </c>
      <c r="E1341">
        <v>263</v>
      </c>
      <c r="F1341" t="s">
        <v>273</v>
      </c>
      <c r="G1341" s="2" t="s">
        <v>156</v>
      </c>
      <c r="H1341">
        <v>2</v>
      </c>
      <c r="I1341">
        <v>4.68</v>
      </c>
      <c r="J1341" s="2" t="s">
        <v>170</v>
      </c>
      <c r="K1341" s="2" t="s">
        <v>74</v>
      </c>
      <c r="M1341" t="s">
        <v>2440</v>
      </c>
      <c r="P1341" s="19" t="s">
        <v>2011</v>
      </c>
      <c r="Q1341" s="19" t="s">
        <v>25</v>
      </c>
      <c r="S1341" s="19" t="s">
        <v>138</v>
      </c>
      <c r="W1341" s="20">
        <v>23</v>
      </c>
      <c r="X1341" s="65" t="s">
        <v>2010</v>
      </c>
      <c r="Z1341" t="s">
        <v>307</v>
      </c>
      <c r="AB1341" t="s">
        <v>178</v>
      </c>
      <c r="AC1341" t="s">
        <v>2009</v>
      </c>
      <c r="AD1341" s="2" t="s">
        <v>2012</v>
      </c>
    </row>
    <row r="1342" spans="1:30" hidden="1" x14ac:dyDescent="0.25">
      <c r="A1342" s="2">
        <v>7</v>
      </c>
      <c r="B1342" t="s">
        <v>2019</v>
      </c>
      <c r="C1342">
        <v>12</v>
      </c>
      <c r="D1342">
        <v>130</v>
      </c>
      <c r="E1342">
        <v>1458</v>
      </c>
      <c r="F1342" t="s">
        <v>273</v>
      </c>
      <c r="G1342" s="2" t="s">
        <v>156</v>
      </c>
      <c r="H1342">
        <v>1</v>
      </c>
      <c r="I1342">
        <v>17.84</v>
      </c>
      <c r="J1342" s="2" t="s">
        <v>170</v>
      </c>
      <c r="K1342" s="2" t="s">
        <v>74</v>
      </c>
      <c r="M1342" t="s">
        <v>2440</v>
      </c>
      <c r="P1342" s="19" t="s">
        <v>2011</v>
      </c>
      <c r="Q1342" s="19" t="s">
        <v>25</v>
      </c>
      <c r="S1342" s="19" t="s">
        <v>138</v>
      </c>
      <c r="W1342" s="20">
        <v>23</v>
      </c>
      <c r="X1342" s="65" t="s">
        <v>2010</v>
      </c>
      <c r="Z1342" t="s">
        <v>307</v>
      </c>
      <c r="AB1342" t="s">
        <v>178</v>
      </c>
      <c r="AC1342" t="s">
        <v>2009</v>
      </c>
      <c r="AD1342" s="2" t="s">
        <v>2012</v>
      </c>
    </row>
    <row r="1343" spans="1:30" hidden="1" x14ac:dyDescent="0.25">
      <c r="A1343" s="2">
        <v>8</v>
      </c>
      <c r="B1343" t="s">
        <v>2020</v>
      </c>
      <c r="C1343">
        <v>12</v>
      </c>
      <c r="D1343">
        <v>130</v>
      </c>
      <c r="E1343">
        <v>663</v>
      </c>
      <c r="F1343" t="s">
        <v>273</v>
      </c>
      <c r="G1343" s="2" t="s">
        <v>156</v>
      </c>
      <c r="H1343">
        <v>1</v>
      </c>
      <c r="I1343">
        <v>8.11</v>
      </c>
      <c r="J1343" s="2" t="s">
        <v>170</v>
      </c>
      <c r="K1343" s="2" t="s">
        <v>74</v>
      </c>
      <c r="M1343" t="s">
        <v>2440</v>
      </c>
      <c r="P1343" s="19" t="s">
        <v>2011</v>
      </c>
      <c r="Q1343" s="19" t="s">
        <v>25</v>
      </c>
      <c r="S1343" s="19" t="s">
        <v>138</v>
      </c>
      <c r="W1343" s="20">
        <v>23</v>
      </c>
      <c r="X1343" s="65" t="s">
        <v>2010</v>
      </c>
      <c r="Z1343" t="s">
        <v>307</v>
      </c>
      <c r="AB1343" t="s">
        <v>178</v>
      </c>
      <c r="AC1343" t="s">
        <v>2009</v>
      </c>
      <c r="AD1343" s="2" t="s">
        <v>2012</v>
      </c>
    </row>
    <row r="1344" spans="1:30" hidden="1" x14ac:dyDescent="0.25">
      <c r="A1344" s="2">
        <v>9</v>
      </c>
      <c r="B1344" t="s">
        <v>2021</v>
      </c>
      <c r="C1344">
        <v>12</v>
      </c>
      <c r="D1344">
        <v>130</v>
      </c>
      <c r="E1344">
        <v>1458</v>
      </c>
      <c r="F1344" t="s">
        <v>273</v>
      </c>
      <c r="G1344" s="2" t="s">
        <v>156</v>
      </c>
      <c r="H1344">
        <v>1</v>
      </c>
      <c r="I1344">
        <v>17.84</v>
      </c>
      <c r="J1344" s="2" t="s">
        <v>170</v>
      </c>
      <c r="K1344" s="2" t="s">
        <v>74</v>
      </c>
      <c r="M1344" t="s">
        <v>2440</v>
      </c>
      <c r="P1344" s="19" t="s">
        <v>2011</v>
      </c>
      <c r="Q1344" s="19" t="s">
        <v>25</v>
      </c>
      <c r="S1344" s="19" t="s">
        <v>138</v>
      </c>
      <c r="W1344" s="20">
        <v>23</v>
      </c>
      <c r="X1344" s="65" t="s">
        <v>2010</v>
      </c>
      <c r="Z1344" t="s">
        <v>307</v>
      </c>
      <c r="AB1344" t="s">
        <v>178</v>
      </c>
      <c r="AC1344" t="s">
        <v>2009</v>
      </c>
      <c r="AD1344" s="2" t="s">
        <v>2012</v>
      </c>
    </row>
    <row r="1345" spans="1:30" hidden="1" x14ac:dyDescent="0.25">
      <c r="A1345" s="2">
        <v>10</v>
      </c>
      <c r="B1345" t="s">
        <v>2022</v>
      </c>
      <c r="C1345">
        <v>12</v>
      </c>
      <c r="D1345">
        <v>490</v>
      </c>
      <c r="E1345">
        <v>1388</v>
      </c>
      <c r="F1345" t="s">
        <v>273</v>
      </c>
      <c r="G1345" s="2" t="s">
        <v>156</v>
      </c>
      <c r="H1345">
        <v>1</v>
      </c>
      <c r="I1345">
        <v>63.63</v>
      </c>
      <c r="J1345" s="2" t="s">
        <v>170</v>
      </c>
      <c r="K1345" s="2" t="s">
        <v>74</v>
      </c>
      <c r="M1345" t="s">
        <v>2440</v>
      </c>
      <c r="P1345" s="19" t="s">
        <v>2011</v>
      </c>
      <c r="Q1345" s="19" t="s">
        <v>27</v>
      </c>
      <c r="S1345" s="19" t="s">
        <v>138</v>
      </c>
      <c r="W1345" s="20">
        <v>23</v>
      </c>
      <c r="X1345" s="65" t="s">
        <v>2010</v>
      </c>
      <c r="Z1345" t="s">
        <v>307</v>
      </c>
      <c r="AB1345" t="s">
        <v>178</v>
      </c>
      <c r="AC1345" t="s">
        <v>2009</v>
      </c>
      <c r="AD1345" s="2" t="s">
        <v>2012</v>
      </c>
    </row>
    <row r="1346" spans="1:30" hidden="1" x14ac:dyDescent="0.25">
      <c r="A1346" s="2">
        <v>11</v>
      </c>
      <c r="B1346" t="s">
        <v>2023</v>
      </c>
      <c r="C1346">
        <v>12</v>
      </c>
      <c r="D1346">
        <v>490</v>
      </c>
      <c r="E1346">
        <v>1388</v>
      </c>
      <c r="F1346" t="s">
        <v>273</v>
      </c>
      <c r="G1346" s="2" t="s">
        <v>156</v>
      </c>
      <c r="H1346">
        <v>1</v>
      </c>
      <c r="I1346">
        <v>63.63</v>
      </c>
      <c r="J1346" s="2" t="s">
        <v>170</v>
      </c>
      <c r="K1346" s="2" t="s">
        <v>74</v>
      </c>
      <c r="M1346" t="s">
        <v>2440</v>
      </c>
      <c r="P1346" s="19" t="s">
        <v>2011</v>
      </c>
      <c r="Q1346" s="19" t="s">
        <v>27</v>
      </c>
      <c r="S1346" s="19" t="s">
        <v>138</v>
      </c>
      <c r="W1346" s="20">
        <v>23</v>
      </c>
      <c r="X1346" s="65" t="s">
        <v>2010</v>
      </c>
      <c r="Z1346" t="s">
        <v>307</v>
      </c>
      <c r="AB1346" t="s">
        <v>178</v>
      </c>
      <c r="AC1346" t="s">
        <v>2009</v>
      </c>
      <c r="AD1346" s="2" t="s">
        <v>2012</v>
      </c>
    </row>
    <row r="1347" spans="1:30" hidden="1" x14ac:dyDescent="0.25">
      <c r="A1347" s="2">
        <v>12</v>
      </c>
      <c r="B1347" t="s">
        <v>2024</v>
      </c>
      <c r="C1347">
        <v>12</v>
      </c>
      <c r="D1347">
        <v>238</v>
      </c>
      <c r="E1347">
        <v>1280</v>
      </c>
      <c r="F1347" t="s">
        <v>273</v>
      </c>
      <c r="G1347" s="2" t="s">
        <v>156</v>
      </c>
      <c r="H1347">
        <v>1</v>
      </c>
      <c r="I1347">
        <v>28.7</v>
      </c>
      <c r="J1347" s="2" t="s">
        <v>170</v>
      </c>
      <c r="K1347" s="2" t="s">
        <v>74</v>
      </c>
      <c r="M1347" t="s">
        <v>2440</v>
      </c>
      <c r="P1347" s="19" t="s">
        <v>2011</v>
      </c>
      <c r="S1347" s="19" t="s">
        <v>138</v>
      </c>
      <c r="U1347" s="19" t="s">
        <v>138</v>
      </c>
      <c r="W1347" s="20">
        <v>23</v>
      </c>
      <c r="X1347" s="65" t="s">
        <v>2010</v>
      </c>
      <c r="Z1347" t="s">
        <v>307</v>
      </c>
      <c r="AB1347" t="s">
        <v>178</v>
      </c>
      <c r="AC1347" t="s">
        <v>2009</v>
      </c>
      <c r="AD1347" s="2" t="s">
        <v>2012</v>
      </c>
    </row>
    <row r="1348" spans="1:30" hidden="1" x14ac:dyDescent="0.25">
      <c r="A1348" s="2">
        <v>13</v>
      </c>
      <c r="B1348" t="s">
        <v>2025</v>
      </c>
      <c r="C1348">
        <v>12</v>
      </c>
      <c r="D1348">
        <v>238</v>
      </c>
      <c r="E1348">
        <v>1280</v>
      </c>
      <c r="F1348" t="s">
        <v>273</v>
      </c>
      <c r="G1348" s="2" t="s">
        <v>156</v>
      </c>
      <c r="H1348">
        <v>1</v>
      </c>
      <c r="I1348">
        <v>28.7</v>
      </c>
      <c r="J1348" s="2" t="s">
        <v>170</v>
      </c>
      <c r="K1348" s="2" t="s">
        <v>74</v>
      </c>
      <c r="M1348" t="s">
        <v>2440</v>
      </c>
      <c r="P1348" s="19" t="s">
        <v>2011</v>
      </c>
      <c r="S1348" s="19" t="s">
        <v>138</v>
      </c>
      <c r="U1348" s="19" t="s">
        <v>138</v>
      </c>
      <c r="W1348" s="20">
        <v>23</v>
      </c>
      <c r="X1348" s="65" t="s">
        <v>2010</v>
      </c>
      <c r="Z1348" t="s">
        <v>307</v>
      </c>
      <c r="AB1348" t="s">
        <v>178</v>
      </c>
      <c r="AC1348" t="s">
        <v>2009</v>
      </c>
      <c r="AD1348" s="2" t="s">
        <v>2012</v>
      </c>
    </row>
    <row r="1349" spans="1:30" hidden="1" x14ac:dyDescent="0.25">
      <c r="A1349" s="2">
        <v>14</v>
      </c>
      <c r="B1349" t="s">
        <v>2026</v>
      </c>
      <c r="C1349">
        <v>12</v>
      </c>
      <c r="D1349">
        <v>238</v>
      </c>
      <c r="E1349">
        <v>1280</v>
      </c>
      <c r="F1349" t="s">
        <v>273</v>
      </c>
      <c r="G1349" s="2" t="s">
        <v>156</v>
      </c>
      <c r="H1349">
        <v>1</v>
      </c>
      <c r="I1349">
        <v>28.7</v>
      </c>
      <c r="J1349" s="2" t="s">
        <v>170</v>
      </c>
      <c r="K1349" s="2" t="s">
        <v>74</v>
      </c>
      <c r="M1349" t="s">
        <v>2440</v>
      </c>
      <c r="P1349" s="19" t="s">
        <v>2011</v>
      </c>
      <c r="S1349" s="19" t="s">
        <v>138</v>
      </c>
      <c r="U1349" s="19" t="s">
        <v>138</v>
      </c>
      <c r="W1349" s="20">
        <v>23</v>
      </c>
      <c r="X1349" s="65" t="s">
        <v>2010</v>
      </c>
      <c r="Z1349" t="s">
        <v>307</v>
      </c>
      <c r="AB1349" t="s">
        <v>178</v>
      </c>
      <c r="AC1349" t="s">
        <v>2009</v>
      </c>
      <c r="AD1349" s="2" t="s">
        <v>2012</v>
      </c>
    </row>
    <row r="1350" spans="1:30" hidden="1" x14ac:dyDescent="0.25">
      <c r="A1350" s="2">
        <v>15</v>
      </c>
      <c r="B1350" t="s">
        <v>2027</v>
      </c>
      <c r="C1350">
        <v>12</v>
      </c>
      <c r="D1350">
        <v>238</v>
      </c>
      <c r="E1350">
        <v>1280</v>
      </c>
      <c r="F1350" t="s">
        <v>273</v>
      </c>
      <c r="G1350" s="2" t="s">
        <v>156</v>
      </c>
      <c r="H1350">
        <v>1</v>
      </c>
      <c r="I1350">
        <v>28.7</v>
      </c>
      <c r="J1350" s="2" t="s">
        <v>170</v>
      </c>
      <c r="K1350" s="2" t="s">
        <v>74</v>
      </c>
      <c r="M1350" t="s">
        <v>2440</v>
      </c>
      <c r="P1350" s="19" t="s">
        <v>2011</v>
      </c>
      <c r="S1350" s="19" t="s">
        <v>138</v>
      </c>
      <c r="U1350" s="19" t="s">
        <v>138</v>
      </c>
      <c r="W1350" s="20">
        <v>23</v>
      </c>
      <c r="X1350" s="65" t="s">
        <v>2010</v>
      </c>
      <c r="Z1350" t="s">
        <v>307</v>
      </c>
      <c r="AB1350" t="s">
        <v>178</v>
      </c>
      <c r="AC1350" t="s">
        <v>2009</v>
      </c>
      <c r="AD1350" s="2" t="s">
        <v>2012</v>
      </c>
    </row>
    <row r="1351" spans="1:30" hidden="1" x14ac:dyDescent="0.25">
      <c r="A1351" s="2">
        <v>16</v>
      </c>
      <c r="B1351" t="s">
        <v>2028</v>
      </c>
      <c r="C1351">
        <v>12</v>
      </c>
      <c r="D1351">
        <v>238</v>
      </c>
      <c r="E1351">
        <v>1280</v>
      </c>
      <c r="F1351" t="s">
        <v>273</v>
      </c>
      <c r="G1351" s="2" t="s">
        <v>156</v>
      </c>
      <c r="H1351">
        <v>1</v>
      </c>
      <c r="I1351">
        <v>28.7</v>
      </c>
      <c r="J1351" s="2" t="s">
        <v>170</v>
      </c>
      <c r="K1351" s="2" t="s">
        <v>74</v>
      </c>
      <c r="M1351" t="s">
        <v>2440</v>
      </c>
      <c r="P1351" s="19" t="s">
        <v>2011</v>
      </c>
      <c r="S1351" s="19" t="s">
        <v>138</v>
      </c>
      <c r="U1351" s="19" t="s">
        <v>138</v>
      </c>
      <c r="W1351" s="20">
        <v>23</v>
      </c>
      <c r="X1351" s="65" t="s">
        <v>2010</v>
      </c>
      <c r="Z1351" t="s">
        <v>307</v>
      </c>
      <c r="AB1351" t="s">
        <v>178</v>
      </c>
      <c r="AC1351" t="s">
        <v>2009</v>
      </c>
      <c r="AD1351" s="2" t="s">
        <v>2012</v>
      </c>
    </row>
    <row r="1352" spans="1:30" hidden="1" x14ac:dyDescent="0.25">
      <c r="A1352" s="2">
        <v>17</v>
      </c>
      <c r="B1352" t="s">
        <v>2029</v>
      </c>
      <c r="C1352">
        <v>12</v>
      </c>
      <c r="D1352">
        <v>238</v>
      </c>
      <c r="E1352">
        <v>1280</v>
      </c>
      <c r="F1352" t="s">
        <v>273</v>
      </c>
      <c r="G1352" s="2" t="s">
        <v>156</v>
      </c>
      <c r="H1352">
        <v>1</v>
      </c>
      <c r="I1352">
        <v>28.7</v>
      </c>
      <c r="J1352" s="2" t="s">
        <v>170</v>
      </c>
      <c r="K1352" s="2" t="s">
        <v>74</v>
      </c>
      <c r="M1352" t="s">
        <v>2440</v>
      </c>
      <c r="P1352" s="19" t="s">
        <v>2011</v>
      </c>
      <c r="S1352" s="19" t="s">
        <v>138</v>
      </c>
      <c r="U1352" s="19" t="s">
        <v>138</v>
      </c>
      <c r="W1352" s="20">
        <v>23</v>
      </c>
      <c r="X1352" s="65" t="s">
        <v>2010</v>
      </c>
      <c r="Z1352" t="s">
        <v>307</v>
      </c>
      <c r="AB1352" t="s">
        <v>178</v>
      </c>
      <c r="AC1352" t="s">
        <v>2009</v>
      </c>
      <c r="AD1352" s="2" t="s">
        <v>2012</v>
      </c>
    </row>
    <row r="1353" spans="1:30" hidden="1" x14ac:dyDescent="0.25">
      <c r="A1353" s="2">
        <v>18</v>
      </c>
      <c r="B1353" t="s">
        <v>2030</v>
      </c>
      <c r="C1353">
        <v>12</v>
      </c>
      <c r="D1353">
        <v>490</v>
      </c>
      <c r="E1353">
        <v>9980</v>
      </c>
      <c r="F1353" t="s">
        <v>273</v>
      </c>
      <c r="G1353" s="2" t="s">
        <v>156</v>
      </c>
      <c r="H1353">
        <v>1</v>
      </c>
      <c r="I1353">
        <v>460.46</v>
      </c>
      <c r="J1353" s="2" t="s">
        <v>170</v>
      </c>
      <c r="K1353" s="2" t="s">
        <v>74</v>
      </c>
      <c r="M1353" t="s">
        <v>2440</v>
      </c>
      <c r="P1353" s="19" t="s">
        <v>2011</v>
      </c>
      <c r="Q1353" s="19" t="s">
        <v>27</v>
      </c>
      <c r="S1353" s="19" t="s">
        <v>138</v>
      </c>
      <c r="W1353" s="20">
        <v>23</v>
      </c>
      <c r="X1353" s="65" t="s">
        <v>2010</v>
      </c>
      <c r="Z1353" t="s">
        <v>307</v>
      </c>
      <c r="AB1353" t="s">
        <v>178</v>
      </c>
      <c r="AC1353" t="s">
        <v>2009</v>
      </c>
      <c r="AD1353" s="2" t="s">
        <v>2012</v>
      </c>
    </row>
    <row r="1354" spans="1:30" hidden="1" x14ac:dyDescent="0.25">
      <c r="A1354" s="2">
        <v>19</v>
      </c>
      <c r="B1354" t="s">
        <v>2031</v>
      </c>
      <c r="C1354">
        <v>12</v>
      </c>
      <c r="D1354">
        <v>490</v>
      </c>
      <c r="E1354">
        <v>1514</v>
      </c>
      <c r="F1354" t="s">
        <v>273</v>
      </c>
      <c r="G1354" s="2" t="s">
        <v>156</v>
      </c>
      <c r="H1354">
        <v>1</v>
      </c>
      <c r="I1354">
        <v>69.78</v>
      </c>
      <c r="J1354" s="2" t="s">
        <v>170</v>
      </c>
      <c r="K1354" s="2" t="s">
        <v>74</v>
      </c>
      <c r="M1354" t="s">
        <v>2440</v>
      </c>
      <c r="P1354" s="19" t="s">
        <v>2011</v>
      </c>
      <c r="Q1354" s="19" t="s">
        <v>27</v>
      </c>
      <c r="S1354" s="19" t="s">
        <v>138</v>
      </c>
      <c r="W1354" s="20">
        <v>23</v>
      </c>
      <c r="X1354" s="65" t="s">
        <v>2010</v>
      </c>
      <c r="Z1354" t="s">
        <v>307</v>
      </c>
      <c r="AB1354" t="s">
        <v>178</v>
      </c>
      <c r="AC1354" t="s">
        <v>2009</v>
      </c>
      <c r="AD1354" s="2" t="s">
        <v>2012</v>
      </c>
    </row>
    <row r="1355" spans="1:30" hidden="1" x14ac:dyDescent="0.25">
      <c r="A1355" s="2">
        <v>20</v>
      </c>
      <c r="B1355" t="s">
        <v>2032</v>
      </c>
      <c r="C1355">
        <v>12</v>
      </c>
      <c r="D1355">
        <v>490</v>
      </c>
      <c r="E1355">
        <v>1514</v>
      </c>
      <c r="F1355" t="s">
        <v>273</v>
      </c>
      <c r="G1355" s="2" t="s">
        <v>156</v>
      </c>
      <c r="H1355">
        <v>1</v>
      </c>
      <c r="I1355">
        <v>69.78</v>
      </c>
      <c r="J1355" s="2" t="s">
        <v>170</v>
      </c>
      <c r="K1355" s="2" t="s">
        <v>74</v>
      </c>
      <c r="M1355" t="s">
        <v>2440</v>
      </c>
      <c r="P1355" s="19" t="s">
        <v>2011</v>
      </c>
      <c r="Q1355" s="19" t="s">
        <v>27</v>
      </c>
      <c r="S1355" s="19" t="s">
        <v>138</v>
      </c>
      <c r="W1355" s="20">
        <v>23</v>
      </c>
      <c r="X1355" s="65" t="s">
        <v>2010</v>
      </c>
      <c r="Z1355" t="s">
        <v>307</v>
      </c>
      <c r="AB1355" t="s">
        <v>178</v>
      </c>
      <c r="AC1355" t="s">
        <v>2009</v>
      </c>
      <c r="AD1355" s="2" t="s">
        <v>2012</v>
      </c>
    </row>
    <row r="1356" spans="1:30" hidden="1" x14ac:dyDescent="0.25">
      <c r="A1356" s="2">
        <v>21</v>
      </c>
      <c r="B1356" t="s">
        <v>2033</v>
      </c>
      <c r="C1356">
        <v>12</v>
      </c>
      <c r="D1356">
        <v>130</v>
      </c>
      <c r="E1356">
        <v>1458</v>
      </c>
      <c r="F1356" t="s">
        <v>273</v>
      </c>
      <c r="G1356" s="2" t="s">
        <v>156</v>
      </c>
      <c r="H1356">
        <v>1</v>
      </c>
      <c r="I1356">
        <v>17.84</v>
      </c>
      <c r="J1356" s="2" t="s">
        <v>170</v>
      </c>
      <c r="K1356" s="2" t="s">
        <v>74</v>
      </c>
      <c r="M1356" t="s">
        <v>2440</v>
      </c>
      <c r="P1356" s="19" t="s">
        <v>2011</v>
      </c>
      <c r="Q1356" s="19" t="s">
        <v>25</v>
      </c>
      <c r="S1356" s="19" t="s">
        <v>138</v>
      </c>
      <c r="W1356" s="20">
        <v>23</v>
      </c>
      <c r="X1356" s="65" t="s">
        <v>2010</v>
      </c>
      <c r="Z1356" t="s">
        <v>307</v>
      </c>
      <c r="AB1356" t="s">
        <v>178</v>
      </c>
      <c r="AC1356" t="s">
        <v>2009</v>
      </c>
      <c r="AD1356" s="2" t="s">
        <v>2012</v>
      </c>
    </row>
    <row r="1357" spans="1:30" hidden="1" x14ac:dyDescent="0.25">
      <c r="A1357" s="2">
        <v>22</v>
      </c>
      <c r="B1357" t="s">
        <v>2034</v>
      </c>
      <c r="C1357">
        <v>12</v>
      </c>
      <c r="D1357">
        <v>130</v>
      </c>
      <c r="E1357">
        <v>1458</v>
      </c>
      <c r="F1357" t="s">
        <v>273</v>
      </c>
      <c r="G1357" s="2" t="s">
        <v>156</v>
      </c>
      <c r="H1357">
        <v>1</v>
      </c>
      <c r="I1357">
        <v>17.84</v>
      </c>
      <c r="J1357" s="2" t="s">
        <v>170</v>
      </c>
      <c r="K1357" s="2" t="s">
        <v>74</v>
      </c>
      <c r="M1357" t="s">
        <v>2440</v>
      </c>
      <c r="P1357" s="19" t="s">
        <v>2011</v>
      </c>
      <c r="Q1357" s="19" t="s">
        <v>25</v>
      </c>
      <c r="S1357" s="19" t="s">
        <v>138</v>
      </c>
      <c r="W1357" s="20">
        <v>23</v>
      </c>
      <c r="X1357" s="65" t="s">
        <v>2010</v>
      </c>
      <c r="Z1357" t="s">
        <v>307</v>
      </c>
      <c r="AB1357" t="s">
        <v>178</v>
      </c>
      <c r="AC1357" t="s">
        <v>2009</v>
      </c>
      <c r="AD1357" s="2" t="s">
        <v>2012</v>
      </c>
    </row>
    <row r="1358" spans="1:30" hidden="1" x14ac:dyDescent="0.25">
      <c r="A1358" s="2">
        <v>23</v>
      </c>
      <c r="B1358" t="s">
        <v>2035</v>
      </c>
      <c r="C1358">
        <v>12</v>
      </c>
      <c r="D1358">
        <v>490</v>
      </c>
      <c r="E1358">
        <v>1388</v>
      </c>
      <c r="F1358" t="s">
        <v>273</v>
      </c>
      <c r="G1358" s="2" t="s">
        <v>156</v>
      </c>
      <c r="H1358">
        <v>1</v>
      </c>
      <c r="I1358">
        <v>63.63</v>
      </c>
      <c r="J1358" s="2" t="s">
        <v>170</v>
      </c>
      <c r="K1358" s="2" t="s">
        <v>74</v>
      </c>
      <c r="M1358" t="s">
        <v>2440</v>
      </c>
      <c r="P1358" s="19" t="s">
        <v>2011</v>
      </c>
      <c r="Q1358" s="19" t="s">
        <v>27</v>
      </c>
      <c r="S1358" s="19" t="s">
        <v>138</v>
      </c>
      <c r="W1358" s="20">
        <v>23</v>
      </c>
      <c r="X1358" s="65" t="s">
        <v>2010</v>
      </c>
      <c r="Z1358" t="s">
        <v>307</v>
      </c>
      <c r="AB1358" t="s">
        <v>178</v>
      </c>
      <c r="AC1358" t="s">
        <v>2009</v>
      </c>
      <c r="AD1358" s="2" t="s">
        <v>2012</v>
      </c>
    </row>
    <row r="1359" spans="1:30" hidden="1" x14ac:dyDescent="0.25">
      <c r="A1359" s="2">
        <v>24</v>
      </c>
      <c r="B1359" t="s">
        <v>2036</v>
      </c>
      <c r="C1359">
        <v>12</v>
      </c>
      <c r="D1359">
        <v>490</v>
      </c>
      <c r="E1359">
        <v>1388</v>
      </c>
      <c r="F1359" t="s">
        <v>273</v>
      </c>
      <c r="G1359" s="2" t="s">
        <v>156</v>
      </c>
      <c r="H1359">
        <v>1</v>
      </c>
      <c r="I1359">
        <v>63.63</v>
      </c>
      <c r="J1359" s="2" t="s">
        <v>170</v>
      </c>
      <c r="K1359" s="2" t="s">
        <v>74</v>
      </c>
      <c r="M1359" t="s">
        <v>2440</v>
      </c>
      <c r="P1359" s="19" t="s">
        <v>2011</v>
      </c>
      <c r="Q1359" s="19" t="s">
        <v>27</v>
      </c>
      <c r="S1359" s="19" t="s">
        <v>138</v>
      </c>
      <c r="W1359" s="20">
        <v>23</v>
      </c>
      <c r="X1359" s="65" t="s">
        <v>2010</v>
      </c>
      <c r="Z1359" t="s">
        <v>307</v>
      </c>
      <c r="AB1359" t="s">
        <v>178</v>
      </c>
      <c r="AC1359" t="s">
        <v>2009</v>
      </c>
      <c r="AD1359" s="2" t="s">
        <v>2012</v>
      </c>
    </row>
    <row r="1360" spans="1:30" hidden="1" x14ac:dyDescent="0.25">
      <c r="A1360" s="2">
        <v>25</v>
      </c>
      <c r="B1360" t="s">
        <v>2008</v>
      </c>
      <c r="C1360">
        <v>12</v>
      </c>
      <c r="D1360">
        <v>135</v>
      </c>
      <c r="E1360">
        <v>488</v>
      </c>
      <c r="F1360" t="s">
        <v>273</v>
      </c>
      <c r="G1360" s="2" t="s">
        <v>156</v>
      </c>
      <c r="H1360">
        <v>6</v>
      </c>
      <c r="I1360">
        <v>37.14</v>
      </c>
      <c r="J1360" s="2" t="s">
        <v>170</v>
      </c>
      <c r="K1360" s="2" t="s">
        <v>74</v>
      </c>
      <c r="M1360" t="s">
        <v>2440</v>
      </c>
      <c r="P1360" s="19" t="s">
        <v>2011</v>
      </c>
      <c r="Q1360" s="19" t="s">
        <v>25</v>
      </c>
      <c r="S1360" s="19" t="s">
        <v>138</v>
      </c>
      <c r="W1360" s="20">
        <v>23</v>
      </c>
      <c r="X1360" s="65" t="s">
        <v>2010</v>
      </c>
      <c r="Z1360" t="s">
        <v>307</v>
      </c>
      <c r="AB1360" t="s">
        <v>178</v>
      </c>
      <c r="AC1360" t="s">
        <v>2038</v>
      </c>
      <c r="AD1360" s="2" t="s">
        <v>2039</v>
      </c>
    </row>
    <row r="1361" spans="1:30" hidden="1" x14ac:dyDescent="0.25">
      <c r="A1361" s="2">
        <v>26</v>
      </c>
      <c r="B1361" t="s">
        <v>2014</v>
      </c>
      <c r="C1361">
        <v>12</v>
      </c>
      <c r="D1361">
        <v>120</v>
      </c>
      <c r="E1361">
        <v>129</v>
      </c>
      <c r="F1361" t="s">
        <v>273</v>
      </c>
      <c r="G1361" s="2" t="s">
        <v>156</v>
      </c>
      <c r="H1361">
        <v>13</v>
      </c>
      <c r="I1361">
        <v>17.21</v>
      </c>
      <c r="J1361" s="2" t="s">
        <v>170</v>
      </c>
      <c r="K1361" s="2" t="s">
        <v>74</v>
      </c>
      <c r="M1361" t="s">
        <v>2440</v>
      </c>
      <c r="P1361" s="19" t="s">
        <v>2011</v>
      </c>
      <c r="Q1361" s="19" t="s">
        <v>25</v>
      </c>
      <c r="S1361" s="19" t="s">
        <v>138</v>
      </c>
      <c r="W1361" s="20">
        <v>23</v>
      </c>
      <c r="X1361" s="65" t="s">
        <v>2010</v>
      </c>
      <c r="Z1361" t="s">
        <v>307</v>
      </c>
      <c r="AB1361" t="s">
        <v>178</v>
      </c>
      <c r="AC1361" t="s">
        <v>2038</v>
      </c>
      <c r="AD1361" s="2" t="s">
        <v>2039</v>
      </c>
    </row>
    <row r="1362" spans="1:30" hidden="1" x14ac:dyDescent="0.25">
      <c r="A1362" s="2">
        <v>27</v>
      </c>
      <c r="B1362" t="s">
        <v>2041</v>
      </c>
      <c r="C1362">
        <v>12</v>
      </c>
      <c r="D1362">
        <v>490</v>
      </c>
      <c r="E1362">
        <v>1514</v>
      </c>
      <c r="F1362" t="s">
        <v>273</v>
      </c>
      <c r="G1362" s="2" t="s">
        <v>156</v>
      </c>
      <c r="H1362">
        <v>1</v>
      </c>
      <c r="I1362">
        <v>69.78</v>
      </c>
      <c r="J1362" s="2" t="s">
        <v>170</v>
      </c>
      <c r="K1362" s="2" t="s">
        <v>74</v>
      </c>
      <c r="M1362" t="s">
        <v>2440</v>
      </c>
      <c r="P1362" s="19" t="s">
        <v>2011</v>
      </c>
      <c r="Q1362" s="19" t="s">
        <v>27</v>
      </c>
      <c r="S1362" s="19" t="s">
        <v>138</v>
      </c>
      <c r="W1362" s="20">
        <v>23</v>
      </c>
      <c r="X1362" s="65" t="s">
        <v>2010</v>
      </c>
      <c r="Z1362" t="s">
        <v>307</v>
      </c>
      <c r="AB1362" t="s">
        <v>178</v>
      </c>
      <c r="AC1362" t="s">
        <v>2038</v>
      </c>
      <c r="AD1362" s="2" t="s">
        <v>2039</v>
      </c>
    </row>
    <row r="1363" spans="1:30" hidden="1" x14ac:dyDescent="0.25">
      <c r="A1363" s="2">
        <v>28</v>
      </c>
      <c r="B1363" t="s">
        <v>2042</v>
      </c>
      <c r="C1363">
        <v>12</v>
      </c>
      <c r="D1363">
        <v>100</v>
      </c>
      <c r="E1363">
        <v>150</v>
      </c>
      <c r="F1363" t="s">
        <v>273</v>
      </c>
      <c r="G1363" s="2" t="s">
        <v>156</v>
      </c>
      <c r="H1363">
        <v>1</v>
      </c>
      <c r="I1363">
        <v>1.41</v>
      </c>
      <c r="J1363" s="2" t="s">
        <v>170</v>
      </c>
      <c r="K1363" s="2" t="s">
        <v>74</v>
      </c>
      <c r="M1363" t="s">
        <v>2440</v>
      </c>
      <c r="P1363" s="19" t="s">
        <v>2011</v>
      </c>
      <c r="Q1363" s="19" t="s">
        <v>25</v>
      </c>
      <c r="S1363" s="19" t="s">
        <v>138</v>
      </c>
      <c r="W1363" s="20">
        <v>23</v>
      </c>
      <c r="X1363" s="65" t="s">
        <v>2010</v>
      </c>
      <c r="Z1363" t="s">
        <v>307</v>
      </c>
      <c r="AB1363" t="s">
        <v>178</v>
      </c>
      <c r="AC1363" t="s">
        <v>2038</v>
      </c>
      <c r="AD1363" s="2" t="s">
        <v>2039</v>
      </c>
    </row>
    <row r="1364" spans="1:30" hidden="1" x14ac:dyDescent="0.25">
      <c r="A1364" s="2">
        <v>29</v>
      </c>
      <c r="B1364" t="s">
        <v>2043</v>
      </c>
      <c r="C1364">
        <v>12</v>
      </c>
      <c r="D1364">
        <v>100</v>
      </c>
      <c r="E1364">
        <v>150</v>
      </c>
      <c r="F1364" t="s">
        <v>273</v>
      </c>
      <c r="G1364" s="2" t="s">
        <v>156</v>
      </c>
      <c r="H1364">
        <v>1</v>
      </c>
      <c r="I1364">
        <v>1.41</v>
      </c>
      <c r="J1364" s="2" t="s">
        <v>170</v>
      </c>
      <c r="K1364" s="2" t="s">
        <v>74</v>
      </c>
      <c r="M1364" t="s">
        <v>2440</v>
      </c>
      <c r="P1364" s="19" t="s">
        <v>2011</v>
      </c>
      <c r="Q1364" s="19" t="s">
        <v>25</v>
      </c>
      <c r="S1364" s="19" t="s">
        <v>138</v>
      </c>
      <c r="W1364" s="20">
        <v>23</v>
      </c>
      <c r="X1364" s="65" t="s">
        <v>2010</v>
      </c>
      <c r="Z1364" t="s">
        <v>307</v>
      </c>
      <c r="AB1364" t="s">
        <v>178</v>
      </c>
      <c r="AC1364" t="s">
        <v>2038</v>
      </c>
      <c r="AD1364" s="2" t="s">
        <v>2039</v>
      </c>
    </row>
    <row r="1365" spans="1:30" hidden="1" x14ac:dyDescent="0.25">
      <c r="A1365" s="2">
        <v>30</v>
      </c>
      <c r="B1365" t="s">
        <v>2044</v>
      </c>
      <c r="C1365">
        <v>12</v>
      </c>
      <c r="D1365">
        <v>100</v>
      </c>
      <c r="E1365">
        <v>150</v>
      </c>
      <c r="F1365" t="s">
        <v>273</v>
      </c>
      <c r="G1365" s="2" t="s">
        <v>156</v>
      </c>
      <c r="H1365">
        <v>1</v>
      </c>
      <c r="I1365">
        <v>1.41</v>
      </c>
      <c r="J1365" s="2" t="s">
        <v>170</v>
      </c>
      <c r="K1365" s="2" t="s">
        <v>74</v>
      </c>
      <c r="M1365" t="s">
        <v>2440</v>
      </c>
      <c r="P1365" s="19" t="s">
        <v>2011</v>
      </c>
      <c r="Q1365" s="19" t="s">
        <v>25</v>
      </c>
      <c r="S1365" s="19" t="s">
        <v>138</v>
      </c>
      <c r="W1365" s="20">
        <v>23</v>
      </c>
      <c r="X1365" s="65" t="s">
        <v>2010</v>
      </c>
      <c r="Z1365" t="s">
        <v>307</v>
      </c>
      <c r="AB1365" t="s">
        <v>178</v>
      </c>
      <c r="AC1365" t="s">
        <v>2038</v>
      </c>
      <c r="AD1365" s="2" t="s">
        <v>2039</v>
      </c>
    </row>
    <row r="1366" spans="1:30" hidden="1" x14ac:dyDescent="0.25">
      <c r="A1366" s="2">
        <v>31</v>
      </c>
      <c r="B1366" t="s">
        <v>2045</v>
      </c>
      <c r="C1366">
        <v>12</v>
      </c>
      <c r="D1366">
        <v>490</v>
      </c>
      <c r="E1366">
        <v>1514</v>
      </c>
      <c r="F1366" t="s">
        <v>273</v>
      </c>
      <c r="G1366" s="2" t="s">
        <v>156</v>
      </c>
      <c r="H1366">
        <v>1</v>
      </c>
      <c r="I1366">
        <v>69.78</v>
      </c>
      <c r="J1366" s="2" t="s">
        <v>170</v>
      </c>
      <c r="K1366" s="2" t="s">
        <v>74</v>
      </c>
      <c r="M1366" t="s">
        <v>2440</v>
      </c>
      <c r="P1366" s="19" t="s">
        <v>2011</v>
      </c>
      <c r="Q1366" s="19" t="s">
        <v>27</v>
      </c>
      <c r="S1366" s="19" t="s">
        <v>138</v>
      </c>
      <c r="W1366" s="20">
        <v>23</v>
      </c>
      <c r="X1366" s="65" t="s">
        <v>2010</v>
      </c>
      <c r="Z1366" t="s">
        <v>307</v>
      </c>
      <c r="AB1366" t="s">
        <v>178</v>
      </c>
      <c r="AC1366" t="s">
        <v>2038</v>
      </c>
      <c r="AD1366" s="2" t="s">
        <v>2039</v>
      </c>
    </row>
    <row r="1367" spans="1:30" hidden="1" x14ac:dyDescent="0.25">
      <c r="A1367" s="2">
        <v>32</v>
      </c>
      <c r="B1367" t="s">
        <v>2018</v>
      </c>
      <c r="C1367">
        <v>12</v>
      </c>
      <c r="D1367">
        <v>95</v>
      </c>
      <c r="E1367">
        <v>263</v>
      </c>
      <c r="F1367" t="s">
        <v>273</v>
      </c>
      <c r="G1367" s="2" t="s">
        <v>156</v>
      </c>
      <c r="H1367">
        <v>6</v>
      </c>
      <c r="I1367">
        <v>14.03</v>
      </c>
      <c r="J1367" s="2" t="s">
        <v>170</v>
      </c>
      <c r="K1367" s="2" t="s">
        <v>74</v>
      </c>
      <c r="M1367" t="s">
        <v>2440</v>
      </c>
      <c r="P1367" s="19" t="s">
        <v>2011</v>
      </c>
      <c r="Q1367" s="19" t="s">
        <v>25</v>
      </c>
      <c r="S1367" s="19" t="s">
        <v>138</v>
      </c>
      <c r="W1367" s="20">
        <v>23</v>
      </c>
      <c r="X1367" s="65" t="s">
        <v>2010</v>
      </c>
      <c r="Z1367" t="s">
        <v>307</v>
      </c>
      <c r="AB1367" t="s">
        <v>178</v>
      </c>
      <c r="AC1367" t="s">
        <v>2038</v>
      </c>
      <c r="AD1367" s="2" t="s">
        <v>2039</v>
      </c>
    </row>
    <row r="1368" spans="1:30" hidden="1" x14ac:dyDescent="0.25">
      <c r="A1368" s="2">
        <v>33</v>
      </c>
      <c r="B1368" t="s">
        <v>2020</v>
      </c>
      <c r="C1368">
        <v>12</v>
      </c>
      <c r="D1368">
        <v>130</v>
      </c>
      <c r="E1368">
        <v>663</v>
      </c>
      <c r="F1368" t="s">
        <v>273</v>
      </c>
      <c r="G1368" s="2" t="s">
        <v>156</v>
      </c>
      <c r="H1368">
        <v>7</v>
      </c>
      <c r="I1368">
        <v>56.77</v>
      </c>
      <c r="J1368" s="2" t="s">
        <v>170</v>
      </c>
      <c r="K1368" s="2" t="s">
        <v>74</v>
      </c>
      <c r="M1368" t="s">
        <v>2440</v>
      </c>
      <c r="P1368" s="19" t="s">
        <v>2011</v>
      </c>
      <c r="Q1368" s="19" t="s">
        <v>25</v>
      </c>
      <c r="S1368" s="19" t="s">
        <v>138</v>
      </c>
      <c r="W1368" s="20">
        <v>23</v>
      </c>
      <c r="X1368" s="65" t="s">
        <v>2010</v>
      </c>
      <c r="Z1368" t="s">
        <v>307</v>
      </c>
      <c r="AB1368" t="s">
        <v>178</v>
      </c>
      <c r="AC1368" t="s">
        <v>2038</v>
      </c>
      <c r="AD1368" s="2" t="s">
        <v>2039</v>
      </c>
    </row>
    <row r="1369" spans="1:30" hidden="1" x14ac:dyDescent="0.25">
      <c r="A1369" s="2">
        <v>34</v>
      </c>
      <c r="B1369" t="s">
        <v>2046</v>
      </c>
      <c r="C1369">
        <v>12</v>
      </c>
      <c r="D1369">
        <v>130</v>
      </c>
      <c r="E1369">
        <v>263</v>
      </c>
      <c r="F1369" t="s">
        <v>273</v>
      </c>
      <c r="G1369" s="2" t="s">
        <v>156</v>
      </c>
      <c r="H1369">
        <v>1</v>
      </c>
      <c r="I1369">
        <v>3.21</v>
      </c>
      <c r="J1369" s="2" t="s">
        <v>170</v>
      </c>
      <c r="K1369" s="2" t="s">
        <v>74</v>
      </c>
      <c r="M1369" t="s">
        <v>2440</v>
      </c>
      <c r="P1369" s="19" t="s">
        <v>2011</v>
      </c>
      <c r="Q1369" s="19" t="s">
        <v>25</v>
      </c>
      <c r="S1369" s="19" t="s">
        <v>138</v>
      </c>
      <c r="W1369" s="20">
        <v>23</v>
      </c>
      <c r="X1369" s="65" t="s">
        <v>2010</v>
      </c>
      <c r="Z1369" t="s">
        <v>307</v>
      </c>
      <c r="AB1369" t="s">
        <v>178</v>
      </c>
      <c r="AC1369" t="s">
        <v>2038</v>
      </c>
      <c r="AD1369" s="2" t="s">
        <v>2039</v>
      </c>
    </row>
    <row r="1370" spans="1:30" hidden="1" x14ac:dyDescent="0.25">
      <c r="A1370" s="2">
        <v>35</v>
      </c>
      <c r="B1370" t="s">
        <v>2047</v>
      </c>
      <c r="C1370">
        <v>12</v>
      </c>
      <c r="D1370">
        <v>95</v>
      </c>
      <c r="E1370">
        <v>263</v>
      </c>
      <c r="F1370" t="s">
        <v>273</v>
      </c>
      <c r="G1370" s="2" t="s">
        <v>156</v>
      </c>
      <c r="H1370">
        <v>8</v>
      </c>
      <c r="I1370">
        <v>18.7</v>
      </c>
      <c r="J1370" s="2" t="s">
        <v>170</v>
      </c>
      <c r="K1370" s="2" t="s">
        <v>74</v>
      </c>
      <c r="M1370" t="s">
        <v>2440</v>
      </c>
      <c r="P1370" s="19" t="s">
        <v>2011</v>
      </c>
      <c r="Q1370" s="19" t="s">
        <v>25</v>
      </c>
      <c r="S1370" s="19" t="s">
        <v>138</v>
      </c>
      <c r="W1370" s="20">
        <v>23</v>
      </c>
      <c r="X1370" s="65" t="s">
        <v>2010</v>
      </c>
      <c r="Z1370" t="s">
        <v>307</v>
      </c>
      <c r="AB1370" t="s">
        <v>178</v>
      </c>
      <c r="AC1370" t="s">
        <v>2038</v>
      </c>
      <c r="AD1370" s="2" t="s">
        <v>2039</v>
      </c>
    </row>
    <row r="1371" spans="1:30" hidden="1" x14ac:dyDescent="0.25">
      <c r="A1371" s="2">
        <v>36</v>
      </c>
      <c r="B1371" t="s">
        <v>2048</v>
      </c>
      <c r="C1371">
        <v>12</v>
      </c>
      <c r="D1371">
        <v>238</v>
      </c>
      <c r="E1371">
        <v>1280</v>
      </c>
      <c r="F1371" t="s">
        <v>273</v>
      </c>
      <c r="G1371" s="2" t="s">
        <v>156</v>
      </c>
      <c r="H1371">
        <v>1</v>
      </c>
      <c r="I1371">
        <v>28.7</v>
      </c>
      <c r="J1371" s="2" t="s">
        <v>170</v>
      </c>
      <c r="K1371" s="2" t="s">
        <v>74</v>
      </c>
      <c r="M1371" t="s">
        <v>2440</v>
      </c>
      <c r="P1371" s="19" t="s">
        <v>2011</v>
      </c>
      <c r="S1371" s="19" t="s">
        <v>138</v>
      </c>
      <c r="U1371" s="19" t="s">
        <v>138</v>
      </c>
      <c r="W1371" s="20">
        <v>23</v>
      </c>
      <c r="X1371" s="65" t="s">
        <v>2010</v>
      </c>
      <c r="Z1371" t="s">
        <v>307</v>
      </c>
      <c r="AB1371" t="s">
        <v>178</v>
      </c>
      <c r="AC1371" t="s">
        <v>2038</v>
      </c>
      <c r="AD1371" s="2" t="s">
        <v>2039</v>
      </c>
    </row>
    <row r="1372" spans="1:30" hidden="1" x14ac:dyDescent="0.25">
      <c r="A1372" s="2">
        <v>37</v>
      </c>
      <c r="B1372" t="s">
        <v>2049</v>
      </c>
      <c r="C1372">
        <v>12</v>
      </c>
      <c r="D1372">
        <v>238</v>
      </c>
      <c r="E1372">
        <v>1280</v>
      </c>
      <c r="F1372" t="s">
        <v>273</v>
      </c>
      <c r="G1372" s="2" t="s">
        <v>156</v>
      </c>
      <c r="H1372">
        <v>1</v>
      </c>
      <c r="I1372">
        <v>28.7</v>
      </c>
      <c r="J1372" s="2" t="s">
        <v>170</v>
      </c>
      <c r="K1372" s="2" t="s">
        <v>74</v>
      </c>
      <c r="M1372" t="s">
        <v>2440</v>
      </c>
      <c r="P1372" s="19" t="s">
        <v>2011</v>
      </c>
      <c r="S1372" s="19" t="s">
        <v>138</v>
      </c>
      <c r="U1372" s="19" t="s">
        <v>138</v>
      </c>
      <c r="W1372" s="20">
        <v>23</v>
      </c>
      <c r="X1372" s="65" t="s">
        <v>2010</v>
      </c>
      <c r="Z1372" t="s">
        <v>307</v>
      </c>
      <c r="AB1372" t="s">
        <v>178</v>
      </c>
      <c r="AC1372" t="s">
        <v>2038</v>
      </c>
      <c r="AD1372" s="2" t="s">
        <v>2039</v>
      </c>
    </row>
    <row r="1373" spans="1:30" hidden="1" x14ac:dyDescent="0.25">
      <c r="A1373" s="2">
        <v>38</v>
      </c>
      <c r="B1373" t="s">
        <v>2050</v>
      </c>
      <c r="C1373">
        <v>12</v>
      </c>
      <c r="D1373">
        <v>238</v>
      </c>
      <c r="E1373">
        <v>1280</v>
      </c>
      <c r="F1373" t="s">
        <v>273</v>
      </c>
      <c r="G1373" s="2" t="s">
        <v>156</v>
      </c>
      <c r="H1373">
        <v>1</v>
      </c>
      <c r="I1373">
        <v>28.7</v>
      </c>
      <c r="J1373" s="2" t="s">
        <v>170</v>
      </c>
      <c r="K1373" s="2" t="s">
        <v>74</v>
      </c>
      <c r="M1373" t="s">
        <v>2440</v>
      </c>
      <c r="P1373" s="19" t="s">
        <v>2011</v>
      </c>
      <c r="S1373" s="19" t="s">
        <v>138</v>
      </c>
      <c r="U1373" s="19" t="s">
        <v>138</v>
      </c>
      <c r="W1373" s="20">
        <v>23</v>
      </c>
      <c r="X1373" s="65" t="s">
        <v>2010</v>
      </c>
      <c r="Z1373" t="s">
        <v>307</v>
      </c>
      <c r="AB1373" t="s">
        <v>178</v>
      </c>
      <c r="AC1373" t="s">
        <v>2038</v>
      </c>
      <c r="AD1373" s="2" t="s">
        <v>2039</v>
      </c>
    </row>
    <row r="1374" spans="1:30" hidden="1" x14ac:dyDescent="0.25">
      <c r="A1374" s="2">
        <v>39</v>
      </c>
      <c r="B1374" t="s">
        <v>2051</v>
      </c>
      <c r="C1374">
        <v>12</v>
      </c>
      <c r="D1374">
        <v>238</v>
      </c>
      <c r="E1374">
        <v>1280</v>
      </c>
      <c r="F1374" t="s">
        <v>273</v>
      </c>
      <c r="G1374" s="2" t="s">
        <v>156</v>
      </c>
      <c r="H1374">
        <v>1</v>
      </c>
      <c r="I1374">
        <v>28.7</v>
      </c>
      <c r="J1374" s="2" t="s">
        <v>170</v>
      </c>
      <c r="K1374" s="2" t="s">
        <v>74</v>
      </c>
      <c r="M1374" t="s">
        <v>2440</v>
      </c>
      <c r="P1374" s="19" t="s">
        <v>2011</v>
      </c>
      <c r="S1374" s="19" t="s">
        <v>138</v>
      </c>
      <c r="U1374" s="19" t="s">
        <v>138</v>
      </c>
      <c r="W1374" s="20">
        <v>23</v>
      </c>
      <c r="X1374" s="65" t="s">
        <v>2010</v>
      </c>
      <c r="Z1374" t="s">
        <v>307</v>
      </c>
      <c r="AB1374" t="s">
        <v>178</v>
      </c>
      <c r="AC1374" t="s">
        <v>2038</v>
      </c>
      <c r="AD1374" s="2" t="s">
        <v>2039</v>
      </c>
    </row>
    <row r="1375" spans="1:30" hidden="1" x14ac:dyDescent="0.25">
      <c r="A1375" s="2">
        <v>40</v>
      </c>
      <c r="B1375" t="s">
        <v>2052</v>
      </c>
      <c r="C1375">
        <v>12</v>
      </c>
      <c r="D1375">
        <v>238</v>
      </c>
      <c r="E1375">
        <v>1280</v>
      </c>
      <c r="F1375" t="s">
        <v>273</v>
      </c>
      <c r="G1375" s="2" t="s">
        <v>156</v>
      </c>
      <c r="H1375">
        <v>1</v>
      </c>
      <c r="I1375">
        <v>28.7</v>
      </c>
      <c r="J1375" s="2" t="s">
        <v>170</v>
      </c>
      <c r="K1375" s="2" t="s">
        <v>74</v>
      </c>
      <c r="M1375" t="s">
        <v>2440</v>
      </c>
      <c r="P1375" s="19" t="s">
        <v>2011</v>
      </c>
      <c r="S1375" s="19" t="s">
        <v>138</v>
      </c>
      <c r="U1375" s="19" t="s">
        <v>138</v>
      </c>
      <c r="W1375" s="20">
        <v>23</v>
      </c>
      <c r="X1375" s="65" t="s">
        <v>2010</v>
      </c>
      <c r="Z1375" t="s">
        <v>307</v>
      </c>
      <c r="AB1375" t="s">
        <v>178</v>
      </c>
      <c r="AC1375" t="s">
        <v>2038</v>
      </c>
      <c r="AD1375" s="2" t="s">
        <v>2039</v>
      </c>
    </row>
    <row r="1376" spans="1:30" hidden="1" x14ac:dyDescent="0.25">
      <c r="A1376" s="2">
        <v>41</v>
      </c>
      <c r="B1376" t="s">
        <v>2053</v>
      </c>
      <c r="C1376">
        <v>12</v>
      </c>
      <c r="D1376">
        <v>490</v>
      </c>
      <c r="E1376">
        <v>1514</v>
      </c>
      <c r="F1376" t="s">
        <v>273</v>
      </c>
      <c r="G1376" s="2" t="s">
        <v>156</v>
      </c>
      <c r="H1376">
        <v>1</v>
      </c>
      <c r="I1376">
        <v>69.78</v>
      </c>
      <c r="J1376" s="2" t="s">
        <v>170</v>
      </c>
      <c r="K1376" s="2" t="s">
        <v>74</v>
      </c>
      <c r="M1376" t="s">
        <v>2440</v>
      </c>
      <c r="P1376" s="19" t="s">
        <v>2011</v>
      </c>
      <c r="Q1376" s="19" t="s">
        <v>27</v>
      </c>
      <c r="S1376" s="19" t="s">
        <v>138</v>
      </c>
      <c r="W1376" s="20">
        <v>23</v>
      </c>
      <c r="X1376" s="65" t="s">
        <v>2010</v>
      </c>
      <c r="Z1376" t="s">
        <v>307</v>
      </c>
      <c r="AB1376" t="s">
        <v>178</v>
      </c>
      <c r="AC1376" t="s">
        <v>2038</v>
      </c>
      <c r="AD1376" s="2" t="s">
        <v>2039</v>
      </c>
    </row>
    <row r="1377" spans="1:30" hidden="1" x14ac:dyDescent="0.25">
      <c r="A1377" s="2">
        <v>42</v>
      </c>
      <c r="B1377" t="s">
        <v>2054</v>
      </c>
      <c r="C1377">
        <v>12</v>
      </c>
      <c r="D1377">
        <v>490</v>
      </c>
      <c r="E1377">
        <v>1514</v>
      </c>
      <c r="F1377" t="s">
        <v>273</v>
      </c>
      <c r="G1377" s="2" t="s">
        <v>156</v>
      </c>
      <c r="H1377">
        <v>1</v>
      </c>
      <c r="I1377">
        <v>69.78</v>
      </c>
      <c r="J1377" s="2" t="s">
        <v>170</v>
      </c>
      <c r="K1377" s="2" t="s">
        <v>74</v>
      </c>
      <c r="M1377" t="s">
        <v>2440</v>
      </c>
      <c r="P1377" s="19" t="s">
        <v>2011</v>
      </c>
      <c r="Q1377" s="19" t="s">
        <v>27</v>
      </c>
      <c r="S1377" s="19" t="s">
        <v>138</v>
      </c>
      <c r="W1377" s="20">
        <v>23</v>
      </c>
      <c r="X1377" s="65" t="s">
        <v>2010</v>
      </c>
      <c r="Z1377" t="s">
        <v>307</v>
      </c>
      <c r="AB1377" t="s">
        <v>178</v>
      </c>
      <c r="AC1377" t="s">
        <v>2038</v>
      </c>
      <c r="AD1377" s="2" t="s">
        <v>2039</v>
      </c>
    </row>
    <row r="1378" spans="1:30" hidden="1" x14ac:dyDescent="0.25">
      <c r="A1378" s="2">
        <v>43</v>
      </c>
      <c r="B1378" t="s">
        <v>2055</v>
      </c>
      <c r="C1378">
        <v>12</v>
      </c>
      <c r="D1378">
        <v>490</v>
      </c>
      <c r="E1378">
        <v>1514</v>
      </c>
      <c r="F1378" t="s">
        <v>273</v>
      </c>
      <c r="G1378" s="2" t="s">
        <v>156</v>
      </c>
      <c r="H1378">
        <v>1</v>
      </c>
      <c r="I1378">
        <v>69.78</v>
      </c>
      <c r="J1378" s="2" t="s">
        <v>170</v>
      </c>
      <c r="K1378" s="2" t="s">
        <v>74</v>
      </c>
      <c r="M1378" t="s">
        <v>2440</v>
      </c>
      <c r="P1378" s="19" t="s">
        <v>2011</v>
      </c>
      <c r="Q1378" s="19" t="s">
        <v>27</v>
      </c>
      <c r="S1378" s="19" t="s">
        <v>138</v>
      </c>
      <c r="W1378" s="20">
        <v>23</v>
      </c>
      <c r="X1378" s="65" t="s">
        <v>2010</v>
      </c>
      <c r="Z1378" t="s">
        <v>307</v>
      </c>
      <c r="AB1378" t="s">
        <v>178</v>
      </c>
      <c r="AC1378" t="s">
        <v>2038</v>
      </c>
      <c r="AD1378" s="2" t="s">
        <v>2039</v>
      </c>
    </row>
    <row r="1379" spans="1:30" hidden="1" x14ac:dyDescent="0.25">
      <c r="A1379" s="2">
        <v>44</v>
      </c>
      <c r="B1379" t="s">
        <v>2056</v>
      </c>
      <c r="C1379">
        <v>12</v>
      </c>
      <c r="D1379">
        <v>95</v>
      </c>
      <c r="E1379">
        <v>263</v>
      </c>
      <c r="F1379" t="s">
        <v>273</v>
      </c>
      <c r="G1379" s="2" t="s">
        <v>156</v>
      </c>
      <c r="H1379">
        <v>8</v>
      </c>
      <c r="I1379">
        <v>18.7</v>
      </c>
      <c r="J1379" s="2" t="s">
        <v>170</v>
      </c>
      <c r="K1379" s="2" t="s">
        <v>74</v>
      </c>
      <c r="M1379" t="s">
        <v>2440</v>
      </c>
      <c r="P1379" s="19" t="s">
        <v>2011</v>
      </c>
      <c r="Q1379" s="19" t="s">
        <v>25</v>
      </c>
      <c r="S1379" s="19" t="s">
        <v>138</v>
      </c>
      <c r="W1379" s="20">
        <v>23</v>
      </c>
      <c r="X1379" s="65" t="s">
        <v>2010</v>
      </c>
      <c r="Z1379" t="s">
        <v>307</v>
      </c>
      <c r="AB1379" t="s">
        <v>178</v>
      </c>
      <c r="AC1379" t="s">
        <v>2038</v>
      </c>
      <c r="AD1379" s="2" t="s">
        <v>2039</v>
      </c>
    </row>
    <row r="1380" spans="1:30" hidden="1" x14ac:dyDescent="0.25">
      <c r="A1380" s="2">
        <v>45</v>
      </c>
      <c r="B1380" t="s">
        <v>2008</v>
      </c>
      <c r="C1380">
        <v>12</v>
      </c>
      <c r="D1380">
        <v>135</v>
      </c>
      <c r="E1380">
        <v>488</v>
      </c>
      <c r="F1380" t="s">
        <v>273</v>
      </c>
      <c r="G1380" s="2" t="s">
        <v>156</v>
      </c>
      <c r="H1380">
        <v>4</v>
      </c>
      <c r="I1380">
        <v>24.76</v>
      </c>
      <c r="J1380" s="2" t="s">
        <v>170</v>
      </c>
      <c r="K1380" s="2" t="s">
        <v>74</v>
      </c>
      <c r="M1380" t="s">
        <v>2440</v>
      </c>
      <c r="P1380" s="19" t="s">
        <v>2011</v>
      </c>
      <c r="Q1380" s="19" t="s">
        <v>25</v>
      </c>
      <c r="R1380" s="19" t="s">
        <v>138</v>
      </c>
      <c r="W1380" s="20">
        <v>23</v>
      </c>
      <c r="X1380" s="65" t="s">
        <v>2010</v>
      </c>
      <c r="Z1380" t="s">
        <v>307</v>
      </c>
      <c r="AB1380" t="s">
        <v>178</v>
      </c>
      <c r="AC1380" t="s">
        <v>2057</v>
      </c>
      <c r="AD1380" s="2" t="s">
        <v>180</v>
      </c>
    </row>
    <row r="1381" spans="1:30" hidden="1" x14ac:dyDescent="0.25">
      <c r="A1381" s="2">
        <v>46</v>
      </c>
      <c r="B1381" t="s">
        <v>2059</v>
      </c>
      <c r="C1381">
        <v>12</v>
      </c>
      <c r="D1381">
        <v>135</v>
      </c>
      <c r="E1381">
        <v>488</v>
      </c>
      <c r="F1381" t="s">
        <v>273</v>
      </c>
      <c r="G1381" s="2" t="s">
        <v>156</v>
      </c>
      <c r="H1381">
        <v>8</v>
      </c>
      <c r="I1381">
        <v>49.52</v>
      </c>
      <c r="J1381" s="2" t="s">
        <v>170</v>
      </c>
      <c r="K1381" s="2" t="s">
        <v>74</v>
      </c>
      <c r="M1381" t="s">
        <v>2440</v>
      </c>
      <c r="P1381" s="19" t="s">
        <v>2011</v>
      </c>
      <c r="Q1381" s="19" t="s">
        <v>25</v>
      </c>
      <c r="R1381" s="19" t="s">
        <v>138</v>
      </c>
      <c r="W1381" s="20">
        <v>23</v>
      </c>
      <c r="X1381" s="65" t="s">
        <v>2010</v>
      </c>
      <c r="Z1381" t="s">
        <v>307</v>
      </c>
      <c r="AB1381" t="s">
        <v>178</v>
      </c>
      <c r="AC1381" t="s">
        <v>2057</v>
      </c>
      <c r="AD1381" s="2" t="s">
        <v>180</v>
      </c>
    </row>
    <row r="1382" spans="1:30" hidden="1" x14ac:dyDescent="0.25">
      <c r="A1382" s="2">
        <v>47</v>
      </c>
      <c r="B1382" t="s">
        <v>2060</v>
      </c>
      <c r="C1382">
        <v>12</v>
      </c>
      <c r="D1382">
        <v>490</v>
      </c>
      <c r="E1382">
        <v>9980</v>
      </c>
      <c r="F1382" t="s">
        <v>273</v>
      </c>
      <c r="G1382" s="2" t="s">
        <v>156</v>
      </c>
      <c r="H1382">
        <v>1</v>
      </c>
      <c r="I1382">
        <v>460.46</v>
      </c>
      <c r="J1382" s="2" t="s">
        <v>170</v>
      </c>
      <c r="K1382" s="2" t="s">
        <v>74</v>
      </c>
      <c r="M1382" t="s">
        <v>2440</v>
      </c>
      <c r="P1382" s="19" t="s">
        <v>2011</v>
      </c>
      <c r="Q1382" s="19" t="s">
        <v>27</v>
      </c>
      <c r="R1382" s="19" t="s">
        <v>138</v>
      </c>
      <c r="W1382" s="20">
        <v>23</v>
      </c>
      <c r="X1382" s="65" t="s">
        <v>2010</v>
      </c>
      <c r="Z1382" t="s">
        <v>307</v>
      </c>
      <c r="AB1382" t="s">
        <v>178</v>
      </c>
      <c r="AC1382" t="s">
        <v>2057</v>
      </c>
      <c r="AD1382" s="2" t="s">
        <v>180</v>
      </c>
    </row>
    <row r="1383" spans="1:30" hidden="1" x14ac:dyDescent="0.25">
      <c r="A1383" s="2">
        <v>48</v>
      </c>
      <c r="B1383" t="s">
        <v>2061</v>
      </c>
      <c r="C1383">
        <v>12</v>
      </c>
      <c r="D1383">
        <v>490</v>
      </c>
      <c r="E1383">
        <v>9980</v>
      </c>
      <c r="F1383" t="s">
        <v>273</v>
      </c>
      <c r="G1383" s="2" t="s">
        <v>156</v>
      </c>
      <c r="H1383">
        <v>1</v>
      </c>
      <c r="I1383">
        <v>460.46</v>
      </c>
      <c r="J1383" s="2" t="s">
        <v>170</v>
      </c>
      <c r="K1383" s="2" t="s">
        <v>74</v>
      </c>
      <c r="M1383" t="s">
        <v>2440</v>
      </c>
      <c r="P1383" s="19" t="s">
        <v>2011</v>
      </c>
      <c r="Q1383" s="19" t="s">
        <v>27</v>
      </c>
      <c r="R1383" s="19" t="s">
        <v>138</v>
      </c>
      <c r="W1383" s="20">
        <v>23</v>
      </c>
      <c r="X1383" s="65" t="s">
        <v>2010</v>
      </c>
      <c r="Z1383" t="s">
        <v>307</v>
      </c>
      <c r="AB1383" t="s">
        <v>178</v>
      </c>
      <c r="AC1383" t="s">
        <v>2057</v>
      </c>
      <c r="AD1383" s="2" t="s">
        <v>180</v>
      </c>
    </row>
    <row r="1384" spans="1:30" hidden="1" x14ac:dyDescent="0.25">
      <c r="A1384" s="2">
        <v>49</v>
      </c>
      <c r="B1384" t="s">
        <v>2020</v>
      </c>
      <c r="C1384">
        <v>12</v>
      </c>
      <c r="D1384">
        <v>130</v>
      </c>
      <c r="E1384">
        <v>663</v>
      </c>
      <c r="F1384" t="s">
        <v>273</v>
      </c>
      <c r="G1384" s="2" t="s">
        <v>156</v>
      </c>
      <c r="H1384">
        <v>1</v>
      </c>
      <c r="I1384">
        <v>8.11</v>
      </c>
      <c r="J1384" s="2" t="s">
        <v>170</v>
      </c>
      <c r="K1384" s="2" t="s">
        <v>74</v>
      </c>
      <c r="M1384" t="s">
        <v>2440</v>
      </c>
      <c r="P1384" s="19" t="s">
        <v>2011</v>
      </c>
      <c r="Q1384" s="19" t="s">
        <v>25</v>
      </c>
      <c r="R1384" s="19" t="s">
        <v>138</v>
      </c>
      <c r="W1384" s="20">
        <v>23</v>
      </c>
      <c r="X1384" s="65" t="s">
        <v>2010</v>
      </c>
      <c r="Z1384" t="s">
        <v>307</v>
      </c>
      <c r="AB1384" t="s">
        <v>178</v>
      </c>
      <c r="AC1384" t="s">
        <v>2057</v>
      </c>
      <c r="AD1384" s="2" t="s">
        <v>180</v>
      </c>
    </row>
    <row r="1385" spans="1:30" hidden="1" x14ac:dyDescent="0.25">
      <c r="A1385" s="2">
        <v>50</v>
      </c>
      <c r="B1385" t="s">
        <v>2062</v>
      </c>
      <c r="C1385">
        <v>12</v>
      </c>
      <c r="D1385">
        <v>130</v>
      </c>
      <c r="E1385">
        <v>663</v>
      </c>
      <c r="F1385" t="s">
        <v>273</v>
      </c>
      <c r="G1385" s="2" t="s">
        <v>156</v>
      </c>
      <c r="H1385">
        <v>8</v>
      </c>
      <c r="I1385">
        <v>64.88</v>
      </c>
      <c r="J1385" s="2" t="s">
        <v>170</v>
      </c>
      <c r="K1385" s="2" t="s">
        <v>74</v>
      </c>
      <c r="M1385" t="s">
        <v>2440</v>
      </c>
      <c r="P1385" s="19" t="s">
        <v>2011</v>
      </c>
      <c r="Q1385" s="19" t="s">
        <v>25</v>
      </c>
      <c r="R1385" s="19" t="s">
        <v>138</v>
      </c>
      <c r="W1385" s="20">
        <v>23</v>
      </c>
      <c r="X1385" s="65" t="s">
        <v>2010</v>
      </c>
      <c r="Z1385" t="s">
        <v>307</v>
      </c>
      <c r="AB1385" t="s">
        <v>178</v>
      </c>
      <c r="AC1385" t="s">
        <v>2057</v>
      </c>
      <c r="AD1385" s="2" t="s">
        <v>180</v>
      </c>
    </row>
    <row r="1386" spans="1:30" hidden="1" x14ac:dyDescent="0.25">
      <c r="A1386" s="2">
        <v>51</v>
      </c>
      <c r="B1386" t="s">
        <v>2063</v>
      </c>
      <c r="C1386">
        <v>12</v>
      </c>
      <c r="D1386">
        <v>238</v>
      </c>
      <c r="E1386">
        <v>1280</v>
      </c>
      <c r="F1386" t="s">
        <v>273</v>
      </c>
      <c r="G1386" s="2" t="s">
        <v>156</v>
      </c>
      <c r="H1386">
        <v>1</v>
      </c>
      <c r="I1386">
        <v>28.7</v>
      </c>
      <c r="J1386" s="2" t="s">
        <v>170</v>
      </c>
      <c r="K1386" s="2" t="s">
        <v>74</v>
      </c>
      <c r="M1386" t="s">
        <v>2440</v>
      </c>
      <c r="P1386" s="19" t="s">
        <v>2011</v>
      </c>
      <c r="R1386" s="19" t="s">
        <v>138</v>
      </c>
      <c r="U1386" s="19" t="s">
        <v>138</v>
      </c>
      <c r="W1386" s="20">
        <v>23</v>
      </c>
      <c r="X1386" s="65" t="s">
        <v>2010</v>
      </c>
      <c r="Z1386" t="s">
        <v>307</v>
      </c>
      <c r="AB1386" t="s">
        <v>178</v>
      </c>
      <c r="AC1386" t="s">
        <v>2057</v>
      </c>
      <c r="AD1386" s="2" t="s">
        <v>180</v>
      </c>
    </row>
    <row r="1387" spans="1:30" hidden="1" x14ac:dyDescent="0.25">
      <c r="A1387" s="2">
        <v>52</v>
      </c>
      <c r="B1387" t="s">
        <v>2064</v>
      </c>
      <c r="C1387">
        <v>12</v>
      </c>
      <c r="D1387">
        <v>238</v>
      </c>
      <c r="E1387">
        <v>1280</v>
      </c>
      <c r="F1387" t="s">
        <v>273</v>
      </c>
      <c r="G1387" s="2" t="s">
        <v>156</v>
      </c>
      <c r="H1387">
        <v>1</v>
      </c>
      <c r="I1387">
        <v>28.7</v>
      </c>
      <c r="J1387" s="2" t="s">
        <v>170</v>
      </c>
      <c r="K1387" s="2" t="s">
        <v>74</v>
      </c>
      <c r="M1387" t="s">
        <v>2440</v>
      </c>
      <c r="P1387" s="19" t="s">
        <v>2011</v>
      </c>
      <c r="R1387" s="19" t="s">
        <v>138</v>
      </c>
      <c r="U1387" s="19" t="s">
        <v>138</v>
      </c>
      <c r="W1387" s="20">
        <v>23</v>
      </c>
      <c r="X1387" s="65" t="s">
        <v>2010</v>
      </c>
      <c r="Z1387" t="s">
        <v>307</v>
      </c>
      <c r="AB1387" t="s">
        <v>178</v>
      </c>
      <c r="AC1387" t="s">
        <v>2057</v>
      </c>
      <c r="AD1387" s="2" t="s">
        <v>180</v>
      </c>
    </row>
    <row r="1388" spans="1:30" hidden="1" x14ac:dyDescent="0.25">
      <c r="A1388" s="2">
        <v>53</v>
      </c>
      <c r="B1388" t="s">
        <v>2065</v>
      </c>
      <c r="C1388">
        <v>12</v>
      </c>
      <c r="D1388">
        <v>238</v>
      </c>
      <c r="E1388">
        <v>1280</v>
      </c>
      <c r="F1388" t="s">
        <v>273</v>
      </c>
      <c r="G1388" s="2" t="s">
        <v>156</v>
      </c>
      <c r="H1388">
        <v>1</v>
      </c>
      <c r="I1388">
        <v>28.7</v>
      </c>
      <c r="J1388" s="2" t="s">
        <v>170</v>
      </c>
      <c r="K1388" s="2" t="s">
        <v>74</v>
      </c>
      <c r="M1388" t="s">
        <v>2440</v>
      </c>
      <c r="P1388" s="19" t="s">
        <v>2011</v>
      </c>
      <c r="R1388" s="19" t="s">
        <v>138</v>
      </c>
      <c r="U1388" s="19" t="s">
        <v>138</v>
      </c>
      <c r="W1388" s="20">
        <v>23</v>
      </c>
      <c r="X1388" s="65" t="s">
        <v>2010</v>
      </c>
      <c r="Z1388" t="s">
        <v>307</v>
      </c>
      <c r="AB1388" t="s">
        <v>178</v>
      </c>
      <c r="AC1388" t="s">
        <v>2057</v>
      </c>
      <c r="AD1388" s="2" t="s">
        <v>180</v>
      </c>
    </row>
    <row r="1389" spans="1:30" hidden="1" x14ac:dyDescent="0.25">
      <c r="A1389" s="2">
        <v>54</v>
      </c>
      <c r="B1389" t="s">
        <v>2066</v>
      </c>
      <c r="C1389">
        <v>12</v>
      </c>
      <c r="D1389">
        <v>238</v>
      </c>
      <c r="E1389">
        <v>1280</v>
      </c>
      <c r="F1389" t="s">
        <v>273</v>
      </c>
      <c r="G1389" s="2" t="s">
        <v>156</v>
      </c>
      <c r="H1389">
        <v>1</v>
      </c>
      <c r="I1389">
        <v>28.7</v>
      </c>
      <c r="J1389" s="2" t="s">
        <v>170</v>
      </c>
      <c r="K1389" s="2" t="s">
        <v>74</v>
      </c>
      <c r="M1389" t="s">
        <v>2440</v>
      </c>
      <c r="P1389" s="19" t="s">
        <v>2011</v>
      </c>
      <c r="R1389" s="19" t="s">
        <v>138</v>
      </c>
      <c r="U1389" s="19" t="s">
        <v>138</v>
      </c>
      <c r="W1389" s="20">
        <v>23</v>
      </c>
      <c r="X1389" s="65" t="s">
        <v>2010</v>
      </c>
      <c r="Z1389" t="s">
        <v>307</v>
      </c>
      <c r="AB1389" t="s">
        <v>178</v>
      </c>
      <c r="AC1389" t="s">
        <v>2057</v>
      </c>
      <c r="AD1389" s="2" t="s">
        <v>180</v>
      </c>
    </row>
    <row r="1390" spans="1:30" hidden="1" x14ac:dyDescent="0.25">
      <c r="A1390" s="2">
        <v>55</v>
      </c>
      <c r="B1390" t="s">
        <v>2067</v>
      </c>
      <c r="C1390">
        <v>12</v>
      </c>
      <c r="D1390">
        <v>238</v>
      </c>
      <c r="E1390">
        <v>1280</v>
      </c>
      <c r="F1390" t="s">
        <v>273</v>
      </c>
      <c r="G1390" s="2" t="s">
        <v>156</v>
      </c>
      <c r="H1390">
        <v>1</v>
      </c>
      <c r="I1390">
        <v>28.7</v>
      </c>
      <c r="J1390" s="2" t="s">
        <v>170</v>
      </c>
      <c r="K1390" s="2" t="s">
        <v>74</v>
      </c>
      <c r="M1390" t="s">
        <v>2440</v>
      </c>
      <c r="P1390" s="19" t="s">
        <v>2011</v>
      </c>
      <c r="R1390" s="19" t="s">
        <v>138</v>
      </c>
      <c r="U1390" s="19" t="s">
        <v>138</v>
      </c>
      <c r="W1390" s="20">
        <v>23</v>
      </c>
      <c r="X1390" s="65" t="s">
        <v>2010</v>
      </c>
      <c r="Z1390" t="s">
        <v>307</v>
      </c>
      <c r="AB1390" t="s">
        <v>178</v>
      </c>
      <c r="AC1390" t="s">
        <v>2057</v>
      </c>
      <c r="AD1390" s="2" t="s">
        <v>180</v>
      </c>
    </row>
    <row r="1391" spans="1:30" hidden="1" x14ac:dyDescent="0.25">
      <c r="A1391" s="2">
        <v>56</v>
      </c>
      <c r="B1391" t="s">
        <v>2068</v>
      </c>
      <c r="C1391">
        <v>12</v>
      </c>
      <c r="D1391">
        <v>490</v>
      </c>
      <c r="E1391">
        <v>9980</v>
      </c>
      <c r="F1391" t="s">
        <v>273</v>
      </c>
      <c r="G1391" s="2" t="s">
        <v>156</v>
      </c>
      <c r="H1391">
        <v>1</v>
      </c>
      <c r="I1391">
        <v>460.46</v>
      </c>
      <c r="J1391" s="2" t="s">
        <v>170</v>
      </c>
      <c r="K1391" s="2" t="s">
        <v>74</v>
      </c>
      <c r="M1391" t="s">
        <v>2440</v>
      </c>
      <c r="P1391" s="19" t="s">
        <v>2011</v>
      </c>
      <c r="Q1391" s="19" t="s">
        <v>27</v>
      </c>
      <c r="R1391" s="19" t="s">
        <v>138</v>
      </c>
      <c r="W1391" s="20">
        <v>23</v>
      </c>
      <c r="X1391" s="65" t="s">
        <v>2010</v>
      </c>
      <c r="Z1391" t="s">
        <v>307</v>
      </c>
      <c r="AB1391" t="s">
        <v>178</v>
      </c>
      <c r="AC1391" t="s">
        <v>2057</v>
      </c>
      <c r="AD1391" s="2" t="s">
        <v>180</v>
      </c>
    </row>
    <row r="1392" spans="1:30" hidden="1" x14ac:dyDescent="0.25">
      <c r="A1392" s="2">
        <v>57</v>
      </c>
      <c r="B1392" t="s">
        <v>2069</v>
      </c>
      <c r="C1392">
        <v>12</v>
      </c>
      <c r="D1392">
        <v>490</v>
      </c>
      <c r="E1392">
        <v>9980</v>
      </c>
      <c r="F1392" t="s">
        <v>273</v>
      </c>
      <c r="G1392" s="2" t="s">
        <v>156</v>
      </c>
      <c r="H1392">
        <v>1</v>
      </c>
      <c r="I1392">
        <v>460.46</v>
      </c>
      <c r="J1392" s="2" t="s">
        <v>170</v>
      </c>
      <c r="K1392" s="2" t="s">
        <v>74</v>
      </c>
      <c r="M1392" t="s">
        <v>2440</v>
      </c>
      <c r="P1392" s="19" t="s">
        <v>2011</v>
      </c>
      <c r="Q1392" s="19" t="s">
        <v>27</v>
      </c>
      <c r="R1392" s="19" t="s">
        <v>138</v>
      </c>
      <c r="W1392" s="20">
        <v>23</v>
      </c>
      <c r="X1392" s="65" t="s">
        <v>2010</v>
      </c>
      <c r="Z1392" t="s">
        <v>307</v>
      </c>
      <c r="AB1392" t="s">
        <v>178</v>
      </c>
      <c r="AC1392" t="s">
        <v>2057</v>
      </c>
      <c r="AD1392" s="2" t="s">
        <v>180</v>
      </c>
    </row>
    <row r="1393" spans="1:30" hidden="1" x14ac:dyDescent="0.25">
      <c r="A1393" s="2">
        <v>58</v>
      </c>
      <c r="B1393" t="s">
        <v>2070</v>
      </c>
      <c r="C1393">
        <v>12</v>
      </c>
      <c r="D1393">
        <v>238</v>
      </c>
      <c r="E1393">
        <v>1280</v>
      </c>
      <c r="F1393" t="s">
        <v>273</v>
      </c>
      <c r="G1393" s="2" t="s">
        <v>156</v>
      </c>
      <c r="H1393">
        <v>1</v>
      </c>
      <c r="I1393">
        <v>28.7</v>
      </c>
      <c r="J1393" s="2" t="s">
        <v>170</v>
      </c>
      <c r="K1393" s="2" t="s">
        <v>74</v>
      </c>
      <c r="M1393" t="s">
        <v>2440</v>
      </c>
      <c r="P1393" s="19" t="s">
        <v>2011</v>
      </c>
      <c r="R1393" s="19" t="s">
        <v>138</v>
      </c>
      <c r="U1393" s="19" t="s">
        <v>138</v>
      </c>
      <c r="W1393" s="20">
        <v>23</v>
      </c>
      <c r="X1393" s="65" t="s">
        <v>2010</v>
      </c>
      <c r="Z1393" t="s">
        <v>307</v>
      </c>
      <c r="AB1393" t="s">
        <v>178</v>
      </c>
      <c r="AC1393" t="s">
        <v>2057</v>
      </c>
      <c r="AD1393" s="2" t="s">
        <v>180</v>
      </c>
    </row>
    <row r="1394" spans="1:30" hidden="1" x14ac:dyDescent="0.25">
      <c r="A1394" s="2">
        <v>59</v>
      </c>
      <c r="B1394" t="s">
        <v>2071</v>
      </c>
      <c r="C1394">
        <v>12</v>
      </c>
      <c r="D1394">
        <v>238</v>
      </c>
      <c r="E1394">
        <v>1280</v>
      </c>
      <c r="F1394" t="s">
        <v>273</v>
      </c>
      <c r="G1394" s="2" t="s">
        <v>156</v>
      </c>
      <c r="H1394">
        <v>1</v>
      </c>
      <c r="I1394">
        <v>28.7</v>
      </c>
      <c r="J1394" s="2" t="s">
        <v>170</v>
      </c>
      <c r="K1394" s="2" t="s">
        <v>74</v>
      </c>
      <c r="M1394" t="s">
        <v>2440</v>
      </c>
      <c r="P1394" s="19" t="s">
        <v>2011</v>
      </c>
      <c r="R1394" s="19" t="s">
        <v>138</v>
      </c>
      <c r="U1394" s="19" t="s">
        <v>138</v>
      </c>
      <c r="W1394" s="20">
        <v>23</v>
      </c>
      <c r="X1394" s="65" t="s">
        <v>2010</v>
      </c>
      <c r="Z1394" t="s">
        <v>307</v>
      </c>
      <c r="AB1394" t="s">
        <v>178</v>
      </c>
      <c r="AC1394" t="s">
        <v>2057</v>
      </c>
      <c r="AD1394" s="2" t="s">
        <v>180</v>
      </c>
    </row>
    <row r="1395" spans="1:30" hidden="1" x14ac:dyDescent="0.25">
      <c r="A1395" s="2">
        <v>60</v>
      </c>
      <c r="B1395" t="s">
        <v>2059</v>
      </c>
      <c r="C1395">
        <v>12</v>
      </c>
      <c r="D1395">
        <v>135</v>
      </c>
      <c r="E1395">
        <v>488</v>
      </c>
      <c r="F1395" t="s">
        <v>273</v>
      </c>
      <c r="G1395" s="2" t="s">
        <v>156</v>
      </c>
      <c r="H1395">
        <v>4</v>
      </c>
      <c r="I1395">
        <v>24.76</v>
      </c>
      <c r="J1395" s="2" t="s">
        <v>170</v>
      </c>
      <c r="K1395" s="2" t="s">
        <v>74</v>
      </c>
      <c r="M1395" t="s">
        <v>2440</v>
      </c>
      <c r="P1395" s="19" t="s">
        <v>2011</v>
      </c>
      <c r="Q1395" s="19" t="s">
        <v>25</v>
      </c>
      <c r="R1395" s="19" t="s">
        <v>138</v>
      </c>
      <c r="W1395" s="20">
        <v>23</v>
      </c>
      <c r="X1395" s="65" t="s">
        <v>2010</v>
      </c>
      <c r="Z1395" t="s">
        <v>307</v>
      </c>
      <c r="AB1395" t="s">
        <v>178</v>
      </c>
      <c r="AC1395" t="s">
        <v>2072</v>
      </c>
      <c r="AD1395" s="2" t="s">
        <v>180</v>
      </c>
    </row>
    <row r="1396" spans="1:30" hidden="1" x14ac:dyDescent="0.25">
      <c r="A1396" s="2">
        <v>61</v>
      </c>
      <c r="B1396" t="s">
        <v>2074</v>
      </c>
      <c r="C1396">
        <v>12</v>
      </c>
      <c r="D1396">
        <v>135</v>
      </c>
      <c r="E1396">
        <v>488</v>
      </c>
      <c r="F1396" t="s">
        <v>273</v>
      </c>
      <c r="G1396" s="2" t="s">
        <v>156</v>
      </c>
      <c r="H1396">
        <v>8</v>
      </c>
      <c r="I1396">
        <v>49.52</v>
      </c>
      <c r="J1396" s="2" t="s">
        <v>170</v>
      </c>
      <c r="K1396" s="2" t="s">
        <v>74</v>
      </c>
      <c r="M1396" t="s">
        <v>2440</v>
      </c>
      <c r="P1396" s="19" t="s">
        <v>2011</v>
      </c>
      <c r="Q1396" s="19" t="s">
        <v>25</v>
      </c>
      <c r="R1396" s="19" t="s">
        <v>138</v>
      </c>
      <c r="W1396" s="20">
        <v>23</v>
      </c>
      <c r="X1396" s="65" t="s">
        <v>2010</v>
      </c>
      <c r="Z1396" t="s">
        <v>307</v>
      </c>
      <c r="AB1396" t="s">
        <v>178</v>
      </c>
      <c r="AC1396" t="s">
        <v>2072</v>
      </c>
      <c r="AD1396" s="2" t="s">
        <v>180</v>
      </c>
    </row>
    <row r="1397" spans="1:30" hidden="1" x14ac:dyDescent="0.25">
      <c r="A1397" s="2">
        <v>62</v>
      </c>
      <c r="B1397" t="s">
        <v>2075</v>
      </c>
      <c r="C1397">
        <v>12</v>
      </c>
      <c r="D1397">
        <v>490</v>
      </c>
      <c r="E1397">
        <v>9980</v>
      </c>
      <c r="F1397" t="s">
        <v>273</v>
      </c>
      <c r="G1397" s="2" t="s">
        <v>156</v>
      </c>
      <c r="H1397">
        <v>1</v>
      </c>
      <c r="I1397">
        <v>460.46</v>
      </c>
      <c r="J1397" s="2" t="s">
        <v>170</v>
      </c>
      <c r="K1397" s="2" t="s">
        <v>74</v>
      </c>
      <c r="M1397" t="s">
        <v>2440</v>
      </c>
      <c r="P1397" s="19" t="s">
        <v>2011</v>
      </c>
      <c r="Q1397" s="19" t="s">
        <v>27</v>
      </c>
      <c r="R1397" s="19" t="s">
        <v>138</v>
      </c>
      <c r="W1397" s="20">
        <v>23</v>
      </c>
      <c r="X1397" s="65" t="s">
        <v>2010</v>
      </c>
      <c r="Z1397" t="s">
        <v>307</v>
      </c>
      <c r="AB1397" t="s">
        <v>178</v>
      </c>
      <c r="AC1397" t="s">
        <v>2072</v>
      </c>
      <c r="AD1397" s="2" t="s">
        <v>180</v>
      </c>
    </row>
    <row r="1398" spans="1:30" hidden="1" x14ac:dyDescent="0.25">
      <c r="A1398" s="2">
        <v>63</v>
      </c>
      <c r="B1398" t="s">
        <v>2076</v>
      </c>
      <c r="C1398">
        <v>12</v>
      </c>
      <c r="D1398">
        <v>490</v>
      </c>
      <c r="E1398">
        <v>9980</v>
      </c>
      <c r="F1398" t="s">
        <v>273</v>
      </c>
      <c r="G1398" s="2" t="s">
        <v>156</v>
      </c>
      <c r="H1398">
        <v>1</v>
      </c>
      <c r="I1398">
        <v>460.46</v>
      </c>
      <c r="J1398" s="2" t="s">
        <v>170</v>
      </c>
      <c r="K1398" s="2" t="s">
        <v>74</v>
      </c>
      <c r="M1398" t="s">
        <v>2440</v>
      </c>
      <c r="P1398" s="19" t="s">
        <v>2011</v>
      </c>
      <c r="Q1398" s="19" t="s">
        <v>27</v>
      </c>
      <c r="R1398" s="19" t="s">
        <v>138</v>
      </c>
      <c r="W1398" s="20">
        <v>23</v>
      </c>
      <c r="X1398" s="65" t="s">
        <v>2010</v>
      </c>
      <c r="Z1398" t="s">
        <v>307</v>
      </c>
      <c r="AB1398" t="s">
        <v>178</v>
      </c>
      <c r="AC1398" t="s">
        <v>2072</v>
      </c>
      <c r="AD1398" s="2" t="s">
        <v>180</v>
      </c>
    </row>
    <row r="1399" spans="1:30" hidden="1" x14ac:dyDescent="0.25">
      <c r="A1399" s="2">
        <v>64</v>
      </c>
      <c r="B1399" t="s">
        <v>2062</v>
      </c>
      <c r="C1399">
        <v>12</v>
      </c>
      <c r="D1399">
        <v>130</v>
      </c>
      <c r="E1399">
        <v>663</v>
      </c>
      <c r="F1399" t="s">
        <v>273</v>
      </c>
      <c r="G1399" s="2" t="s">
        <v>156</v>
      </c>
      <c r="H1399">
        <v>1</v>
      </c>
      <c r="I1399">
        <v>8.11</v>
      </c>
      <c r="J1399" s="2" t="s">
        <v>170</v>
      </c>
      <c r="K1399" s="2" t="s">
        <v>74</v>
      </c>
      <c r="M1399" t="s">
        <v>2440</v>
      </c>
      <c r="P1399" s="19" t="s">
        <v>2011</v>
      </c>
      <c r="Q1399" s="19" t="s">
        <v>25</v>
      </c>
      <c r="R1399" s="19" t="s">
        <v>138</v>
      </c>
      <c r="W1399" s="20">
        <v>23</v>
      </c>
      <c r="X1399" s="65" t="s">
        <v>2010</v>
      </c>
      <c r="Z1399" t="s">
        <v>307</v>
      </c>
      <c r="AB1399" t="s">
        <v>178</v>
      </c>
      <c r="AC1399" t="s">
        <v>2072</v>
      </c>
      <c r="AD1399" s="2" t="s">
        <v>180</v>
      </c>
    </row>
    <row r="1400" spans="1:30" hidden="1" x14ac:dyDescent="0.25">
      <c r="A1400" s="2">
        <v>65</v>
      </c>
      <c r="B1400" t="s">
        <v>2077</v>
      </c>
      <c r="C1400">
        <v>12</v>
      </c>
      <c r="D1400">
        <v>490</v>
      </c>
      <c r="E1400">
        <v>9980</v>
      </c>
      <c r="F1400" t="s">
        <v>273</v>
      </c>
      <c r="G1400" s="2" t="s">
        <v>156</v>
      </c>
      <c r="H1400">
        <v>1</v>
      </c>
      <c r="I1400">
        <v>460.46</v>
      </c>
      <c r="J1400" s="2" t="s">
        <v>170</v>
      </c>
      <c r="K1400" s="2" t="s">
        <v>74</v>
      </c>
      <c r="M1400" t="s">
        <v>2440</v>
      </c>
      <c r="P1400" s="19" t="s">
        <v>2011</v>
      </c>
      <c r="Q1400" s="19" t="s">
        <v>27</v>
      </c>
      <c r="R1400" s="19" t="s">
        <v>138</v>
      </c>
      <c r="W1400" s="20">
        <v>23</v>
      </c>
      <c r="X1400" s="65" t="s">
        <v>2010</v>
      </c>
      <c r="Z1400" t="s">
        <v>307</v>
      </c>
      <c r="AB1400" t="s">
        <v>178</v>
      </c>
      <c r="AC1400" t="s">
        <v>2072</v>
      </c>
      <c r="AD1400" s="2" t="s">
        <v>180</v>
      </c>
    </row>
    <row r="1401" spans="1:30" hidden="1" x14ac:dyDescent="0.25">
      <c r="A1401" s="2">
        <v>66</v>
      </c>
      <c r="B1401" t="s">
        <v>2078</v>
      </c>
      <c r="C1401">
        <v>12</v>
      </c>
      <c r="D1401">
        <v>490</v>
      </c>
      <c r="E1401">
        <v>9980</v>
      </c>
      <c r="F1401" t="s">
        <v>273</v>
      </c>
      <c r="G1401" s="2" t="s">
        <v>156</v>
      </c>
      <c r="H1401">
        <v>1</v>
      </c>
      <c r="I1401">
        <v>460.46</v>
      </c>
      <c r="J1401" s="2" t="s">
        <v>170</v>
      </c>
      <c r="K1401" s="2" t="s">
        <v>74</v>
      </c>
      <c r="M1401" t="s">
        <v>2440</v>
      </c>
      <c r="P1401" s="19" t="s">
        <v>2011</v>
      </c>
      <c r="Q1401" s="19" t="s">
        <v>27</v>
      </c>
      <c r="R1401" s="19" t="s">
        <v>138</v>
      </c>
      <c r="W1401" s="20">
        <v>23</v>
      </c>
      <c r="X1401" s="65" t="s">
        <v>2010</v>
      </c>
      <c r="Z1401" t="s">
        <v>307</v>
      </c>
      <c r="AB1401" t="s">
        <v>178</v>
      </c>
      <c r="AC1401" t="s">
        <v>2072</v>
      </c>
      <c r="AD1401" s="2" t="s">
        <v>180</v>
      </c>
    </row>
    <row r="1402" spans="1:30" hidden="1" x14ac:dyDescent="0.25">
      <c r="A1402" s="2">
        <v>67</v>
      </c>
      <c r="B1402" t="s">
        <v>2079</v>
      </c>
      <c r="C1402">
        <v>12</v>
      </c>
      <c r="D1402">
        <v>130</v>
      </c>
      <c r="E1402">
        <v>663</v>
      </c>
      <c r="F1402" t="s">
        <v>273</v>
      </c>
      <c r="G1402" s="2" t="s">
        <v>156</v>
      </c>
      <c r="H1402">
        <v>8</v>
      </c>
      <c r="I1402">
        <v>64.88</v>
      </c>
      <c r="J1402" s="2" t="s">
        <v>170</v>
      </c>
      <c r="K1402" s="2" t="s">
        <v>74</v>
      </c>
      <c r="M1402" t="s">
        <v>2440</v>
      </c>
      <c r="P1402" s="19" t="s">
        <v>2011</v>
      </c>
      <c r="Q1402" s="19" t="s">
        <v>25</v>
      </c>
      <c r="R1402" s="19" t="s">
        <v>138</v>
      </c>
      <c r="W1402" s="20">
        <v>23</v>
      </c>
      <c r="X1402" s="65" t="s">
        <v>2010</v>
      </c>
      <c r="Z1402" t="s">
        <v>307</v>
      </c>
      <c r="AB1402" t="s">
        <v>178</v>
      </c>
      <c r="AC1402" t="s">
        <v>2072</v>
      </c>
      <c r="AD1402" s="2" t="s">
        <v>180</v>
      </c>
    </row>
    <row r="1403" spans="1:30" hidden="1" x14ac:dyDescent="0.25">
      <c r="A1403" s="2">
        <v>68</v>
      </c>
      <c r="B1403" t="s">
        <v>2080</v>
      </c>
      <c r="C1403">
        <v>12</v>
      </c>
      <c r="D1403">
        <v>238</v>
      </c>
      <c r="E1403">
        <v>1280</v>
      </c>
      <c r="F1403" t="s">
        <v>273</v>
      </c>
      <c r="G1403" s="2" t="s">
        <v>156</v>
      </c>
      <c r="H1403">
        <v>1</v>
      </c>
      <c r="I1403">
        <v>28.7</v>
      </c>
      <c r="J1403" s="2" t="s">
        <v>170</v>
      </c>
      <c r="K1403" s="2" t="s">
        <v>74</v>
      </c>
      <c r="M1403" t="s">
        <v>2440</v>
      </c>
      <c r="P1403" s="19" t="s">
        <v>2011</v>
      </c>
      <c r="R1403" s="19" t="s">
        <v>138</v>
      </c>
      <c r="U1403" s="19" t="s">
        <v>138</v>
      </c>
      <c r="W1403" s="20">
        <v>23</v>
      </c>
      <c r="X1403" s="65" t="s">
        <v>2010</v>
      </c>
      <c r="Z1403" t="s">
        <v>307</v>
      </c>
      <c r="AB1403" t="s">
        <v>178</v>
      </c>
      <c r="AC1403" t="s">
        <v>2072</v>
      </c>
      <c r="AD1403" s="2" t="s">
        <v>180</v>
      </c>
    </row>
    <row r="1404" spans="1:30" hidden="1" x14ac:dyDescent="0.25">
      <c r="A1404" s="2">
        <v>69</v>
      </c>
      <c r="B1404" t="s">
        <v>2081</v>
      </c>
      <c r="C1404">
        <v>12</v>
      </c>
      <c r="D1404">
        <v>238</v>
      </c>
      <c r="E1404">
        <v>1280</v>
      </c>
      <c r="F1404" t="s">
        <v>273</v>
      </c>
      <c r="G1404" s="2" t="s">
        <v>156</v>
      </c>
      <c r="H1404">
        <v>1</v>
      </c>
      <c r="I1404">
        <v>28.7</v>
      </c>
      <c r="J1404" s="2" t="s">
        <v>170</v>
      </c>
      <c r="K1404" s="2" t="s">
        <v>74</v>
      </c>
      <c r="M1404" t="s">
        <v>2440</v>
      </c>
      <c r="P1404" s="19" t="s">
        <v>2011</v>
      </c>
      <c r="R1404" s="19" t="s">
        <v>138</v>
      </c>
      <c r="U1404" s="19" t="s">
        <v>138</v>
      </c>
      <c r="W1404" s="20">
        <v>23</v>
      </c>
      <c r="X1404" s="65" t="s">
        <v>2010</v>
      </c>
      <c r="Z1404" t="s">
        <v>307</v>
      </c>
      <c r="AB1404" t="s">
        <v>178</v>
      </c>
      <c r="AC1404" t="s">
        <v>2072</v>
      </c>
      <c r="AD1404" s="2" t="s">
        <v>180</v>
      </c>
    </row>
    <row r="1405" spans="1:30" hidden="1" x14ac:dyDescent="0.25">
      <c r="A1405" s="2">
        <v>70</v>
      </c>
      <c r="B1405" t="s">
        <v>2082</v>
      </c>
      <c r="C1405">
        <v>12</v>
      </c>
      <c r="D1405">
        <v>238</v>
      </c>
      <c r="E1405">
        <v>1280</v>
      </c>
      <c r="F1405" t="s">
        <v>273</v>
      </c>
      <c r="G1405" s="2" t="s">
        <v>156</v>
      </c>
      <c r="H1405">
        <v>1</v>
      </c>
      <c r="I1405">
        <v>28.7</v>
      </c>
      <c r="J1405" s="2" t="s">
        <v>170</v>
      </c>
      <c r="K1405" s="2" t="s">
        <v>74</v>
      </c>
      <c r="M1405" t="s">
        <v>2440</v>
      </c>
      <c r="P1405" s="19" t="s">
        <v>2011</v>
      </c>
      <c r="R1405" s="19" t="s">
        <v>138</v>
      </c>
      <c r="U1405" s="19" t="s">
        <v>138</v>
      </c>
      <c r="W1405" s="20">
        <v>23</v>
      </c>
      <c r="X1405" s="65" t="s">
        <v>2010</v>
      </c>
      <c r="Z1405" t="s">
        <v>307</v>
      </c>
      <c r="AB1405" t="s">
        <v>178</v>
      </c>
      <c r="AC1405" t="s">
        <v>2072</v>
      </c>
      <c r="AD1405" s="2" t="s">
        <v>180</v>
      </c>
    </row>
    <row r="1406" spans="1:30" hidden="1" x14ac:dyDescent="0.25">
      <c r="A1406" s="2">
        <v>71</v>
      </c>
      <c r="B1406" t="s">
        <v>2083</v>
      </c>
      <c r="C1406">
        <v>12</v>
      </c>
      <c r="D1406">
        <v>238</v>
      </c>
      <c r="E1406">
        <v>1280</v>
      </c>
      <c r="F1406" t="s">
        <v>273</v>
      </c>
      <c r="G1406" s="2" t="s">
        <v>156</v>
      </c>
      <c r="H1406">
        <v>1</v>
      </c>
      <c r="I1406">
        <v>28.7</v>
      </c>
      <c r="J1406" s="2" t="s">
        <v>170</v>
      </c>
      <c r="K1406" s="2" t="s">
        <v>74</v>
      </c>
      <c r="M1406" t="s">
        <v>2440</v>
      </c>
      <c r="P1406" s="19" t="s">
        <v>2011</v>
      </c>
      <c r="R1406" s="19" t="s">
        <v>138</v>
      </c>
      <c r="U1406" s="19" t="s">
        <v>138</v>
      </c>
      <c r="W1406" s="20">
        <v>23</v>
      </c>
      <c r="X1406" s="65" t="s">
        <v>2010</v>
      </c>
      <c r="Z1406" t="s">
        <v>307</v>
      </c>
      <c r="AB1406" t="s">
        <v>178</v>
      </c>
      <c r="AC1406" t="s">
        <v>2072</v>
      </c>
      <c r="AD1406" s="2" t="s">
        <v>180</v>
      </c>
    </row>
    <row r="1407" spans="1:30" hidden="1" x14ac:dyDescent="0.25">
      <c r="A1407" s="2">
        <v>72</v>
      </c>
      <c r="B1407" t="s">
        <v>2084</v>
      </c>
      <c r="C1407">
        <v>12</v>
      </c>
      <c r="D1407">
        <v>238</v>
      </c>
      <c r="E1407">
        <v>1280</v>
      </c>
      <c r="F1407" t="s">
        <v>273</v>
      </c>
      <c r="G1407" s="2" t="s">
        <v>156</v>
      </c>
      <c r="H1407">
        <v>1</v>
      </c>
      <c r="I1407">
        <v>28.7</v>
      </c>
      <c r="J1407" s="2" t="s">
        <v>170</v>
      </c>
      <c r="K1407" s="2" t="s">
        <v>74</v>
      </c>
      <c r="M1407" t="s">
        <v>2440</v>
      </c>
      <c r="P1407" s="19" t="s">
        <v>2011</v>
      </c>
      <c r="R1407" s="19" t="s">
        <v>138</v>
      </c>
      <c r="U1407" s="19" t="s">
        <v>138</v>
      </c>
      <c r="W1407" s="20">
        <v>23</v>
      </c>
      <c r="X1407" s="65" t="s">
        <v>2010</v>
      </c>
      <c r="Z1407" t="s">
        <v>307</v>
      </c>
      <c r="AB1407" t="s">
        <v>178</v>
      </c>
      <c r="AC1407" t="s">
        <v>2072</v>
      </c>
      <c r="AD1407" s="2" t="s">
        <v>180</v>
      </c>
    </row>
    <row r="1408" spans="1:30" hidden="1" x14ac:dyDescent="0.25">
      <c r="A1408" s="2">
        <v>73</v>
      </c>
      <c r="B1408" t="s">
        <v>2085</v>
      </c>
      <c r="C1408">
        <v>12</v>
      </c>
      <c r="D1408">
        <v>238</v>
      </c>
      <c r="E1408">
        <v>1280</v>
      </c>
      <c r="F1408" t="s">
        <v>273</v>
      </c>
      <c r="G1408" s="2" t="s">
        <v>156</v>
      </c>
      <c r="H1408">
        <v>1</v>
      </c>
      <c r="I1408">
        <v>28.7</v>
      </c>
      <c r="J1408" s="2" t="s">
        <v>170</v>
      </c>
      <c r="K1408" s="2" t="s">
        <v>74</v>
      </c>
      <c r="M1408" t="s">
        <v>2440</v>
      </c>
      <c r="P1408" s="19" t="s">
        <v>2011</v>
      </c>
      <c r="R1408" s="19" t="s">
        <v>138</v>
      </c>
      <c r="U1408" s="19" t="s">
        <v>138</v>
      </c>
      <c r="W1408" s="20">
        <v>23</v>
      </c>
      <c r="X1408" s="65" t="s">
        <v>2010</v>
      </c>
      <c r="Z1408" t="s">
        <v>307</v>
      </c>
      <c r="AB1408" t="s">
        <v>178</v>
      </c>
      <c r="AC1408" t="s">
        <v>2072</v>
      </c>
      <c r="AD1408" s="2" t="s">
        <v>180</v>
      </c>
    </row>
    <row r="1409" spans="1:30" hidden="1" x14ac:dyDescent="0.25">
      <c r="A1409" s="2">
        <v>74</v>
      </c>
      <c r="B1409" t="s">
        <v>2086</v>
      </c>
      <c r="C1409">
        <v>12</v>
      </c>
      <c r="D1409">
        <v>238</v>
      </c>
      <c r="E1409">
        <v>1280</v>
      </c>
      <c r="F1409" t="s">
        <v>273</v>
      </c>
      <c r="G1409" s="2" t="s">
        <v>156</v>
      </c>
      <c r="H1409">
        <v>1</v>
      </c>
      <c r="I1409">
        <v>28.7</v>
      </c>
      <c r="J1409" s="2" t="s">
        <v>170</v>
      </c>
      <c r="K1409" s="2" t="s">
        <v>74</v>
      </c>
      <c r="M1409" t="s">
        <v>2440</v>
      </c>
      <c r="P1409" s="19" t="s">
        <v>2011</v>
      </c>
      <c r="R1409" s="19" t="s">
        <v>138</v>
      </c>
      <c r="U1409" s="19" t="s">
        <v>138</v>
      </c>
      <c r="W1409" s="20">
        <v>23</v>
      </c>
      <c r="X1409" s="65" t="s">
        <v>2010</v>
      </c>
      <c r="Z1409" t="s">
        <v>307</v>
      </c>
      <c r="AB1409" t="s">
        <v>178</v>
      </c>
      <c r="AC1409" t="s">
        <v>2072</v>
      </c>
      <c r="AD1409" s="2" t="s">
        <v>180</v>
      </c>
    </row>
    <row r="1410" spans="1:30" hidden="1" x14ac:dyDescent="0.25">
      <c r="A1410" s="2">
        <v>75</v>
      </c>
      <c r="B1410" t="s">
        <v>2014</v>
      </c>
      <c r="C1410">
        <v>12</v>
      </c>
      <c r="D1410">
        <v>120</v>
      </c>
      <c r="E1410">
        <v>129</v>
      </c>
      <c r="F1410" t="s">
        <v>273</v>
      </c>
      <c r="G1410" s="2" t="s">
        <v>156</v>
      </c>
      <c r="H1410">
        <v>9</v>
      </c>
      <c r="I1410">
        <v>11.92</v>
      </c>
      <c r="J1410" s="2" t="s">
        <v>170</v>
      </c>
      <c r="K1410" s="2" t="s">
        <v>74</v>
      </c>
      <c r="M1410" t="s">
        <v>2440</v>
      </c>
      <c r="P1410" s="19" t="s">
        <v>2011</v>
      </c>
      <c r="Q1410" s="19" t="s">
        <v>25</v>
      </c>
      <c r="R1410" s="19" t="s">
        <v>138</v>
      </c>
      <c r="W1410" s="20">
        <v>23</v>
      </c>
      <c r="X1410" s="65" t="s">
        <v>2010</v>
      </c>
      <c r="Z1410" t="s">
        <v>307</v>
      </c>
      <c r="AB1410" t="s">
        <v>178</v>
      </c>
      <c r="AC1410" t="s">
        <v>2087</v>
      </c>
      <c r="AD1410" s="2" t="s">
        <v>180</v>
      </c>
    </row>
    <row r="1411" spans="1:30" hidden="1" x14ac:dyDescent="0.25">
      <c r="A1411" s="2">
        <v>76</v>
      </c>
      <c r="B1411" t="s">
        <v>2089</v>
      </c>
      <c r="C1411">
        <v>12</v>
      </c>
      <c r="D1411">
        <v>120</v>
      </c>
      <c r="E1411">
        <v>129</v>
      </c>
      <c r="F1411" t="s">
        <v>273</v>
      </c>
      <c r="G1411" s="2" t="s">
        <v>156</v>
      </c>
      <c r="H1411">
        <v>24</v>
      </c>
      <c r="I1411">
        <v>31.78</v>
      </c>
      <c r="J1411" s="2" t="s">
        <v>170</v>
      </c>
      <c r="K1411" s="2" t="s">
        <v>74</v>
      </c>
      <c r="M1411" t="s">
        <v>2440</v>
      </c>
      <c r="P1411" s="19" t="s">
        <v>2011</v>
      </c>
      <c r="Q1411" s="19" t="s">
        <v>25</v>
      </c>
      <c r="R1411" s="19" t="s">
        <v>138</v>
      </c>
      <c r="W1411" s="20">
        <v>23</v>
      </c>
      <c r="X1411" s="65" t="s">
        <v>2010</v>
      </c>
      <c r="Z1411" t="s">
        <v>307</v>
      </c>
      <c r="AB1411" t="s">
        <v>178</v>
      </c>
      <c r="AC1411" t="s">
        <v>2087</v>
      </c>
      <c r="AD1411" s="2" t="s">
        <v>180</v>
      </c>
    </row>
    <row r="1412" spans="1:30" hidden="1" x14ac:dyDescent="0.25">
      <c r="A1412" s="2">
        <v>77</v>
      </c>
      <c r="B1412" t="s">
        <v>2074</v>
      </c>
      <c r="C1412">
        <v>12</v>
      </c>
      <c r="D1412">
        <v>135</v>
      </c>
      <c r="E1412">
        <v>488</v>
      </c>
      <c r="F1412" t="s">
        <v>273</v>
      </c>
      <c r="G1412" s="2" t="s">
        <v>156</v>
      </c>
      <c r="H1412">
        <v>4</v>
      </c>
      <c r="I1412">
        <v>24.76</v>
      </c>
      <c r="J1412" s="2" t="s">
        <v>170</v>
      </c>
      <c r="K1412" s="2" t="s">
        <v>74</v>
      </c>
      <c r="M1412" t="s">
        <v>2440</v>
      </c>
      <c r="P1412" s="19" t="s">
        <v>2011</v>
      </c>
      <c r="Q1412" s="19" t="s">
        <v>25</v>
      </c>
      <c r="R1412" s="19" t="s">
        <v>138</v>
      </c>
      <c r="W1412" s="20">
        <v>23</v>
      </c>
      <c r="X1412" s="65" t="s">
        <v>2010</v>
      </c>
      <c r="Z1412" t="s">
        <v>307</v>
      </c>
      <c r="AB1412" t="s">
        <v>178</v>
      </c>
      <c r="AC1412" t="s">
        <v>2087</v>
      </c>
      <c r="AD1412" s="2" t="s">
        <v>180</v>
      </c>
    </row>
    <row r="1413" spans="1:30" hidden="1" x14ac:dyDescent="0.25">
      <c r="A1413" s="2">
        <v>78</v>
      </c>
      <c r="B1413" t="s">
        <v>2090</v>
      </c>
      <c r="C1413">
        <v>12</v>
      </c>
      <c r="D1413">
        <v>120</v>
      </c>
      <c r="E1413">
        <v>129</v>
      </c>
      <c r="F1413" t="s">
        <v>273</v>
      </c>
      <c r="G1413" s="2" t="s">
        <v>156</v>
      </c>
      <c r="H1413">
        <v>24</v>
      </c>
      <c r="I1413">
        <v>31.78</v>
      </c>
      <c r="J1413" s="2" t="s">
        <v>170</v>
      </c>
      <c r="K1413" s="2" t="s">
        <v>74</v>
      </c>
      <c r="M1413" t="s">
        <v>2440</v>
      </c>
      <c r="P1413" s="19" t="s">
        <v>2011</v>
      </c>
      <c r="Q1413" s="19" t="s">
        <v>25</v>
      </c>
      <c r="R1413" s="19" t="s">
        <v>138</v>
      </c>
      <c r="W1413" s="20">
        <v>23</v>
      </c>
      <c r="X1413" s="65" t="s">
        <v>2010</v>
      </c>
      <c r="Z1413" t="s">
        <v>307</v>
      </c>
      <c r="AB1413" t="s">
        <v>178</v>
      </c>
      <c r="AC1413" t="s">
        <v>2087</v>
      </c>
      <c r="AD1413" s="2" t="s">
        <v>180</v>
      </c>
    </row>
    <row r="1414" spans="1:30" hidden="1" x14ac:dyDescent="0.25">
      <c r="A1414" s="2">
        <v>79</v>
      </c>
      <c r="B1414" t="s">
        <v>2091</v>
      </c>
      <c r="C1414">
        <v>12</v>
      </c>
      <c r="D1414">
        <v>490</v>
      </c>
      <c r="E1414">
        <v>6464</v>
      </c>
      <c r="F1414" t="s">
        <v>273</v>
      </c>
      <c r="G1414" s="2" t="s">
        <v>156</v>
      </c>
      <c r="H1414">
        <v>1</v>
      </c>
      <c r="I1414">
        <v>298.16000000000003</v>
      </c>
      <c r="J1414" s="2" t="s">
        <v>170</v>
      </c>
      <c r="K1414" s="2" t="s">
        <v>74</v>
      </c>
      <c r="M1414" t="s">
        <v>2440</v>
      </c>
      <c r="P1414" s="19" t="s">
        <v>2011</v>
      </c>
      <c r="Q1414" s="19" t="s">
        <v>27</v>
      </c>
      <c r="R1414" s="19" t="s">
        <v>138</v>
      </c>
      <c r="W1414" s="20">
        <v>23</v>
      </c>
      <c r="X1414" s="65" t="s">
        <v>2010</v>
      </c>
      <c r="Z1414" t="s">
        <v>307</v>
      </c>
      <c r="AB1414" t="s">
        <v>178</v>
      </c>
      <c r="AC1414" t="s">
        <v>2087</v>
      </c>
      <c r="AD1414" s="2" t="s">
        <v>180</v>
      </c>
    </row>
    <row r="1415" spans="1:30" hidden="1" x14ac:dyDescent="0.25">
      <c r="A1415" s="2">
        <v>80</v>
      </c>
      <c r="B1415" t="s">
        <v>2092</v>
      </c>
      <c r="C1415">
        <v>12</v>
      </c>
      <c r="D1415">
        <v>135</v>
      </c>
      <c r="E1415">
        <v>488</v>
      </c>
      <c r="F1415" t="s">
        <v>273</v>
      </c>
      <c r="G1415" s="2" t="s">
        <v>156</v>
      </c>
      <c r="H1415">
        <v>1</v>
      </c>
      <c r="I1415">
        <v>6.19</v>
      </c>
      <c r="J1415" s="2" t="s">
        <v>170</v>
      </c>
      <c r="K1415" s="2" t="s">
        <v>74</v>
      </c>
      <c r="M1415" t="s">
        <v>2440</v>
      </c>
      <c r="P1415" s="19" t="s">
        <v>2011</v>
      </c>
      <c r="Q1415" s="19" t="s">
        <v>25</v>
      </c>
      <c r="R1415" s="19" t="s">
        <v>138</v>
      </c>
      <c r="W1415" s="20">
        <v>23</v>
      </c>
      <c r="X1415" s="65" t="s">
        <v>2010</v>
      </c>
      <c r="Z1415" t="s">
        <v>307</v>
      </c>
      <c r="AB1415" t="s">
        <v>178</v>
      </c>
      <c r="AC1415" t="s">
        <v>2087</v>
      </c>
      <c r="AD1415" s="2" t="s">
        <v>180</v>
      </c>
    </row>
    <row r="1416" spans="1:30" hidden="1" x14ac:dyDescent="0.25">
      <c r="A1416" s="2">
        <v>81</v>
      </c>
      <c r="B1416" t="s">
        <v>2093</v>
      </c>
      <c r="C1416">
        <v>12</v>
      </c>
      <c r="D1416">
        <v>120</v>
      </c>
      <c r="E1416">
        <v>129</v>
      </c>
      <c r="F1416" t="s">
        <v>273</v>
      </c>
      <c r="G1416" s="2" t="s">
        <v>156</v>
      </c>
      <c r="H1416">
        <v>24</v>
      </c>
      <c r="I1416">
        <v>31.78</v>
      </c>
      <c r="J1416" s="2" t="s">
        <v>170</v>
      </c>
      <c r="K1416" s="2" t="s">
        <v>74</v>
      </c>
      <c r="M1416" t="s">
        <v>2440</v>
      </c>
      <c r="P1416" s="19" t="s">
        <v>2011</v>
      </c>
      <c r="Q1416" s="19" t="s">
        <v>25</v>
      </c>
      <c r="R1416" s="19" t="s">
        <v>138</v>
      </c>
      <c r="W1416" s="20">
        <v>23</v>
      </c>
      <c r="X1416" s="65" t="s">
        <v>2010</v>
      </c>
      <c r="Z1416" t="s">
        <v>307</v>
      </c>
      <c r="AB1416" t="s">
        <v>178</v>
      </c>
      <c r="AC1416" t="s">
        <v>2087</v>
      </c>
      <c r="AD1416" s="2" t="s">
        <v>180</v>
      </c>
    </row>
    <row r="1417" spans="1:30" hidden="1" x14ac:dyDescent="0.25">
      <c r="A1417" s="2">
        <v>82</v>
      </c>
      <c r="B1417" t="s">
        <v>2094</v>
      </c>
      <c r="C1417">
        <v>12</v>
      </c>
      <c r="D1417">
        <v>120</v>
      </c>
      <c r="E1417">
        <v>129</v>
      </c>
      <c r="F1417" t="s">
        <v>273</v>
      </c>
      <c r="G1417" s="2" t="s">
        <v>156</v>
      </c>
      <c r="H1417">
        <v>24</v>
      </c>
      <c r="I1417">
        <v>31.78</v>
      </c>
      <c r="J1417" s="2" t="s">
        <v>170</v>
      </c>
      <c r="K1417" s="2" t="s">
        <v>74</v>
      </c>
      <c r="M1417" t="s">
        <v>2440</v>
      </c>
      <c r="P1417" s="19" t="s">
        <v>2011</v>
      </c>
      <c r="Q1417" s="19" t="s">
        <v>25</v>
      </c>
      <c r="R1417" s="19" t="s">
        <v>138</v>
      </c>
      <c r="W1417" s="20">
        <v>23</v>
      </c>
      <c r="X1417" s="65" t="s">
        <v>2010</v>
      </c>
      <c r="Z1417" t="s">
        <v>307</v>
      </c>
      <c r="AB1417" t="s">
        <v>178</v>
      </c>
      <c r="AC1417" t="s">
        <v>2087</v>
      </c>
      <c r="AD1417" s="2" t="s">
        <v>180</v>
      </c>
    </row>
    <row r="1418" spans="1:30" hidden="1" x14ac:dyDescent="0.25">
      <c r="A1418" s="2">
        <v>83</v>
      </c>
      <c r="B1418" t="s">
        <v>2095</v>
      </c>
      <c r="C1418">
        <v>12</v>
      </c>
      <c r="D1418">
        <v>120</v>
      </c>
      <c r="E1418">
        <v>129</v>
      </c>
      <c r="F1418" t="s">
        <v>273</v>
      </c>
      <c r="G1418" s="2" t="s">
        <v>156</v>
      </c>
      <c r="H1418">
        <v>24</v>
      </c>
      <c r="I1418">
        <v>31.78</v>
      </c>
      <c r="J1418" s="2" t="s">
        <v>170</v>
      </c>
      <c r="K1418" s="2" t="s">
        <v>74</v>
      </c>
      <c r="M1418" t="s">
        <v>2440</v>
      </c>
      <c r="P1418" s="19" t="s">
        <v>2011</v>
      </c>
      <c r="Q1418" s="19" t="s">
        <v>25</v>
      </c>
      <c r="R1418" s="19" t="s">
        <v>138</v>
      </c>
      <c r="W1418" s="20">
        <v>23</v>
      </c>
      <c r="X1418" s="65" t="s">
        <v>2010</v>
      </c>
      <c r="Z1418" t="s">
        <v>307</v>
      </c>
      <c r="AB1418" t="s">
        <v>178</v>
      </c>
      <c r="AC1418" t="s">
        <v>2087</v>
      </c>
      <c r="AD1418" s="2" t="s">
        <v>180</v>
      </c>
    </row>
    <row r="1419" spans="1:30" hidden="1" x14ac:dyDescent="0.25">
      <c r="A1419" s="2">
        <v>84</v>
      </c>
      <c r="B1419" t="s">
        <v>2096</v>
      </c>
      <c r="C1419">
        <v>12</v>
      </c>
      <c r="D1419">
        <v>120</v>
      </c>
      <c r="E1419">
        <v>129</v>
      </c>
      <c r="F1419" t="s">
        <v>273</v>
      </c>
      <c r="G1419" s="2" t="s">
        <v>156</v>
      </c>
      <c r="H1419">
        <v>19</v>
      </c>
      <c r="I1419">
        <v>25.16</v>
      </c>
      <c r="J1419" s="2" t="s">
        <v>170</v>
      </c>
      <c r="K1419" s="2" t="s">
        <v>74</v>
      </c>
      <c r="M1419" t="s">
        <v>2440</v>
      </c>
      <c r="P1419" s="19" t="s">
        <v>2011</v>
      </c>
      <c r="Q1419" s="19" t="s">
        <v>25</v>
      </c>
      <c r="R1419" s="19" t="s">
        <v>138</v>
      </c>
      <c r="W1419" s="20">
        <v>23</v>
      </c>
      <c r="X1419" s="65" t="s">
        <v>2010</v>
      </c>
      <c r="Z1419" t="s">
        <v>307</v>
      </c>
      <c r="AB1419" t="s">
        <v>178</v>
      </c>
      <c r="AC1419" t="s">
        <v>2087</v>
      </c>
      <c r="AD1419" s="2" t="s">
        <v>180</v>
      </c>
    </row>
    <row r="1420" spans="1:30" hidden="1" x14ac:dyDescent="0.25">
      <c r="A1420" s="2">
        <v>85</v>
      </c>
      <c r="B1420" t="s">
        <v>2097</v>
      </c>
      <c r="C1420">
        <v>12</v>
      </c>
      <c r="D1420">
        <v>490</v>
      </c>
      <c r="E1420">
        <v>1514</v>
      </c>
      <c r="F1420" t="s">
        <v>273</v>
      </c>
      <c r="G1420" s="2" t="s">
        <v>156</v>
      </c>
      <c r="H1420">
        <v>1</v>
      </c>
      <c r="I1420">
        <v>69.78</v>
      </c>
      <c r="J1420" s="2" t="s">
        <v>170</v>
      </c>
      <c r="K1420" s="2" t="s">
        <v>74</v>
      </c>
      <c r="M1420" t="s">
        <v>2440</v>
      </c>
      <c r="P1420" s="19" t="s">
        <v>2011</v>
      </c>
      <c r="Q1420" s="19" t="s">
        <v>27</v>
      </c>
      <c r="R1420" s="19" t="s">
        <v>138</v>
      </c>
      <c r="W1420" s="20">
        <v>23</v>
      </c>
      <c r="X1420" s="65" t="s">
        <v>2010</v>
      </c>
      <c r="Z1420" t="s">
        <v>307</v>
      </c>
      <c r="AB1420" t="s">
        <v>178</v>
      </c>
      <c r="AC1420" t="s">
        <v>2087</v>
      </c>
      <c r="AD1420" s="2" t="s">
        <v>180</v>
      </c>
    </row>
    <row r="1421" spans="1:30" hidden="1" x14ac:dyDescent="0.25">
      <c r="A1421" s="2">
        <v>86</v>
      </c>
      <c r="B1421" t="s">
        <v>2098</v>
      </c>
      <c r="C1421">
        <v>12</v>
      </c>
      <c r="D1421">
        <v>490</v>
      </c>
      <c r="E1421">
        <v>1514</v>
      </c>
      <c r="F1421" t="s">
        <v>273</v>
      </c>
      <c r="G1421" s="2" t="s">
        <v>156</v>
      </c>
      <c r="H1421">
        <v>1</v>
      </c>
      <c r="I1421">
        <v>69.78</v>
      </c>
      <c r="J1421" s="2" t="s">
        <v>170</v>
      </c>
      <c r="K1421" s="2" t="s">
        <v>74</v>
      </c>
      <c r="M1421" t="s">
        <v>2440</v>
      </c>
      <c r="P1421" s="19" t="s">
        <v>2011</v>
      </c>
      <c r="Q1421" s="19" t="s">
        <v>27</v>
      </c>
      <c r="R1421" s="19" t="s">
        <v>138</v>
      </c>
      <c r="W1421" s="20">
        <v>23</v>
      </c>
      <c r="X1421" s="65" t="s">
        <v>2010</v>
      </c>
      <c r="Z1421" t="s">
        <v>307</v>
      </c>
      <c r="AB1421" t="s">
        <v>178</v>
      </c>
      <c r="AC1421" t="s">
        <v>2087</v>
      </c>
      <c r="AD1421" s="2" t="s">
        <v>180</v>
      </c>
    </row>
    <row r="1422" spans="1:30" hidden="1" x14ac:dyDescent="0.25">
      <c r="A1422" s="2">
        <v>87</v>
      </c>
      <c r="B1422" t="s">
        <v>2099</v>
      </c>
      <c r="C1422">
        <v>12</v>
      </c>
      <c r="D1422">
        <v>100</v>
      </c>
      <c r="E1422">
        <v>150</v>
      </c>
      <c r="F1422" t="s">
        <v>273</v>
      </c>
      <c r="G1422" s="2" t="s">
        <v>156</v>
      </c>
      <c r="H1422">
        <v>1</v>
      </c>
      <c r="I1422">
        <v>1.41</v>
      </c>
      <c r="J1422" s="2" t="s">
        <v>170</v>
      </c>
      <c r="K1422" s="2" t="s">
        <v>74</v>
      </c>
      <c r="M1422" t="s">
        <v>2440</v>
      </c>
      <c r="P1422" s="19" t="s">
        <v>2011</v>
      </c>
      <c r="Q1422" s="19" t="s">
        <v>25</v>
      </c>
      <c r="R1422" s="19" t="s">
        <v>138</v>
      </c>
      <c r="W1422" s="20">
        <v>23</v>
      </c>
      <c r="X1422" s="65" t="s">
        <v>2010</v>
      </c>
      <c r="Z1422" t="s">
        <v>307</v>
      </c>
      <c r="AB1422" t="s">
        <v>178</v>
      </c>
      <c r="AC1422" t="s">
        <v>2087</v>
      </c>
      <c r="AD1422" s="2" t="s">
        <v>180</v>
      </c>
    </row>
    <row r="1423" spans="1:30" hidden="1" x14ac:dyDescent="0.25">
      <c r="A1423" s="2">
        <v>88</v>
      </c>
      <c r="B1423" t="s">
        <v>2100</v>
      </c>
      <c r="C1423">
        <v>12</v>
      </c>
      <c r="D1423">
        <v>1460</v>
      </c>
      <c r="E1423">
        <v>9068</v>
      </c>
      <c r="F1423" t="s">
        <v>273</v>
      </c>
      <c r="G1423" s="2" t="s">
        <v>156</v>
      </c>
      <c r="H1423">
        <v>1</v>
      </c>
      <c r="I1423">
        <v>1240.54</v>
      </c>
      <c r="J1423" s="2" t="s">
        <v>170</v>
      </c>
      <c r="K1423" s="2" t="s">
        <v>74</v>
      </c>
      <c r="M1423" t="s">
        <v>2440</v>
      </c>
      <c r="P1423" s="19" t="s">
        <v>2011</v>
      </c>
      <c r="Q1423" s="19" t="s">
        <v>27</v>
      </c>
      <c r="R1423" s="19" t="s">
        <v>138</v>
      </c>
      <c r="W1423" s="20">
        <v>23</v>
      </c>
      <c r="X1423" s="65" t="s">
        <v>2010</v>
      </c>
      <c r="Z1423" t="s">
        <v>307</v>
      </c>
      <c r="AB1423" t="s">
        <v>178</v>
      </c>
      <c r="AC1423" t="s">
        <v>2087</v>
      </c>
      <c r="AD1423" s="2" t="s">
        <v>180</v>
      </c>
    </row>
    <row r="1424" spans="1:30" hidden="1" x14ac:dyDescent="0.25">
      <c r="A1424" s="2">
        <v>89</v>
      </c>
      <c r="B1424" t="s">
        <v>2079</v>
      </c>
      <c r="C1424">
        <v>12</v>
      </c>
      <c r="D1424">
        <v>130</v>
      </c>
      <c r="E1424">
        <v>663</v>
      </c>
      <c r="F1424" t="s">
        <v>273</v>
      </c>
      <c r="G1424" s="2" t="s">
        <v>156</v>
      </c>
      <c r="H1424">
        <v>1</v>
      </c>
      <c r="I1424">
        <v>8.11</v>
      </c>
      <c r="J1424" s="2" t="s">
        <v>170</v>
      </c>
      <c r="K1424" s="2" t="s">
        <v>74</v>
      </c>
      <c r="M1424" t="s">
        <v>2440</v>
      </c>
      <c r="P1424" s="19" t="s">
        <v>2011</v>
      </c>
      <c r="Q1424" s="19" t="s">
        <v>25</v>
      </c>
      <c r="R1424" s="19" t="s">
        <v>138</v>
      </c>
      <c r="W1424" s="20">
        <v>23</v>
      </c>
      <c r="X1424" s="65" t="s">
        <v>2010</v>
      </c>
      <c r="Z1424" t="s">
        <v>307</v>
      </c>
      <c r="AB1424" t="s">
        <v>178</v>
      </c>
      <c r="AC1424" t="s">
        <v>2087</v>
      </c>
      <c r="AD1424" s="2" t="s">
        <v>180</v>
      </c>
    </row>
    <row r="1425" spans="1:30" hidden="1" x14ac:dyDescent="0.25">
      <c r="A1425" s="2">
        <v>90</v>
      </c>
      <c r="B1425" t="s">
        <v>2101</v>
      </c>
      <c r="C1425">
        <v>12</v>
      </c>
      <c r="D1425">
        <v>95</v>
      </c>
      <c r="E1425">
        <v>263</v>
      </c>
      <c r="F1425" t="s">
        <v>273</v>
      </c>
      <c r="G1425" s="2" t="s">
        <v>156</v>
      </c>
      <c r="H1425">
        <v>3</v>
      </c>
      <c r="I1425">
        <v>7.01</v>
      </c>
      <c r="J1425" s="2" t="s">
        <v>170</v>
      </c>
      <c r="K1425" s="2" t="s">
        <v>74</v>
      </c>
      <c r="M1425" t="s">
        <v>2440</v>
      </c>
      <c r="P1425" s="19" t="s">
        <v>2011</v>
      </c>
      <c r="Q1425" s="19" t="s">
        <v>25</v>
      </c>
      <c r="R1425" s="19" t="s">
        <v>138</v>
      </c>
      <c r="W1425" s="20">
        <v>23</v>
      </c>
      <c r="X1425" s="65" t="s">
        <v>2010</v>
      </c>
      <c r="Z1425" t="s">
        <v>307</v>
      </c>
      <c r="AB1425" t="s">
        <v>178</v>
      </c>
      <c r="AC1425" t="s">
        <v>2087</v>
      </c>
      <c r="AD1425" s="2" t="s">
        <v>180</v>
      </c>
    </row>
    <row r="1426" spans="1:30" hidden="1" x14ac:dyDescent="0.25">
      <c r="A1426" s="2">
        <v>91</v>
      </c>
      <c r="B1426" t="s">
        <v>2102</v>
      </c>
      <c r="C1426">
        <v>12</v>
      </c>
      <c r="D1426">
        <v>130</v>
      </c>
      <c r="E1426">
        <v>663</v>
      </c>
      <c r="F1426" t="s">
        <v>273</v>
      </c>
      <c r="G1426" s="2" t="s">
        <v>156</v>
      </c>
      <c r="H1426">
        <v>5</v>
      </c>
      <c r="I1426">
        <v>40.549999999999997</v>
      </c>
      <c r="J1426" s="2" t="s">
        <v>170</v>
      </c>
      <c r="K1426" s="2" t="s">
        <v>74</v>
      </c>
      <c r="M1426" t="s">
        <v>2440</v>
      </c>
      <c r="P1426" s="19" t="s">
        <v>2011</v>
      </c>
      <c r="Q1426" s="19" t="s">
        <v>25</v>
      </c>
      <c r="R1426" s="19" t="s">
        <v>138</v>
      </c>
      <c r="W1426" s="20">
        <v>23</v>
      </c>
      <c r="X1426" s="65" t="s">
        <v>2010</v>
      </c>
      <c r="Z1426" t="s">
        <v>307</v>
      </c>
      <c r="AB1426" t="s">
        <v>178</v>
      </c>
      <c r="AC1426" t="s">
        <v>2087</v>
      </c>
      <c r="AD1426" s="2" t="s">
        <v>180</v>
      </c>
    </row>
    <row r="1427" spans="1:30" hidden="1" x14ac:dyDescent="0.25">
      <c r="A1427" s="2">
        <v>92</v>
      </c>
      <c r="B1427" t="s">
        <v>2103</v>
      </c>
      <c r="C1427">
        <v>12</v>
      </c>
      <c r="D1427">
        <v>490</v>
      </c>
      <c r="E1427">
        <v>1388</v>
      </c>
      <c r="F1427" t="s">
        <v>273</v>
      </c>
      <c r="G1427" s="2" t="s">
        <v>156</v>
      </c>
      <c r="H1427">
        <v>1</v>
      </c>
      <c r="I1427">
        <v>63.63</v>
      </c>
      <c r="J1427" s="2" t="s">
        <v>170</v>
      </c>
      <c r="K1427" s="2" t="s">
        <v>74</v>
      </c>
      <c r="M1427" t="s">
        <v>2440</v>
      </c>
      <c r="P1427" s="19" t="s">
        <v>2011</v>
      </c>
      <c r="Q1427" s="19" t="s">
        <v>27</v>
      </c>
      <c r="R1427" s="19" t="s">
        <v>138</v>
      </c>
      <c r="W1427" s="20">
        <v>23</v>
      </c>
      <c r="X1427" s="65" t="s">
        <v>2010</v>
      </c>
      <c r="Z1427" t="s">
        <v>307</v>
      </c>
      <c r="AB1427" t="s">
        <v>178</v>
      </c>
      <c r="AC1427" t="s">
        <v>2087</v>
      </c>
      <c r="AD1427" s="2" t="s">
        <v>180</v>
      </c>
    </row>
    <row r="1428" spans="1:30" hidden="1" x14ac:dyDescent="0.25">
      <c r="A1428" s="2">
        <v>93</v>
      </c>
      <c r="B1428" t="s">
        <v>2104</v>
      </c>
      <c r="C1428">
        <v>12</v>
      </c>
      <c r="D1428">
        <v>238</v>
      </c>
      <c r="E1428">
        <v>1280</v>
      </c>
      <c r="F1428" t="s">
        <v>273</v>
      </c>
      <c r="G1428" s="2" t="s">
        <v>156</v>
      </c>
      <c r="H1428">
        <v>1</v>
      </c>
      <c r="I1428">
        <v>28.7</v>
      </c>
      <c r="J1428" s="2" t="s">
        <v>170</v>
      </c>
      <c r="K1428" s="2" t="s">
        <v>74</v>
      </c>
      <c r="M1428" t="s">
        <v>2440</v>
      </c>
      <c r="P1428" s="19" t="s">
        <v>2011</v>
      </c>
      <c r="R1428" s="19" t="s">
        <v>138</v>
      </c>
      <c r="U1428" s="19" t="s">
        <v>138</v>
      </c>
      <c r="W1428" s="20">
        <v>23</v>
      </c>
      <c r="X1428" s="65" t="s">
        <v>2010</v>
      </c>
      <c r="Z1428" t="s">
        <v>307</v>
      </c>
      <c r="AB1428" t="s">
        <v>178</v>
      </c>
      <c r="AC1428" t="s">
        <v>2087</v>
      </c>
      <c r="AD1428" s="2" t="s">
        <v>180</v>
      </c>
    </row>
    <row r="1429" spans="1:30" hidden="1" x14ac:dyDescent="0.25">
      <c r="A1429" s="2">
        <v>94</v>
      </c>
      <c r="B1429" t="s">
        <v>2105</v>
      </c>
      <c r="C1429">
        <v>12</v>
      </c>
      <c r="D1429">
        <v>238</v>
      </c>
      <c r="E1429">
        <v>1280</v>
      </c>
      <c r="F1429" t="s">
        <v>273</v>
      </c>
      <c r="G1429" s="2" t="s">
        <v>156</v>
      </c>
      <c r="H1429">
        <v>1</v>
      </c>
      <c r="I1429">
        <v>28.7</v>
      </c>
      <c r="J1429" s="2" t="s">
        <v>170</v>
      </c>
      <c r="K1429" s="2" t="s">
        <v>74</v>
      </c>
      <c r="M1429" t="s">
        <v>2440</v>
      </c>
      <c r="P1429" s="19" t="s">
        <v>2011</v>
      </c>
      <c r="R1429" s="19" t="s">
        <v>138</v>
      </c>
      <c r="U1429" s="19" t="s">
        <v>138</v>
      </c>
      <c r="W1429" s="20">
        <v>23</v>
      </c>
      <c r="X1429" s="65" t="s">
        <v>2010</v>
      </c>
      <c r="Z1429" t="s">
        <v>307</v>
      </c>
      <c r="AB1429" t="s">
        <v>178</v>
      </c>
      <c r="AC1429" t="s">
        <v>2087</v>
      </c>
      <c r="AD1429" s="2" t="s">
        <v>180</v>
      </c>
    </row>
    <row r="1430" spans="1:30" hidden="1" x14ac:dyDescent="0.25">
      <c r="A1430" s="2">
        <v>95</v>
      </c>
      <c r="B1430" t="s">
        <v>2106</v>
      </c>
      <c r="C1430">
        <v>12</v>
      </c>
      <c r="D1430">
        <v>238</v>
      </c>
      <c r="E1430">
        <v>1280</v>
      </c>
      <c r="F1430" t="s">
        <v>273</v>
      </c>
      <c r="G1430" s="2" t="s">
        <v>156</v>
      </c>
      <c r="H1430">
        <v>1</v>
      </c>
      <c r="I1430">
        <v>28.7</v>
      </c>
      <c r="J1430" s="2" t="s">
        <v>170</v>
      </c>
      <c r="K1430" s="2" t="s">
        <v>74</v>
      </c>
      <c r="M1430" t="s">
        <v>2440</v>
      </c>
      <c r="P1430" s="19" t="s">
        <v>2011</v>
      </c>
      <c r="R1430" s="19" t="s">
        <v>138</v>
      </c>
      <c r="U1430" s="19" t="s">
        <v>138</v>
      </c>
      <c r="W1430" s="20">
        <v>23</v>
      </c>
      <c r="X1430" s="65" t="s">
        <v>2010</v>
      </c>
      <c r="Z1430" t="s">
        <v>307</v>
      </c>
      <c r="AB1430" t="s">
        <v>178</v>
      </c>
      <c r="AC1430" t="s">
        <v>2087</v>
      </c>
      <c r="AD1430" s="2" t="s">
        <v>180</v>
      </c>
    </row>
    <row r="1431" spans="1:30" hidden="1" x14ac:dyDescent="0.25">
      <c r="A1431" s="2">
        <v>96</v>
      </c>
      <c r="B1431" t="s">
        <v>2107</v>
      </c>
      <c r="C1431">
        <v>12</v>
      </c>
      <c r="D1431">
        <v>238</v>
      </c>
      <c r="E1431">
        <v>1280</v>
      </c>
      <c r="F1431" t="s">
        <v>273</v>
      </c>
      <c r="G1431" s="2" t="s">
        <v>156</v>
      </c>
      <c r="H1431">
        <v>1</v>
      </c>
      <c r="I1431">
        <v>28.7</v>
      </c>
      <c r="J1431" s="2" t="s">
        <v>170</v>
      </c>
      <c r="K1431" s="2" t="s">
        <v>74</v>
      </c>
      <c r="M1431" t="s">
        <v>2440</v>
      </c>
      <c r="P1431" s="19" t="s">
        <v>2011</v>
      </c>
      <c r="R1431" s="19" t="s">
        <v>138</v>
      </c>
      <c r="U1431" s="19" t="s">
        <v>138</v>
      </c>
      <c r="W1431" s="20">
        <v>23</v>
      </c>
      <c r="X1431" s="65" t="s">
        <v>2010</v>
      </c>
      <c r="Z1431" t="s">
        <v>307</v>
      </c>
      <c r="AB1431" t="s">
        <v>178</v>
      </c>
      <c r="AC1431" t="s">
        <v>2087</v>
      </c>
      <c r="AD1431" s="2" t="s">
        <v>180</v>
      </c>
    </row>
    <row r="1432" spans="1:30" hidden="1" x14ac:dyDescent="0.25">
      <c r="A1432" s="2">
        <v>97</v>
      </c>
      <c r="B1432" t="s">
        <v>2108</v>
      </c>
      <c r="C1432">
        <v>12</v>
      </c>
      <c r="D1432">
        <v>238</v>
      </c>
      <c r="E1432">
        <v>1280</v>
      </c>
      <c r="F1432" t="s">
        <v>273</v>
      </c>
      <c r="G1432" s="2" t="s">
        <v>156</v>
      </c>
      <c r="H1432">
        <v>1</v>
      </c>
      <c r="I1432">
        <v>28.7</v>
      </c>
      <c r="J1432" s="2" t="s">
        <v>170</v>
      </c>
      <c r="K1432" s="2" t="s">
        <v>74</v>
      </c>
      <c r="M1432" t="s">
        <v>2440</v>
      </c>
      <c r="P1432" s="19" t="s">
        <v>2011</v>
      </c>
      <c r="R1432" s="19" t="s">
        <v>138</v>
      </c>
      <c r="U1432" s="19" t="s">
        <v>138</v>
      </c>
      <c r="W1432" s="20">
        <v>23</v>
      </c>
      <c r="X1432" s="65" t="s">
        <v>2010</v>
      </c>
      <c r="Z1432" t="s">
        <v>307</v>
      </c>
      <c r="AB1432" t="s">
        <v>178</v>
      </c>
      <c r="AC1432" t="s">
        <v>2087</v>
      </c>
      <c r="AD1432" s="2" t="s">
        <v>180</v>
      </c>
    </row>
    <row r="1433" spans="1:30" hidden="1" x14ac:dyDescent="0.25">
      <c r="A1433" s="2">
        <v>98</v>
      </c>
      <c r="B1433" t="s">
        <v>2109</v>
      </c>
      <c r="C1433">
        <v>12</v>
      </c>
      <c r="D1433">
        <v>238</v>
      </c>
      <c r="E1433">
        <v>1280</v>
      </c>
      <c r="F1433" t="s">
        <v>273</v>
      </c>
      <c r="G1433" s="2" t="s">
        <v>156</v>
      </c>
      <c r="H1433">
        <v>1</v>
      </c>
      <c r="I1433">
        <v>28.7</v>
      </c>
      <c r="J1433" s="2" t="s">
        <v>170</v>
      </c>
      <c r="K1433" s="2" t="s">
        <v>74</v>
      </c>
      <c r="M1433" t="s">
        <v>2440</v>
      </c>
      <c r="P1433" s="19" t="s">
        <v>2011</v>
      </c>
      <c r="R1433" s="19" t="s">
        <v>138</v>
      </c>
      <c r="U1433" s="19" t="s">
        <v>138</v>
      </c>
      <c r="W1433" s="20">
        <v>23</v>
      </c>
      <c r="X1433" s="65" t="s">
        <v>2010</v>
      </c>
      <c r="Z1433" t="s">
        <v>307</v>
      </c>
      <c r="AB1433" t="s">
        <v>178</v>
      </c>
      <c r="AC1433" t="s">
        <v>2087</v>
      </c>
      <c r="AD1433" s="2" t="s">
        <v>180</v>
      </c>
    </row>
    <row r="1434" spans="1:30" hidden="1" x14ac:dyDescent="0.25">
      <c r="A1434" s="2">
        <v>99</v>
      </c>
      <c r="B1434" t="s">
        <v>2110</v>
      </c>
      <c r="C1434">
        <v>12</v>
      </c>
      <c r="D1434">
        <v>238</v>
      </c>
      <c r="E1434">
        <v>1280</v>
      </c>
      <c r="F1434" t="s">
        <v>273</v>
      </c>
      <c r="G1434" s="2" t="s">
        <v>156</v>
      </c>
      <c r="H1434">
        <v>1</v>
      </c>
      <c r="I1434">
        <v>28.7</v>
      </c>
      <c r="J1434" s="2" t="s">
        <v>170</v>
      </c>
      <c r="K1434" s="2" t="s">
        <v>74</v>
      </c>
      <c r="M1434" t="s">
        <v>2440</v>
      </c>
      <c r="P1434" s="19" t="s">
        <v>2011</v>
      </c>
      <c r="R1434" s="19" t="s">
        <v>138</v>
      </c>
      <c r="U1434" s="19" t="s">
        <v>138</v>
      </c>
      <c r="W1434" s="20">
        <v>23</v>
      </c>
      <c r="X1434" s="65" t="s">
        <v>2010</v>
      </c>
      <c r="Z1434" t="s">
        <v>307</v>
      </c>
      <c r="AB1434" t="s">
        <v>178</v>
      </c>
      <c r="AC1434" t="s">
        <v>2087</v>
      </c>
      <c r="AD1434" s="2" t="s">
        <v>180</v>
      </c>
    </row>
    <row r="1435" spans="1:30" hidden="1" x14ac:dyDescent="0.25">
      <c r="A1435" s="2">
        <v>100</v>
      </c>
      <c r="B1435" t="s">
        <v>2092</v>
      </c>
      <c r="C1435">
        <v>12</v>
      </c>
      <c r="D1435">
        <v>135</v>
      </c>
      <c r="E1435">
        <v>488</v>
      </c>
      <c r="F1435" t="s">
        <v>273</v>
      </c>
      <c r="G1435" s="2" t="s">
        <v>156</v>
      </c>
      <c r="H1435">
        <v>11</v>
      </c>
      <c r="I1435">
        <v>68.09</v>
      </c>
      <c r="J1435" s="2" t="s">
        <v>170</v>
      </c>
      <c r="K1435" s="2" t="s">
        <v>74</v>
      </c>
      <c r="M1435" t="s">
        <v>2440</v>
      </c>
      <c r="P1435" s="19" t="s">
        <v>2011</v>
      </c>
      <c r="Q1435" s="19" t="s">
        <v>25</v>
      </c>
      <c r="R1435" s="19" t="s">
        <v>138</v>
      </c>
      <c r="W1435" s="20">
        <v>23</v>
      </c>
      <c r="X1435" s="65" t="s">
        <v>2010</v>
      </c>
      <c r="Z1435" t="s">
        <v>307</v>
      </c>
      <c r="AB1435" t="s">
        <v>178</v>
      </c>
      <c r="AC1435" t="s">
        <v>2111</v>
      </c>
      <c r="AD1435" s="2" t="s">
        <v>180</v>
      </c>
    </row>
    <row r="1436" spans="1:30" hidden="1" x14ac:dyDescent="0.25">
      <c r="A1436" s="2">
        <v>101</v>
      </c>
      <c r="B1436" t="s">
        <v>2113</v>
      </c>
      <c r="C1436">
        <v>12</v>
      </c>
      <c r="D1436">
        <v>490</v>
      </c>
      <c r="E1436">
        <v>6464</v>
      </c>
      <c r="F1436" t="s">
        <v>273</v>
      </c>
      <c r="G1436" s="2" t="s">
        <v>156</v>
      </c>
      <c r="H1436">
        <v>1</v>
      </c>
      <c r="I1436">
        <v>298.16000000000003</v>
      </c>
      <c r="J1436" s="2" t="s">
        <v>170</v>
      </c>
      <c r="K1436" s="2" t="s">
        <v>74</v>
      </c>
      <c r="M1436" t="s">
        <v>2440</v>
      </c>
      <c r="P1436" s="19" t="s">
        <v>2011</v>
      </c>
      <c r="Q1436" s="19" t="s">
        <v>27</v>
      </c>
      <c r="R1436" s="19" t="s">
        <v>138</v>
      </c>
      <c r="W1436" s="20">
        <v>23</v>
      </c>
      <c r="X1436" s="65" t="s">
        <v>2010</v>
      </c>
      <c r="Z1436" t="s">
        <v>307</v>
      </c>
      <c r="AB1436" t="s">
        <v>178</v>
      </c>
      <c r="AC1436" t="s">
        <v>2111</v>
      </c>
      <c r="AD1436" s="2" t="s">
        <v>180</v>
      </c>
    </row>
    <row r="1437" spans="1:30" hidden="1" x14ac:dyDescent="0.25">
      <c r="A1437" s="2">
        <v>102</v>
      </c>
      <c r="B1437" t="s">
        <v>2114</v>
      </c>
      <c r="C1437">
        <v>12</v>
      </c>
      <c r="D1437">
        <v>135</v>
      </c>
      <c r="E1437">
        <v>488</v>
      </c>
      <c r="F1437" t="s">
        <v>273</v>
      </c>
      <c r="G1437" s="2" t="s">
        <v>156</v>
      </c>
      <c r="H1437">
        <v>12</v>
      </c>
      <c r="I1437">
        <v>74.28</v>
      </c>
      <c r="J1437" s="2" t="s">
        <v>170</v>
      </c>
      <c r="K1437" s="2" t="s">
        <v>74</v>
      </c>
      <c r="M1437" t="s">
        <v>2440</v>
      </c>
      <c r="P1437" s="19" t="s">
        <v>2011</v>
      </c>
      <c r="Q1437" s="19" t="s">
        <v>25</v>
      </c>
      <c r="R1437" s="19" t="s">
        <v>138</v>
      </c>
      <c r="W1437" s="20">
        <v>23</v>
      </c>
      <c r="X1437" s="65" t="s">
        <v>2010</v>
      </c>
      <c r="Z1437" t="s">
        <v>307</v>
      </c>
      <c r="AB1437" t="s">
        <v>178</v>
      </c>
      <c r="AC1437" t="s">
        <v>2111</v>
      </c>
      <c r="AD1437" s="2" t="s">
        <v>180</v>
      </c>
    </row>
    <row r="1438" spans="1:30" hidden="1" x14ac:dyDescent="0.25">
      <c r="A1438" s="2">
        <v>103</v>
      </c>
      <c r="B1438" t="s">
        <v>2115</v>
      </c>
      <c r="C1438">
        <v>12</v>
      </c>
      <c r="D1438">
        <v>135</v>
      </c>
      <c r="E1438">
        <v>488</v>
      </c>
      <c r="F1438" t="s">
        <v>273</v>
      </c>
      <c r="G1438" s="2" t="s">
        <v>156</v>
      </c>
      <c r="H1438">
        <v>12</v>
      </c>
      <c r="I1438">
        <v>74.28</v>
      </c>
      <c r="J1438" s="2" t="s">
        <v>170</v>
      </c>
      <c r="K1438" s="2" t="s">
        <v>74</v>
      </c>
      <c r="M1438" t="s">
        <v>2440</v>
      </c>
      <c r="P1438" s="19" t="s">
        <v>2011</v>
      </c>
      <c r="Q1438" s="19" t="s">
        <v>25</v>
      </c>
      <c r="R1438" s="19" t="s">
        <v>138</v>
      </c>
      <c r="W1438" s="20">
        <v>23</v>
      </c>
      <c r="X1438" s="65" t="s">
        <v>2010</v>
      </c>
      <c r="Z1438" t="s">
        <v>307</v>
      </c>
      <c r="AB1438" t="s">
        <v>178</v>
      </c>
      <c r="AC1438" t="s">
        <v>2111</v>
      </c>
      <c r="AD1438" s="2" t="s">
        <v>180</v>
      </c>
    </row>
    <row r="1439" spans="1:30" hidden="1" x14ac:dyDescent="0.25">
      <c r="A1439" s="2">
        <v>104</v>
      </c>
      <c r="B1439" t="s">
        <v>2116</v>
      </c>
      <c r="C1439">
        <v>12</v>
      </c>
      <c r="D1439">
        <v>135</v>
      </c>
      <c r="E1439">
        <v>488</v>
      </c>
      <c r="F1439" t="s">
        <v>273</v>
      </c>
      <c r="G1439" s="2" t="s">
        <v>156</v>
      </c>
      <c r="H1439">
        <v>12</v>
      </c>
      <c r="I1439">
        <v>74.28</v>
      </c>
      <c r="J1439" s="2" t="s">
        <v>170</v>
      </c>
      <c r="K1439" s="2" t="s">
        <v>74</v>
      </c>
      <c r="M1439" t="s">
        <v>2440</v>
      </c>
      <c r="P1439" s="19" t="s">
        <v>2011</v>
      </c>
      <c r="Q1439" s="19" t="s">
        <v>25</v>
      </c>
      <c r="R1439" s="19" t="s">
        <v>138</v>
      </c>
      <c r="W1439" s="20">
        <v>23</v>
      </c>
      <c r="X1439" s="65" t="s">
        <v>2010</v>
      </c>
      <c r="Z1439" t="s">
        <v>307</v>
      </c>
      <c r="AB1439" t="s">
        <v>178</v>
      </c>
      <c r="AC1439" t="s">
        <v>2111</v>
      </c>
      <c r="AD1439" s="2" t="s">
        <v>180</v>
      </c>
    </row>
    <row r="1440" spans="1:30" hidden="1" x14ac:dyDescent="0.25">
      <c r="A1440" s="2">
        <v>105</v>
      </c>
      <c r="B1440" t="s">
        <v>2096</v>
      </c>
      <c r="C1440">
        <v>12</v>
      </c>
      <c r="D1440">
        <v>120</v>
      </c>
      <c r="E1440">
        <v>129</v>
      </c>
      <c r="F1440" t="s">
        <v>273</v>
      </c>
      <c r="G1440" s="2" t="s">
        <v>156</v>
      </c>
      <c r="H1440">
        <v>1</v>
      </c>
      <c r="I1440">
        <v>1.32</v>
      </c>
      <c r="J1440" s="2" t="s">
        <v>170</v>
      </c>
      <c r="K1440" s="2" t="s">
        <v>74</v>
      </c>
      <c r="M1440" t="s">
        <v>2440</v>
      </c>
      <c r="P1440" s="19" t="s">
        <v>2011</v>
      </c>
      <c r="Q1440" s="19" t="s">
        <v>25</v>
      </c>
      <c r="R1440" s="19" t="s">
        <v>138</v>
      </c>
      <c r="W1440" s="20">
        <v>23</v>
      </c>
      <c r="X1440" s="65" t="s">
        <v>2010</v>
      </c>
      <c r="Z1440" t="s">
        <v>307</v>
      </c>
      <c r="AB1440" t="s">
        <v>178</v>
      </c>
      <c r="AC1440" t="s">
        <v>2111</v>
      </c>
      <c r="AD1440" s="2" t="s">
        <v>180</v>
      </c>
    </row>
    <row r="1441" spans="1:30" hidden="1" x14ac:dyDescent="0.25">
      <c r="A1441" s="2">
        <v>106</v>
      </c>
      <c r="B1441" t="s">
        <v>2117</v>
      </c>
      <c r="C1441">
        <v>12</v>
      </c>
      <c r="D1441">
        <v>490</v>
      </c>
      <c r="E1441">
        <v>1514</v>
      </c>
      <c r="F1441" t="s">
        <v>273</v>
      </c>
      <c r="G1441" s="2" t="s">
        <v>156</v>
      </c>
      <c r="H1441">
        <v>1</v>
      </c>
      <c r="I1441">
        <v>69.78</v>
      </c>
      <c r="J1441" s="2" t="s">
        <v>170</v>
      </c>
      <c r="K1441" s="2" t="s">
        <v>74</v>
      </c>
      <c r="M1441" t="s">
        <v>2440</v>
      </c>
      <c r="P1441" s="19" t="s">
        <v>2011</v>
      </c>
      <c r="Q1441" s="19" t="s">
        <v>27</v>
      </c>
      <c r="R1441" s="19" t="s">
        <v>138</v>
      </c>
      <c r="W1441" s="20">
        <v>23</v>
      </c>
      <c r="X1441" s="65" t="s">
        <v>2010</v>
      </c>
      <c r="Z1441" t="s">
        <v>307</v>
      </c>
      <c r="AB1441" t="s">
        <v>178</v>
      </c>
      <c r="AC1441" t="s">
        <v>2111</v>
      </c>
      <c r="AD1441" s="2" t="s">
        <v>180</v>
      </c>
    </row>
    <row r="1442" spans="1:30" hidden="1" x14ac:dyDescent="0.25">
      <c r="A1442" s="2">
        <v>107</v>
      </c>
      <c r="B1442" t="s">
        <v>2118</v>
      </c>
      <c r="C1442">
        <v>12</v>
      </c>
      <c r="D1442">
        <v>490</v>
      </c>
      <c r="E1442">
        <v>1514</v>
      </c>
      <c r="F1442" t="s">
        <v>273</v>
      </c>
      <c r="G1442" s="2" t="s">
        <v>156</v>
      </c>
      <c r="H1442">
        <v>1</v>
      </c>
      <c r="I1442">
        <v>69.78</v>
      </c>
      <c r="J1442" s="2" t="s">
        <v>170</v>
      </c>
      <c r="K1442" s="2" t="s">
        <v>74</v>
      </c>
      <c r="M1442" t="s">
        <v>2440</v>
      </c>
      <c r="P1442" s="19" t="s">
        <v>2011</v>
      </c>
      <c r="Q1442" s="19" t="s">
        <v>27</v>
      </c>
      <c r="R1442" s="19" t="s">
        <v>138</v>
      </c>
      <c r="W1442" s="20">
        <v>23</v>
      </c>
      <c r="X1442" s="65" t="s">
        <v>2010</v>
      </c>
      <c r="Z1442" t="s">
        <v>307</v>
      </c>
      <c r="AB1442" t="s">
        <v>178</v>
      </c>
      <c r="AC1442" t="s">
        <v>2111</v>
      </c>
      <c r="AD1442" s="2" t="s">
        <v>180</v>
      </c>
    </row>
    <row r="1443" spans="1:30" hidden="1" x14ac:dyDescent="0.25">
      <c r="A1443" s="2">
        <v>108</v>
      </c>
      <c r="B1443" t="s">
        <v>2119</v>
      </c>
      <c r="C1443">
        <v>12</v>
      </c>
      <c r="D1443">
        <v>490</v>
      </c>
      <c r="E1443">
        <v>1514</v>
      </c>
      <c r="F1443" t="s">
        <v>273</v>
      </c>
      <c r="G1443" s="2" t="s">
        <v>156</v>
      </c>
      <c r="H1443">
        <v>1</v>
      </c>
      <c r="I1443">
        <v>69.78</v>
      </c>
      <c r="J1443" s="2" t="s">
        <v>170</v>
      </c>
      <c r="K1443" s="2" t="s">
        <v>74</v>
      </c>
      <c r="M1443" t="s">
        <v>2440</v>
      </c>
      <c r="P1443" s="19" t="s">
        <v>2011</v>
      </c>
      <c r="Q1443" s="19" t="s">
        <v>27</v>
      </c>
      <c r="R1443" s="19" t="s">
        <v>138</v>
      </c>
      <c r="W1443" s="20">
        <v>23</v>
      </c>
      <c r="X1443" s="65" t="s">
        <v>2010</v>
      </c>
      <c r="Z1443" t="s">
        <v>307</v>
      </c>
      <c r="AB1443" t="s">
        <v>178</v>
      </c>
      <c r="AC1443" t="s">
        <v>2111</v>
      </c>
      <c r="AD1443" s="2" t="s">
        <v>180</v>
      </c>
    </row>
    <row r="1444" spans="1:30" hidden="1" x14ac:dyDescent="0.25">
      <c r="A1444" s="2">
        <v>109</v>
      </c>
      <c r="B1444" t="s">
        <v>2120</v>
      </c>
      <c r="C1444">
        <v>12</v>
      </c>
      <c r="D1444">
        <v>135</v>
      </c>
      <c r="E1444">
        <v>488</v>
      </c>
      <c r="F1444" t="s">
        <v>273</v>
      </c>
      <c r="G1444" s="2" t="s">
        <v>156</v>
      </c>
      <c r="H1444">
        <v>4</v>
      </c>
      <c r="I1444">
        <v>24.76</v>
      </c>
      <c r="J1444" s="2" t="s">
        <v>170</v>
      </c>
      <c r="K1444" s="2" t="s">
        <v>74</v>
      </c>
      <c r="M1444" t="s">
        <v>2440</v>
      </c>
      <c r="P1444" s="19" t="s">
        <v>2011</v>
      </c>
      <c r="Q1444" s="19" t="s">
        <v>25</v>
      </c>
      <c r="R1444" s="19" t="s">
        <v>138</v>
      </c>
      <c r="W1444" s="20">
        <v>23</v>
      </c>
      <c r="X1444" s="65" t="s">
        <v>2010</v>
      </c>
      <c r="Z1444" t="s">
        <v>307</v>
      </c>
      <c r="AB1444" t="s">
        <v>178</v>
      </c>
      <c r="AC1444" t="s">
        <v>2111</v>
      </c>
      <c r="AD1444" s="2" t="s">
        <v>180</v>
      </c>
    </row>
    <row r="1445" spans="1:30" hidden="1" x14ac:dyDescent="0.25">
      <c r="A1445" s="2">
        <v>110</v>
      </c>
      <c r="B1445" t="s">
        <v>2121</v>
      </c>
      <c r="C1445">
        <v>12</v>
      </c>
      <c r="D1445">
        <v>100</v>
      </c>
      <c r="E1445">
        <v>150</v>
      </c>
      <c r="F1445" t="s">
        <v>273</v>
      </c>
      <c r="G1445" s="2" t="s">
        <v>156</v>
      </c>
      <c r="H1445">
        <v>1</v>
      </c>
      <c r="I1445">
        <v>1.41</v>
      </c>
      <c r="J1445" s="2" t="s">
        <v>170</v>
      </c>
      <c r="K1445" s="2" t="s">
        <v>74</v>
      </c>
      <c r="M1445" t="s">
        <v>2440</v>
      </c>
      <c r="P1445" s="19" t="s">
        <v>2011</v>
      </c>
      <c r="Q1445" s="19" t="s">
        <v>25</v>
      </c>
      <c r="R1445" s="19" t="s">
        <v>138</v>
      </c>
      <c r="W1445" s="20">
        <v>23</v>
      </c>
      <c r="X1445" s="65" t="s">
        <v>2010</v>
      </c>
      <c r="Z1445" t="s">
        <v>307</v>
      </c>
      <c r="AB1445" t="s">
        <v>178</v>
      </c>
      <c r="AC1445" t="s">
        <v>2111</v>
      </c>
      <c r="AD1445" s="2" t="s">
        <v>180</v>
      </c>
    </row>
    <row r="1446" spans="1:30" hidden="1" x14ac:dyDescent="0.25">
      <c r="A1446" s="2">
        <v>111</v>
      </c>
      <c r="B1446" t="s">
        <v>2122</v>
      </c>
      <c r="C1446">
        <v>12</v>
      </c>
      <c r="D1446">
        <v>1460</v>
      </c>
      <c r="E1446">
        <v>9068</v>
      </c>
      <c r="F1446" t="s">
        <v>273</v>
      </c>
      <c r="G1446" s="2" t="s">
        <v>156</v>
      </c>
      <c r="H1446">
        <v>1</v>
      </c>
      <c r="I1446">
        <v>1240.54</v>
      </c>
      <c r="J1446" s="2" t="s">
        <v>170</v>
      </c>
      <c r="K1446" s="2" t="s">
        <v>74</v>
      </c>
      <c r="M1446" t="s">
        <v>2440</v>
      </c>
      <c r="P1446" s="19" t="s">
        <v>2011</v>
      </c>
      <c r="Q1446" s="19" t="s">
        <v>27</v>
      </c>
      <c r="R1446" s="19" t="s">
        <v>138</v>
      </c>
      <c r="W1446" s="20">
        <v>23</v>
      </c>
      <c r="X1446" s="65" t="s">
        <v>2010</v>
      </c>
      <c r="Z1446" t="s">
        <v>307</v>
      </c>
      <c r="AB1446" t="s">
        <v>178</v>
      </c>
      <c r="AC1446" t="s">
        <v>2111</v>
      </c>
      <c r="AD1446" s="2" t="s">
        <v>180</v>
      </c>
    </row>
    <row r="1447" spans="1:30" hidden="1" x14ac:dyDescent="0.25">
      <c r="A1447" s="2">
        <v>112</v>
      </c>
      <c r="B1447" t="s">
        <v>2123</v>
      </c>
      <c r="C1447">
        <v>12</v>
      </c>
      <c r="D1447">
        <v>130</v>
      </c>
      <c r="E1447">
        <v>263</v>
      </c>
      <c r="F1447" t="s">
        <v>273</v>
      </c>
      <c r="G1447" s="2" t="s">
        <v>156</v>
      </c>
      <c r="H1447">
        <v>1</v>
      </c>
      <c r="I1447">
        <v>3.21</v>
      </c>
      <c r="J1447" s="2" t="s">
        <v>170</v>
      </c>
      <c r="K1447" s="2" t="s">
        <v>74</v>
      </c>
      <c r="M1447" t="s">
        <v>2440</v>
      </c>
      <c r="P1447" s="19" t="s">
        <v>2011</v>
      </c>
      <c r="Q1447" s="19" t="s">
        <v>25</v>
      </c>
      <c r="R1447" s="19" t="s">
        <v>138</v>
      </c>
      <c r="W1447" s="20">
        <v>23</v>
      </c>
      <c r="X1447" s="65" t="s">
        <v>2010</v>
      </c>
      <c r="Z1447" t="s">
        <v>307</v>
      </c>
      <c r="AB1447" t="s">
        <v>178</v>
      </c>
      <c r="AC1447" t="s">
        <v>2111</v>
      </c>
      <c r="AD1447" s="2" t="s">
        <v>180</v>
      </c>
    </row>
    <row r="1448" spans="1:30" hidden="1" x14ac:dyDescent="0.25">
      <c r="A1448" s="2">
        <v>113</v>
      </c>
      <c r="B1448" t="s">
        <v>2124</v>
      </c>
      <c r="C1448">
        <v>12</v>
      </c>
      <c r="D1448">
        <v>135</v>
      </c>
      <c r="E1448">
        <v>488</v>
      </c>
      <c r="F1448" t="s">
        <v>273</v>
      </c>
      <c r="G1448" s="2" t="s">
        <v>156</v>
      </c>
      <c r="H1448">
        <v>12</v>
      </c>
      <c r="I1448">
        <v>74.28</v>
      </c>
      <c r="J1448" s="2" t="s">
        <v>170</v>
      </c>
      <c r="K1448" s="2" t="s">
        <v>74</v>
      </c>
      <c r="M1448" t="s">
        <v>2440</v>
      </c>
      <c r="P1448" s="19" t="s">
        <v>2011</v>
      </c>
      <c r="Q1448" s="19" t="s">
        <v>25</v>
      </c>
      <c r="R1448" s="19" t="s">
        <v>138</v>
      </c>
      <c r="W1448" s="20">
        <v>23</v>
      </c>
      <c r="X1448" s="65" t="s">
        <v>2010</v>
      </c>
      <c r="Z1448" t="s">
        <v>307</v>
      </c>
      <c r="AB1448" t="s">
        <v>178</v>
      </c>
      <c r="AC1448" t="s">
        <v>2111</v>
      </c>
      <c r="AD1448" s="2" t="s">
        <v>180</v>
      </c>
    </row>
    <row r="1449" spans="1:30" hidden="1" x14ac:dyDescent="0.25">
      <c r="A1449" s="2">
        <v>114</v>
      </c>
      <c r="B1449" t="s">
        <v>2125</v>
      </c>
      <c r="C1449">
        <v>12</v>
      </c>
      <c r="D1449">
        <v>130</v>
      </c>
      <c r="E1449">
        <v>263</v>
      </c>
      <c r="F1449" t="s">
        <v>273</v>
      </c>
      <c r="G1449" s="2" t="s">
        <v>156</v>
      </c>
      <c r="H1449">
        <v>1</v>
      </c>
      <c r="I1449">
        <v>3.21</v>
      </c>
      <c r="J1449" s="2" t="s">
        <v>170</v>
      </c>
      <c r="K1449" s="2" t="s">
        <v>74</v>
      </c>
      <c r="M1449" t="s">
        <v>2440</v>
      </c>
      <c r="P1449" s="19" t="s">
        <v>2011</v>
      </c>
      <c r="Q1449" s="19" t="s">
        <v>25</v>
      </c>
      <c r="R1449" s="19" t="s">
        <v>138</v>
      </c>
      <c r="W1449" s="20">
        <v>23</v>
      </c>
      <c r="X1449" s="65" t="s">
        <v>2010</v>
      </c>
      <c r="Z1449" t="s">
        <v>307</v>
      </c>
      <c r="AB1449" t="s">
        <v>178</v>
      </c>
      <c r="AC1449" t="s">
        <v>2111</v>
      </c>
      <c r="AD1449" s="2" t="s">
        <v>180</v>
      </c>
    </row>
    <row r="1450" spans="1:30" hidden="1" x14ac:dyDescent="0.25">
      <c r="A1450" s="2">
        <v>115</v>
      </c>
      <c r="B1450" t="s">
        <v>2101</v>
      </c>
      <c r="C1450">
        <v>12</v>
      </c>
      <c r="D1450">
        <v>95</v>
      </c>
      <c r="E1450">
        <v>263</v>
      </c>
      <c r="F1450" t="s">
        <v>273</v>
      </c>
      <c r="G1450" s="2" t="s">
        <v>156</v>
      </c>
      <c r="H1450">
        <v>5</v>
      </c>
      <c r="I1450">
        <v>11.69</v>
      </c>
      <c r="J1450" s="2" t="s">
        <v>170</v>
      </c>
      <c r="K1450" s="2" t="s">
        <v>74</v>
      </c>
      <c r="M1450" t="s">
        <v>2440</v>
      </c>
      <c r="P1450" s="19" t="s">
        <v>2011</v>
      </c>
      <c r="Q1450" s="19" t="s">
        <v>25</v>
      </c>
      <c r="R1450" s="19" t="s">
        <v>138</v>
      </c>
      <c r="W1450" s="20">
        <v>23</v>
      </c>
      <c r="X1450" s="65" t="s">
        <v>2010</v>
      </c>
      <c r="Z1450" t="s">
        <v>307</v>
      </c>
      <c r="AB1450" t="s">
        <v>178</v>
      </c>
      <c r="AC1450" t="s">
        <v>2111</v>
      </c>
      <c r="AD1450" s="2" t="s">
        <v>180</v>
      </c>
    </row>
    <row r="1451" spans="1:30" hidden="1" x14ac:dyDescent="0.25">
      <c r="A1451" s="2">
        <v>116</v>
      </c>
      <c r="B1451" t="s">
        <v>2102</v>
      </c>
      <c r="C1451">
        <v>12</v>
      </c>
      <c r="D1451">
        <v>130</v>
      </c>
      <c r="E1451">
        <v>663</v>
      </c>
      <c r="F1451" t="s">
        <v>273</v>
      </c>
      <c r="G1451" s="2" t="s">
        <v>156</v>
      </c>
      <c r="H1451">
        <v>4</v>
      </c>
      <c r="I1451">
        <v>32.44</v>
      </c>
      <c r="J1451" s="2" t="s">
        <v>170</v>
      </c>
      <c r="K1451" s="2" t="s">
        <v>74</v>
      </c>
      <c r="M1451" t="s">
        <v>2440</v>
      </c>
      <c r="P1451" s="19" t="s">
        <v>2011</v>
      </c>
      <c r="Q1451" s="19" t="s">
        <v>25</v>
      </c>
      <c r="R1451" s="19" t="s">
        <v>138</v>
      </c>
      <c r="W1451" s="20">
        <v>23</v>
      </c>
      <c r="X1451" s="65" t="s">
        <v>2010</v>
      </c>
      <c r="Z1451" t="s">
        <v>307</v>
      </c>
      <c r="AB1451" t="s">
        <v>178</v>
      </c>
      <c r="AC1451" t="s">
        <v>2111</v>
      </c>
      <c r="AD1451" s="2" t="s">
        <v>180</v>
      </c>
    </row>
    <row r="1452" spans="1:30" hidden="1" x14ac:dyDescent="0.25">
      <c r="A1452" s="2">
        <v>117</v>
      </c>
      <c r="B1452" t="s">
        <v>2126</v>
      </c>
      <c r="C1452">
        <v>12</v>
      </c>
      <c r="D1452">
        <v>130</v>
      </c>
      <c r="E1452">
        <v>263</v>
      </c>
      <c r="F1452" t="s">
        <v>273</v>
      </c>
      <c r="G1452" s="2" t="s">
        <v>156</v>
      </c>
      <c r="H1452">
        <v>1</v>
      </c>
      <c r="I1452">
        <v>3.21</v>
      </c>
      <c r="J1452" s="2" t="s">
        <v>170</v>
      </c>
      <c r="K1452" s="2" t="s">
        <v>74</v>
      </c>
      <c r="M1452" t="s">
        <v>2440</v>
      </c>
      <c r="P1452" s="19" t="s">
        <v>2011</v>
      </c>
      <c r="Q1452" s="19" t="s">
        <v>25</v>
      </c>
      <c r="R1452" s="19" t="s">
        <v>138</v>
      </c>
      <c r="W1452" s="20">
        <v>23</v>
      </c>
      <c r="X1452" s="65" t="s">
        <v>2010</v>
      </c>
      <c r="Z1452" t="s">
        <v>307</v>
      </c>
      <c r="AB1452" t="s">
        <v>178</v>
      </c>
      <c r="AC1452" t="s">
        <v>2111</v>
      </c>
      <c r="AD1452" s="2" t="s">
        <v>180</v>
      </c>
    </row>
    <row r="1453" spans="1:30" hidden="1" x14ac:dyDescent="0.25">
      <c r="A1453" s="2">
        <v>118</v>
      </c>
      <c r="B1453" t="s">
        <v>2127</v>
      </c>
      <c r="C1453">
        <v>12</v>
      </c>
      <c r="D1453">
        <v>490</v>
      </c>
      <c r="E1453">
        <v>6464</v>
      </c>
      <c r="F1453" t="s">
        <v>273</v>
      </c>
      <c r="G1453" s="2" t="s">
        <v>156</v>
      </c>
      <c r="H1453">
        <v>1</v>
      </c>
      <c r="I1453">
        <v>298.16000000000003</v>
      </c>
      <c r="J1453" s="2" t="s">
        <v>170</v>
      </c>
      <c r="K1453" s="2" t="s">
        <v>74</v>
      </c>
      <c r="M1453" t="s">
        <v>2440</v>
      </c>
      <c r="P1453" s="19" t="s">
        <v>2011</v>
      </c>
      <c r="Q1453" s="19" t="s">
        <v>27</v>
      </c>
      <c r="R1453" s="19" t="s">
        <v>138</v>
      </c>
      <c r="W1453" s="20">
        <v>23</v>
      </c>
      <c r="X1453" s="65" t="s">
        <v>2010</v>
      </c>
      <c r="Z1453" t="s">
        <v>307</v>
      </c>
      <c r="AB1453" t="s">
        <v>178</v>
      </c>
      <c r="AC1453" t="s">
        <v>2128</v>
      </c>
      <c r="AD1453" s="2" t="s">
        <v>180</v>
      </c>
    </row>
    <row r="1454" spans="1:30" hidden="1" x14ac:dyDescent="0.25">
      <c r="A1454" s="2">
        <v>119</v>
      </c>
      <c r="B1454" t="s">
        <v>2130</v>
      </c>
      <c r="C1454">
        <v>12</v>
      </c>
      <c r="D1454">
        <v>490</v>
      </c>
      <c r="E1454">
        <v>6464</v>
      </c>
      <c r="F1454" t="s">
        <v>273</v>
      </c>
      <c r="G1454" s="2" t="s">
        <v>156</v>
      </c>
      <c r="H1454">
        <v>1</v>
      </c>
      <c r="I1454">
        <v>298.16000000000003</v>
      </c>
      <c r="J1454" s="2" t="s">
        <v>170</v>
      </c>
      <c r="K1454" s="2" t="s">
        <v>74</v>
      </c>
      <c r="M1454" t="s">
        <v>2440</v>
      </c>
      <c r="P1454" s="19" t="s">
        <v>2011</v>
      </c>
      <c r="Q1454" s="19" t="s">
        <v>27</v>
      </c>
      <c r="R1454" s="19" t="s">
        <v>138</v>
      </c>
      <c r="W1454" s="20">
        <v>23</v>
      </c>
      <c r="X1454" s="65" t="s">
        <v>2010</v>
      </c>
      <c r="Z1454" t="s">
        <v>307</v>
      </c>
      <c r="AB1454" t="s">
        <v>178</v>
      </c>
      <c r="AC1454" t="s">
        <v>2128</v>
      </c>
      <c r="AD1454" s="2" t="s">
        <v>180</v>
      </c>
    </row>
    <row r="1455" spans="1:30" hidden="1" x14ac:dyDescent="0.25">
      <c r="A1455" s="2">
        <v>120</v>
      </c>
      <c r="B1455" t="s">
        <v>2131</v>
      </c>
      <c r="C1455">
        <v>12</v>
      </c>
      <c r="D1455">
        <v>490</v>
      </c>
      <c r="E1455">
        <v>6464</v>
      </c>
      <c r="F1455" t="s">
        <v>273</v>
      </c>
      <c r="G1455" s="2" t="s">
        <v>156</v>
      </c>
      <c r="H1455">
        <v>1</v>
      </c>
      <c r="I1455">
        <v>298.16000000000003</v>
      </c>
      <c r="J1455" s="2" t="s">
        <v>170</v>
      </c>
      <c r="K1455" s="2" t="s">
        <v>74</v>
      </c>
      <c r="M1455" t="s">
        <v>2440</v>
      </c>
      <c r="P1455" s="19" t="s">
        <v>2011</v>
      </c>
      <c r="Q1455" s="19" t="s">
        <v>27</v>
      </c>
      <c r="R1455" s="19" t="s">
        <v>138</v>
      </c>
      <c r="W1455" s="20">
        <v>23</v>
      </c>
      <c r="X1455" s="65" t="s">
        <v>2010</v>
      </c>
      <c r="Z1455" t="s">
        <v>307</v>
      </c>
      <c r="AB1455" t="s">
        <v>178</v>
      </c>
      <c r="AC1455" t="s">
        <v>2128</v>
      </c>
      <c r="AD1455" s="2" t="s">
        <v>180</v>
      </c>
    </row>
    <row r="1456" spans="1:30" hidden="1" x14ac:dyDescent="0.25">
      <c r="A1456" s="2">
        <v>121</v>
      </c>
      <c r="B1456" t="s">
        <v>2132</v>
      </c>
      <c r="C1456">
        <v>12</v>
      </c>
      <c r="D1456">
        <v>490</v>
      </c>
      <c r="E1456">
        <v>6464</v>
      </c>
      <c r="F1456" t="s">
        <v>273</v>
      </c>
      <c r="G1456" s="2" t="s">
        <v>156</v>
      </c>
      <c r="H1456">
        <v>1</v>
      </c>
      <c r="I1456">
        <v>298.16000000000003</v>
      </c>
      <c r="J1456" s="2" t="s">
        <v>170</v>
      </c>
      <c r="K1456" s="2" t="s">
        <v>74</v>
      </c>
      <c r="M1456" t="s">
        <v>2440</v>
      </c>
      <c r="P1456" s="19" t="s">
        <v>2011</v>
      </c>
      <c r="Q1456" s="19" t="s">
        <v>27</v>
      </c>
      <c r="R1456" s="19" t="s">
        <v>138</v>
      </c>
      <c r="W1456" s="20">
        <v>23</v>
      </c>
      <c r="X1456" s="65" t="s">
        <v>2010</v>
      </c>
      <c r="Z1456" t="s">
        <v>307</v>
      </c>
      <c r="AB1456" t="s">
        <v>178</v>
      </c>
      <c r="AC1456" t="s">
        <v>2128</v>
      </c>
      <c r="AD1456" s="2" t="s">
        <v>180</v>
      </c>
    </row>
    <row r="1457" spans="1:30" hidden="1" x14ac:dyDescent="0.25">
      <c r="A1457" s="2">
        <v>122</v>
      </c>
      <c r="B1457" t="s">
        <v>2133</v>
      </c>
      <c r="C1457">
        <v>12</v>
      </c>
      <c r="D1457">
        <v>135</v>
      </c>
      <c r="E1457">
        <v>488</v>
      </c>
      <c r="F1457" t="s">
        <v>273</v>
      </c>
      <c r="G1457" s="2" t="s">
        <v>156</v>
      </c>
      <c r="H1457">
        <v>10</v>
      </c>
      <c r="I1457">
        <v>61.9</v>
      </c>
      <c r="J1457" s="2" t="s">
        <v>170</v>
      </c>
      <c r="K1457" s="2" t="s">
        <v>74</v>
      </c>
      <c r="M1457" t="s">
        <v>2440</v>
      </c>
      <c r="P1457" s="19" t="s">
        <v>2011</v>
      </c>
      <c r="Q1457" s="19" t="s">
        <v>25</v>
      </c>
      <c r="R1457" s="19" t="s">
        <v>138</v>
      </c>
      <c r="W1457" s="20">
        <v>23</v>
      </c>
      <c r="X1457" s="65" t="s">
        <v>2010</v>
      </c>
      <c r="Z1457" t="s">
        <v>307</v>
      </c>
      <c r="AB1457" t="s">
        <v>178</v>
      </c>
      <c r="AC1457" t="s">
        <v>2128</v>
      </c>
      <c r="AD1457" s="2" t="s">
        <v>180</v>
      </c>
    </row>
    <row r="1458" spans="1:30" hidden="1" x14ac:dyDescent="0.25">
      <c r="A1458" s="2">
        <v>123</v>
      </c>
      <c r="B1458" t="s">
        <v>2134</v>
      </c>
      <c r="C1458">
        <v>12</v>
      </c>
      <c r="D1458">
        <v>135</v>
      </c>
      <c r="E1458">
        <v>488</v>
      </c>
      <c r="F1458" t="s">
        <v>273</v>
      </c>
      <c r="G1458" s="2" t="s">
        <v>156</v>
      </c>
      <c r="H1458">
        <v>16</v>
      </c>
      <c r="I1458">
        <v>99.04</v>
      </c>
      <c r="J1458" s="2" t="s">
        <v>170</v>
      </c>
      <c r="K1458" s="2" t="s">
        <v>74</v>
      </c>
      <c r="M1458" t="s">
        <v>2440</v>
      </c>
      <c r="P1458" s="19" t="s">
        <v>2011</v>
      </c>
      <c r="Q1458" s="19" t="s">
        <v>25</v>
      </c>
      <c r="R1458" s="19" t="s">
        <v>138</v>
      </c>
      <c r="W1458" s="20">
        <v>23</v>
      </c>
      <c r="X1458" s="65" t="s">
        <v>2010</v>
      </c>
      <c r="Z1458" t="s">
        <v>307</v>
      </c>
      <c r="AB1458" t="s">
        <v>178</v>
      </c>
      <c r="AC1458" t="s">
        <v>2128</v>
      </c>
      <c r="AD1458" s="2" t="s">
        <v>180</v>
      </c>
    </row>
    <row r="1459" spans="1:30" hidden="1" x14ac:dyDescent="0.25">
      <c r="A1459" s="2">
        <v>124</v>
      </c>
      <c r="B1459" t="s">
        <v>2135</v>
      </c>
      <c r="C1459">
        <v>12</v>
      </c>
      <c r="D1459">
        <v>135</v>
      </c>
      <c r="E1459">
        <v>488</v>
      </c>
      <c r="F1459" t="s">
        <v>273</v>
      </c>
      <c r="G1459" s="2" t="s">
        <v>156</v>
      </c>
      <c r="H1459">
        <v>16</v>
      </c>
      <c r="I1459">
        <v>99.04</v>
      </c>
      <c r="J1459" s="2" t="s">
        <v>170</v>
      </c>
      <c r="K1459" s="2" t="s">
        <v>74</v>
      </c>
      <c r="M1459" t="s">
        <v>2440</v>
      </c>
      <c r="P1459" s="19" t="s">
        <v>2011</v>
      </c>
      <c r="Q1459" s="19" t="s">
        <v>25</v>
      </c>
      <c r="R1459" s="19" t="s">
        <v>138</v>
      </c>
      <c r="W1459" s="20">
        <v>23</v>
      </c>
      <c r="X1459" s="65" t="s">
        <v>2010</v>
      </c>
      <c r="Z1459" t="s">
        <v>307</v>
      </c>
      <c r="AB1459" t="s">
        <v>178</v>
      </c>
      <c r="AC1459" t="s">
        <v>2128</v>
      </c>
      <c r="AD1459" s="2" t="s">
        <v>180</v>
      </c>
    </row>
    <row r="1460" spans="1:30" hidden="1" x14ac:dyDescent="0.25">
      <c r="A1460" s="2">
        <v>125</v>
      </c>
      <c r="B1460" t="s">
        <v>2136</v>
      </c>
      <c r="C1460">
        <v>12</v>
      </c>
      <c r="D1460">
        <v>135</v>
      </c>
      <c r="E1460">
        <v>488</v>
      </c>
      <c r="F1460" t="s">
        <v>273</v>
      </c>
      <c r="G1460" s="2" t="s">
        <v>156</v>
      </c>
      <c r="H1460">
        <v>16</v>
      </c>
      <c r="I1460">
        <v>99.04</v>
      </c>
      <c r="J1460" s="2" t="s">
        <v>170</v>
      </c>
      <c r="K1460" s="2" t="s">
        <v>74</v>
      </c>
      <c r="M1460" t="s">
        <v>2440</v>
      </c>
      <c r="P1460" s="19" t="s">
        <v>2011</v>
      </c>
      <c r="Q1460" s="19" t="s">
        <v>25</v>
      </c>
      <c r="R1460" s="19" t="s">
        <v>138</v>
      </c>
      <c r="W1460" s="20">
        <v>23</v>
      </c>
      <c r="X1460" s="65" t="s">
        <v>2010</v>
      </c>
      <c r="Z1460" t="s">
        <v>307</v>
      </c>
      <c r="AB1460" t="s">
        <v>178</v>
      </c>
      <c r="AC1460" t="s">
        <v>2128</v>
      </c>
      <c r="AD1460" s="2" t="s">
        <v>180</v>
      </c>
    </row>
    <row r="1461" spans="1:30" hidden="1" x14ac:dyDescent="0.25">
      <c r="A1461" s="2">
        <v>126</v>
      </c>
      <c r="B1461" t="s">
        <v>2137</v>
      </c>
      <c r="C1461">
        <v>12</v>
      </c>
      <c r="D1461">
        <v>135</v>
      </c>
      <c r="E1461">
        <v>488</v>
      </c>
      <c r="F1461" t="s">
        <v>273</v>
      </c>
      <c r="G1461" s="2" t="s">
        <v>156</v>
      </c>
      <c r="H1461">
        <v>4</v>
      </c>
      <c r="I1461">
        <v>24.76</v>
      </c>
      <c r="J1461" s="2" t="s">
        <v>170</v>
      </c>
      <c r="K1461" s="2" t="s">
        <v>74</v>
      </c>
      <c r="M1461" t="s">
        <v>2440</v>
      </c>
      <c r="P1461" s="19" t="s">
        <v>2011</v>
      </c>
      <c r="Q1461" s="19" t="s">
        <v>25</v>
      </c>
      <c r="R1461" s="19" t="s">
        <v>138</v>
      </c>
      <c r="W1461" s="20">
        <v>23</v>
      </c>
      <c r="X1461" s="65" t="s">
        <v>2010</v>
      </c>
      <c r="Z1461" t="s">
        <v>307</v>
      </c>
      <c r="AB1461" t="s">
        <v>178</v>
      </c>
      <c r="AC1461" t="s">
        <v>2128</v>
      </c>
      <c r="AD1461" s="2" t="s">
        <v>180</v>
      </c>
    </row>
    <row r="1462" spans="1:30" hidden="1" x14ac:dyDescent="0.25">
      <c r="A1462" s="2">
        <v>127</v>
      </c>
      <c r="B1462" t="s">
        <v>2138</v>
      </c>
      <c r="C1462">
        <v>12</v>
      </c>
      <c r="D1462">
        <v>135</v>
      </c>
      <c r="E1462">
        <v>488</v>
      </c>
      <c r="F1462" t="s">
        <v>273</v>
      </c>
      <c r="G1462" s="2" t="s">
        <v>156</v>
      </c>
      <c r="H1462">
        <v>4</v>
      </c>
      <c r="I1462">
        <v>24.76</v>
      </c>
      <c r="J1462" s="2" t="s">
        <v>170</v>
      </c>
      <c r="K1462" s="2" t="s">
        <v>74</v>
      </c>
      <c r="M1462" t="s">
        <v>2440</v>
      </c>
      <c r="P1462" s="19" t="s">
        <v>2011</v>
      </c>
      <c r="Q1462" s="19" t="s">
        <v>25</v>
      </c>
      <c r="R1462" s="19" t="s">
        <v>138</v>
      </c>
      <c r="W1462" s="20">
        <v>23</v>
      </c>
      <c r="X1462" s="65" t="s">
        <v>2010</v>
      </c>
      <c r="Z1462" t="s">
        <v>307</v>
      </c>
      <c r="AB1462" t="s">
        <v>178</v>
      </c>
      <c r="AC1462" t="s">
        <v>2128</v>
      </c>
      <c r="AD1462" s="2" t="s">
        <v>180</v>
      </c>
    </row>
    <row r="1463" spans="1:30" hidden="1" x14ac:dyDescent="0.25">
      <c r="A1463" s="2">
        <v>128</v>
      </c>
      <c r="B1463" t="s">
        <v>2139</v>
      </c>
      <c r="C1463">
        <v>12</v>
      </c>
      <c r="D1463">
        <v>135</v>
      </c>
      <c r="E1463">
        <v>488</v>
      </c>
      <c r="F1463" t="s">
        <v>273</v>
      </c>
      <c r="G1463" s="2" t="s">
        <v>156</v>
      </c>
      <c r="H1463">
        <v>4</v>
      </c>
      <c r="I1463">
        <v>24.76</v>
      </c>
      <c r="J1463" s="2" t="s">
        <v>170</v>
      </c>
      <c r="K1463" s="2" t="s">
        <v>74</v>
      </c>
      <c r="M1463" t="s">
        <v>2440</v>
      </c>
      <c r="P1463" s="19" t="s">
        <v>2011</v>
      </c>
      <c r="Q1463" s="19" t="s">
        <v>25</v>
      </c>
      <c r="R1463" s="19" t="s">
        <v>138</v>
      </c>
      <c r="W1463" s="20">
        <v>23</v>
      </c>
      <c r="X1463" s="65" t="s">
        <v>2010</v>
      </c>
      <c r="Z1463" t="s">
        <v>307</v>
      </c>
      <c r="AB1463" t="s">
        <v>178</v>
      </c>
      <c r="AC1463" t="s">
        <v>2128</v>
      </c>
      <c r="AD1463" s="2" t="s">
        <v>180</v>
      </c>
    </row>
    <row r="1464" spans="1:30" hidden="1" x14ac:dyDescent="0.25">
      <c r="A1464" s="2">
        <v>129</v>
      </c>
      <c r="B1464" t="s">
        <v>2140</v>
      </c>
      <c r="C1464">
        <v>12</v>
      </c>
      <c r="D1464">
        <v>135</v>
      </c>
      <c r="E1464">
        <v>488</v>
      </c>
      <c r="F1464" t="s">
        <v>273</v>
      </c>
      <c r="G1464" s="2" t="s">
        <v>156</v>
      </c>
      <c r="H1464">
        <v>4</v>
      </c>
      <c r="I1464">
        <v>24.76</v>
      </c>
      <c r="J1464" s="2" t="s">
        <v>170</v>
      </c>
      <c r="K1464" s="2" t="s">
        <v>74</v>
      </c>
      <c r="M1464" t="s">
        <v>2440</v>
      </c>
      <c r="P1464" s="19" t="s">
        <v>2011</v>
      </c>
      <c r="Q1464" s="19" t="s">
        <v>25</v>
      </c>
      <c r="R1464" s="19" t="s">
        <v>138</v>
      </c>
      <c r="W1464" s="20">
        <v>23</v>
      </c>
      <c r="X1464" s="65" t="s">
        <v>2010</v>
      </c>
      <c r="Z1464" t="s">
        <v>307</v>
      </c>
      <c r="AB1464" t="s">
        <v>178</v>
      </c>
      <c r="AC1464" t="s">
        <v>2128</v>
      </c>
      <c r="AD1464" s="2" t="s">
        <v>180</v>
      </c>
    </row>
    <row r="1465" spans="1:30" hidden="1" x14ac:dyDescent="0.25">
      <c r="A1465" s="2">
        <v>130</v>
      </c>
      <c r="B1465" t="s">
        <v>2141</v>
      </c>
      <c r="C1465">
        <v>12</v>
      </c>
      <c r="D1465">
        <v>135</v>
      </c>
      <c r="E1465">
        <v>488</v>
      </c>
      <c r="F1465" t="s">
        <v>273</v>
      </c>
      <c r="G1465" s="2" t="s">
        <v>156</v>
      </c>
      <c r="H1465">
        <v>4</v>
      </c>
      <c r="I1465">
        <v>24.76</v>
      </c>
      <c r="J1465" s="2" t="s">
        <v>170</v>
      </c>
      <c r="K1465" s="2" t="s">
        <v>74</v>
      </c>
      <c r="M1465" t="s">
        <v>2440</v>
      </c>
      <c r="P1465" s="19" t="s">
        <v>2011</v>
      </c>
      <c r="Q1465" s="19" t="s">
        <v>25</v>
      </c>
      <c r="R1465" s="19" t="s">
        <v>138</v>
      </c>
      <c r="W1465" s="20">
        <v>23</v>
      </c>
      <c r="X1465" s="65" t="s">
        <v>2010</v>
      </c>
      <c r="Z1465" t="s">
        <v>307</v>
      </c>
      <c r="AB1465" t="s">
        <v>178</v>
      </c>
      <c r="AC1465" t="s">
        <v>2128</v>
      </c>
      <c r="AD1465" s="2" t="s">
        <v>180</v>
      </c>
    </row>
    <row r="1466" spans="1:30" hidden="1" x14ac:dyDescent="0.25">
      <c r="A1466" s="2">
        <v>131</v>
      </c>
      <c r="B1466" t="s">
        <v>2142</v>
      </c>
      <c r="C1466">
        <v>12</v>
      </c>
      <c r="D1466">
        <v>135</v>
      </c>
      <c r="E1466">
        <v>488</v>
      </c>
      <c r="F1466" t="s">
        <v>273</v>
      </c>
      <c r="G1466" s="2" t="s">
        <v>156</v>
      </c>
      <c r="H1466">
        <v>4</v>
      </c>
      <c r="I1466">
        <v>24.76</v>
      </c>
      <c r="J1466" s="2" t="s">
        <v>170</v>
      </c>
      <c r="K1466" s="2" t="s">
        <v>74</v>
      </c>
      <c r="M1466" t="s">
        <v>2440</v>
      </c>
      <c r="P1466" s="19" t="s">
        <v>2011</v>
      </c>
      <c r="Q1466" s="19" t="s">
        <v>25</v>
      </c>
      <c r="R1466" s="19" t="s">
        <v>138</v>
      </c>
      <c r="W1466" s="20">
        <v>23</v>
      </c>
      <c r="X1466" s="65" t="s">
        <v>2010</v>
      </c>
      <c r="Z1466" t="s">
        <v>307</v>
      </c>
      <c r="AB1466" t="s">
        <v>178</v>
      </c>
      <c r="AC1466" t="s">
        <v>2128</v>
      </c>
      <c r="AD1466" s="2" t="s">
        <v>180</v>
      </c>
    </row>
    <row r="1467" spans="1:30" hidden="1" x14ac:dyDescent="0.25">
      <c r="A1467" s="2">
        <v>132</v>
      </c>
      <c r="B1467" t="s">
        <v>2143</v>
      </c>
      <c r="C1467">
        <v>12</v>
      </c>
      <c r="D1467">
        <v>135</v>
      </c>
      <c r="E1467">
        <v>488</v>
      </c>
      <c r="F1467" t="s">
        <v>273</v>
      </c>
      <c r="G1467" s="2" t="s">
        <v>156</v>
      </c>
      <c r="H1467">
        <v>4</v>
      </c>
      <c r="I1467">
        <v>24.76</v>
      </c>
      <c r="J1467" s="2" t="s">
        <v>170</v>
      </c>
      <c r="K1467" s="2" t="s">
        <v>74</v>
      </c>
      <c r="M1467" t="s">
        <v>2440</v>
      </c>
      <c r="P1467" s="19" t="s">
        <v>2011</v>
      </c>
      <c r="Q1467" s="19" t="s">
        <v>25</v>
      </c>
      <c r="R1467" s="19" t="s">
        <v>138</v>
      </c>
      <c r="W1467" s="20">
        <v>23</v>
      </c>
      <c r="X1467" s="65" t="s">
        <v>2010</v>
      </c>
      <c r="Z1467" t="s">
        <v>307</v>
      </c>
      <c r="AB1467" t="s">
        <v>178</v>
      </c>
      <c r="AC1467" t="s">
        <v>2128</v>
      </c>
      <c r="AD1467" s="2" t="s">
        <v>180</v>
      </c>
    </row>
    <row r="1468" spans="1:30" hidden="1" x14ac:dyDescent="0.25">
      <c r="A1468" s="2">
        <v>133</v>
      </c>
      <c r="B1468" t="s">
        <v>2144</v>
      </c>
      <c r="C1468">
        <v>12</v>
      </c>
      <c r="D1468">
        <v>100</v>
      </c>
      <c r="E1468">
        <v>150</v>
      </c>
      <c r="F1468" t="s">
        <v>273</v>
      </c>
      <c r="G1468" s="2" t="s">
        <v>156</v>
      </c>
      <c r="H1468">
        <v>1</v>
      </c>
      <c r="I1468">
        <v>1.41</v>
      </c>
      <c r="J1468" s="2" t="s">
        <v>170</v>
      </c>
      <c r="K1468" s="2" t="s">
        <v>74</v>
      </c>
      <c r="M1468" t="s">
        <v>2440</v>
      </c>
      <c r="P1468" s="19" t="s">
        <v>2011</v>
      </c>
      <c r="Q1468" s="19" t="s">
        <v>25</v>
      </c>
      <c r="R1468" s="19" t="s">
        <v>138</v>
      </c>
      <c r="W1468" s="20">
        <v>23</v>
      </c>
      <c r="X1468" s="65" t="s">
        <v>2010</v>
      </c>
      <c r="Z1468" t="s">
        <v>307</v>
      </c>
      <c r="AB1468" t="s">
        <v>178</v>
      </c>
      <c r="AC1468" t="s">
        <v>2128</v>
      </c>
      <c r="AD1468" s="2" t="s">
        <v>180</v>
      </c>
    </row>
    <row r="1469" spans="1:30" hidden="1" x14ac:dyDescent="0.25">
      <c r="A1469" s="2">
        <v>134</v>
      </c>
      <c r="B1469" t="s">
        <v>2145</v>
      </c>
      <c r="C1469">
        <v>12</v>
      </c>
      <c r="D1469">
        <v>490</v>
      </c>
      <c r="E1469">
        <v>1514</v>
      </c>
      <c r="F1469" t="s">
        <v>273</v>
      </c>
      <c r="G1469" s="2" t="s">
        <v>156</v>
      </c>
      <c r="H1469">
        <v>1</v>
      </c>
      <c r="I1469">
        <v>69.78</v>
      </c>
      <c r="J1469" s="2" t="s">
        <v>170</v>
      </c>
      <c r="K1469" s="2" t="s">
        <v>74</v>
      </c>
      <c r="M1469" t="s">
        <v>2440</v>
      </c>
      <c r="P1469" s="19" t="s">
        <v>2011</v>
      </c>
      <c r="Q1469" s="19" t="s">
        <v>27</v>
      </c>
      <c r="R1469" s="19" t="s">
        <v>138</v>
      </c>
      <c r="W1469" s="20">
        <v>23</v>
      </c>
      <c r="X1469" s="65" t="s">
        <v>2010</v>
      </c>
      <c r="Z1469" t="s">
        <v>307</v>
      </c>
      <c r="AB1469" t="s">
        <v>178</v>
      </c>
      <c r="AC1469" t="s">
        <v>2128</v>
      </c>
      <c r="AD1469" s="2" t="s">
        <v>180</v>
      </c>
    </row>
    <row r="1470" spans="1:30" hidden="1" x14ac:dyDescent="0.25">
      <c r="A1470" s="2">
        <v>135</v>
      </c>
      <c r="B1470" t="s">
        <v>2146</v>
      </c>
      <c r="C1470">
        <v>12</v>
      </c>
      <c r="D1470">
        <v>490</v>
      </c>
      <c r="E1470">
        <v>1388</v>
      </c>
      <c r="F1470" t="s">
        <v>273</v>
      </c>
      <c r="G1470" s="2" t="s">
        <v>156</v>
      </c>
      <c r="H1470">
        <v>1</v>
      </c>
      <c r="I1470">
        <v>63.63</v>
      </c>
      <c r="J1470" s="2" t="s">
        <v>170</v>
      </c>
      <c r="K1470" s="2" t="s">
        <v>74</v>
      </c>
      <c r="M1470" t="s">
        <v>2440</v>
      </c>
      <c r="P1470" s="19" t="s">
        <v>2011</v>
      </c>
      <c r="Q1470" s="19" t="s">
        <v>27</v>
      </c>
      <c r="R1470" s="19" t="s">
        <v>138</v>
      </c>
      <c r="W1470" s="20">
        <v>23</v>
      </c>
      <c r="X1470" s="65" t="s">
        <v>2010</v>
      </c>
      <c r="Z1470" t="s">
        <v>307</v>
      </c>
      <c r="AB1470" t="s">
        <v>178</v>
      </c>
      <c r="AC1470" t="s">
        <v>2128</v>
      </c>
      <c r="AD1470" s="2" t="s">
        <v>180</v>
      </c>
    </row>
    <row r="1471" spans="1:30" hidden="1" x14ac:dyDescent="0.25">
      <c r="A1471" s="2">
        <v>136</v>
      </c>
      <c r="B1471" t="s">
        <v>2147</v>
      </c>
      <c r="C1471">
        <v>12</v>
      </c>
      <c r="D1471">
        <v>490</v>
      </c>
      <c r="E1471">
        <v>1388</v>
      </c>
      <c r="F1471" t="s">
        <v>273</v>
      </c>
      <c r="G1471" s="2" t="s">
        <v>156</v>
      </c>
      <c r="H1471">
        <v>1</v>
      </c>
      <c r="I1471">
        <v>63.63</v>
      </c>
      <c r="J1471" s="2" t="s">
        <v>170</v>
      </c>
      <c r="K1471" s="2" t="s">
        <v>74</v>
      </c>
      <c r="M1471" t="s">
        <v>2440</v>
      </c>
      <c r="P1471" s="19" t="s">
        <v>2011</v>
      </c>
      <c r="Q1471" s="19" t="s">
        <v>27</v>
      </c>
      <c r="R1471" s="19" t="s">
        <v>138</v>
      </c>
      <c r="W1471" s="20">
        <v>23</v>
      </c>
      <c r="X1471" s="65" t="s">
        <v>2010</v>
      </c>
      <c r="Z1471" t="s">
        <v>307</v>
      </c>
      <c r="AB1471" t="s">
        <v>178</v>
      </c>
      <c r="AC1471" t="s">
        <v>2128</v>
      </c>
      <c r="AD1471" s="2" t="s">
        <v>180</v>
      </c>
    </row>
    <row r="1472" spans="1:30" hidden="1" x14ac:dyDescent="0.25">
      <c r="A1472" s="2">
        <v>137</v>
      </c>
      <c r="B1472" t="s">
        <v>2148</v>
      </c>
      <c r="C1472">
        <v>12</v>
      </c>
      <c r="D1472">
        <v>490</v>
      </c>
      <c r="E1472">
        <v>1514</v>
      </c>
      <c r="F1472" t="s">
        <v>273</v>
      </c>
      <c r="G1472" s="2" t="s">
        <v>156</v>
      </c>
      <c r="H1472">
        <v>1</v>
      </c>
      <c r="I1472">
        <v>69.78</v>
      </c>
      <c r="J1472" s="2" t="s">
        <v>170</v>
      </c>
      <c r="K1472" s="2" t="s">
        <v>74</v>
      </c>
      <c r="M1472" t="s">
        <v>2440</v>
      </c>
      <c r="P1472" s="19" t="s">
        <v>2011</v>
      </c>
      <c r="Q1472" s="19" t="s">
        <v>27</v>
      </c>
      <c r="R1472" s="19" t="s">
        <v>138</v>
      </c>
      <c r="W1472" s="20">
        <v>23</v>
      </c>
      <c r="X1472" s="65" t="s">
        <v>2010</v>
      </c>
      <c r="Z1472" t="s">
        <v>307</v>
      </c>
      <c r="AB1472" t="s">
        <v>178</v>
      </c>
      <c r="AC1472" t="s">
        <v>2128</v>
      </c>
      <c r="AD1472" s="2" t="s">
        <v>180</v>
      </c>
    </row>
    <row r="1473" spans="1:30" hidden="1" x14ac:dyDescent="0.25">
      <c r="A1473" s="2">
        <v>138</v>
      </c>
      <c r="B1473" t="s">
        <v>2149</v>
      </c>
      <c r="C1473">
        <v>12</v>
      </c>
      <c r="D1473">
        <v>490</v>
      </c>
      <c r="E1473">
        <v>1514</v>
      </c>
      <c r="F1473" t="s">
        <v>273</v>
      </c>
      <c r="G1473" s="2" t="s">
        <v>156</v>
      </c>
      <c r="H1473">
        <v>1</v>
      </c>
      <c r="I1473">
        <v>69.78</v>
      </c>
      <c r="J1473" s="2" t="s">
        <v>170</v>
      </c>
      <c r="K1473" s="2" t="s">
        <v>74</v>
      </c>
      <c r="M1473" t="s">
        <v>2440</v>
      </c>
      <c r="P1473" s="19" t="s">
        <v>2011</v>
      </c>
      <c r="Q1473" s="19" t="s">
        <v>27</v>
      </c>
      <c r="R1473" s="19" t="s">
        <v>138</v>
      </c>
      <c r="W1473" s="20">
        <v>23</v>
      </c>
      <c r="X1473" s="65" t="s">
        <v>2010</v>
      </c>
      <c r="Z1473" t="s">
        <v>307</v>
      </c>
      <c r="AB1473" t="s">
        <v>178</v>
      </c>
      <c r="AC1473" t="s">
        <v>2128</v>
      </c>
      <c r="AD1473" s="2" t="s">
        <v>180</v>
      </c>
    </row>
    <row r="1474" spans="1:30" hidden="1" x14ac:dyDescent="0.25">
      <c r="A1474" s="2">
        <v>139</v>
      </c>
      <c r="B1474" t="s">
        <v>2150</v>
      </c>
      <c r="C1474">
        <v>12</v>
      </c>
      <c r="D1474">
        <v>490</v>
      </c>
      <c r="E1474">
        <v>1514</v>
      </c>
      <c r="F1474" t="s">
        <v>273</v>
      </c>
      <c r="G1474" s="2" t="s">
        <v>156</v>
      </c>
      <c r="H1474">
        <v>1</v>
      </c>
      <c r="I1474">
        <v>69.78</v>
      </c>
      <c r="J1474" s="2" t="s">
        <v>170</v>
      </c>
      <c r="K1474" s="2" t="s">
        <v>74</v>
      </c>
      <c r="M1474" t="s">
        <v>2440</v>
      </c>
      <c r="P1474" s="19" t="s">
        <v>2011</v>
      </c>
      <c r="Q1474" s="19" t="s">
        <v>27</v>
      </c>
      <c r="R1474" s="19" t="s">
        <v>138</v>
      </c>
      <c r="W1474" s="20">
        <v>23</v>
      </c>
      <c r="X1474" s="65" t="s">
        <v>2010</v>
      </c>
      <c r="Z1474" t="s">
        <v>307</v>
      </c>
      <c r="AB1474" t="s">
        <v>178</v>
      </c>
      <c r="AC1474" t="s">
        <v>2128</v>
      </c>
      <c r="AD1474" s="2" t="s">
        <v>180</v>
      </c>
    </row>
    <row r="1475" spans="1:30" hidden="1" x14ac:dyDescent="0.25">
      <c r="A1475" s="2">
        <v>140</v>
      </c>
      <c r="B1475" t="s">
        <v>2151</v>
      </c>
      <c r="C1475">
        <v>12</v>
      </c>
      <c r="D1475">
        <v>490</v>
      </c>
      <c r="E1475">
        <v>1388</v>
      </c>
      <c r="F1475" t="s">
        <v>273</v>
      </c>
      <c r="G1475" s="2" t="s">
        <v>156</v>
      </c>
      <c r="H1475">
        <v>1</v>
      </c>
      <c r="I1475">
        <v>63.63</v>
      </c>
      <c r="J1475" s="2" t="s">
        <v>170</v>
      </c>
      <c r="K1475" s="2" t="s">
        <v>74</v>
      </c>
      <c r="M1475" t="s">
        <v>2440</v>
      </c>
      <c r="P1475" s="19" t="s">
        <v>2011</v>
      </c>
      <c r="Q1475" s="19" t="s">
        <v>27</v>
      </c>
      <c r="R1475" s="19" t="s">
        <v>138</v>
      </c>
      <c r="W1475" s="20">
        <v>23</v>
      </c>
      <c r="X1475" s="65" t="s">
        <v>2010</v>
      </c>
      <c r="Z1475" t="s">
        <v>307</v>
      </c>
      <c r="AB1475" t="s">
        <v>178</v>
      </c>
      <c r="AC1475" t="s">
        <v>2128</v>
      </c>
      <c r="AD1475" s="2" t="s">
        <v>180</v>
      </c>
    </row>
    <row r="1476" spans="1:30" hidden="1" x14ac:dyDescent="0.25">
      <c r="A1476" s="2">
        <v>141</v>
      </c>
      <c r="B1476" t="s">
        <v>2152</v>
      </c>
      <c r="C1476">
        <v>12</v>
      </c>
      <c r="D1476">
        <v>135</v>
      </c>
      <c r="E1476">
        <v>488</v>
      </c>
      <c r="F1476" t="s">
        <v>273</v>
      </c>
      <c r="G1476" s="2" t="s">
        <v>156</v>
      </c>
      <c r="H1476">
        <v>12</v>
      </c>
      <c r="I1476">
        <v>74.28</v>
      </c>
      <c r="J1476" s="2" t="s">
        <v>170</v>
      </c>
      <c r="K1476" s="2" t="s">
        <v>74</v>
      </c>
      <c r="M1476" t="s">
        <v>2440</v>
      </c>
      <c r="P1476" s="19" t="s">
        <v>2011</v>
      </c>
      <c r="Q1476" s="19" t="s">
        <v>25</v>
      </c>
      <c r="R1476" s="19" t="s">
        <v>138</v>
      </c>
      <c r="W1476" s="20">
        <v>23</v>
      </c>
      <c r="X1476" s="65" t="s">
        <v>2010</v>
      </c>
      <c r="Z1476" t="s">
        <v>307</v>
      </c>
      <c r="AB1476" t="s">
        <v>178</v>
      </c>
      <c r="AC1476" t="s">
        <v>2153</v>
      </c>
      <c r="AD1476" s="2" t="s">
        <v>180</v>
      </c>
    </row>
    <row r="1477" spans="1:30" hidden="1" x14ac:dyDescent="0.25">
      <c r="A1477" s="2">
        <v>142</v>
      </c>
      <c r="B1477" t="s">
        <v>2155</v>
      </c>
      <c r="C1477">
        <v>12</v>
      </c>
      <c r="D1477">
        <v>135</v>
      </c>
      <c r="E1477">
        <v>488</v>
      </c>
      <c r="F1477" t="s">
        <v>273</v>
      </c>
      <c r="G1477" s="2" t="s">
        <v>156</v>
      </c>
      <c r="H1477">
        <v>12</v>
      </c>
      <c r="I1477">
        <v>74.28</v>
      </c>
      <c r="J1477" s="2" t="s">
        <v>170</v>
      </c>
      <c r="K1477" s="2" t="s">
        <v>74</v>
      </c>
      <c r="M1477" t="s">
        <v>2440</v>
      </c>
      <c r="P1477" s="19" t="s">
        <v>2011</v>
      </c>
      <c r="Q1477" s="19" t="s">
        <v>25</v>
      </c>
      <c r="R1477" s="19" t="s">
        <v>138</v>
      </c>
      <c r="W1477" s="20">
        <v>23</v>
      </c>
      <c r="X1477" s="65" t="s">
        <v>2010</v>
      </c>
      <c r="Z1477" t="s">
        <v>307</v>
      </c>
      <c r="AB1477" t="s">
        <v>178</v>
      </c>
      <c r="AC1477" t="s">
        <v>2153</v>
      </c>
      <c r="AD1477" s="2" t="s">
        <v>180</v>
      </c>
    </row>
    <row r="1478" spans="1:30" hidden="1" x14ac:dyDescent="0.25">
      <c r="A1478" s="2">
        <v>143</v>
      </c>
      <c r="B1478" t="s">
        <v>2156</v>
      </c>
      <c r="C1478">
        <v>12</v>
      </c>
      <c r="D1478">
        <v>490</v>
      </c>
      <c r="E1478">
        <v>6464</v>
      </c>
      <c r="F1478" t="s">
        <v>273</v>
      </c>
      <c r="G1478" s="2" t="s">
        <v>156</v>
      </c>
      <c r="H1478">
        <v>1</v>
      </c>
      <c r="I1478">
        <v>298.16000000000003</v>
      </c>
      <c r="J1478" s="2" t="s">
        <v>170</v>
      </c>
      <c r="K1478" s="2" t="s">
        <v>74</v>
      </c>
      <c r="M1478" t="s">
        <v>2440</v>
      </c>
      <c r="P1478" s="19" t="s">
        <v>2011</v>
      </c>
      <c r="Q1478" s="19" t="s">
        <v>27</v>
      </c>
      <c r="R1478" s="19" t="s">
        <v>138</v>
      </c>
      <c r="W1478" s="20">
        <v>23</v>
      </c>
      <c r="X1478" s="65" t="s">
        <v>2010</v>
      </c>
      <c r="Z1478" t="s">
        <v>307</v>
      </c>
      <c r="AB1478" t="s">
        <v>178</v>
      </c>
      <c r="AC1478" t="s">
        <v>2153</v>
      </c>
      <c r="AD1478" s="2" t="s">
        <v>180</v>
      </c>
    </row>
    <row r="1479" spans="1:30" hidden="1" x14ac:dyDescent="0.25">
      <c r="A1479" s="2">
        <v>144</v>
      </c>
      <c r="B1479" t="s">
        <v>2157</v>
      </c>
      <c r="C1479">
        <v>12</v>
      </c>
      <c r="D1479">
        <v>135</v>
      </c>
      <c r="E1479">
        <v>488</v>
      </c>
      <c r="F1479" t="s">
        <v>273</v>
      </c>
      <c r="G1479" s="2" t="s">
        <v>156</v>
      </c>
      <c r="H1479">
        <v>12</v>
      </c>
      <c r="I1479">
        <v>74.28</v>
      </c>
      <c r="J1479" s="2" t="s">
        <v>170</v>
      </c>
      <c r="K1479" s="2" t="s">
        <v>74</v>
      </c>
      <c r="M1479" t="s">
        <v>2440</v>
      </c>
      <c r="P1479" s="19" t="s">
        <v>2011</v>
      </c>
      <c r="Q1479" s="19" t="s">
        <v>25</v>
      </c>
      <c r="R1479" s="19" t="s">
        <v>138</v>
      </c>
      <c r="W1479" s="20">
        <v>23</v>
      </c>
      <c r="X1479" s="65" t="s">
        <v>2010</v>
      </c>
      <c r="Z1479" t="s">
        <v>307</v>
      </c>
      <c r="AB1479" t="s">
        <v>178</v>
      </c>
      <c r="AC1479" t="s">
        <v>2153</v>
      </c>
      <c r="AD1479" s="2" t="s">
        <v>180</v>
      </c>
    </row>
    <row r="1480" spans="1:30" hidden="1" x14ac:dyDescent="0.25">
      <c r="A1480" s="2">
        <v>145</v>
      </c>
      <c r="B1480" t="s">
        <v>2158</v>
      </c>
      <c r="C1480">
        <v>12</v>
      </c>
      <c r="D1480">
        <v>490</v>
      </c>
      <c r="E1480">
        <v>6464</v>
      </c>
      <c r="F1480" t="s">
        <v>273</v>
      </c>
      <c r="G1480" s="2" t="s">
        <v>156</v>
      </c>
      <c r="H1480">
        <v>1</v>
      </c>
      <c r="I1480">
        <v>298.16000000000003</v>
      </c>
      <c r="J1480" s="2" t="s">
        <v>170</v>
      </c>
      <c r="K1480" s="2" t="s">
        <v>74</v>
      </c>
      <c r="M1480" t="s">
        <v>2440</v>
      </c>
      <c r="P1480" s="19" t="s">
        <v>2011</v>
      </c>
      <c r="Q1480" s="19" t="s">
        <v>27</v>
      </c>
      <c r="R1480" s="19" t="s">
        <v>138</v>
      </c>
      <c r="W1480" s="20">
        <v>23</v>
      </c>
      <c r="X1480" s="65" t="s">
        <v>2010</v>
      </c>
      <c r="Z1480" t="s">
        <v>307</v>
      </c>
      <c r="AB1480" t="s">
        <v>178</v>
      </c>
      <c r="AC1480" t="s">
        <v>2153</v>
      </c>
      <c r="AD1480" s="2" t="s">
        <v>180</v>
      </c>
    </row>
    <row r="1481" spans="1:30" hidden="1" x14ac:dyDescent="0.25">
      <c r="A1481" s="2">
        <v>146</v>
      </c>
      <c r="B1481" t="s">
        <v>2159</v>
      </c>
      <c r="C1481">
        <v>12</v>
      </c>
      <c r="D1481">
        <v>135</v>
      </c>
      <c r="E1481">
        <v>488</v>
      </c>
      <c r="F1481" t="s">
        <v>273</v>
      </c>
      <c r="G1481" s="2" t="s">
        <v>156</v>
      </c>
      <c r="H1481">
        <v>17</v>
      </c>
      <c r="I1481">
        <v>105.23</v>
      </c>
      <c r="J1481" s="2" t="s">
        <v>170</v>
      </c>
      <c r="K1481" s="2" t="s">
        <v>74</v>
      </c>
      <c r="M1481" t="s">
        <v>2440</v>
      </c>
      <c r="P1481" s="19" t="s">
        <v>2011</v>
      </c>
      <c r="Q1481" s="19" t="s">
        <v>25</v>
      </c>
      <c r="R1481" s="19" t="s">
        <v>138</v>
      </c>
      <c r="W1481" s="20">
        <v>23</v>
      </c>
      <c r="X1481" s="65" t="s">
        <v>2010</v>
      </c>
      <c r="Z1481" t="s">
        <v>307</v>
      </c>
      <c r="AB1481" t="s">
        <v>178</v>
      </c>
      <c r="AC1481" t="s">
        <v>2153</v>
      </c>
      <c r="AD1481" s="2" t="s">
        <v>180</v>
      </c>
    </row>
    <row r="1482" spans="1:30" hidden="1" x14ac:dyDescent="0.25">
      <c r="A1482" s="2">
        <v>147</v>
      </c>
      <c r="B1482" t="s">
        <v>2133</v>
      </c>
      <c r="C1482">
        <v>12</v>
      </c>
      <c r="D1482">
        <v>135</v>
      </c>
      <c r="E1482">
        <v>488</v>
      </c>
      <c r="F1482" t="s">
        <v>273</v>
      </c>
      <c r="G1482" s="2" t="s">
        <v>156</v>
      </c>
      <c r="H1482">
        <v>7</v>
      </c>
      <c r="I1482">
        <v>43.33</v>
      </c>
      <c r="J1482" s="2" t="s">
        <v>170</v>
      </c>
      <c r="K1482" s="2" t="s">
        <v>74</v>
      </c>
      <c r="M1482" t="s">
        <v>2440</v>
      </c>
      <c r="P1482" s="19" t="s">
        <v>2011</v>
      </c>
      <c r="Q1482" s="19" t="s">
        <v>25</v>
      </c>
      <c r="R1482" s="19" t="s">
        <v>138</v>
      </c>
      <c r="W1482" s="20">
        <v>23</v>
      </c>
      <c r="X1482" s="65" t="s">
        <v>2010</v>
      </c>
      <c r="Z1482" t="s">
        <v>307</v>
      </c>
      <c r="AB1482" t="s">
        <v>178</v>
      </c>
      <c r="AC1482" t="s">
        <v>2153</v>
      </c>
      <c r="AD1482" s="2" t="s">
        <v>180</v>
      </c>
    </row>
    <row r="1483" spans="1:30" hidden="1" x14ac:dyDescent="0.25">
      <c r="A1483" s="2">
        <v>148</v>
      </c>
      <c r="B1483" t="s">
        <v>2160</v>
      </c>
      <c r="C1483">
        <v>12</v>
      </c>
      <c r="D1483">
        <v>490</v>
      </c>
      <c r="E1483">
        <v>6464</v>
      </c>
      <c r="F1483" t="s">
        <v>273</v>
      </c>
      <c r="G1483" s="2" t="s">
        <v>156</v>
      </c>
      <c r="H1483">
        <v>1</v>
      </c>
      <c r="I1483">
        <v>298.16000000000003</v>
      </c>
      <c r="J1483" s="2" t="s">
        <v>170</v>
      </c>
      <c r="K1483" s="2" t="s">
        <v>74</v>
      </c>
      <c r="M1483" t="s">
        <v>2440</v>
      </c>
      <c r="P1483" s="19" t="s">
        <v>2011</v>
      </c>
      <c r="Q1483" s="19" t="s">
        <v>27</v>
      </c>
      <c r="R1483" s="19" t="s">
        <v>138</v>
      </c>
      <c r="W1483" s="20">
        <v>23</v>
      </c>
      <c r="X1483" s="65" t="s">
        <v>2010</v>
      </c>
      <c r="Z1483" t="s">
        <v>307</v>
      </c>
      <c r="AB1483" t="s">
        <v>178</v>
      </c>
      <c r="AC1483" t="s">
        <v>2153</v>
      </c>
      <c r="AD1483" s="2" t="s">
        <v>180</v>
      </c>
    </row>
    <row r="1484" spans="1:30" hidden="1" x14ac:dyDescent="0.25">
      <c r="A1484" s="2">
        <v>149</v>
      </c>
      <c r="B1484" t="s">
        <v>2161</v>
      </c>
      <c r="C1484">
        <v>12</v>
      </c>
      <c r="D1484">
        <v>490</v>
      </c>
      <c r="E1484">
        <v>6464</v>
      </c>
      <c r="F1484" t="s">
        <v>273</v>
      </c>
      <c r="G1484" s="2" t="s">
        <v>156</v>
      </c>
      <c r="H1484">
        <v>1</v>
      </c>
      <c r="I1484">
        <v>298.16000000000003</v>
      </c>
      <c r="J1484" s="2" t="s">
        <v>170</v>
      </c>
      <c r="K1484" s="2" t="s">
        <v>74</v>
      </c>
      <c r="M1484" t="s">
        <v>2440</v>
      </c>
      <c r="P1484" s="19" t="s">
        <v>2011</v>
      </c>
      <c r="Q1484" s="19" t="s">
        <v>27</v>
      </c>
      <c r="R1484" s="19" t="s">
        <v>138</v>
      </c>
      <c r="W1484" s="20">
        <v>23</v>
      </c>
      <c r="X1484" s="65" t="s">
        <v>2010</v>
      </c>
      <c r="Z1484" t="s">
        <v>307</v>
      </c>
      <c r="AB1484" t="s">
        <v>178</v>
      </c>
      <c r="AC1484" t="s">
        <v>2153</v>
      </c>
      <c r="AD1484" s="2" t="s">
        <v>180</v>
      </c>
    </row>
    <row r="1485" spans="1:30" hidden="1" x14ac:dyDescent="0.25">
      <c r="A1485" s="2">
        <v>150</v>
      </c>
      <c r="B1485" t="s">
        <v>2162</v>
      </c>
      <c r="C1485">
        <v>12</v>
      </c>
      <c r="D1485">
        <v>135</v>
      </c>
      <c r="E1485">
        <v>488</v>
      </c>
      <c r="F1485" t="s">
        <v>273</v>
      </c>
      <c r="G1485" s="2" t="s">
        <v>156</v>
      </c>
      <c r="H1485">
        <v>6</v>
      </c>
      <c r="I1485">
        <v>37.14</v>
      </c>
      <c r="J1485" s="2" t="s">
        <v>170</v>
      </c>
      <c r="K1485" s="2" t="s">
        <v>74</v>
      </c>
      <c r="M1485" t="s">
        <v>2440</v>
      </c>
      <c r="P1485" s="19" t="s">
        <v>2011</v>
      </c>
      <c r="Q1485" s="19" t="s">
        <v>25</v>
      </c>
      <c r="R1485" s="19" t="s">
        <v>138</v>
      </c>
      <c r="W1485" s="20">
        <v>23</v>
      </c>
      <c r="X1485" s="65" t="s">
        <v>2010</v>
      </c>
      <c r="Z1485" t="s">
        <v>307</v>
      </c>
      <c r="AB1485" t="s">
        <v>178</v>
      </c>
      <c r="AC1485" t="s">
        <v>2153</v>
      </c>
      <c r="AD1485" s="2" t="s">
        <v>180</v>
      </c>
    </row>
    <row r="1486" spans="1:30" hidden="1" x14ac:dyDescent="0.25">
      <c r="A1486" s="2">
        <v>151</v>
      </c>
      <c r="B1486" t="s">
        <v>2163</v>
      </c>
      <c r="C1486">
        <v>12</v>
      </c>
      <c r="D1486">
        <v>135</v>
      </c>
      <c r="E1486">
        <v>488</v>
      </c>
      <c r="F1486" t="s">
        <v>273</v>
      </c>
      <c r="G1486" s="2" t="s">
        <v>156</v>
      </c>
      <c r="H1486">
        <v>12</v>
      </c>
      <c r="I1486">
        <v>74.28</v>
      </c>
      <c r="J1486" s="2" t="s">
        <v>170</v>
      </c>
      <c r="K1486" s="2" t="s">
        <v>74</v>
      </c>
      <c r="M1486" t="s">
        <v>2440</v>
      </c>
      <c r="P1486" s="19" t="s">
        <v>2011</v>
      </c>
      <c r="Q1486" s="19" t="s">
        <v>25</v>
      </c>
      <c r="R1486" s="19" t="s">
        <v>138</v>
      </c>
      <c r="W1486" s="20">
        <v>23</v>
      </c>
      <c r="X1486" s="65" t="s">
        <v>2010</v>
      </c>
      <c r="Z1486" t="s">
        <v>307</v>
      </c>
      <c r="AB1486" t="s">
        <v>178</v>
      </c>
      <c r="AC1486" t="s">
        <v>2153</v>
      </c>
      <c r="AD1486" s="2" t="s">
        <v>180</v>
      </c>
    </row>
    <row r="1487" spans="1:30" hidden="1" x14ac:dyDescent="0.25">
      <c r="A1487" s="2">
        <v>152</v>
      </c>
      <c r="B1487" t="s">
        <v>2164</v>
      </c>
      <c r="C1487">
        <v>12</v>
      </c>
      <c r="D1487">
        <v>135</v>
      </c>
      <c r="E1487">
        <v>488</v>
      </c>
      <c r="F1487" t="s">
        <v>273</v>
      </c>
      <c r="G1487" s="2" t="s">
        <v>156</v>
      </c>
      <c r="H1487">
        <v>12</v>
      </c>
      <c r="I1487">
        <v>74.28</v>
      </c>
      <c r="J1487" s="2" t="s">
        <v>170</v>
      </c>
      <c r="K1487" s="2" t="s">
        <v>74</v>
      </c>
      <c r="M1487" t="s">
        <v>2440</v>
      </c>
      <c r="P1487" s="19" t="s">
        <v>2011</v>
      </c>
      <c r="Q1487" s="19" t="s">
        <v>25</v>
      </c>
      <c r="R1487" s="19" t="s">
        <v>138</v>
      </c>
      <c r="W1487" s="20">
        <v>23</v>
      </c>
      <c r="X1487" s="65" t="s">
        <v>2010</v>
      </c>
      <c r="Z1487" t="s">
        <v>307</v>
      </c>
      <c r="AB1487" t="s">
        <v>178</v>
      </c>
      <c r="AC1487" t="s">
        <v>2153</v>
      </c>
      <c r="AD1487" s="2" t="s">
        <v>180</v>
      </c>
    </row>
    <row r="1488" spans="1:30" hidden="1" x14ac:dyDescent="0.25">
      <c r="A1488" s="2">
        <v>153</v>
      </c>
      <c r="B1488" t="s">
        <v>2165</v>
      </c>
      <c r="C1488">
        <v>12</v>
      </c>
      <c r="D1488">
        <v>135</v>
      </c>
      <c r="E1488">
        <v>488</v>
      </c>
      <c r="F1488" t="s">
        <v>273</v>
      </c>
      <c r="G1488" s="2" t="s">
        <v>156</v>
      </c>
      <c r="H1488">
        <v>12</v>
      </c>
      <c r="I1488">
        <v>74.28</v>
      </c>
      <c r="J1488" s="2" t="s">
        <v>170</v>
      </c>
      <c r="K1488" s="2" t="s">
        <v>74</v>
      </c>
      <c r="M1488" t="s">
        <v>2440</v>
      </c>
      <c r="P1488" s="19" t="s">
        <v>2011</v>
      </c>
      <c r="Q1488" s="19" t="s">
        <v>25</v>
      </c>
      <c r="R1488" s="19" t="s">
        <v>138</v>
      </c>
      <c r="W1488" s="20">
        <v>23</v>
      </c>
      <c r="X1488" s="65" t="s">
        <v>2010</v>
      </c>
      <c r="Z1488" t="s">
        <v>307</v>
      </c>
      <c r="AB1488" t="s">
        <v>178</v>
      </c>
      <c r="AC1488" t="s">
        <v>2153</v>
      </c>
      <c r="AD1488" s="2" t="s">
        <v>180</v>
      </c>
    </row>
    <row r="1489" spans="1:30" hidden="1" x14ac:dyDescent="0.25">
      <c r="A1489" s="2">
        <v>154</v>
      </c>
      <c r="B1489" t="s">
        <v>2166</v>
      </c>
      <c r="C1489">
        <v>12</v>
      </c>
      <c r="D1489">
        <v>135</v>
      </c>
      <c r="E1489">
        <v>488</v>
      </c>
      <c r="F1489" t="s">
        <v>273</v>
      </c>
      <c r="G1489" s="2" t="s">
        <v>156</v>
      </c>
      <c r="H1489">
        <v>12</v>
      </c>
      <c r="I1489">
        <v>74.28</v>
      </c>
      <c r="J1489" s="2" t="s">
        <v>170</v>
      </c>
      <c r="K1489" s="2" t="s">
        <v>74</v>
      </c>
      <c r="M1489" t="s">
        <v>2440</v>
      </c>
      <c r="P1489" s="19" t="s">
        <v>2011</v>
      </c>
      <c r="Q1489" s="19" t="s">
        <v>25</v>
      </c>
      <c r="R1489" s="19" t="s">
        <v>138</v>
      </c>
      <c r="W1489" s="20">
        <v>23</v>
      </c>
      <c r="X1489" s="65" t="s">
        <v>2010</v>
      </c>
      <c r="Z1489" t="s">
        <v>307</v>
      </c>
      <c r="AB1489" t="s">
        <v>178</v>
      </c>
      <c r="AC1489" t="s">
        <v>2153</v>
      </c>
      <c r="AD1489" s="2" t="s">
        <v>180</v>
      </c>
    </row>
    <row r="1490" spans="1:30" hidden="1" x14ac:dyDescent="0.25">
      <c r="A1490" s="2">
        <v>155</v>
      </c>
      <c r="B1490" t="s">
        <v>2167</v>
      </c>
      <c r="C1490">
        <v>12</v>
      </c>
      <c r="D1490">
        <v>135</v>
      </c>
      <c r="E1490">
        <v>488</v>
      </c>
      <c r="F1490" t="s">
        <v>273</v>
      </c>
      <c r="G1490" s="2" t="s">
        <v>156</v>
      </c>
      <c r="H1490">
        <v>12</v>
      </c>
      <c r="I1490">
        <v>74.28</v>
      </c>
      <c r="J1490" s="2" t="s">
        <v>170</v>
      </c>
      <c r="K1490" s="2" t="s">
        <v>74</v>
      </c>
      <c r="M1490" t="s">
        <v>2440</v>
      </c>
      <c r="P1490" s="19" t="s">
        <v>2011</v>
      </c>
      <c r="Q1490" s="19" t="s">
        <v>25</v>
      </c>
      <c r="R1490" s="19" t="s">
        <v>138</v>
      </c>
      <c r="W1490" s="20">
        <v>23</v>
      </c>
      <c r="X1490" s="65" t="s">
        <v>2010</v>
      </c>
      <c r="Z1490" t="s">
        <v>307</v>
      </c>
      <c r="AB1490" t="s">
        <v>178</v>
      </c>
      <c r="AC1490" t="s">
        <v>2153</v>
      </c>
      <c r="AD1490" s="2" t="s">
        <v>180</v>
      </c>
    </row>
    <row r="1491" spans="1:30" hidden="1" x14ac:dyDescent="0.25">
      <c r="A1491" s="2">
        <v>156</v>
      </c>
      <c r="B1491" t="s">
        <v>2168</v>
      </c>
      <c r="C1491">
        <v>12</v>
      </c>
      <c r="D1491">
        <v>135</v>
      </c>
      <c r="E1491">
        <v>488</v>
      </c>
      <c r="F1491" t="s">
        <v>273</v>
      </c>
      <c r="G1491" s="2" t="s">
        <v>156</v>
      </c>
      <c r="H1491">
        <v>17</v>
      </c>
      <c r="I1491">
        <v>105.23</v>
      </c>
      <c r="J1491" s="2" t="s">
        <v>170</v>
      </c>
      <c r="K1491" s="2" t="s">
        <v>74</v>
      </c>
      <c r="M1491" t="s">
        <v>2440</v>
      </c>
      <c r="P1491" s="19" t="s">
        <v>2011</v>
      </c>
      <c r="Q1491" s="19" t="s">
        <v>25</v>
      </c>
      <c r="R1491" s="19" t="s">
        <v>138</v>
      </c>
      <c r="W1491" s="20">
        <v>23</v>
      </c>
      <c r="X1491" s="65" t="s">
        <v>2010</v>
      </c>
      <c r="Z1491" t="s">
        <v>307</v>
      </c>
      <c r="AB1491" t="s">
        <v>178</v>
      </c>
      <c r="AC1491" t="s">
        <v>2153</v>
      </c>
      <c r="AD1491" s="2" t="s">
        <v>180</v>
      </c>
    </row>
    <row r="1492" spans="1:30" hidden="1" x14ac:dyDescent="0.25">
      <c r="A1492" s="2">
        <v>157</v>
      </c>
      <c r="B1492" t="s">
        <v>2169</v>
      </c>
      <c r="C1492">
        <v>12</v>
      </c>
      <c r="D1492">
        <v>135</v>
      </c>
      <c r="E1492">
        <v>488</v>
      </c>
      <c r="F1492" t="s">
        <v>273</v>
      </c>
      <c r="G1492" s="2" t="s">
        <v>156</v>
      </c>
      <c r="H1492">
        <v>17</v>
      </c>
      <c r="I1492">
        <v>105.23</v>
      </c>
      <c r="J1492" s="2" t="s">
        <v>170</v>
      </c>
      <c r="K1492" s="2" t="s">
        <v>74</v>
      </c>
      <c r="M1492" t="s">
        <v>2440</v>
      </c>
      <c r="P1492" s="19" t="s">
        <v>2011</v>
      </c>
      <c r="Q1492" s="19" t="s">
        <v>25</v>
      </c>
      <c r="R1492" s="19" t="s">
        <v>138</v>
      </c>
      <c r="W1492" s="20">
        <v>23</v>
      </c>
      <c r="X1492" s="65" t="s">
        <v>2010</v>
      </c>
      <c r="Z1492" t="s">
        <v>307</v>
      </c>
      <c r="AB1492" t="s">
        <v>178</v>
      </c>
      <c r="AC1492" t="s">
        <v>2153</v>
      </c>
      <c r="AD1492" s="2" t="s">
        <v>180</v>
      </c>
    </row>
    <row r="1493" spans="1:30" hidden="1" x14ac:dyDescent="0.25">
      <c r="A1493" s="2">
        <v>158</v>
      </c>
      <c r="B1493" t="s">
        <v>2170</v>
      </c>
      <c r="C1493">
        <v>12</v>
      </c>
      <c r="D1493">
        <v>100</v>
      </c>
      <c r="E1493">
        <v>150</v>
      </c>
      <c r="F1493" t="s">
        <v>273</v>
      </c>
      <c r="G1493" s="2" t="s">
        <v>156</v>
      </c>
      <c r="H1493">
        <v>1</v>
      </c>
      <c r="I1493">
        <v>1.41</v>
      </c>
      <c r="J1493" s="2" t="s">
        <v>170</v>
      </c>
      <c r="K1493" s="2" t="s">
        <v>74</v>
      </c>
      <c r="M1493" t="s">
        <v>2440</v>
      </c>
      <c r="P1493" s="19" t="s">
        <v>2011</v>
      </c>
      <c r="Q1493" s="19" t="s">
        <v>25</v>
      </c>
      <c r="R1493" s="19" t="s">
        <v>138</v>
      </c>
      <c r="W1493" s="20">
        <v>23</v>
      </c>
      <c r="X1493" s="65" t="s">
        <v>2010</v>
      </c>
      <c r="Z1493" t="s">
        <v>307</v>
      </c>
      <c r="AB1493" t="s">
        <v>178</v>
      </c>
      <c r="AC1493" t="s">
        <v>2153</v>
      </c>
      <c r="AD1493" s="2" t="s">
        <v>180</v>
      </c>
    </row>
    <row r="1494" spans="1:30" hidden="1" x14ac:dyDescent="0.25">
      <c r="A1494" s="2">
        <v>159</v>
      </c>
      <c r="B1494" t="s">
        <v>2171</v>
      </c>
      <c r="C1494">
        <v>12</v>
      </c>
      <c r="D1494">
        <v>100</v>
      </c>
      <c r="E1494">
        <v>150</v>
      </c>
      <c r="F1494" t="s">
        <v>273</v>
      </c>
      <c r="G1494" s="2" t="s">
        <v>156</v>
      </c>
      <c r="H1494">
        <v>1</v>
      </c>
      <c r="I1494">
        <v>1.41</v>
      </c>
      <c r="J1494" s="2" t="s">
        <v>170</v>
      </c>
      <c r="K1494" s="2" t="s">
        <v>74</v>
      </c>
      <c r="M1494" t="s">
        <v>2440</v>
      </c>
      <c r="P1494" s="19" t="s">
        <v>2011</v>
      </c>
      <c r="Q1494" s="19" t="s">
        <v>25</v>
      </c>
      <c r="R1494" s="19" t="s">
        <v>138</v>
      </c>
      <c r="W1494" s="20">
        <v>23</v>
      </c>
      <c r="X1494" s="65" t="s">
        <v>2010</v>
      </c>
      <c r="Z1494" t="s">
        <v>307</v>
      </c>
      <c r="AB1494" t="s">
        <v>178</v>
      </c>
      <c r="AC1494" t="s">
        <v>2153</v>
      </c>
      <c r="AD1494" s="2" t="s">
        <v>180</v>
      </c>
    </row>
    <row r="1495" spans="1:30" hidden="1" x14ac:dyDescent="0.25">
      <c r="A1495" s="2">
        <v>160</v>
      </c>
      <c r="B1495" t="s">
        <v>2096</v>
      </c>
      <c r="C1495">
        <v>12</v>
      </c>
      <c r="D1495">
        <v>120</v>
      </c>
      <c r="E1495">
        <v>129</v>
      </c>
      <c r="F1495" t="s">
        <v>273</v>
      </c>
      <c r="G1495" s="2" t="s">
        <v>156</v>
      </c>
      <c r="H1495">
        <v>4</v>
      </c>
      <c r="I1495">
        <v>5.3</v>
      </c>
      <c r="J1495" s="2" t="s">
        <v>170</v>
      </c>
      <c r="K1495" s="2" t="s">
        <v>74</v>
      </c>
      <c r="M1495" t="s">
        <v>2440</v>
      </c>
      <c r="P1495" s="19" t="s">
        <v>2011</v>
      </c>
      <c r="Q1495" s="19" t="s">
        <v>25</v>
      </c>
      <c r="R1495" s="19" t="s">
        <v>138</v>
      </c>
      <c r="W1495" s="20">
        <v>23</v>
      </c>
      <c r="X1495" s="65" t="s">
        <v>2010</v>
      </c>
      <c r="Z1495" t="s">
        <v>307</v>
      </c>
      <c r="AB1495" t="s">
        <v>178</v>
      </c>
      <c r="AC1495" t="s">
        <v>2172</v>
      </c>
      <c r="AD1495" s="2" t="s">
        <v>180</v>
      </c>
    </row>
    <row r="1496" spans="1:30" hidden="1" x14ac:dyDescent="0.25">
      <c r="A1496" s="2">
        <v>161</v>
      </c>
      <c r="B1496" t="s">
        <v>2174</v>
      </c>
      <c r="C1496">
        <v>12</v>
      </c>
      <c r="D1496">
        <v>120</v>
      </c>
      <c r="E1496">
        <v>129</v>
      </c>
      <c r="F1496" t="s">
        <v>273</v>
      </c>
      <c r="G1496" s="2" t="s">
        <v>156</v>
      </c>
      <c r="H1496">
        <v>24</v>
      </c>
      <c r="I1496">
        <v>31.78</v>
      </c>
      <c r="J1496" s="2" t="s">
        <v>170</v>
      </c>
      <c r="K1496" s="2" t="s">
        <v>74</v>
      </c>
      <c r="M1496" t="s">
        <v>2440</v>
      </c>
      <c r="P1496" s="19" t="s">
        <v>2011</v>
      </c>
      <c r="Q1496" s="19" t="s">
        <v>25</v>
      </c>
      <c r="R1496" s="19" t="s">
        <v>138</v>
      </c>
      <c r="W1496" s="20">
        <v>23</v>
      </c>
      <c r="X1496" s="65" t="s">
        <v>2010</v>
      </c>
      <c r="Z1496" t="s">
        <v>307</v>
      </c>
      <c r="AB1496" t="s">
        <v>178</v>
      </c>
      <c r="AC1496" t="s">
        <v>2172</v>
      </c>
      <c r="AD1496" s="2" t="s">
        <v>180</v>
      </c>
    </row>
    <row r="1497" spans="1:30" hidden="1" x14ac:dyDescent="0.25">
      <c r="A1497" s="2">
        <v>162</v>
      </c>
      <c r="B1497" t="s">
        <v>2175</v>
      </c>
      <c r="C1497">
        <v>12</v>
      </c>
      <c r="D1497">
        <v>120</v>
      </c>
      <c r="E1497">
        <v>129</v>
      </c>
      <c r="F1497" t="s">
        <v>273</v>
      </c>
      <c r="G1497" s="2" t="s">
        <v>156</v>
      </c>
      <c r="H1497">
        <v>24</v>
      </c>
      <c r="I1497">
        <v>31.78</v>
      </c>
      <c r="J1497" s="2" t="s">
        <v>170</v>
      </c>
      <c r="K1497" s="2" t="s">
        <v>74</v>
      </c>
      <c r="M1497" t="s">
        <v>2440</v>
      </c>
      <c r="P1497" s="19" t="s">
        <v>2011</v>
      </c>
      <c r="Q1497" s="19" t="s">
        <v>25</v>
      </c>
      <c r="R1497" s="19" t="s">
        <v>138</v>
      </c>
      <c r="W1497" s="20">
        <v>23</v>
      </c>
      <c r="X1497" s="65" t="s">
        <v>2010</v>
      </c>
      <c r="Z1497" t="s">
        <v>307</v>
      </c>
      <c r="AB1497" t="s">
        <v>178</v>
      </c>
      <c r="AC1497" t="s">
        <v>2172</v>
      </c>
      <c r="AD1497" s="2" t="s">
        <v>180</v>
      </c>
    </row>
    <row r="1498" spans="1:30" hidden="1" x14ac:dyDescent="0.25">
      <c r="A1498" s="2">
        <v>163</v>
      </c>
      <c r="B1498" t="s">
        <v>2176</v>
      </c>
      <c r="C1498">
        <v>12</v>
      </c>
      <c r="D1498">
        <v>120</v>
      </c>
      <c r="E1498">
        <v>129</v>
      </c>
      <c r="F1498" t="s">
        <v>273</v>
      </c>
      <c r="G1498" s="2" t="s">
        <v>156</v>
      </c>
      <c r="H1498">
        <v>24</v>
      </c>
      <c r="I1498">
        <v>31.78</v>
      </c>
      <c r="J1498" s="2" t="s">
        <v>170</v>
      </c>
      <c r="K1498" s="2" t="s">
        <v>74</v>
      </c>
      <c r="M1498" t="s">
        <v>2440</v>
      </c>
      <c r="P1498" s="19" t="s">
        <v>2011</v>
      </c>
      <c r="Q1498" s="19" t="s">
        <v>25</v>
      </c>
      <c r="R1498" s="19" t="s">
        <v>138</v>
      </c>
      <c r="W1498" s="20">
        <v>23</v>
      </c>
      <c r="X1498" s="65" t="s">
        <v>2010</v>
      </c>
      <c r="Z1498" t="s">
        <v>307</v>
      </c>
      <c r="AB1498" t="s">
        <v>178</v>
      </c>
      <c r="AC1498" t="s">
        <v>2172</v>
      </c>
      <c r="AD1498" s="2" t="s">
        <v>180</v>
      </c>
    </row>
    <row r="1499" spans="1:30" hidden="1" x14ac:dyDescent="0.25">
      <c r="A1499" s="2">
        <v>164</v>
      </c>
      <c r="B1499" t="s">
        <v>2177</v>
      </c>
      <c r="C1499">
        <v>12</v>
      </c>
      <c r="D1499">
        <v>120</v>
      </c>
      <c r="E1499">
        <v>129</v>
      </c>
      <c r="F1499" t="s">
        <v>273</v>
      </c>
      <c r="G1499" s="2" t="s">
        <v>156</v>
      </c>
      <c r="H1499">
        <v>18</v>
      </c>
      <c r="I1499">
        <v>23.83</v>
      </c>
      <c r="J1499" s="2" t="s">
        <v>170</v>
      </c>
      <c r="K1499" s="2" t="s">
        <v>74</v>
      </c>
      <c r="M1499" t="s">
        <v>2440</v>
      </c>
      <c r="P1499" s="19" t="s">
        <v>2011</v>
      </c>
      <c r="Q1499" s="19" t="s">
        <v>25</v>
      </c>
      <c r="R1499" s="19" t="s">
        <v>138</v>
      </c>
      <c r="W1499" s="20">
        <v>23</v>
      </c>
      <c r="X1499" s="65" t="s">
        <v>2010</v>
      </c>
      <c r="Z1499" t="s">
        <v>307</v>
      </c>
      <c r="AB1499" t="s">
        <v>178</v>
      </c>
      <c r="AC1499" t="s">
        <v>2172</v>
      </c>
      <c r="AD1499" s="2" t="s">
        <v>180</v>
      </c>
    </row>
    <row r="1500" spans="1:30" hidden="1" x14ac:dyDescent="0.25">
      <c r="A1500" s="2">
        <v>165</v>
      </c>
      <c r="B1500" t="s">
        <v>2178</v>
      </c>
      <c r="C1500">
        <v>12</v>
      </c>
      <c r="D1500">
        <v>120</v>
      </c>
      <c r="E1500">
        <v>129</v>
      </c>
      <c r="F1500" t="s">
        <v>273</v>
      </c>
      <c r="G1500" s="2" t="s">
        <v>156</v>
      </c>
      <c r="H1500">
        <v>18</v>
      </c>
      <c r="I1500">
        <v>23.83</v>
      </c>
      <c r="J1500" s="2" t="s">
        <v>170</v>
      </c>
      <c r="K1500" s="2" t="s">
        <v>74</v>
      </c>
      <c r="M1500" t="s">
        <v>2440</v>
      </c>
      <c r="P1500" s="19" t="s">
        <v>2011</v>
      </c>
      <c r="Q1500" s="19" t="s">
        <v>25</v>
      </c>
      <c r="R1500" s="19" t="s">
        <v>138</v>
      </c>
      <c r="W1500" s="20">
        <v>23</v>
      </c>
      <c r="X1500" s="65" t="s">
        <v>2010</v>
      </c>
      <c r="Z1500" t="s">
        <v>307</v>
      </c>
      <c r="AB1500" t="s">
        <v>178</v>
      </c>
      <c r="AC1500" t="s">
        <v>2172</v>
      </c>
      <c r="AD1500" s="2" t="s">
        <v>180</v>
      </c>
    </row>
    <row r="1501" spans="1:30" hidden="1" x14ac:dyDescent="0.25">
      <c r="A1501" s="2">
        <v>166</v>
      </c>
      <c r="B1501" t="s">
        <v>2179</v>
      </c>
      <c r="C1501">
        <v>12</v>
      </c>
      <c r="D1501">
        <v>120</v>
      </c>
      <c r="E1501">
        <v>129</v>
      </c>
      <c r="F1501" t="s">
        <v>273</v>
      </c>
      <c r="G1501" s="2" t="s">
        <v>156</v>
      </c>
      <c r="H1501">
        <v>15</v>
      </c>
      <c r="I1501">
        <v>19.86</v>
      </c>
      <c r="J1501" s="2" t="s">
        <v>170</v>
      </c>
      <c r="K1501" s="2" t="s">
        <v>74</v>
      </c>
      <c r="M1501" t="s">
        <v>2440</v>
      </c>
      <c r="P1501" s="19" t="s">
        <v>2011</v>
      </c>
      <c r="Q1501" s="19" t="s">
        <v>25</v>
      </c>
      <c r="R1501" s="19" t="s">
        <v>138</v>
      </c>
      <c r="W1501" s="20">
        <v>23</v>
      </c>
      <c r="X1501" s="65" t="s">
        <v>2010</v>
      </c>
      <c r="Z1501" t="s">
        <v>307</v>
      </c>
      <c r="AB1501" t="s">
        <v>178</v>
      </c>
      <c r="AC1501" t="s">
        <v>2172</v>
      </c>
      <c r="AD1501" s="2" t="s">
        <v>180</v>
      </c>
    </row>
    <row r="1502" spans="1:30" hidden="1" x14ac:dyDescent="0.25">
      <c r="A1502" s="2">
        <v>167</v>
      </c>
      <c r="B1502" t="s">
        <v>2180</v>
      </c>
      <c r="C1502">
        <v>12</v>
      </c>
      <c r="D1502">
        <v>120</v>
      </c>
      <c r="E1502">
        <v>129</v>
      </c>
      <c r="F1502" t="s">
        <v>273</v>
      </c>
      <c r="G1502" s="2" t="s">
        <v>156</v>
      </c>
      <c r="H1502">
        <v>4</v>
      </c>
      <c r="I1502">
        <v>5.3</v>
      </c>
      <c r="J1502" s="2" t="s">
        <v>170</v>
      </c>
      <c r="K1502" s="2" t="s">
        <v>74</v>
      </c>
      <c r="M1502" t="s">
        <v>2440</v>
      </c>
      <c r="P1502" s="19" t="s">
        <v>2011</v>
      </c>
      <c r="Q1502" s="19" t="s">
        <v>25</v>
      </c>
      <c r="R1502" s="19" t="s">
        <v>138</v>
      </c>
      <c r="W1502" s="20">
        <v>23</v>
      </c>
      <c r="X1502" s="65" t="s">
        <v>2010</v>
      </c>
      <c r="Z1502" t="s">
        <v>307</v>
      </c>
      <c r="AB1502" t="s">
        <v>178</v>
      </c>
      <c r="AC1502" t="s">
        <v>2172</v>
      </c>
      <c r="AD1502" s="2" t="s">
        <v>180</v>
      </c>
    </row>
    <row r="1503" spans="1:30" hidden="1" x14ac:dyDescent="0.25">
      <c r="A1503" s="2">
        <v>168</v>
      </c>
      <c r="B1503" t="s">
        <v>2181</v>
      </c>
      <c r="C1503">
        <v>12</v>
      </c>
      <c r="D1503">
        <v>120</v>
      </c>
      <c r="E1503">
        <v>129</v>
      </c>
      <c r="F1503" t="s">
        <v>273</v>
      </c>
      <c r="G1503" s="2" t="s">
        <v>156</v>
      </c>
      <c r="H1503">
        <v>4</v>
      </c>
      <c r="I1503">
        <v>5.3</v>
      </c>
      <c r="J1503" s="2" t="s">
        <v>170</v>
      </c>
      <c r="K1503" s="2" t="s">
        <v>74</v>
      </c>
      <c r="M1503" t="s">
        <v>2440</v>
      </c>
      <c r="P1503" s="19" t="s">
        <v>2011</v>
      </c>
      <c r="Q1503" s="19" t="s">
        <v>25</v>
      </c>
      <c r="R1503" s="19" t="s">
        <v>138</v>
      </c>
      <c r="W1503" s="20">
        <v>23</v>
      </c>
      <c r="X1503" s="65" t="s">
        <v>2010</v>
      </c>
      <c r="Z1503" t="s">
        <v>307</v>
      </c>
      <c r="AB1503" t="s">
        <v>178</v>
      </c>
      <c r="AC1503" t="s">
        <v>2172</v>
      </c>
      <c r="AD1503" s="2" t="s">
        <v>180</v>
      </c>
    </row>
    <row r="1504" spans="1:30" hidden="1" x14ac:dyDescent="0.25">
      <c r="A1504" s="2">
        <v>169</v>
      </c>
      <c r="B1504" t="s">
        <v>2182</v>
      </c>
      <c r="C1504">
        <v>12</v>
      </c>
      <c r="D1504">
        <v>120</v>
      </c>
      <c r="E1504">
        <v>129</v>
      </c>
      <c r="F1504" t="s">
        <v>273</v>
      </c>
      <c r="G1504" s="2" t="s">
        <v>156</v>
      </c>
      <c r="H1504">
        <v>4</v>
      </c>
      <c r="I1504">
        <v>5.3</v>
      </c>
      <c r="J1504" s="2" t="s">
        <v>170</v>
      </c>
      <c r="K1504" s="2" t="s">
        <v>74</v>
      </c>
      <c r="M1504" t="s">
        <v>2440</v>
      </c>
      <c r="P1504" s="19" t="s">
        <v>2011</v>
      </c>
      <c r="Q1504" s="19" t="s">
        <v>25</v>
      </c>
      <c r="R1504" s="19" t="s">
        <v>138</v>
      </c>
      <c r="W1504" s="20">
        <v>23</v>
      </c>
      <c r="X1504" s="65" t="s">
        <v>2010</v>
      </c>
      <c r="Z1504" t="s">
        <v>307</v>
      </c>
      <c r="AB1504" t="s">
        <v>178</v>
      </c>
      <c r="AC1504" t="s">
        <v>2172</v>
      </c>
      <c r="AD1504" s="2" t="s">
        <v>180</v>
      </c>
    </row>
    <row r="1505" spans="1:30" hidden="1" x14ac:dyDescent="0.25">
      <c r="A1505" s="2">
        <v>170</v>
      </c>
      <c r="B1505" t="s">
        <v>2183</v>
      </c>
      <c r="C1505">
        <v>12</v>
      </c>
      <c r="D1505">
        <v>120</v>
      </c>
      <c r="E1505">
        <v>129</v>
      </c>
      <c r="F1505" t="s">
        <v>273</v>
      </c>
      <c r="G1505" s="2" t="s">
        <v>156</v>
      </c>
      <c r="H1505">
        <v>4</v>
      </c>
      <c r="I1505">
        <v>5.3</v>
      </c>
      <c r="J1505" s="2" t="s">
        <v>170</v>
      </c>
      <c r="K1505" s="2" t="s">
        <v>74</v>
      </c>
      <c r="M1505" t="s">
        <v>2440</v>
      </c>
      <c r="P1505" s="19" t="s">
        <v>2011</v>
      </c>
      <c r="Q1505" s="19" t="s">
        <v>25</v>
      </c>
      <c r="R1505" s="19" t="s">
        <v>138</v>
      </c>
      <c r="W1505" s="20">
        <v>23</v>
      </c>
      <c r="X1505" s="65" t="s">
        <v>2010</v>
      </c>
      <c r="Z1505" t="s">
        <v>307</v>
      </c>
      <c r="AB1505" t="s">
        <v>178</v>
      </c>
      <c r="AC1505" t="s">
        <v>2172</v>
      </c>
      <c r="AD1505" s="2" t="s">
        <v>180</v>
      </c>
    </row>
    <row r="1506" spans="1:30" hidden="1" x14ac:dyDescent="0.25">
      <c r="A1506" s="2">
        <v>171</v>
      </c>
      <c r="B1506" t="s">
        <v>2184</v>
      </c>
      <c r="C1506">
        <v>12</v>
      </c>
      <c r="D1506">
        <v>120</v>
      </c>
      <c r="E1506">
        <v>129</v>
      </c>
      <c r="F1506" t="s">
        <v>273</v>
      </c>
      <c r="G1506" s="2" t="s">
        <v>156</v>
      </c>
      <c r="H1506">
        <v>4</v>
      </c>
      <c r="I1506">
        <v>5.3</v>
      </c>
      <c r="J1506" s="2" t="s">
        <v>170</v>
      </c>
      <c r="K1506" s="2" t="s">
        <v>74</v>
      </c>
      <c r="M1506" t="s">
        <v>2440</v>
      </c>
      <c r="P1506" s="19" t="s">
        <v>2011</v>
      </c>
      <c r="Q1506" s="19" t="s">
        <v>25</v>
      </c>
      <c r="R1506" s="19" t="s">
        <v>138</v>
      </c>
      <c r="W1506" s="20">
        <v>23</v>
      </c>
      <c r="X1506" s="65" t="s">
        <v>2010</v>
      </c>
      <c r="Z1506" t="s">
        <v>307</v>
      </c>
      <c r="AB1506" t="s">
        <v>178</v>
      </c>
      <c r="AC1506" t="s">
        <v>2172</v>
      </c>
      <c r="AD1506" s="2" t="s">
        <v>180</v>
      </c>
    </row>
    <row r="1507" spans="1:30" hidden="1" x14ac:dyDescent="0.25">
      <c r="A1507" s="2">
        <v>172</v>
      </c>
      <c r="B1507" t="s">
        <v>2185</v>
      </c>
      <c r="C1507">
        <v>12</v>
      </c>
      <c r="D1507">
        <v>490</v>
      </c>
      <c r="E1507">
        <v>6464</v>
      </c>
      <c r="F1507" t="s">
        <v>273</v>
      </c>
      <c r="G1507" s="2" t="s">
        <v>156</v>
      </c>
      <c r="H1507">
        <v>1</v>
      </c>
      <c r="I1507">
        <v>298.26</v>
      </c>
      <c r="J1507" s="2" t="s">
        <v>170</v>
      </c>
      <c r="K1507" s="2" t="s">
        <v>74</v>
      </c>
      <c r="M1507" t="s">
        <v>2440</v>
      </c>
      <c r="P1507" s="19" t="s">
        <v>2011</v>
      </c>
      <c r="Q1507" s="19" t="s">
        <v>27</v>
      </c>
      <c r="R1507" s="19" t="s">
        <v>138</v>
      </c>
      <c r="W1507" s="20">
        <v>23</v>
      </c>
      <c r="X1507" s="65" t="s">
        <v>2010</v>
      </c>
      <c r="Z1507" t="s">
        <v>307</v>
      </c>
      <c r="AB1507" t="s">
        <v>178</v>
      </c>
      <c r="AC1507" t="s">
        <v>2172</v>
      </c>
      <c r="AD1507" s="2" t="s">
        <v>180</v>
      </c>
    </row>
    <row r="1508" spans="1:30" hidden="1" x14ac:dyDescent="0.25">
      <c r="A1508" s="2">
        <v>173</v>
      </c>
      <c r="B1508" t="s">
        <v>2186</v>
      </c>
      <c r="C1508">
        <v>12</v>
      </c>
      <c r="D1508">
        <v>135</v>
      </c>
      <c r="E1508">
        <v>488</v>
      </c>
      <c r="F1508" t="s">
        <v>273</v>
      </c>
      <c r="G1508" s="2" t="s">
        <v>156</v>
      </c>
      <c r="H1508">
        <v>12</v>
      </c>
      <c r="I1508">
        <v>74.28</v>
      </c>
      <c r="J1508" s="2" t="s">
        <v>170</v>
      </c>
      <c r="K1508" s="2" t="s">
        <v>74</v>
      </c>
      <c r="M1508" t="s">
        <v>2440</v>
      </c>
      <c r="P1508" s="19" t="s">
        <v>2011</v>
      </c>
      <c r="Q1508" s="19" t="s">
        <v>25</v>
      </c>
      <c r="R1508" s="19" t="s">
        <v>138</v>
      </c>
      <c r="W1508" s="20">
        <v>23</v>
      </c>
      <c r="X1508" s="65" t="s">
        <v>2010</v>
      </c>
      <c r="Z1508" t="s">
        <v>307</v>
      </c>
      <c r="AB1508" t="s">
        <v>178</v>
      </c>
      <c r="AC1508" t="s">
        <v>2172</v>
      </c>
      <c r="AD1508" s="2" t="s">
        <v>180</v>
      </c>
    </row>
    <row r="1509" spans="1:30" hidden="1" x14ac:dyDescent="0.25">
      <c r="A1509" s="2">
        <v>174</v>
      </c>
      <c r="B1509" t="s">
        <v>2187</v>
      </c>
      <c r="C1509">
        <v>12</v>
      </c>
      <c r="D1509">
        <v>135</v>
      </c>
      <c r="E1509">
        <v>488</v>
      </c>
      <c r="F1509" t="s">
        <v>273</v>
      </c>
      <c r="G1509" s="2" t="s">
        <v>156</v>
      </c>
      <c r="H1509">
        <v>12</v>
      </c>
      <c r="I1509">
        <v>74.28</v>
      </c>
      <c r="J1509" s="2" t="s">
        <v>170</v>
      </c>
      <c r="K1509" s="2" t="s">
        <v>74</v>
      </c>
      <c r="M1509" t="s">
        <v>2440</v>
      </c>
      <c r="P1509" s="19" t="s">
        <v>2011</v>
      </c>
      <c r="Q1509" s="19" t="s">
        <v>25</v>
      </c>
      <c r="R1509" s="19" t="s">
        <v>138</v>
      </c>
      <c r="W1509" s="20">
        <v>23</v>
      </c>
      <c r="X1509" s="65" t="s">
        <v>2010</v>
      </c>
      <c r="Z1509" t="s">
        <v>307</v>
      </c>
      <c r="AB1509" t="s">
        <v>178</v>
      </c>
      <c r="AC1509" t="s">
        <v>2172</v>
      </c>
      <c r="AD1509" s="2" t="s">
        <v>180</v>
      </c>
    </row>
    <row r="1510" spans="1:30" hidden="1" x14ac:dyDescent="0.25">
      <c r="A1510" s="2">
        <v>175</v>
      </c>
      <c r="B1510" t="s">
        <v>2188</v>
      </c>
      <c r="C1510">
        <v>12</v>
      </c>
      <c r="D1510">
        <v>135</v>
      </c>
      <c r="E1510">
        <v>488</v>
      </c>
      <c r="F1510" t="s">
        <v>273</v>
      </c>
      <c r="G1510" s="2" t="s">
        <v>156</v>
      </c>
      <c r="H1510">
        <v>12</v>
      </c>
      <c r="I1510">
        <v>74.28</v>
      </c>
      <c r="J1510" s="2" t="s">
        <v>170</v>
      </c>
      <c r="K1510" s="2" t="s">
        <v>74</v>
      </c>
      <c r="M1510" t="s">
        <v>2440</v>
      </c>
      <c r="P1510" s="19" t="s">
        <v>2011</v>
      </c>
      <c r="Q1510" s="19" t="s">
        <v>25</v>
      </c>
      <c r="R1510" s="19" t="s">
        <v>138</v>
      </c>
      <c r="W1510" s="20">
        <v>23</v>
      </c>
      <c r="X1510" s="65" t="s">
        <v>2010</v>
      </c>
      <c r="Z1510" t="s">
        <v>307</v>
      </c>
      <c r="AB1510" t="s">
        <v>178</v>
      </c>
      <c r="AC1510" t="s">
        <v>2172</v>
      </c>
      <c r="AD1510" s="2" t="s">
        <v>180</v>
      </c>
    </row>
    <row r="1511" spans="1:30" hidden="1" x14ac:dyDescent="0.25">
      <c r="A1511" s="2">
        <v>176</v>
      </c>
      <c r="B1511" t="s">
        <v>2162</v>
      </c>
      <c r="C1511">
        <v>12</v>
      </c>
      <c r="D1511">
        <v>135</v>
      </c>
      <c r="E1511">
        <v>488</v>
      </c>
      <c r="F1511" t="s">
        <v>273</v>
      </c>
      <c r="G1511" s="2" t="s">
        <v>156</v>
      </c>
      <c r="H1511">
        <v>6</v>
      </c>
      <c r="I1511">
        <v>37.14</v>
      </c>
      <c r="J1511" s="2" t="s">
        <v>170</v>
      </c>
      <c r="K1511" s="2" t="s">
        <v>74</v>
      </c>
      <c r="M1511" t="s">
        <v>2440</v>
      </c>
      <c r="P1511" s="19" t="s">
        <v>2011</v>
      </c>
      <c r="Q1511" s="19" t="s">
        <v>25</v>
      </c>
      <c r="R1511" s="19" t="s">
        <v>138</v>
      </c>
      <c r="W1511" s="20">
        <v>23</v>
      </c>
      <c r="X1511" s="65" t="s">
        <v>2010</v>
      </c>
      <c r="Z1511" t="s">
        <v>307</v>
      </c>
      <c r="AB1511" t="s">
        <v>178</v>
      </c>
      <c r="AC1511" t="s">
        <v>2172</v>
      </c>
      <c r="AD1511" s="2" t="s">
        <v>180</v>
      </c>
    </row>
    <row r="1512" spans="1:30" hidden="1" x14ac:dyDescent="0.25">
      <c r="A1512" s="2">
        <v>177</v>
      </c>
      <c r="B1512" t="s">
        <v>2189</v>
      </c>
      <c r="C1512">
        <v>12</v>
      </c>
      <c r="D1512">
        <v>135</v>
      </c>
      <c r="E1512">
        <v>488</v>
      </c>
      <c r="F1512" t="s">
        <v>273</v>
      </c>
      <c r="G1512" s="2" t="s">
        <v>156</v>
      </c>
      <c r="H1512">
        <v>16</v>
      </c>
      <c r="I1512">
        <v>99.04</v>
      </c>
      <c r="J1512" s="2" t="s">
        <v>170</v>
      </c>
      <c r="K1512" s="2" t="s">
        <v>74</v>
      </c>
      <c r="M1512" t="s">
        <v>2440</v>
      </c>
      <c r="P1512" s="19" t="s">
        <v>2011</v>
      </c>
      <c r="Q1512" s="19" t="s">
        <v>25</v>
      </c>
      <c r="R1512" s="19" t="s">
        <v>138</v>
      </c>
      <c r="W1512" s="20">
        <v>23</v>
      </c>
      <c r="X1512" s="65" t="s">
        <v>2010</v>
      </c>
      <c r="Z1512" t="s">
        <v>307</v>
      </c>
      <c r="AB1512" t="s">
        <v>178</v>
      </c>
      <c r="AC1512" t="s">
        <v>2172</v>
      </c>
      <c r="AD1512" s="2" t="s">
        <v>180</v>
      </c>
    </row>
    <row r="1513" spans="1:30" hidden="1" x14ac:dyDescent="0.25">
      <c r="A1513" s="2">
        <v>178</v>
      </c>
      <c r="B1513" t="s">
        <v>2190</v>
      </c>
      <c r="C1513">
        <v>12</v>
      </c>
      <c r="D1513">
        <v>135</v>
      </c>
      <c r="E1513">
        <v>488</v>
      </c>
      <c r="F1513" t="s">
        <v>273</v>
      </c>
      <c r="G1513" s="2" t="s">
        <v>156</v>
      </c>
      <c r="H1513">
        <v>16</v>
      </c>
      <c r="I1513">
        <v>99.04</v>
      </c>
      <c r="J1513" s="2" t="s">
        <v>170</v>
      </c>
      <c r="K1513" s="2" t="s">
        <v>74</v>
      </c>
      <c r="M1513" t="s">
        <v>2440</v>
      </c>
      <c r="P1513" s="19" t="s">
        <v>2011</v>
      </c>
      <c r="Q1513" s="19" t="s">
        <v>25</v>
      </c>
      <c r="R1513" s="19" t="s">
        <v>138</v>
      </c>
      <c r="W1513" s="20">
        <v>23</v>
      </c>
      <c r="X1513" s="65" t="s">
        <v>2010</v>
      </c>
      <c r="Z1513" t="s">
        <v>307</v>
      </c>
      <c r="AB1513" t="s">
        <v>178</v>
      </c>
      <c r="AC1513" t="s">
        <v>2172</v>
      </c>
      <c r="AD1513" s="2" t="s">
        <v>180</v>
      </c>
    </row>
    <row r="1514" spans="1:30" hidden="1" x14ac:dyDescent="0.25">
      <c r="A1514" s="2">
        <v>179</v>
      </c>
      <c r="B1514" t="s">
        <v>2191</v>
      </c>
      <c r="C1514">
        <v>12</v>
      </c>
      <c r="D1514">
        <v>135</v>
      </c>
      <c r="E1514">
        <v>488</v>
      </c>
      <c r="F1514" t="s">
        <v>273</v>
      </c>
      <c r="G1514" s="2" t="s">
        <v>156</v>
      </c>
      <c r="H1514">
        <v>16</v>
      </c>
      <c r="I1514">
        <v>99.04</v>
      </c>
      <c r="J1514" s="2" t="s">
        <v>170</v>
      </c>
      <c r="K1514" s="2" t="s">
        <v>74</v>
      </c>
      <c r="M1514" t="s">
        <v>2440</v>
      </c>
      <c r="P1514" s="19" t="s">
        <v>2011</v>
      </c>
      <c r="Q1514" s="19" t="s">
        <v>25</v>
      </c>
      <c r="R1514" s="19" t="s">
        <v>138</v>
      </c>
      <c r="W1514" s="20">
        <v>23</v>
      </c>
      <c r="X1514" s="65" t="s">
        <v>2010</v>
      </c>
      <c r="Z1514" t="s">
        <v>307</v>
      </c>
      <c r="AB1514" t="s">
        <v>178</v>
      </c>
      <c r="AC1514" t="s">
        <v>2172</v>
      </c>
      <c r="AD1514" s="2" t="s">
        <v>180</v>
      </c>
    </row>
    <row r="1515" spans="1:30" hidden="1" x14ac:dyDescent="0.25">
      <c r="A1515" s="2">
        <v>180</v>
      </c>
      <c r="B1515" t="s">
        <v>2192</v>
      </c>
      <c r="C1515">
        <v>12</v>
      </c>
      <c r="D1515">
        <v>135</v>
      </c>
      <c r="E1515">
        <v>488</v>
      </c>
      <c r="F1515" t="s">
        <v>273</v>
      </c>
      <c r="G1515" s="2" t="s">
        <v>156</v>
      </c>
      <c r="H1515">
        <v>4</v>
      </c>
      <c r="I1515">
        <v>24.76</v>
      </c>
      <c r="J1515" s="2" t="s">
        <v>170</v>
      </c>
      <c r="K1515" s="2" t="s">
        <v>74</v>
      </c>
      <c r="M1515" t="s">
        <v>2440</v>
      </c>
      <c r="P1515" s="19" t="s">
        <v>2011</v>
      </c>
      <c r="Q1515" s="19" t="s">
        <v>25</v>
      </c>
      <c r="R1515" s="19" t="s">
        <v>138</v>
      </c>
      <c r="W1515" s="20">
        <v>23</v>
      </c>
      <c r="X1515" s="65" t="s">
        <v>2010</v>
      </c>
      <c r="Z1515" t="s">
        <v>307</v>
      </c>
      <c r="AB1515" t="s">
        <v>178</v>
      </c>
      <c r="AC1515" t="s">
        <v>2172</v>
      </c>
      <c r="AD1515" s="2" t="s">
        <v>180</v>
      </c>
    </row>
    <row r="1516" spans="1:30" hidden="1" x14ac:dyDescent="0.25">
      <c r="A1516" s="2">
        <v>181</v>
      </c>
      <c r="B1516" t="s">
        <v>2193</v>
      </c>
      <c r="C1516">
        <v>12</v>
      </c>
      <c r="D1516">
        <v>135</v>
      </c>
      <c r="E1516">
        <v>488</v>
      </c>
      <c r="F1516" t="s">
        <v>273</v>
      </c>
      <c r="G1516" s="2" t="s">
        <v>156</v>
      </c>
      <c r="H1516">
        <v>4</v>
      </c>
      <c r="I1516">
        <v>24.76</v>
      </c>
      <c r="J1516" s="2" t="s">
        <v>170</v>
      </c>
      <c r="K1516" s="2" t="s">
        <v>74</v>
      </c>
      <c r="M1516" t="s">
        <v>2440</v>
      </c>
      <c r="P1516" s="19" t="s">
        <v>2011</v>
      </c>
      <c r="Q1516" s="19" t="s">
        <v>25</v>
      </c>
      <c r="R1516" s="19" t="s">
        <v>138</v>
      </c>
      <c r="W1516" s="20">
        <v>23</v>
      </c>
      <c r="X1516" s="65" t="s">
        <v>2010</v>
      </c>
      <c r="Z1516" t="s">
        <v>307</v>
      </c>
      <c r="AB1516" t="s">
        <v>178</v>
      </c>
      <c r="AC1516" t="s">
        <v>2172</v>
      </c>
      <c r="AD1516" s="2" t="s">
        <v>180</v>
      </c>
    </row>
    <row r="1517" spans="1:30" hidden="1" x14ac:dyDescent="0.25">
      <c r="A1517" s="2">
        <v>182</v>
      </c>
      <c r="B1517" t="s">
        <v>2194</v>
      </c>
      <c r="C1517">
        <v>12</v>
      </c>
      <c r="D1517">
        <v>100</v>
      </c>
      <c r="E1517">
        <v>150</v>
      </c>
      <c r="F1517" t="s">
        <v>273</v>
      </c>
      <c r="G1517" s="2" t="s">
        <v>156</v>
      </c>
      <c r="H1517">
        <v>1</v>
      </c>
      <c r="I1517">
        <v>1.41</v>
      </c>
      <c r="J1517" s="2" t="s">
        <v>170</v>
      </c>
      <c r="K1517" s="2" t="s">
        <v>74</v>
      </c>
      <c r="M1517" t="s">
        <v>2440</v>
      </c>
      <c r="P1517" s="19" t="s">
        <v>2011</v>
      </c>
      <c r="Q1517" s="19" t="s">
        <v>25</v>
      </c>
      <c r="R1517" s="19" t="s">
        <v>138</v>
      </c>
      <c r="W1517" s="20">
        <v>23</v>
      </c>
      <c r="X1517" s="65" t="s">
        <v>2010</v>
      </c>
      <c r="Z1517" t="s">
        <v>307</v>
      </c>
      <c r="AB1517" t="s">
        <v>178</v>
      </c>
      <c r="AC1517" t="s">
        <v>2172</v>
      </c>
      <c r="AD1517" s="2" t="s">
        <v>180</v>
      </c>
    </row>
    <row r="1518" spans="1:30" hidden="1" x14ac:dyDescent="0.25">
      <c r="A1518" s="2">
        <v>183</v>
      </c>
      <c r="B1518" t="s">
        <v>2195</v>
      </c>
      <c r="C1518">
        <v>12</v>
      </c>
      <c r="D1518">
        <v>135</v>
      </c>
      <c r="E1518">
        <v>488</v>
      </c>
      <c r="F1518" t="s">
        <v>273</v>
      </c>
      <c r="G1518" s="2" t="s">
        <v>156</v>
      </c>
      <c r="H1518">
        <v>4</v>
      </c>
      <c r="I1518">
        <v>24.76</v>
      </c>
      <c r="J1518" s="2" t="s">
        <v>170</v>
      </c>
      <c r="K1518" s="2" t="s">
        <v>74</v>
      </c>
      <c r="M1518" t="s">
        <v>2440</v>
      </c>
      <c r="P1518" s="19" t="s">
        <v>2011</v>
      </c>
      <c r="Q1518" s="19" t="s">
        <v>25</v>
      </c>
      <c r="R1518" s="19" t="s">
        <v>138</v>
      </c>
      <c r="W1518" s="20">
        <v>23</v>
      </c>
      <c r="X1518" s="65" t="s">
        <v>2010</v>
      </c>
      <c r="Z1518" t="s">
        <v>307</v>
      </c>
      <c r="AB1518" t="s">
        <v>178</v>
      </c>
      <c r="AC1518" t="s">
        <v>2172</v>
      </c>
      <c r="AD1518" s="2" t="s">
        <v>180</v>
      </c>
    </row>
    <row r="1519" spans="1:30" hidden="1" x14ac:dyDescent="0.25">
      <c r="A1519" s="2">
        <v>184</v>
      </c>
      <c r="B1519" t="s">
        <v>2196</v>
      </c>
      <c r="C1519">
        <v>12</v>
      </c>
      <c r="D1519">
        <v>100</v>
      </c>
      <c r="E1519">
        <v>150</v>
      </c>
      <c r="F1519" t="s">
        <v>273</v>
      </c>
      <c r="G1519" s="2" t="s">
        <v>156</v>
      </c>
      <c r="H1519">
        <v>1</v>
      </c>
      <c r="I1519">
        <v>1.41</v>
      </c>
      <c r="J1519" s="2" t="s">
        <v>170</v>
      </c>
      <c r="K1519" s="2" t="s">
        <v>74</v>
      </c>
      <c r="M1519" t="s">
        <v>2440</v>
      </c>
      <c r="P1519" s="19" t="s">
        <v>2011</v>
      </c>
      <c r="Q1519" s="19" t="s">
        <v>25</v>
      </c>
      <c r="R1519" s="19" t="s">
        <v>138</v>
      </c>
      <c r="W1519" s="20">
        <v>23</v>
      </c>
      <c r="X1519" s="65" t="s">
        <v>2010</v>
      </c>
      <c r="Z1519" t="s">
        <v>307</v>
      </c>
      <c r="AB1519" t="s">
        <v>178</v>
      </c>
      <c r="AC1519" t="s">
        <v>2172</v>
      </c>
      <c r="AD1519" s="2" t="s">
        <v>180</v>
      </c>
    </row>
    <row r="1520" spans="1:30" hidden="1" x14ac:dyDescent="0.25">
      <c r="A1520" s="2">
        <v>185</v>
      </c>
      <c r="B1520" t="s">
        <v>2197</v>
      </c>
      <c r="C1520">
        <v>12</v>
      </c>
      <c r="D1520">
        <v>135</v>
      </c>
      <c r="E1520">
        <v>488</v>
      </c>
      <c r="F1520" t="s">
        <v>273</v>
      </c>
      <c r="G1520" s="2" t="s">
        <v>156</v>
      </c>
      <c r="H1520">
        <v>4</v>
      </c>
      <c r="I1520">
        <v>24.76</v>
      </c>
      <c r="J1520" s="2" t="s">
        <v>170</v>
      </c>
      <c r="K1520" s="2" t="s">
        <v>74</v>
      </c>
      <c r="M1520" t="s">
        <v>2440</v>
      </c>
      <c r="P1520" s="19" t="s">
        <v>2011</v>
      </c>
      <c r="Q1520" s="19" t="s">
        <v>25</v>
      </c>
      <c r="R1520" s="19" t="s">
        <v>138</v>
      </c>
      <c r="W1520" s="20">
        <v>23</v>
      </c>
      <c r="X1520" s="65" t="s">
        <v>2010</v>
      </c>
      <c r="Z1520" t="s">
        <v>307</v>
      </c>
      <c r="AB1520" t="s">
        <v>178</v>
      </c>
      <c r="AC1520" t="s">
        <v>2172</v>
      </c>
      <c r="AD1520" s="2" t="s">
        <v>180</v>
      </c>
    </row>
    <row r="1521" spans="1:30" hidden="1" x14ac:dyDescent="0.25">
      <c r="A1521" s="2">
        <v>186</v>
      </c>
      <c r="B1521" t="s">
        <v>2198</v>
      </c>
      <c r="C1521">
        <v>12</v>
      </c>
      <c r="D1521">
        <v>100</v>
      </c>
      <c r="E1521">
        <v>150</v>
      </c>
      <c r="F1521" t="s">
        <v>273</v>
      </c>
      <c r="G1521" s="2" t="s">
        <v>156</v>
      </c>
      <c r="H1521">
        <v>1</v>
      </c>
      <c r="I1521">
        <v>1.41</v>
      </c>
      <c r="J1521" s="2" t="s">
        <v>170</v>
      </c>
      <c r="K1521" s="2" t="s">
        <v>74</v>
      </c>
      <c r="M1521" t="s">
        <v>2440</v>
      </c>
      <c r="P1521" s="19" t="s">
        <v>2011</v>
      </c>
      <c r="Q1521" s="19" t="s">
        <v>25</v>
      </c>
      <c r="R1521" s="19" t="s">
        <v>138</v>
      </c>
      <c r="W1521" s="20">
        <v>23</v>
      </c>
      <c r="X1521" s="65" t="s">
        <v>2010</v>
      </c>
      <c r="Z1521" t="s">
        <v>307</v>
      </c>
      <c r="AB1521" t="s">
        <v>178</v>
      </c>
      <c r="AC1521" t="s">
        <v>2172</v>
      </c>
      <c r="AD1521" s="2" t="s">
        <v>180</v>
      </c>
    </row>
    <row r="1522" spans="1:30" hidden="1" x14ac:dyDescent="0.25">
      <c r="A1522" s="2">
        <v>187</v>
      </c>
      <c r="B1522" t="s">
        <v>2199</v>
      </c>
      <c r="C1522">
        <v>12</v>
      </c>
      <c r="D1522">
        <v>135</v>
      </c>
      <c r="E1522">
        <v>488</v>
      </c>
      <c r="F1522" t="s">
        <v>273</v>
      </c>
      <c r="G1522" s="2" t="s">
        <v>156</v>
      </c>
      <c r="H1522">
        <v>4</v>
      </c>
      <c r="I1522">
        <v>24.76</v>
      </c>
      <c r="J1522" s="2" t="s">
        <v>170</v>
      </c>
      <c r="K1522" s="2" t="s">
        <v>74</v>
      </c>
      <c r="M1522" t="s">
        <v>2440</v>
      </c>
      <c r="P1522" s="19" t="s">
        <v>2011</v>
      </c>
      <c r="Q1522" s="19" t="s">
        <v>25</v>
      </c>
      <c r="R1522" s="19" t="s">
        <v>138</v>
      </c>
      <c r="W1522" s="20">
        <v>23</v>
      </c>
      <c r="X1522" s="65" t="s">
        <v>2010</v>
      </c>
      <c r="Z1522" t="s">
        <v>307</v>
      </c>
      <c r="AB1522" t="s">
        <v>178</v>
      </c>
      <c r="AC1522" t="s">
        <v>2172</v>
      </c>
      <c r="AD1522" s="2" t="s">
        <v>180</v>
      </c>
    </row>
    <row r="1523" spans="1:30" hidden="1" x14ac:dyDescent="0.25">
      <c r="A1523" s="2">
        <v>188</v>
      </c>
      <c r="B1523" t="s">
        <v>2200</v>
      </c>
      <c r="C1523">
        <v>12</v>
      </c>
      <c r="D1523">
        <v>100</v>
      </c>
      <c r="E1523">
        <v>150</v>
      </c>
      <c r="F1523" t="s">
        <v>273</v>
      </c>
      <c r="G1523" s="2" t="s">
        <v>156</v>
      </c>
      <c r="H1523">
        <v>1</v>
      </c>
      <c r="I1523">
        <v>1.41</v>
      </c>
      <c r="J1523" s="2" t="s">
        <v>170</v>
      </c>
      <c r="K1523" s="2" t="s">
        <v>74</v>
      </c>
      <c r="M1523" t="s">
        <v>2440</v>
      </c>
      <c r="P1523" s="19" t="s">
        <v>2011</v>
      </c>
      <c r="Q1523" s="19" t="s">
        <v>25</v>
      </c>
      <c r="R1523" s="19" t="s">
        <v>138</v>
      </c>
      <c r="W1523" s="20">
        <v>23</v>
      </c>
      <c r="X1523" s="65" t="s">
        <v>2010</v>
      </c>
      <c r="Z1523" t="s">
        <v>307</v>
      </c>
      <c r="AB1523" t="s">
        <v>178</v>
      </c>
      <c r="AC1523" t="s">
        <v>2172</v>
      </c>
      <c r="AD1523" s="2" t="s">
        <v>180</v>
      </c>
    </row>
    <row r="1524" spans="1:30" hidden="1" x14ac:dyDescent="0.25">
      <c r="A1524" s="2">
        <v>189</v>
      </c>
      <c r="B1524" t="s">
        <v>2201</v>
      </c>
      <c r="C1524">
        <v>12</v>
      </c>
      <c r="D1524">
        <v>135</v>
      </c>
      <c r="E1524">
        <v>488</v>
      </c>
      <c r="F1524" t="s">
        <v>273</v>
      </c>
      <c r="G1524" s="2" t="s">
        <v>156</v>
      </c>
      <c r="H1524">
        <v>4</v>
      </c>
      <c r="I1524">
        <v>24.76</v>
      </c>
      <c r="J1524" s="2" t="s">
        <v>170</v>
      </c>
      <c r="K1524" s="2" t="s">
        <v>74</v>
      </c>
      <c r="M1524" t="s">
        <v>2440</v>
      </c>
      <c r="P1524" s="19" t="s">
        <v>2011</v>
      </c>
      <c r="Q1524" s="19" t="s">
        <v>25</v>
      </c>
      <c r="R1524" s="19" t="s">
        <v>138</v>
      </c>
      <c r="W1524" s="20">
        <v>23</v>
      </c>
      <c r="X1524" s="65" t="s">
        <v>2010</v>
      </c>
      <c r="Z1524" t="s">
        <v>307</v>
      </c>
      <c r="AB1524" t="s">
        <v>178</v>
      </c>
      <c r="AC1524" t="s">
        <v>2172</v>
      </c>
      <c r="AD1524" s="2" t="s">
        <v>180</v>
      </c>
    </row>
    <row r="1525" spans="1:30" hidden="1" x14ac:dyDescent="0.25">
      <c r="A1525" s="2">
        <v>190</v>
      </c>
      <c r="B1525" t="s">
        <v>2202</v>
      </c>
      <c r="C1525">
        <v>12</v>
      </c>
      <c r="D1525">
        <v>100</v>
      </c>
      <c r="E1525">
        <v>150</v>
      </c>
      <c r="F1525" t="s">
        <v>273</v>
      </c>
      <c r="G1525" s="2" t="s">
        <v>156</v>
      </c>
      <c r="H1525">
        <v>1</v>
      </c>
      <c r="I1525">
        <v>1.41</v>
      </c>
      <c r="J1525" s="2" t="s">
        <v>170</v>
      </c>
      <c r="K1525" s="2" t="s">
        <v>74</v>
      </c>
      <c r="M1525" t="s">
        <v>2440</v>
      </c>
      <c r="P1525" s="19" t="s">
        <v>2011</v>
      </c>
      <c r="Q1525" s="19" t="s">
        <v>25</v>
      </c>
      <c r="R1525" s="19" t="s">
        <v>138</v>
      </c>
      <c r="W1525" s="20">
        <v>23</v>
      </c>
      <c r="X1525" s="65" t="s">
        <v>2010</v>
      </c>
      <c r="Z1525" t="s">
        <v>307</v>
      </c>
      <c r="AB1525" t="s">
        <v>178</v>
      </c>
      <c r="AC1525" t="s">
        <v>2172</v>
      </c>
      <c r="AD1525" s="2" t="s">
        <v>180</v>
      </c>
    </row>
    <row r="1526" spans="1:30" hidden="1" x14ac:dyDescent="0.25">
      <c r="A1526" s="2">
        <v>191</v>
      </c>
      <c r="B1526" t="s">
        <v>2203</v>
      </c>
      <c r="C1526">
        <v>12</v>
      </c>
      <c r="D1526">
        <v>135</v>
      </c>
      <c r="E1526">
        <v>488</v>
      </c>
      <c r="F1526" t="s">
        <v>273</v>
      </c>
      <c r="G1526" s="2" t="s">
        <v>156</v>
      </c>
      <c r="H1526">
        <v>4</v>
      </c>
      <c r="I1526">
        <v>24.76</v>
      </c>
      <c r="J1526" s="2" t="s">
        <v>170</v>
      </c>
      <c r="K1526" s="2" t="s">
        <v>74</v>
      </c>
      <c r="M1526" t="s">
        <v>2440</v>
      </c>
      <c r="P1526" s="19" t="s">
        <v>2011</v>
      </c>
      <c r="Q1526" s="19" t="s">
        <v>25</v>
      </c>
      <c r="R1526" s="19" t="s">
        <v>138</v>
      </c>
      <c r="W1526" s="20">
        <v>23</v>
      </c>
      <c r="X1526" s="65" t="s">
        <v>2010</v>
      </c>
      <c r="Z1526" t="s">
        <v>307</v>
      </c>
      <c r="AB1526" t="s">
        <v>178</v>
      </c>
      <c r="AC1526" t="s">
        <v>2172</v>
      </c>
      <c r="AD1526" s="2" t="s">
        <v>180</v>
      </c>
    </row>
    <row r="1527" spans="1:30" hidden="1" x14ac:dyDescent="0.25">
      <c r="A1527" s="2">
        <v>192</v>
      </c>
      <c r="B1527" t="s">
        <v>2204</v>
      </c>
      <c r="C1527">
        <v>12</v>
      </c>
      <c r="D1527">
        <v>135</v>
      </c>
      <c r="E1527">
        <v>488</v>
      </c>
      <c r="F1527" t="s">
        <v>273</v>
      </c>
      <c r="G1527" s="2" t="s">
        <v>156</v>
      </c>
      <c r="H1527">
        <v>4</v>
      </c>
      <c r="I1527">
        <v>24.76</v>
      </c>
      <c r="J1527" s="2" t="s">
        <v>170</v>
      </c>
      <c r="K1527" s="2" t="s">
        <v>74</v>
      </c>
      <c r="M1527" t="s">
        <v>2440</v>
      </c>
      <c r="P1527" s="19" t="s">
        <v>2011</v>
      </c>
      <c r="Q1527" s="19" t="s">
        <v>25</v>
      </c>
      <c r="R1527" s="19" t="s">
        <v>138</v>
      </c>
      <c r="W1527" s="20">
        <v>23</v>
      </c>
      <c r="X1527" s="65" t="s">
        <v>2010</v>
      </c>
      <c r="Z1527" t="s">
        <v>307</v>
      </c>
      <c r="AB1527" t="s">
        <v>178</v>
      </c>
      <c r="AC1527" t="s">
        <v>2172</v>
      </c>
      <c r="AD1527" s="2" t="s">
        <v>180</v>
      </c>
    </row>
    <row r="1528" spans="1:30" hidden="1" x14ac:dyDescent="0.25">
      <c r="A1528" s="2">
        <v>193</v>
      </c>
      <c r="B1528" t="s">
        <v>2205</v>
      </c>
      <c r="C1528">
        <v>12</v>
      </c>
      <c r="D1528">
        <v>100</v>
      </c>
      <c r="E1528">
        <v>150</v>
      </c>
      <c r="F1528" t="s">
        <v>273</v>
      </c>
      <c r="G1528" s="2" t="s">
        <v>156</v>
      </c>
      <c r="H1528">
        <v>1</v>
      </c>
      <c r="I1528">
        <v>1.41</v>
      </c>
      <c r="J1528" s="2" t="s">
        <v>170</v>
      </c>
      <c r="K1528" s="2" t="s">
        <v>74</v>
      </c>
      <c r="M1528" t="s">
        <v>2440</v>
      </c>
      <c r="P1528" s="19" t="s">
        <v>2011</v>
      </c>
      <c r="Q1528" s="19" t="s">
        <v>25</v>
      </c>
      <c r="R1528" s="19" t="s">
        <v>138</v>
      </c>
      <c r="W1528" s="20">
        <v>23</v>
      </c>
      <c r="X1528" s="65" t="s">
        <v>2010</v>
      </c>
      <c r="Z1528" t="s">
        <v>307</v>
      </c>
      <c r="AB1528" t="s">
        <v>178</v>
      </c>
      <c r="AC1528" t="s">
        <v>2172</v>
      </c>
      <c r="AD1528" s="2" t="s">
        <v>180</v>
      </c>
    </row>
    <row r="1529" spans="1:30" hidden="1" x14ac:dyDescent="0.25">
      <c r="A1529" s="2">
        <v>194</v>
      </c>
      <c r="B1529" t="s">
        <v>2206</v>
      </c>
      <c r="C1529">
        <v>12</v>
      </c>
      <c r="D1529">
        <v>1460</v>
      </c>
      <c r="E1529">
        <v>6688</v>
      </c>
      <c r="F1529" t="s">
        <v>273</v>
      </c>
      <c r="G1529" s="2" t="s">
        <v>156</v>
      </c>
      <c r="H1529">
        <v>1</v>
      </c>
      <c r="I1529">
        <v>917.29</v>
      </c>
      <c r="J1529" s="2" t="s">
        <v>170</v>
      </c>
      <c r="K1529" s="2" t="s">
        <v>74</v>
      </c>
      <c r="M1529" t="s">
        <v>2440</v>
      </c>
      <c r="P1529" s="19" t="s">
        <v>2011</v>
      </c>
      <c r="Q1529" s="19" t="s">
        <v>27</v>
      </c>
      <c r="R1529" s="19" t="s">
        <v>138</v>
      </c>
      <c r="V1529" s="19" t="s">
        <v>138</v>
      </c>
      <c r="W1529" s="20">
        <v>23</v>
      </c>
      <c r="X1529" s="65" t="s">
        <v>2010</v>
      </c>
      <c r="Z1529" t="s">
        <v>307</v>
      </c>
      <c r="AB1529" t="s">
        <v>178</v>
      </c>
      <c r="AC1529" t="s">
        <v>2172</v>
      </c>
      <c r="AD1529" s="2" t="s">
        <v>180</v>
      </c>
    </row>
    <row r="1530" spans="1:30" hidden="1" x14ac:dyDescent="0.25">
      <c r="A1530" s="2">
        <v>195</v>
      </c>
      <c r="B1530" t="s">
        <v>2179</v>
      </c>
      <c r="C1530">
        <v>12</v>
      </c>
      <c r="D1530">
        <v>120</v>
      </c>
      <c r="E1530">
        <v>129</v>
      </c>
      <c r="F1530" t="s">
        <v>273</v>
      </c>
      <c r="G1530" s="2" t="s">
        <v>156</v>
      </c>
      <c r="H1530">
        <v>3</v>
      </c>
      <c r="I1530">
        <v>3.97</v>
      </c>
      <c r="J1530" s="2" t="s">
        <v>170</v>
      </c>
      <c r="K1530" s="2" t="s">
        <v>74</v>
      </c>
      <c r="M1530" t="s">
        <v>2440</v>
      </c>
      <c r="P1530" s="19" t="s">
        <v>2011</v>
      </c>
      <c r="Q1530" s="19" t="s">
        <v>25</v>
      </c>
      <c r="R1530" s="19" t="s">
        <v>138</v>
      </c>
      <c r="W1530" s="20">
        <v>23</v>
      </c>
      <c r="X1530" s="65" t="s">
        <v>2010</v>
      </c>
      <c r="Z1530" t="s">
        <v>307</v>
      </c>
      <c r="AB1530" t="s">
        <v>178</v>
      </c>
      <c r="AC1530" t="s">
        <v>2207</v>
      </c>
      <c r="AD1530" s="2" t="s">
        <v>180</v>
      </c>
    </row>
    <row r="1531" spans="1:30" hidden="1" x14ac:dyDescent="0.25">
      <c r="A1531" s="2">
        <v>196</v>
      </c>
      <c r="B1531" t="s">
        <v>2209</v>
      </c>
      <c r="C1531">
        <v>12</v>
      </c>
      <c r="D1531">
        <v>120</v>
      </c>
      <c r="E1531">
        <v>129</v>
      </c>
      <c r="F1531" t="s">
        <v>273</v>
      </c>
      <c r="G1531" s="2" t="s">
        <v>156</v>
      </c>
      <c r="H1531">
        <v>18</v>
      </c>
      <c r="I1531">
        <v>23.83</v>
      </c>
      <c r="J1531" s="2" t="s">
        <v>170</v>
      </c>
      <c r="K1531" s="2" t="s">
        <v>74</v>
      </c>
      <c r="M1531" t="s">
        <v>2440</v>
      </c>
      <c r="P1531" s="19" t="s">
        <v>2011</v>
      </c>
      <c r="Q1531" s="19" t="s">
        <v>25</v>
      </c>
      <c r="R1531" s="19" t="s">
        <v>138</v>
      </c>
      <c r="W1531" s="20">
        <v>23</v>
      </c>
      <c r="X1531" s="65" t="s">
        <v>2010</v>
      </c>
      <c r="Z1531" t="s">
        <v>307</v>
      </c>
      <c r="AB1531" t="s">
        <v>178</v>
      </c>
      <c r="AC1531" t="s">
        <v>2207</v>
      </c>
      <c r="AD1531" s="2" t="s">
        <v>180</v>
      </c>
    </row>
    <row r="1532" spans="1:30" hidden="1" x14ac:dyDescent="0.25">
      <c r="A1532" s="2">
        <v>197</v>
      </c>
      <c r="B1532" t="s">
        <v>2210</v>
      </c>
      <c r="C1532">
        <v>12</v>
      </c>
      <c r="D1532">
        <v>120</v>
      </c>
      <c r="E1532">
        <v>129</v>
      </c>
      <c r="F1532" t="s">
        <v>273</v>
      </c>
      <c r="G1532" s="2" t="s">
        <v>156</v>
      </c>
      <c r="H1532">
        <v>18</v>
      </c>
      <c r="I1532">
        <v>23.83</v>
      </c>
      <c r="J1532" s="2" t="s">
        <v>170</v>
      </c>
      <c r="K1532" s="2" t="s">
        <v>74</v>
      </c>
      <c r="M1532" t="s">
        <v>2440</v>
      </c>
      <c r="P1532" s="19" t="s">
        <v>2011</v>
      </c>
      <c r="Q1532" s="19" t="s">
        <v>25</v>
      </c>
      <c r="R1532" s="19" t="s">
        <v>138</v>
      </c>
      <c r="W1532" s="20">
        <v>23</v>
      </c>
      <c r="X1532" s="65" t="s">
        <v>2010</v>
      </c>
      <c r="Z1532" t="s">
        <v>307</v>
      </c>
      <c r="AB1532" t="s">
        <v>178</v>
      </c>
      <c r="AC1532" t="s">
        <v>2207</v>
      </c>
      <c r="AD1532" s="2" t="s">
        <v>180</v>
      </c>
    </row>
    <row r="1533" spans="1:30" hidden="1" x14ac:dyDescent="0.25">
      <c r="A1533" s="2">
        <v>198</v>
      </c>
      <c r="B1533" t="s">
        <v>2211</v>
      </c>
      <c r="C1533">
        <v>12</v>
      </c>
      <c r="D1533">
        <v>120</v>
      </c>
      <c r="E1533">
        <v>129</v>
      </c>
      <c r="F1533" t="s">
        <v>273</v>
      </c>
      <c r="G1533" s="2" t="s">
        <v>156</v>
      </c>
      <c r="H1533">
        <v>4</v>
      </c>
      <c r="I1533">
        <v>5.3</v>
      </c>
      <c r="J1533" s="2" t="s">
        <v>170</v>
      </c>
      <c r="K1533" s="2" t="s">
        <v>74</v>
      </c>
      <c r="M1533" t="s">
        <v>2440</v>
      </c>
      <c r="P1533" s="19" t="s">
        <v>2011</v>
      </c>
      <c r="Q1533" s="19" t="s">
        <v>25</v>
      </c>
      <c r="R1533" s="19" t="s">
        <v>138</v>
      </c>
      <c r="W1533" s="20">
        <v>23</v>
      </c>
      <c r="X1533" s="65" t="s">
        <v>2010</v>
      </c>
      <c r="Z1533" t="s">
        <v>307</v>
      </c>
      <c r="AB1533" t="s">
        <v>178</v>
      </c>
      <c r="AC1533" t="s">
        <v>2207</v>
      </c>
      <c r="AD1533" s="2" t="s">
        <v>180</v>
      </c>
    </row>
    <row r="1534" spans="1:30" hidden="1" x14ac:dyDescent="0.25">
      <c r="A1534" s="2">
        <v>199</v>
      </c>
      <c r="B1534" t="s">
        <v>2212</v>
      </c>
      <c r="C1534">
        <v>12</v>
      </c>
      <c r="D1534">
        <v>120</v>
      </c>
      <c r="E1534">
        <v>129</v>
      </c>
      <c r="F1534" t="s">
        <v>273</v>
      </c>
      <c r="G1534" s="2" t="s">
        <v>156</v>
      </c>
      <c r="H1534">
        <v>4</v>
      </c>
      <c r="I1534">
        <v>5.3</v>
      </c>
      <c r="J1534" s="2" t="s">
        <v>170</v>
      </c>
      <c r="K1534" s="2" t="s">
        <v>74</v>
      </c>
      <c r="M1534" t="s">
        <v>2440</v>
      </c>
      <c r="P1534" s="19" t="s">
        <v>2011</v>
      </c>
      <c r="Q1534" s="19" t="s">
        <v>25</v>
      </c>
      <c r="R1534" s="19" t="s">
        <v>138</v>
      </c>
      <c r="W1534" s="20">
        <v>23</v>
      </c>
      <c r="X1534" s="65" t="s">
        <v>2010</v>
      </c>
      <c r="Z1534" t="s">
        <v>307</v>
      </c>
      <c r="AB1534" t="s">
        <v>178</v>
      </c>
      <c r="AC1534" t="s">
        <v>2207</v>
      </c>
      <c r="AD1534" s="2" t="s">
        <v>180</v>
      </c>
    </row>
    <row r="1535" spans="1:30" hidden="1" x14ac:dyDescent="0.25">
      <c r="A1535" s="2">
        <v>200</v>
      </c>
      <c r="B1535" t="s">
        <v>2213</v>
      </c>
      <c r="C1535">
        <v>12</v>
      </c>
      <c r="D1535">
        <v>120</v>
      </c>
      <c r="E1535">
        <v>129</v>
      </c>
      <c r="F1535" t="s">
        <v>273</v>
      </c>
      <c r="G1535" s="2" t="s">
        <v>156</v>
      </c>
      <c r="H1535">
        <v>24</v>
      </c>
      <c r="I1535">
        <v>31.78</v>
      </c>
      <c r="J1535" s="2" t="s">
        <v>170</v>
      </c>
      <c r="K1535" s="2" t="s">
        <v>74</v>
      </c>
      <c r="M1535" t="s">
        <v>2440</v>
      </c>
      <c r="P1535" s="19" t="s">
        <v>2011</v>
      </c>
      <c r="Q1535" s="19" t="s">
        <v>25</v>
      </c>
      <c r="R1535" s="19" t="s">
        <v>138</v>
      </c>
      <c r="W1535" s="20">
        <v>23</v>
      </c>
      <c r="X1535" s="65" t="s">
        <v>2010</v>
      </c>
      <c r="Z1535" t="s">
        <v>307</v>
      </c>
      <c r="AB1535" t="s">
        <v>178</v>
      </c>
      <c r="AC1535" t="s">
        <v>2207</v>
      </c>
      <c r="AD1535" s="2" t="s">
        <v>180</v>
      </c>
    </row>
    <row r="1536" spans="1:30" hidden="1" x14ac:dyDescent="0.25">
      <c r="A1536" s="2">
        <v>201</v>
      </c>
      <c r="B1536" t="s">
        <v>2214</v>
      </c>
      <c r="C1536">
        <v>12</v>
      </c>
      <c r="D1536">
        <v>120</v>
      </c>
      <c r="E1536">
        <v>129</v>
      </c>
      <c r="F1536" t="s">
        <v>273</v>
      </c>
      <c r="G1536" s="2" t="s">
        <v>156</v>
      </c>
      <c r="H1536">
        <v>24</v>
      </c>
      <c r="I1536">
        <v>31.78</v>
      </c>
      <c r="J1536" s="2" t="s">
        <v>170</v>
      </c>
      <c r="K1536" s="2" t="s">
        <v>74</v>
      </c>
      <c r="M1536" t="s">
        <v>2440</v>
      </c>
      <c r="P1536" s="19" t="s">
        <v>2011</v>
      </c>
      <c r="Q1536" s="19" t="s">
        <v>25</v>
      </c>
      <c r="R1536" s="19" t="s">
        <v>138</v>
      </c>
      <c r="W1536" s="20">
        <v>23</v>
      </c>
      <c r="X1536" s="65" t="s">
        <v>2010</v>
      </c>
      <c r="Z1536" t="s">
        <v>307</v>
      </c>
      <c r="AB1536" t="s">
        <v>178</v>
      </c>
      <c r="AC1536" t="s">
        <v>2207</v>
      </c>
      <c r="AD1536" s="2" t="s">
        <v>180</v>
      </c>
    </row>
    <row r="1537" spans="1:30" hidden="1" x14ac:dyDescent="0.25">
      <c r="A1537" s="2">
        <v>202</v>
      </c>
      <c r="B1537" t="s">
        <v>2215</v>
      </c>
      <c r="C1537">
        <v>12</v>
      </c>
      <c r="D1537">
        <v>490</v>
      </c>
      <c r="E1537">
        <v>6464</v>
      </c>
      <c r="F1537" t="s">
        <v>273</v>
      </c>
      <c r="G1537" s="2" t="s">
        <v>156</v>
      </c>
      <c r="H1537">
        <v>1</v>
      </c>
      <c r="I1537">
        <v>298.26</v>
      </c>
      <c r="J1537" s="2" t="s">
        <v>170</v>
      </c>
      <c r="K1537" s="2" t="s">
        <v>74</v>
      </c>
      <c r="M1537" t="s">
        <v>2440</v>
      </c>
      <c r="P1537" s="19" t="s">
        <v>2011</v>
      </c>
      <c r="Q1537" s="19" t="s">
        <v>27</v>
      </c>
      <c r="R1537" s="19" t="s">
        <v>138</v>
      </c>
      <c r="W1537" s="20">
        <v>23</v>
      </c>
      <c r="X1537" s="65" t="s">
        <v>2010</v>
      </c>
      <c r="Z1537" t="s">
        <v>307</v>
      </c>
      <c r="AB1537" t="s">
        <v>178</v>
      </c>
      <c r="AC1537" t="s">
        <v>2207</v>
      </c>
      <c r="AD1537" s="2" t="s">
        <v>180</v>
      </c>
    </row>
    <row r="1538" spans="1:30" hidden="1" x14ac:dyDescent="0.25">
      <c r="A1538" s="2">
        <v>203</v>
      </c>
      <c r="B1538" t="s">
        <v>2216</v>
      </c>
      <c r="C1538">
        <v>12</v>
      </c>
      <c r="D1538">
        <v>120</v>
      </c>
      <c r="E1538">
        <v>129</v>
      </c>
      <c r="F1538" t="s">
        <v>273</v>
      </c>
      <c r="G1538" s="2" t="s">
        <v>156</v>
      </c>
      <c r="H1538">
        <v>24</v>
      </c>
      <c r="I1538">
        <v>31.78</v>
      </c>
      <c r="J1538" s="2" t="s">
        <v>170</v>
      </c>
      <c r="K1538" s="2" t="s">
        <v>74</v>
      </c>
      <c r="M1538" t="s">
        <v>2440</v>
      </c>
      <c r="P1538" s="19" t="s">
        <v>2011</v>
      </c>
      <c r="Q1538" s="19" t="s">
        <v>25</v>
      </c>
      <c r="R1538" s="19" t="s">
        <v>138</v>
      </c>
      <c r="W1538" s="20">
        <v>23</v>
      </c>
      <c r="X1538" s="65" t="s">
        <v>2010</v>
      </c>
      <c r="Z1538" t="s">
        <v>307</v>
      </c>
      <c r="AB1538" t="s">
        <v>178</v>
      </c>
      <c r="AC1538" t="s">
        <v>2207</v>
      </c>
      <c r="AD1538" s="2" t="s">
        <v>180</v>
      </c>
    </row>
    <row r="1539" spans="1:30" hidden="1" x14ac:dyDescent="0.25">
      <c r="A1539" s="2">
        <v>204</v>
      </c>
      <c r="B1539" t="s">
        <v>2217</v>
      </c>
      <c r="C1539">
        <v>12</v>
      </c>
      <c r="D1539">
        <v>120</v>
      </c>
      <c r="E1539">
        <v>129</v>
      </c>
      <c r="F1539" t="s">
        <v>273</v>
      </c>
      <c r="G1539" s="2" t="s">
        <v>156</v>
      </c>
      <c r="H1539">
        <v>24</v>
      </c>
      <c r="I1539">
        <v>31.78</v>
      </c>
      <c r="J1539" s="2" t="s">
        <v>170</v>
      </c>
      <c r="K1539" s="2" t="s">
        <v>74</v>
      </c>
      <c r="M1539" t="s">
        <v>2440</v>
      </c>
      <c r="P1539" s="19" t="s">
        <v>2011</v>
      </c>
      <c r="Q1539" s="19" t="s">
        <v>25</v>
      </c>
      <c r="R1539" s="19" t="s">
        <v>138</v>
      </c>
      <c r="W1539" s="20">
        <v>23</v>
      </c>
      <c r="X1539" s="65" t="s">
        <v>2010</v>
      </c>
      <c r="Z1539" t="s">
        <v>307</v>
      </c>
      <c r="AB1539" t="s">
        <v>178</v>
      </c>
      <c r="AC1539" t="s">
        <v>2207</v>
      </c>
      <c r="AD1539" s="2" t="s">
        <v>180</v>
      </c>
    </row>
    <row r="1540" spans="1:30" hidden="1" x14ac:dyDescent="0.25">
      <c r="A1540" s="2">
        <v>205</v>
      </c>
      <c r="B1540" t="s">
        <v>2218</v>
      </c>
      <c r="C1540">
        <v>12</v>
      </c>
      <c r="D1540">
        <v>120</v>
      </c>
      <c r="E1540">
        <v>129</v>
      </c>
      <c r="F1540" t="s">
        <v>273</v>
      </c>
      <c r="G1540" s="2" t="s">
        <v>156</v>
      </c>
      <c r="H1540">
        <v>24</v>
      </c>
      <c r="I1540">
        <v>31.78</v>
      </c>
      <c r="J1540" s="2" t="s">
        <v>170</v>
      </c>
      <c r="K1540" s="2" t="s">
        <v>74</v>
      </c>
      <c r="M1540" t="s">
        <v>2440</v>
      </c>
      <c r="P1540" s="19" t="s">
        <v>2011</v>
      </c>
      <c r="Q1540" s="19" t="s">
        <v>25</v>
      </c>
      <c r="R1540" s="19" t="s">
        <v>138</v>
      </c>
      <c r="W1540" s="20">
        <v>23</v>
      </c>
      <c r="X1540" s="65" t="s">
        <v>2010</v>
      </c>
      <c r="Z1540" t="s">
        <v>307</v>
      </c>
      <c r="AB1540" t="s">
        <v>178</v>
      </c>
      <c r="AC1540" t="s">
        <v>2207</v>
      </c>
      <c r="AD1540" s="2" t="s">
        <v>180</v>
      </c>
    </row>
    <row r="1541" spans="1:30" hidden="1" x14ac:dyDescent="0.25">
      <c r="A1541" s="2">
        <v>206</v>
      </c>
      <c r="B1541" t="s">
        <v>2219</v>
      </c>
      <c r="C1541">
        <v>12</v>
      </c>
      <c r="D1541">
        <v>120</v>
      </c>
      <c r="E1541">
        <v>129</v>
      </c>
      <c r="F1541" t="s">
        <v>273</v>
      </c>
      <c r="G1541" s="2" t="s">
        <v>156</v>
      </c>
      <c r="H1541">
        <v>9</v>
      </c>
      <c r="I1541">
        <v>11.92</v>
      </c>
      <c r="J1541" s="2" t="s">
        <v>170</v>
      </c>
      <c r="K1541" s="2" t="s">
        <v>74</v>
      </c>
      <c r="M1541" t="s">
        <v>2440</v>
      </c>
      <c r="P1541" s="19" t="s">
        <v>2011</v>
      </c>
      <c r="Q1541" s="19" t="s">
        <v>25</v>
      </c>
      <c r="R1541" s="19" t="s">
        <v>138</v>
      </c>
      <c r="W1541" s="20">
        <v>23</v>
      </c>
      <c r="X1541" s="65" t="s">
        <v>2010</v>
      </c>
      <c r="Z1541" t="s">
        <v>307</v>
      </c>
      <c r="AB1541" t="s">
        <v>178</v>
      </c>
      <c r="AC1541" t="s">
        <v>2207</v>
      </c>
      <c r="AD1541" s="2" t="s">
        <v>180</v>
      </c>
    </row>
    <row r="1542" spans="1:30" hidden="1" x14ac:dyDescent="0.25">
      <c r="A1542" s="2">
        <v>207</v>
      </c>
      <c r="B1542" t="s">
        <v>2220</v>
      </c>
      <c r="C1542">
        <v>12</v>
      </c>
      <c r="D1542">
        <v>120</v>
      </c>
      <c r="E1542">
        <v>129</v>
      </c>
      <c r="F1542" t="s">
        <v>273</v>
      </c>
      <c r="G1542" s="2" t="s">
        <v>156</v>
      </c>
      <c r="H1542">
        <v>4</v>
      </c>
      <c r="I1542">
        <v>5.3</v>
      </c>
      <c r="J1542" s="2" t="s">
        <v>170</v>
      </c>
      <c r="K1542" s="2" t="s">
        <v>74</v>
      </c>
      <c r="M1542" t="s">
        <v>2440</v>
      </c>
      <c r="P1542" s="19" t="s">
        <v>2011</v>
      </c>
      <c r="Q1542" s="19" t="s">
        <v>25</v>
      </c>
      <c r="R1542" s="19" t="s">
        <v>138</v>
      </c>
      <c r="W1542" s="20">
        <v>23</v>
      </c>
      <c r="X1542" s="65" t="s">
        <v>2010</v>
      </c>
      <c r="Z1542" t="s">
        <v>307</v>
      </c>
      <c r="AB1542" t="s">
        <v>178</v>
      </c>
      <c r="AC1542" t="s">
        <v>2207</v>
      </c>
      <c r="AD1542" s="2" t="s">
        <v>180</v>
      </c>
    </row>
    <row r="1543" spans="1:30" hidden="1" x14ac:dyDescent="0.25">
      <c r="A1543" s="2">
        <v>208</v>
      </c>
      <c r="B1543" t="s">
        <v>2221</v>
      </c>
      <c r="C1543">
        <v>12</v>
      </c>
      <c r="D1543">
        <v>120</v>
      </c>
      <c r="E1543">
        <v>129</v>
      </c>
      <c r="F1543" t="s">
        <v>273</v>
      </c>
      <c r="G1543" s="2" t="s">
        <v>156</v>
      </c>
      <c r="H1543">
        <v>4</v>
      </c>
      <c r="I1543">
        <v>5.3</v>
      </c>
      <c r="J1543" s="2" t="s">
        <v>170</v>
      </c>
      <c r="K1543" s="2" t="s">
        <v>74</v>
      </c>
      <c r="M1543" t="s">
        <v>2440</v>
      </c>
      <c r="P1543" s="19" t="s">
        <v>2011</v>
      </c>
      <c r="Q1543" s="19" t="s">
        <v>25</v>
      </c>
      <c r="R1543" s="19" t="s">
        <v>138</v>
      </c>
      <c r="W1543" s="20">
        <v>23</v>
      </c>
      <c r="X1543" s="65" t="s">
        <v>2010</v>
      </c>
      <c r="Z1543" t="s">
        <v>307</v>
      </c>
      <c r="AB1543" t="s">
        <v>178</v>
      </c>
      <c r="AC1543" t="s">
        <v>2207</v>
      </c>
      <c r="AD1543" s="2" t="s">
        <v>180</v>
      </c>
    </row>
    <row r="1544" spans="1:30" hidden="1" x14ac:dyDescent="0.25">
      <c r="A1544" s="2">
        <v>209</v>
      </c>
      <c r="B1544" t="s">
        <v>2222</v>
      </c>
      <c r="C1544">
        <v>12</v>
      </c>
      <c r="D1544">
        <v>120</v>
      </c>
      <c r="E1544">
        <v>129</v>
      </c>
      <c r="F1544" t="s">
        <v>273</v>
      </c>
      <c r="G1544" s="2" t="s">
        <v>156</v>
      </c>
      <c r="H1544">
        <v>4</v>
      </c>
      <c r="I1544">
        <v>5.3</v>
      </c>
      <c r="J1544" s="2" t="s">
        <v>170</v>
      </c>
      <c r="K1544" s="2" t="s">
        <v>74</v>
      </c>
      <c r="M1544" t="s">
        <v>2440</v>
      </c>
      <c r="P1544" s="19" t="s">
        <v>2011</v>
      </c>
      <c r="Q1544" s="19" t="s">
        <v>25</v>
      </c>
      <c r="R1544" s="19" t="s">
        <v>138</v>
      </c>
      <c r="W1544" s="20">
        <v>23</v>
      </c>
      <c r="X1544" s="65" t="s">
        <v>2010</v>
      </c>
      <c r="Z1544" t="s">
        <v>307</v>
      </c>
      <c r="AB1544" t="s">
        <v>178</v>
      </c>
      <c r="AC1544" t="s">
        <v>2207</v>
      </c>
      <c r="AD1544" s="2" t="s">
        <v>180</v>
      </c>
    </row>
    <row r="1545" spans="1:30" hidden="1" x14ac:dyDescent="0.25">
      <c r="A1545" s="2">
        <v>210</v>
      </c>
      <c r="B1545" t="s">
        <v>2223</v>
      </c>
      <c r="C1545">
        <v>12</v>
      </c>
      <c r="D1545">
        <v>120</v>
      </c>
      <c r="E1545">
        <v>129</v>
      </c>
      <c r="F1545" t="s">
        <v>273</v>
      </c>
      <c r="G1545" s="2" t="s">
        <v>156</v>
      </c>
      <c r="H1545">
        <v>4</v>
      </c>
      <c r="I1545">
        <v>5.3</v>
      </c>
      <c r="J1545" s="2" t="s">
        <v>170</v>
      </c>
      <c r="K1545" s="2" t="s">
        <v>74</v>
      </c>
      <c r="M1545" t="s">
        <v>2440</v>
      </c>
      <c r="P1545" s="19" t="s">
        <v>2011</v>
      </c>
      <c r="Q1545" s="19" t="s">
        <v>25</v>
      </c>
      <c r="R1545" s="19" t="s">
        <v>138</v>
      </c>
      <c r="W1545" s="20">
        <v>23</v>
      </c>
      <c r="X1545" s="65" t="s">
        <v>2010</v>
      </c>
      <c r="Z1545" t="s">
        <v>307</v>
      </c>
      <c r="AB1545" t="s">
        <v>178</v>
      </c>
      <c r="AC1545" t="s">
        <v>2207</v>
      </c>
      <c r="AD1545" s="2" t="s">
        <v>180</v>
      </c>
    </row>
    <row r="1546" spans="1:30" hidden="1" x14ac:dyDescent="0.25">
      <c r="A1546" s="2">
        <v>211</v>
      </c>
      <c r="B1546" t="s">
        <v>2224</v>
      </c>
      <c r="C1546">
        <v>12</v>
      </c>
      <c r="D1546">
        <v>1460</v>
      </c>
      <c r="E1546">
        <v>6688</v>
      </c>
      <c r="F1546" t="s">
        <v>273</v>
      </c>
      <c r="G1546" s="2" t="s">
        <v>156</v>
      </c>
      <c r="H1546">
        <v>1</v>
      </c>
      <c r="I1546">
        <v>917.29</v>
      </c>
      <c r="J1546" s="2" t="s">
        <v>170</v>
      </c>
      <c r="K1546" s="2" t="s">
        <v>74</v>
      </c>
      <c r="M1546" t="s">
        <v>2440</v>
      </c>
      <c r="P1546" s="19" t="s">
        <v>2011</v>
      </c>
      <c r="Q1546" s="19" t="s">
        <v>27</v>
      </c>
      <c r="R1546" s="19" t="s">
        <v>138</v>
      </c>
      <c r="V1546" s="19" t="s">
        <v>138</v>
      </c>
      <c r="W1546" s="20">
        <v>23</v>
      </c>
      <c r="X1546" s="65" t="s">
        <v>2010</v>
      </c>
      <c r="Z1546" t="s">
        <v>307</v>
      </c>
      <c r="AB1546" t="s">
        <v>178</v>
      </c>
      <c r="AC1546" t="s">
        <v>2207</v>
      </c>
      <c r="AD1546" s="2" t="s">
        <v>180</v>
      </c>
    </row>
    <row r="1547" spans="1:30" hidden="1" x14ac:dyDescent="0.25">
      <c r="A1547" s="2">
        <v>212</v>
      </c>
      <c r="B1547" t="s">
        <v>2225</v>
      </c>
      <c r="C1547">
        <v>12</v>
      </c>
      <c r="D1547">
        <v>490</v>
      </c>
      <c r="E1547">
        <v>6464</v>
      </c>
      <c r="F1547" t="s">
        <v>273</v>
      </c>
      <c r="G1547" s="2" t="s">
        <v>156</v>
      </c>
      <c r="H1547">
        <v>1</v>
      </c>
      <c r="I1547">
        <v>298.26</v>
      </c>
      <c r="J1547" s="2" t="s">
        <v>170</v>
      </c>
      <c r="K1547" s="2" t="s">
        <v>74</v>
      </c>
      <c r="M1547" t="s">
        <v>2440</v>
      </c>
      <c r="P1547" s="19" t="s">
        <v>2011</v>
      </c>
      <c r="Q1547" s="19" t="s">
        <v>27</v>
      </c>
      <c r="R1547" s="19" t="s">
        <v>138</v>
      </c>
      <c r="W1547" s="20">
        <v>23</v>
      </c>
      <c r="X1547" s="65" t="s">
        <v>2010</v>
      </c>
      <c r="Z1547" t="s">
        <v>307</v>
      </c>
      <c r="AB1547" t="s">
        <v>178</v>
      </c>
      <c r="AC1547" t="s">
        <v>2226</v>
      </c>
      <c r="AD1547" s="2" t="s">
        <v>180</v>
      </c>
    </row>
    <row r="1548" spans="1:30" hidden="1" x14ac:dyDescent="0.25">
      <c r="A1548" s="2">
        <v>213</v>
      </c>
      <c r="B1548" t="s">
        <v>2228</v>
      </c>
      <c r="C1548">
        <v>12</v>
      </c>
      <c r="D1548">
        <v>490</v>
      </c>
      <c r="E1548">
        <v>6464</v>
      </c>
      <c r="F1548" t="s">
        <v>273</v>
      </c>
      <c r="G1548" s="2" t="s">
        <v>156</v>
      </c>
      <c r="H1548">
        <v>1</v>
      </c>
      <c r="I1548">
        <v>298.26</v>
      </c>
      <c r="J1548" s="2" t="s">
        <v>170</v>
      </c>
      <c r="K1548" s="2" t="s">
        <v>74</v>
      </c>
      <c r="M1548" t="s">
        <v>2440</v>
      </c>
      <c r="P1548" s="19" t="s">
        <v>2011</v>
      </c>
      <c r="Q1548" s="19" t="s">
        <v>27</v>
      </c>
      <c r="R1548" s="19" t="s">
        <v>138</v>
      </c>
      <c r="W1548" s="20">
        <v>23</v>
      </c>
      <c r="X1548" s="65" t="s">
        <v>2010</v>
      </c>
      <c r="Z1548" t="s">
        <v>307</v>
      </c>
      <c r="AB1548" t="s">
        <v>178</v>
      </c>
      <c r="AC1548" t="s">
        <v>2226</v>
      </c>
      <c r="AD1548" s="2" t="s">
        <v>180</v>
      </c>
    </row>
    <row r="1549" spans="1:30" hidden="1" x14ac:dyDescent="0.25">
      <c r="A1549" s="2">
        <v>214</v>
      </c>
      <c r="B1549" t="s">
        <v>2219</v>
      </c>
      <c r="C1549">
        <v>12</v>
      </c>
      <c r="D1549">
        <v>120</v>
      </c>
      <c r="E1549">
        <v>129</v>
      </c>
      <c r="F1549" t="s">
        <v>273</v>
      </c>
      <c r="G1549" s="2" t="s">
        <v>156</v>
      </c>
      <c r="H1549">
        <v>15</v>
      </c>
      <c r="I1549">
        <v>19.86</v>
      </c>
      <c r="J1549" s="2" t="s">
        <v>170</v>
      </c>
      <c r="K1549" s="2" t="s">
        <v>74</v>
      </c>
      <c r="M1549" t="s">
        <v>2440</v>
      </c>
      <c r="P1549" s="19" t="s">
        <v>2011</v>
      </c>
      <c r="Q1549" s="19" t="s">
        <v>25</v>
      </c>
      <c r="R1549" s="19" t="s">
        <v>138</v>
      </c>
      <c r="W1549" s="20">
        <v>23</v>
      </c>
      <c r="X1549" s="65" t="s">
        <v>2010</v>
      </c>
      <c r="Z1549" t="s">
        <v>307</v>
      </c>
      <c r="AB1549" t="s">
        <v>178</v>
      </c>
      <c r="AC1549" t="s">
        <v>2226</v>
      </c>
      <c r="AD1549" s="2" t="s">
        <v>180</v>
      </c>
    </row>
    <row r="1550" spans="1:30" hidden="1" x14ac:dyDescent="0.25">
      <c r="A1550" s="2">
        <v>215</v>
      </c>
      <c r="B1550" t="s">
        <v>2229</v>
      </c>
      <c r="C1550">
        <v>12</v>
      </c>
      <c r="D1550">
        <v>120</v>
      </c>
      <c r="E1550">
        <v>129</v>
      </c>
      <c r="F1550" t="s">
        <v>273</v>
      </c>
      <c r="G1550" s="2" t="s">
        <v>156</v>
      </c>
      <c r="H1550">
        <v>24</v>
      </c>
      <c r="I1550">
        <v>31.78</v>
      </c>
      <c r="J1550" s="2" t="s">
        <v>170</v>
      </c>
      <c r="K1550" s="2" t="s">
        <v>74</v>
      </c>
      <c r="M1550" t="s">
        <v>2440</v>
      </c>
      <c r="P1550" s="19" t="s">
        <v>2011</v>
      </c>
      <c r="Q1550" s="19" t="s">
        <v>25</v>
      </c>
      <c r="R1550" s="19" t="s">
        <v>138</v>
      </c>
      <c r="W1550" s="20">
        <v>23</v>
      </c>
      <c r="X1550" s="65" t="s">
        <v>2010</v>
      </c>
      <c r="Z1550" t="s">
        <v>307</v>
      </c>
      <c r="AB1550" t="s">
        <v>178</v>
      </c>
      <c r="AC1550" t="s">
        <v>2226</v>
      </c>
      <c r="AD1550" s="2" t="s">
        <v>180</v>
      </c>
    </row>
    <row r="1551" spans="1:30" hidden="1" x14ac:dyDescent="0.25">
      <c r="A1551" s="2">
        <v>216</v>
      </c>
      <c r="B1551" t="s">
        <v>2230</v>
      </c>
      <c r="C1551">
        <v>12</v>
      </c>
      <c r="D1551">
        <v>490</v>
      </c>
      <c r="E1551">
        <v>6464</v>
      </c>
      <c r="F1551" t="s">
        <v>273</v>
      </c>
      <c r="G1551" s="2" t="s">
        <v>156</v>
      </c>
      <c r="H1551">
        <v>1</v>
      </c>
      <c r="I1551">
        <v>298.16000000000003</v>
      </c>
      <c r="J1551" s="2" t="s">
        <v>170</v>
      </c>
      <c r="K1551" s="2" t="s">
        <v>74</v>
      </c>
      <c r="M1551" t="s">
        <v>2440</v>
      </c>
      <c r="P1551" s="19" t="s">
        <v>2011</v>
      </c>
      <c r="Q1551" s="19" t="s">
        <v>27</v>
      </c>
      <c r="R1551" s="19" t="s">
        <v>138</v>
      </c>
      <c r="W1551" s="20">
        <v>23</v>
      </c>
      <c r="X1551" s="65" t="s">
        <v>2010</v>
      </c>
      <c r="Z1551" t="s">
        <v>307</v>
      </c>
      <c r="AB1551" t="s">
        <v>178</v>
      </c>
      <c r="AC1551" t="s">
        <v>2226</v>
      </c>
      <c r="AD1551" s="2" t="s">
        <v>180</v>
      </c>
    </row>
    <row r="1552" spans="1:30" hidden="1" x14ac:dyDescent="0.25">
      <c r="A1552" s="2">
        <v>217</v>
      </c>
      <c r="B1552" t="s">
        <v>2231</v>
      </c>
      <c r="C1552">
        <v>12</v>
      </c>
      <c r="D1552">
        <v>120</v>
      </c>
      <c r="E1552">
        <v>129</v>
      </c>
      <c r="F1552" t="s">
        <v>273</v>
      </c>
      <c r="G1552" s="2" t="s">
        <v>156</v>
      </c>
      <c r="H1552">
        <v>24</v>
      </c>
      <c r="I1552">
        <v>31.78</v>
      </c>
      <c r="J1552" s="2" t="s">
        <v>170</v>
      </c>
      <c r="K1552" s="2" t="s">
        <v>74</v>
      </c>
      <c r="M1552" t="s">
        <v>2440</v>
      </c>
      <c r="P1552" s="19" t="s">
        <v>2011</v>
      </c>
      <c r="Q1552" s="19" t="s">
        <v>25</v>
      </c>
      <c r="R1552" s="19" t="s">
        <v>138</v>
      </c>
      <c r="W1552" s="20">
        <v>23</v>
      </c>
      <c r="X1552" s="65" t="s">
        <v>2010</v>
      </c>
      <c r="Z1552" t="s">
        <v>307</v>
      </c>
      <c r="AB1552" t="s">
        <v>178</v>
      </c>
      <c r="AC1552" t="s">
        <v>2226</v>
      </c>
      <c r="AD1552" s="2" t="s">
        <v>180</v>
      </c>
    </row>
    <row r="1553" spans="1:30" hidden="1" x14ac:dyDescent="0.25">
      <c r="A1553" s="2">
        <v>218</v>
      </c>
      <c r="B1553" t="s">
        <v>2232</v>
      </c>
      <c r="C1553">
        <v>12</v>
      </c>
      <c r="D1553">
        <v>490</v>
      </c>
      <c r="E1553">
        <v>6464</v>
      </c>
      <c r="F1553" t="s">
        <v>273</v>
      </c>
      <c r="G1553" s="2" t="s">
        <v>156</v>
      </c>
      <c r="H1553">
        <v>1</v>
      </c>
      <c r="I1553">
        <v>298.16000000000003</v>
      </c>
      <c r="J1553" s="2" t="s">
        <v>170</v>
      </c>
      <c r="K1553" s="2" t="s">
        <v>74</v>
      </c>
      <c r="M1553" t="s">
        <v>2440</v>
      </c>
      <c r="P1553" s="19" t="s">
        <v>2011</v>
      </c>
      <c r="Q1553" s="19" t="s">
        <v>27</v>
      </c>
      <c r="R1553" s="19" t="s">
        <v>138</v>
      </c>
      <c r="W1553" s="20">
        <v>23</v>
      </c>
      <c r="X1553" s="65" t="s">
        <v>2010</v>
      </c>
      <c r="Z1553" t="s">
        <v>307</v>
      </c>
      <c r="AB1553" t="s">
        <v>178</v>
      </c>
      <c r="AC1553" t="s">
        <v>2226</v>
      </c>
      <c r="AD1553" s="2" t="s">
        <v>180</v>
      </c>
    </row>
    <row r="1554" spans="1:30" hidden="1" x14ac:dyDescent="0.25">
      <c r="A1554" s="2">
        <v>219</v>
      </c>
      <c r="B1554" t="s">
        <v>2233</v>
      </c>
      <c r="C1554">
        <v>12</v>
      </c>
      <c r="D1554">
        <v>120</v>
      </c>
      <c r="E1554">
        <v>129</v>
      </c>
      <c r="F1554" t="s">
        <v>273</v>
      </c>
      <c r="G1554" s="2" t="s">
        <v>156</v>
      </c>
      <c r="H1554">
        <v>24</v>
      </c>
      <c r="I1554">
        <v>31.78</v>
      </c>
      <c r="J1554" s="2" t="s">
        <v>170</v>
      </c>
      <c r="K1554" s="2" t="s">
        <v>74</v>
      </c>
      <c r="M1554" t="s">
        <v>2440</v>
      </c>
      <c r="P1554" s="19" t="s">
        <v>2011</v>
      </c>
      <c r="Q1554" s="19" t="s">
        <v>25</v>
      </c>
      <c r="R1554" s="19" t="s">
        <v>138</v>
      </c>
      <c r="W1554" s="20">
        <v>23</v>
      </c>
      <c r="X1554" s="65" t="s">
        <v>2010</v>
      </c>
      <c r="Z1554" t="s">
        <v>307</v>
      </c>
      <c r="AB1554" t="s">
        <v>178</v>
      </c>
      <c r="AC1554" t="s">
        <v>2226</v>
      </c>
      <c r="AD1554" s="2" t="s">
        <v>180</v>
      </c>
    </row>
    <row r="1555" spans="1:30" hidden="1" x14ac:dyDescent="0.25">
      <c r="A1555" s="2">
        <v>220</v>
      </c>
      <c r="B1555" t="s">
        <v>2234</v>
      </c>
      <c r="C1555">
        <v>12</v>
      </c>
      <c r="D1555">
        <v>120</v>
      </c>
      <c r="E1555">
        <v>129</v>
      </c>
      <c r="F1555" t="s">
        <v>273</v>
      </c>
      <c r="G1555" s="2" t="s">
        <v>156</v>
      </c>
      <c r="H1555">
        <v>24</v>
      </c>
      <c r="I1555">
        <v>31.78</v>
      </c>
      <c r="J1555" s="2" t="s">
        <v>170</v>
      </c>
      <c r="K1555" s="2" t="s">
        <v>74</v>
      </c>
      <c r="M1555" t="s">
        <v>2440</v>
      </c>
      <c r="P1555" s="19" t="s">
        <v>2011</v>
      </c>
      <c r="Q1555" s="19" t="s">
        <v>25</v>
      </c>
      <c r="R1555" s="19" t="s">
        <v>138</v>
      </c>
      <c r="W1555" s="20">
        <v>23</v>
      </c>
      <c r="X1555" s="65" t="s">
        <v>2010</v>
      </c>
      <c r="Z1555" t="s">
        <v>307</v>
      </c>
      <c r="AB1555" t="s">
        <v>178</v>
      </c>
      <c r="AC1555" t="s">
        <v>2226</v>
      </c>
      <c r="AD1555" s="2" t="s">
        <v>180</v>
      </c>
    </row>
    <row r="1556" spans="1:30" hidden="1" x14ac:dyDescent="0.25">
      <c r="A1556" s="2">
        <v>221</v>
      </c>
      <c r="B1556" t="s">
        <v>2235</v>
      </c>
      <c r="C1556">
        <v>12</v>
      </c>
      <c r="D1556">
        <v>120</v>
      </c>
      <c r="E1556">
        <v>129</v>
      </c>
      <c r="F1556" t="s">
        <v>273</v>
      </c>
      <c r="G1556" s="2" t="s">
        <v>156</v>
      </c>
      <c r="H1556">
        <v>18</v>
      </c>
      <c r="I1556">
        <v>23.83</v>
      </c>
      <c r="J1556" s="2" t="s">
        <v>170</v>
      </c>
      <c r="K1556" s="2" t="s">
        <v>74</v>
      </c>
      <c r="M1556" t="s">
        <v>2440</v>
      </c>
      <c r="P1556" s="19" t="s">
        <v>2011</v>
      </c>
      <c r="Q1556" s="19" t="s">
        <v>25</v>
      </c>
      <c r="R1556" s="19" t="s">
        <v>138</v>
      </c>
      <c r="W1556" s="20">
        <v>23</v>
      </c>
      <c r="X1556" s="65" t="s">
        <v>2010</v>
      </c>
      <c r="Z1556" t="s">
        <v>307</v>
      </c>
      <c r="AB1556" t="s">
        <v>178</v>
      </c>
      <c r="AC1556" t="s">
        <v>2226</v>
      </c>
      <c r="AD1556" s="2" t="s">
        <v>180</v>
      </c>
    </row>
    <row r="1557" spans="1:30" hidden="1" x14ac:dyDescent="0.25">
      <c r="A1557" s="2">
        <v>222</v>
      </c>
      <c r="B1557" t="s">
        <v>2236</v>
      </c>
      <c r="C1557">
        <v>12</v>
      </c>
      <c r="D1557">
        <v>120</v>
      </c>
      <c r="E1557">
        <v>129</v>
      </c>
      <c r="F1557" t="s">
        <v>273</v>
      </c>
      <c r="G1557" s="2" t="s">
        <v>156</v>
      </c>
      <c r="H1557">
        <v>15</v>
      </c>
      <c r="I1557">
        <v>19.86</v>
      </c>
      <c r="J1557" s="2" t="s">
        <v>170</v>
      </c>
      <c r="K1557" s="2" t="s">
        <v>74</v>
      </c>
      <c r="M1557" t="s">
        <v>2440</v>
      </c>
      <c r="P1557" s="19" t="s">
        <v>2011</v>
      </c>
      <c r="Q1557" s="19" t="s">
        <v>25</v>
      </c>
      <c r="R1557" s="19" t="s">
        <v>138</v>
      </c>
      <c r="W1557" s="20">
        <v>23</v>
      </c>
      <c r="X1557" s="65" t="s">
        <v>2010</v>
      </c>
      <c r="Z1557" t="s">
        <v>307</v>
      </c>
      <c r="AB1557" t="s">
        <v>178</v>
      </c>
      <c r="AC1557" t="s">
        <v>2226</v>
      </c>
      <c r="AD1557" s="2" t="s">
        <v>180</v>
      </c>
    </row>
    <row r="1558" spans="1:30" hidden="1" x14ac:dyDescent="0.25">
      <c r="A1558" s="2">
        <v>223</v>
      </c>
      <c r="B1558" t="s">
        <v>2237</v>
      </c>
      <c r="C1558">
        <v>12</v>
      </c>
      <c r="D1558">
        <v>120</v>
      </c>
      <c r="E1558">
        <v>129</v>
      </c>
      <c r="F1558" t="s">
        <v>273</v>
      </c>
      <c r="G1558" s="2" t="s">
        <v>156</v>
      </c>
      <c r="H1558">
        <v>4</v>
      </c>
      <c r="I1558">
        <v>5.3</v>
      </c>
      <c r="J1558" s="2" t="s">
        <v>170</v>
      </c>
      <c r="K1558" s="2" t="s">
        <v>74</v>
      </c>
      <c r="M1558" t="s">
        <v>2440</v>
      </c>
      <c r="P1558" s="19" t="s">
        <v>2011</v>
      </c>
      <c r="Q1558" s="19" t="s">
        <v>25</v>
      </c>
      <c r="R1558" s="19" t="s">
        <v>138</v>
      </c>
      <c r="W1558" s="20">
        <v>23</v>
      </c>
      <c r="X1558" s="65" t="s">
        <v>2010</v>
      </c>
      <c r="Z1558" t="s">
        <v>307</v>
      </c>
      <c r="AB1558" t="s">
        <v>178</v>
      </c>
      <c r="AC1558" t="s">
        <v>2238</v>
      </c>
      <c r="AD1558" s="2" t="s">
        <v>180</v>
      </c>
    </row>
    <row r="1559" spans="1:30" hidden="1" x14ac:dyDescent="0.25">
      <c r="A1559" s="2">
        <v>224</v>
      </c>
      <c r="B1559" t="s">
        <v>2240</v>
      </c>
      <c r="C1559">
        <v>12</v>
      </c>
      <c r="D1559">
        <v>490</v>
      </c>
      <c r="E1559">
        <v>6464</v>
      </c>
      <c r="F1559" t="s">
        <v>273</v>
      </c>
      <c r="G1559" s="2" t="s">
        <v>156</v>
      </c>
      <c r="H1559">
        <v>1</v>
      </c>
      <c r="I1559">
        <v>298.16000000000003</v>
      </c>
      <c r="J1559" s="2" t="s">
        <v>170</v>
      </c>
      <c r="K1559" s="2" t="s">
        <v>74</v>
      </c>
      <c r="M1559" t="s">
        <v>2440</v>
      </c>
      <c r="P1559" s="19" t="s">
        <v>2011</v>
      </c>
      <c r="Q1559" s="19" t="s">
        <v>27</v>
      </c>
      <c r="R1559" s="19" t="s">
        <v>138</v>
      </c>
      <c r="W1559" s="20">
        <v>23</v>
      </c>
      <c r="X1559" s="65" t="s">
        <v>2010</v>
      </c>
      <c r="Z1559" t="s">
        <v>307</v>
      </c>
      <c r="AB1559" t="s">
        <v>178</v>
      </c>
      <c r="AC1559" t="s">
        <v>2238</v>
      </c>
      <c r="AD1559" s="2" t="s">
        <v>180</v>
      </c>
    </row>
    <row r="1560" spans="1:30" hidden="1" x14ac:dyDescent="0.25">
      <c r="A1560" s="2">
        <v>225</v>
      </c>
      <c r="B1560" t="s">
        <v>2241</v>
      </c>
      <c r="C1560">
        <v>12</v>
      </c>
      <c r="D1560">
        <v>490</v>
      </c>
      <c r="E1560">
        <v>6464</v>
      </c>
      <c r="F1560" t="s">
        <v>273</v>
      </c>
      <c r="G1560" s="2" t="s">
        <v>156</v>
      </c>
      <c r="H1560">
        <v>1</v>
      </c>
      <c r="I1560">
        <v>298.16000000000003</v>
      </c>
      <c r="J1560" s="2" t="s">
        <v>170</v>
      </c>
      <c r="K1560" s="2" t="s">
        <v>74</v>
      </c>
      <c r="M1560" t="s">
        <v>2440</v>
      </c>
      <c r="P1560" s="19" t="s">
        <v>2011</v>
      </c>
      <c r="Q1560" s="19" t="s">
        <v>27</v>
      </c>
      <c r="R1560" s="19" t="s">
        <v>138</v>
      </c>
      <c r="W1560" s="20">
        <v>23</v>
      </c>
      <c r="X1560" s="65" t="s">
        <v>2010</v>
      </c>
      <c r="Z1560" t="s">
        <v>307</v>
      </c>
      <c r="AB1560" t="s">
        <v>178</v>
      </c>
      <c r="AC1560" t="s">
        <v>2238</v>
      </c>
      <c r="AD1560" s="2" t="s">
        <v>180</v>
      </c>
    </row>
    <row r="1561" spans="1:30" hidden="1" x14ac:dyDescent="0.25">
      <c r="A1561" s="2">
        <v>226</v>
      </c>
      <c r="B1561" t="s">
        <v>2242</v>
      </c>
      <c r="C1561">
        <v>12</v>
      </c>
      <c r="D1561">
        <v>490</v>
      </c>
      <c r="E1561">
        <v>6464</v>
      </c>
      <c r="F1561" t="s">
        <v>273</v>
      </c>
      <c r="G1561" s="2" t="s">
        <v>156</v>
      </c>
      <c r="H1561">
        <v>1</v>
      </c>
      <c r="I1561">
        <v>298.16000000000003</v>
      </c>
      <c r="J1561" s="2" t="s">
        <v>170</v>
      </c>
      <c r="K1561" s="2" t="s">
        <v>74</v>
      </c>
      <c r="M1561" t="s">
        <v>2440</v>
      </c>
      <c r="P1561" s="19" t="s">
        <v>2011</v>
      </c>
      <c r="Q1561" s="19" t="s">
        <v>27</v>
      </c>
      <c r="R1561" s="19" t="s">
        <v>138</v>
      </c>
      <c r="W1561" s="20">
        <v>23</v>
      </c>
      <c r="X1561" s="65" t="s">
        <v>2010</v>
      </c>
      <c r="Z1561" t="s">
        <v>307</v>
      </c>
      <c r="AB1561" t="s">
        <v>178</v>
      </c>
      <c r="AC1561" t="s">
        <v>2238</v>
      </c>
      <c r="AD1561" s="2" t="s">
        <v>180</v>
      </c>
    </row>
    <row r="1562" spans="1:30" hidden="1" x14ac:dyDescent="0.25">
      <c r="A1562" s="2">
        <v>227</v>
      </c>
      <c r="B1562" t="s">
        <v>2243</v>
      </c>
      <c r="C1562">
        <v>12</v>
      </c>
      <c r="D1562">
        <v>490</v>
      </c>
      <c r="E1562">
        <v>6464</v>
      </c>
      <c r="F1562" t="s">
        <v>273</v>
      </c>
      <c r="G1562" s="2" t="s">
        <v>156</v>
      </c>
      <c r="H1562">
        <v>1</v>
      </c>
      <c r="I1562">
        <v>298.16000000000003</v>
      </c>
      <c r="J1562" s="2" t="s">
        <v>170</v>
      </c>
      <c r="K1562" s="2" t="s">
        <v>74</v>
      </c>
      <c r="M1562" t="s">
        <v>2440</v>
      </c>
      <c r="P1562" s="19" t="s">
        <v>2011</v>
      </c>
      <c r="Q1562" s="19" t="s">
        <v>27</v>
      </c>
      <c r="R1562" s="19" t="s">
        <v>138</v>
      </c>
      <c r="W1562" s="20">
        <v>23</v>
      </c>
      <c r="X1562" s="65" t="s">
        <v>2010</v>
      </c>
      <c r="Z1562" t="s">
        <v>307</v>
      </c>
      <c r="AB1562" t="s">
        <v>178</v>
      </c>
      <c r="AC1562" t="s">
        <v>2238</v>
      </c>
      <c r="AD1562" s="2" t="s">
        <v>180</v>
      </c>
    </row>
    <row r="1563" spans="1:30" hidden="1" x14ac:dyDescent="0.25">
      <c r="A1563" s="2">
        <v>228</v>
      </c>
      <c r="B1563" t="s">
        <v>2236</v>
      </c>
      <c r="C1563">
        <v>12</v>
      </c>
      <c r="D1563">
        <v>120</v>
      </c>
      <c r="E1563">
        <v>129</v>
      </c>
      <c r="F1563" t="s">
        <v>273</v>
      </c>
      <c r="G1563" s="2" t="s">
        <v>156</v>
      </c>
      <c r="H1563">
        <v>3</v>
      </c>
      <c r="I1563">
        <v>3.97</v>
      </c>
      <c r="J1563" s="2" t="s">
        <v>170</v>
      </c>
      <c r="K1563" s="2" t="s">
        <v>74</v>
      </c>
      <c r="M1563" t="s">
        <v>2440</v>
      </c>
      <c r="P1563" s="19" t="s">
        <v>2011</v>
      </c>
      <c r="Q1563" s="19" t="s">
        <v>25</v>
      </c>
      <c r="R1563" s="19" t="s">
        <v>138</v>
      </c>
      <c r="W1563" s="20">
        <v>23</v>
      </c>
      <c r="X1563" s="65" t="s">
        <v>2010</v>
      </c>
      <c r="Z1563" t="s">
        <v>307</v>
      </c>
      <c r="AB1563" t="s">
        <v>178</v>
      </c>
      <c r="AC1563" t="s">
        <v>2238</v>
      </c>
      <c r="AD1563" s="2" t="s">
        <v>180</v>
      </c>
    </row>
    <row r="1564" spans="1:30" hidden="1" x14ac:dyDescent="0.25">
      <c r="A1564" s="2">
        <v>229</v>
      </c>
      <c r="B1564" t="s">
        <v>2244</v>
      </c>
      <c r="C1564">
        <v>12</v>
      </c>
      <c r="D1564">
        <v>120</v>
      </c>
      <c r="E1564">
        <v>129</v>
      </c>
      <c r="F1564" t="s">
        <v>273</v>
      </c>
      <c r="G1564" s="2" t="s">
        <v>156</v>
      </c>
      <c r="H1564">
        <v>18</v>
      </c>
      <c r="I1564">
        <v>23.83</v>
      </c>
      <c r="J1564" s="2" t="s">
        <v>170</v>
      </c>
      <c r="K1564" s="2" t="s">
        <v>74</v>
      </c>
      <c r="M1564" t="s">
        <v>2440</v>
      </c>
      <c r="P1564" s="19" t="s">
        <v>2011</v>
      </c>
      <c r="Q1564" s="19" t="s">
        <v>25</v>
      </c>
      <c r="R1564" s="19" t="s">
        <v>138</v>
      </c>
      <c r="W1564" s="20">
        <v>23</v>
      </c>
      <c r="X1564" s="65" t="s">
        <v>2010</v>
      </c>
      <c r="Z1564" t="s">
        <v>307</v>
      </c>
      <c r="AB1564" t="s">
        <v>178</v>
      </c>
      <c r="AC1564" t="s">
        <v>2238</v>
      </c>
      <c r="AD1564" s="2" t="s">
        <v>180</v>
      </c>
    </row>
    <row r="1565" spans="1:30" hidden="1" x14ac:dyDescent="0.25">
      <c r="A1565" s="2">
        <v>230</v>
      </c>
      <c r="B1565" t="s">
        <v>2245</v>
      </c>
      <c r="C1565">
        <v>12</v>
      </c>
      <c r="D1565">
        <v>120</v>
      </c>
      <c r="E1565">
        <v>129</v>
      </c>
      <c r="F1565" t="s">
        <v>273</v>
      </c>
      <c r="G1565" s="2" t="s">
        <v>156</v>
      </c>
      <c r="H1565">
        <v>18</v>
      </c>
      <c r="I1565">
        <v>23.83</v>
      </c>
      <c r="J1565" s="2" t="s">
        <v>170</v>
      </c>
      <c r="K1565" s="2" t="s">
        <v>74</v>
      </c>
      <c r="M1565" t="s">
        <v>2440</v>
      </c>
      <c r="P1565" s="19" t="s">
        <v>2011</v>
      </c>
      <c r="Q1565" s="19" t="s">
        <v>25</v>
      </c>
      <c r="R1565" s="19" t="s">
        <v>138</v>
      </c>
      <c r="W1565" s="20">
        <v>23</v>
      </c>
      <c r="X1565" s="65" t="s">
        <v>2010</v>
      </c>
      <c r="Z1565" t="s">
        <v>307</v>
      </c>
      <c r="AB1565" t="s">
        <v>178</v>
      </c>
      <c r="AC1565" t="s">
        <v>2238</v>
      </c>
      <c r="AD1565" s="2" t="s">
        <v>180</v>
      </c>
    </row>
    <row r="1566" spans="1:30" hidden="1" x14ac:dyDescent="0.25">
      <c r="A1566" s="2">
        <v>231</v>
      </c>
      <c r="B1566" t="s">
        <v>2246</v>
      </c>
      <c r="C1566">
        <v>12</v>
      </c>
      <c r="D1566">
        <v>120</v>
      </c>
      <c r="E1566">
        <v>129</v>
      </c>
      <c r="F1566" t="s">
        <v>273</v>
      </c>
      <c r="G1566" s="2" t="s">
        <v>156</v>
      </c>
      <c r="H1566">
        <v>18</v>
      </c>
      <c r="I1566">
        <v>23.83</v>
      </c>
      <c r="J1566" s="2" t="s">
        <v>170</v>
      </c>
      <c r="K1566" s="2" t="s">
        <v>74</v>
      </c>
      <c r="M1566" t="s">
        <v>2440</v>
      </c>
      <c r="P1566" s="19" t="s">
        <v>2011</v>
      </c>
      <c r="Q1566" s="19" t="s">
        <v>25</v>
      </c>
      <c r="R1566" s="19" t="s">
        <v>138</v>
      </c>
      <c r="W1566" s="20">
        <v>23</v>
      </c>
      <c r="X1566" s="65" t="s">
        <v>2010</v>
      </c>
      <c r="Z1566" t="s">
        <v>307</v>
      </c>
      <c r="AB1566" t="s">
        <v>178</v>
      </c>
      <c r="AC1566" t="s">
        <v>2238</v>
      </c>
      <c r="AD1566" s="2" t="s">
        <v>180</v>
      </c>
    </row>
    <row r="1567" spans="1:30" hidden="1" x14ac:dyDescent="0.25">
      <c r="A1567" s="2">
        <v>232</v>
      </c>
      <c r="B1567" t="s">
        <v>2247</v>
      </c>
      <c r="C1567">
        <v>12</v>
      </c>
      <c r="D1567">
        <v>120</v>
      </c>
      <c r="E1567">
        <v>129</v>
      </c>
      <c r="F1567" t="s">
        <v>273</v>
      </c>
      <c r="G1567" s="2" t="s">
        <v>156</v>
      </c>
      <c r="H1567">
        <v>4</v>
      </c>
      <c r="I1567">
        <v>5.3</v>
      </c>
      <c r="J1567" s="2" t="s">
        <v>170</v>
      </c>
      <c r="K1567" s="2" t="s">
        <v>74</v>
      </c>
      <c r="M1567" t="s">
        <v>2440</v>
      </c>
      <c r="P1567" s="19" t="s">
        <v>2011</v>
      </c>
      <c r="Q1567" s="19" t="s">
        <v>25</v>
      </c>
      <c r="R1567" s="19" t="s">
        <v>138</v>
      </c>
      <c r="W1567" s="20">
        <v>23</v>
      </c>
      <c r="X1567" s="65" t="s">
        <v>2010</v>
      </c>
      <c r="Z1567" t="s">
        <v>307</v>
      </c>
      <c r="AB1567" t="s">
        <v>178</v>
      </c>
      <c r="AC1567" t="s">
        <v>2238</v>
      </c>
      <c r="AD1567" s="2" t="s">
        <v>180</v>
      </c>
    </row>
    <row r="1568" spans="1:30" hidden="1" x14ac:dyDescent="0.25">
      <c r="A1568" s="2">
        <v>233</v>
      </c>
      <c r="B1568" t="s">
        <v>2248</v>
      </c>
      <c r="C1568">
        <v>12</v>
      </c>
      <c r="D1568">
        <v>120</v>
      </c>
      <c r="E1568">
        <v>129</v>
      </c>
      <c r="F1568" t="s">
        <v>273</v>
      </c>
      <c r="G1568" s="2" t="s">
        <v>156</v>
      </c>
      <c r="H1568">
        <v>4</v>
      </c>
      <c r="I1568">
        <v>5.3</v>
      </c>
      <c r="J1568" s="2" t="s">
        <v>170</v>
      </c>
      <c r="K1568" s="2" t="s">
        <v>74</v>
      </c>
      <c r="M1568" t="s">
        <v>2440</v>
      </c>
      <c r="P1568" s="19" t="s">
        <v>2011</v>
      </c>
      <c r="Q1568" s="19" t="s">
        <v>25</v>
      </c>
      <c r="R1568" s="19" t="s">
        <v>138</v>
      </c>
      <c r="W1568" s="20">
        <v>23</v>
      </c>
      <c r="X1568" s="65" t="s">
        <v>2010</v>
      </c>
      <c r="Z1568" t="s">
        <v>307</v>
      </c>
      <c r="AB1568" t="s">
        <v>178</v>
      </c>
      <c r="AC1568" t="s">
        <v>2238</v>
      </c>
      <c r="AD1568" s="2" t="s">
        <v>180</v>
      </c>
    </row>
    <row r="1569" spans="1:30" hidden="1" x14ac:dyDescent="0.25">
      <c r="A1569" s="2">
        <v>234</v>
      </c>
      <c r="B1569" t="s">
        <v>2249</v>
      </c>
      <c r="C1569">
        <v>12</v>
      </c>
      <c r="D1569">
        <v>120</v>
      </c>
      <c r="E1569">
        <v>129</v>
      </c>
      <c r="F1569" t="s">
        <v>273</v>
      </c>
      <c r="G1569" s="2" t="s">
        <v>156</v>
      </c>
      <c r="H1569">
        <v>4</v>
      </c>
      <c r="I1569">
        <v>5.3</v>
      </c>
      <c r="J1569" s="2" t="s">
        <v>170</v>
      </c>
      <c r="K1569" s="2" t="s">
        <v>74</v>
      </c>
      <c r="M1569" t="s">
        <v>2440</v>
      </c>
      <c r="P1569" s="19" t="s">
        <v>2011</v>
      </c>
      <c r="Q1569" s="19" t="s">
        <v>25</v>
      </c>
      <c r="R1569" s="19" t="s">
        <v>138</v>
      </c>
      <c r="W1569" s="20">
        <v>23</v>
      </c>
      <c r="X1569" s="65" t="s">
        <v>2010</v>
      </c>
      <c r="Z1569" t="s">
        <v>307</v>
      </c>
      <c r="AB1569" t="s">
        <v>178</v>
      </c>
      <c r="AC1569" t="s">
        <v>2238</v>
      </c>
      <c r="AD1569" s="2" t="s">
        <v>180</v>
      </c>
    </row>
    <row r="1570" spans="1:30" hidden="1" x14ac:dyDescent="0.25">
      <c r="A1570" s="2">
        <v>235</v>
      </c>
      <c r="B1570" t="s">
        <v>2250</v>
      </c>
      <c r="C1570">
        <v>12</v>
      </c>
      <c r="D1570">
        <v>120</v>
      </c>
      <c r="E1570">
        <v>129</v>
      </c>
      <c r="F1570" t="s">
        <v>273</v>
      </c>
      <c r="G1570" s="2" t="s">
        <v>156</v>
      </c>
      <c r="H1570">
        <v>4</v>
      </c>
      <c r="I1570">
        <v>5.3</v>
      </c>
      <c r="J1570" s="2" t="s">
        <v>170</v>
      </c>
      <c r="K1570" s="2" t="s">
        <v>74</v>
      </c>
      <c r="M1570" t="s">
        <v>2440</v>
      </c>
      <c r="P1570" s="19" t="s">
        <v>2011</v>
      </c>
      <c r="Q1570" s="19" t="s">
        <v>25</v>
      </c>
      <c r="R1570" s="19" t="s">
        <v>138</v>
      </c>
      <c r="W1570" s="20">
        <v>23</v>
      </c>
      <c r="X1570" s="65" t="s">
        <v>2010</v>
      </c>
      <c r="Z1570" t="s">
        <v>307</v>
      </c>
      <c r="AB1570" t="s">
        <v>178</v>
      </c>
      <c r="AC1570" t="s">
        <v>2238</v>
      </c>
      <c r="AD1570" s="2" t="s">
        <v>180</v>
      </c>
    </row>
    <row r="1571" spans="1:30" hidden="1" x14ac:dyDescent="0.25">
      <c r="A1571" s="2">
        <v>236</v>
      </c>
      <c r="B1571" t="s">
        <v>2251</v>
      </c>
      <c r="C1571">
        <v>16</v>
      </c>
      <c r="D1571">
        <v>210</v>
      </c>
      <c r="E1571">
        <v>750</v>
      </c>
      <c r="F1571" t="s">
        <v>273</v>
      </c>
      <c r="G1571" s="2" t="s">
        <v>156</v>
      </c>
      <c r="H1571">
        <v>9</v>
      </c>
      <c r="I1571">
        <v>176.5</v>
      </c>
      <c r="J1571" s="2" t="s">
        <v>170</v>
      </c>
      <c r="K1571" s="2" t="s">
        <v>74</v>
      </c>
      <c r="M1571" t="s">
        <v>2440</v>
      </c>
      <c r="P1571" s="19" t="s">
        <v>2011</v>
      </c>
      <c r="Q1571" s="19" t="s">
        <v>25</v>
      </c>
      <c r="S1571" s="19" t="s">
        <v>138</v>
      </c>
      <c r="W1571" s="20">
        <v>23</v>
      </c>
      <c r="X1571" s="65" t="s">
        <v>2010</v>
      </c>
      <c r="Z1571" t="s">
        <v>307</v>
      </c>
      <c r="AB1571" t="s">
        <v>178</v>
      </c>
      <c r="AC1571" t="s">
        <v>2253</v>
      </c>
      <c r="AD1571" s="2" t="s">
        <v>2254</v>
      </c>
    </row>
    <row r="1572" spans="1:30" hidden="1" x14ac:dyDescent="0.25">
      <c r="A1572" s="2">
        <v>237</v>
      </c>
      <c r="B1572" t="s">
        <v>2256</v>
      </c>
      <c r="C1572">
        <v>16</v>
      </c>
      <c r="D1572">
        <v>210</v>
      </c>
      <c r="E1572">
        <v>651</v>
      </c>
      <c r="F1572" t="s">
        <v>273</v>
      </c>
      <c r="G1572" s="2" t="s">
        <v>156</v>
      </c>
      <c r="H1572">
        <v>9</v>
      </c>
      <c r="I1572">
        <v>154.37</v>
      </c>
      <c r="J1572" s="2" t="s">
        <v>170</v>
      </c>
      <c r="K1572" s="2" t="s">
        <v>74</v>
      </c>
      <c r="M1572" t="s">
        <v>2440</v>
      </c>
      <c r="P1572" s="19" t="s">
        <v>2011</v>
      </c>
      <c r="Q1572" s="19" t="s">
        <v>25</v>
      </c>
      <c r="S1572" s="19" t="s">
        <v>138</v>
      </c>
      <c r="W1572" s="20">
        <v>23</v>
      </c>
      <c r="X1572" s="65" t="s">
        <v>2010</v>
      </c>
      <c r="Z1572" t="s">
        <v>307</v>
      </c>
      <c r="AB1572" t="s">
        <v>178</v>
      </c>
      <c r="AC1572" t="s">
        <v>2253</v>
      </c>
      <c r="AD1572" s="2" t="s">
        <v>2254</v>
      </c>
    </row>
    <row r="1573" spans="1:30" hidden="1" x14ac:dyDescent="0.25">
      <c r="A1573" s="2">
        <v>238</v>
      </c>
      <c r="B1573" t="s">
        <v>2257</v>
      </c>
      <c r="C1573">
        <v>16</v>
      </c>
      <c r="D1573">
        <v>210</v>
      </c>
      <c r="E1573">
        <v>651</v>
      </c>
      <c r="F1573" t="s">
        <v>273</v>
      </c>
      <c r="G1573" s="2" t="s">
        <v>156</v>
      </c>
      <c r="H1573">
        <v>10</v>
      </c>
      <c r="I1573">
        <v>171.53</v>
      </c>
      <c r="J1573" s="2" t="s">
        <v>170</v>
      </c>
      <c r="K1573" s="2" t="s">
        <v>74</v>
      </c>
      <c r="M1573" t="s">
        <v>2440</v>
      </c>
      <c r="P1573" s="19" t="s">
        <v>2011</v>
      </c>
      <c r="Q1573" s="19" t="s">
        <v>25</v>
      </c>
      <c r="S1573" s="19" t="s">
        <v>138</v>
      </c>
      <c r="W1573" s="20">
        <v>23</v>
      </c>
      <c r="X1573" s="65" t="s">
        <v>2010</v>
      </c>
      <c r="Z1573" t="s">
        <v>307</v>
      </c>
      <c r="AB1573" t="s">
        <v>178</v>
      </c>
      <c r="AC1573" t="s">
        <v>2253</v>
      </c>
      <c r="AD1573" s="2" t="s">
        <v>2254</v>
      </c>
    </row>
    <row r="1574" spans="1:30" hidden="1" x14ac:dyDescent="0.25">
      <c r="A1574" s="2">
        <v>239</v>
      </c>
      <c r="B1574" t="s">
        <v>2258</v>
      </c>
      <c r="C1574">
        <v>16</v>
      </c>
      <c r="D1574">
        <v>210</v>
      </c>
      <c r="E1574">
        <v>750</v>
      </c>
      <c r="F1574" t="s">
        <v>273</v>
      </c>
      <c r="G1574" s="2" t="s">
        <v>156</v>
      </c>
      <c r="H1574">
        <v>3</v>
      </c>
      <c r="I1574">
        <v>58.83</v>
      </c>
      <c r="J1574" s="2" t="s">
        <v>170</v>
      </c>
      <c r="K1574" s="2" t="s">
        <v>74</v>
      </c>
      <c r="M1574" t="s">
        <v>2440</v>
      </c>
      <c r="P1574" s="19" t="s">
        <v>2011</v>
      </c>
      <c r="Q1574" s="19" t="s">
        <v>25</v>
      </c>
      <c r="S1574" s="19" t="s">
        <v>138</v>
      </c>
      <c r="W1574" s="20">
        <v>23</v>
      </c>
      <c r="X1574" s="65" t="s">
        <v>2010</v>
      </c>
      <c r="Z1574" t="s">
        <v>307</v>
      </c>
      <c r="AB1574" t="s">
        <v>178</v>
      </c>
      <c r="AC1574" t="s">
        <v>2253</v>
      </c>
      <c r="AD1574" s="2" t="s">
        <v>2254</v>
      </c>
    </row>
    <row r="1575" spans="1:30" hidden="1" x14ac:dyDescent="0.25">
      <c r="A1575" s="2">
        <v>240</v>
      </c>
      <c r="B1575" t="s">
        <v>2259</v>
      </c>
      <c r="C1575">
        <v>16</v>
      </c>
      <c r="D1575">
        <v>210</v>
      </c>
      <c r="E1575">
        <v>651</v>
      </c>
      <c r="F1575" t="s">
        <v>273</v>
      </c>
      <c r="G1575" s="2" t="s">
        <v>156</v>
      </c>
      <c r="H1575">
        <v>10</v>
      </c>
      <c r="I1575">
        <v>171.53</v>
      </c>
      <c r="J1575" s="2" t="s">
        <v>170</v>
      </c>
      <c r="K1575" s="2" t="s">
        <v>74</v>
      </c>
      <c r="M1575" t="s">
        <v>2440</v>
      </c>
      <c r="P1575" s="19" t="s">
        <v>2011</v>
      </c>
      <c r="Q1575" s="19" t="s">
        <v>25</v>
      </c>
      <c r="S1575" s="19" t="s">
        <v>138</v>
      </c>
      <c r="W1575" s="20">
        <v>23</v>
      </c>
      <c r="X1575" s="65" t="s">
        <v>2010</v>
      </c>
      <c r="Z1575" t="s">
        <v>307</v>
      </c>
      <c r="AB1575" t="s">
        <v>178</v>
      </c>
      <c r="AC1575" t="s">
        <v>2253</v>
      </c>
      <c r="AD1575" s="2" t="s">
        <v>2254</v>
      </c>
    </row>
    <row r="1576" spans="1:30" hidden="1" x14ac:dyDescent="0.25">
      <c r="A1576" s="2">
        <v>241</v>
      </c>
      <c r="B1576" t="s">
        <v>2260</v>
      </c>
      <c r="C1576">
        <v>16</v>
      </c>
      <c r="D1576">
        <v>210</v>
      </c>
      <c r="E1576">
        <v>651</v>
      </c>
      <c r="F1576" t="s">
        <v>273</v>
      </c>
      <c r="G1576" s="2" t="s">
        <v>156</v>
      </c>
      <c r="H1576">
        <v>10</v>
      </c>
      <c r="I1576">
        <v>171.53</v>
      </c>
      <c r="J1576" s="2" t="s">
        <v>170</v>
      </c>
      <c r="K1576" s="2" t="s">
        <v>74</v>
      </c>
      <c r="M1576" t="s">
        <v>2440</v>
      </c>
      <c r="P1576" s="19" t="s">
        <v>2011</v>
      </c>
      <c r="Q1576" s="19" t="s">
        <v>25</v>
      </c>
      <c r="S1576" s="19" t="s">
        <v>138</v>
      </c>
      <c r="W1576" s="20">
        <v>23</v>
      </c>
      <c r="X1576" s="65" t="s">
        <v>2010</v>
      </c>
      <c r="Z1576" t="s">
        <v>307</v>
      </c>
      <c r="AB1576" t="s">
        <v>178</v>
      </c>
      <c r="AC1576" t="s">
        <v>2253</v>
      </c>
      <c r="AD1576" s="2" t="s">
        <v>2254</v>
      </c>
    </row>
    <row r="1577" spans="1:30" hidden="1" x14ac:dyDescent="0.25">
      <c r="A1577" s="2">
        <v>242</v>
      </c>
      <c r="B1577" t="s">
        <v>2251</v>
      </c>
      <c r="C1577">
        <v>16</v>
      </c>
      <c r="D1577">
        <v>210</v>
      </c>
      <c r="E1577">
        <v>750</v>
      </c>
      <c r="F1577" t="s">
        <v>273</v>
      </c>
      <c r="G1577" s="2" t="s">
        <v>156</v>
      </c>
      <c r="H1577">
        <v>3</v>
      </c>
      <c r="I1577">
        <v>58.83</v>
      </c>
      <c r="J1577" s="2" t="s">
        <v>170</v>
      </c>
      <c r="K1577" s="2" t="s">
        <v>74</v>
      </c>
      <c r="M1577" t="s">
        <v>2440</v>
      </c>
      <c r="P1577" s="19" t="s">
        <v>2011</v>
      </c>
      <c r="Q1577" s="19" t="s">
        <v>25</v>
      </c>
      <c r="R1577" s="19" t="s">
        <v>138</v>
      </c>
      <c r="W1577" s="20">
        <v>23</v>
      </c>
      <c r="X1577" s="65" t="s">
        <v>2010</v>
      </c>
      <c r="Z1577" t="s">
        <v>307</v>
      </c>
      <c r="AB1577" t="s">
        <v>178</v>
      </c>
      <c r="AC1577" t="s">
        <v>2261</v>
      </c>
      <c r="AD1577" s="2" t="s">
        <v>180</v>
      </c>
    </row>
    <row r="1578" spans="1:30" hidden="1" x14ac:dyDescent="0.25">
      <c r="A1578" s="2">
        <v>243</v>
      </c>
      <c r="B1578" t="s">
        <v>2263</v>
      </c>
      <c r="C1578">
        <v>16</v>
      </c>
      <c r="D1578">
        <v>2235</v>
      </c>
      <c r="E1578">
        <v>3592</v>
      </c>
      <c r="F1578" t="s">
        <v>273</v>
      </c>
      <c r="G1578" s="2" t="s">
        <v>156</v>
      </c>
      <c r="H1578">
        <v>6</v>
      </c>
      <c r="I1578">
        <v>35.79</v>
      </c>
      <c r="J1578" s="2" t="s">
        <v>170</v>
      </c>
      <c r="K1578" s="2" t="s">
        <v>74</v>
      </c>
      <c r="M1578" t="s">
        <v>2440</v>
      </c>
      <c r="P1578" s="19" t="s">
        <v>2011</v>
      </c>
      <c r="Q1578" s="19" t="s">
        <v>25</v>
      </c>
      <c r="R1578" s="19" t="s">
        <v>138</v>
      </c>
      <c r="W1578" s="20">
        <v>23</v>
      </c>
      <c r="X1578" s="65" t="s">
        <v>2010</v>
      </c>
      <c r="Z1578" t="s">
        <v>307</v>
      </c>
      <c r="AB1578" t="s">
        <v>178</v>
      </c>
      <c r="AC1578" t="s">
        <v>2261</v>
      </c>
      <c r="AD1578" s="2" t="s">
        <v>180</v>
      </c>
    </row>
    <row r="1579" spans="1:30" hidden="1" x14ac:dyDescent="0.25">
      <c r="A1579" s="2">
        <v>244</v>
      </c>
      <c r="B1579" t="s">
        <v>2256</v>
      </c>
      <c r="C1579">
        <v>16</v>
      </c>
      <c r="D1579">
        <v>210</v>
      </c>
      <c r="E1579">
        <v>651</v>
      </c>
      <c r="F1579" t="s">
        <v>273</v>
      </c>
      <c r="G1579" s="2" t="s">
        <v>156</v>
      </c>
      <c r="H1579">
        <v>1</v>
      </c>
      <c r="I1579">
        <v>17.149999999999999</v>
      </c>
      <c r="J1579" s="2" t="s">
        <v>170</v>
      </c>
      <c r="K1579" s="2" t="s">
        <v>74</v>
      </c>
      <c r="M1579" t="s">
        <v>2440</v>
      </c>
      <c r="P1579" s="19" t="s">
        <v>2011</v>
      </c>
      <c r="Q1579" s="19" t="s">
        <v>25</v>
      </c>
      <c r="R1579" s="19" t="s">
        <v>138</v>
      </c>
      <c r="W1579" s="20">
        <v>23</v>
      </c>
      <c r="X1579" s="65" t="s">
        <v>2010</v>
      </c>
      <c r="Z1579" t="s">
        <v>307</v>
      </c>
      <c r="AB1579" t="s">
        <v>178</v>
      </c>
      <c r="AC1579" t="s">
        <v>2261</v>
      </c>
      <c r="AD1579" s="2" t="s">
        <v>180</v>
      </c>
    </row>
    <row r="1580" spans="1:30" hidden="1" x14ac:dyDescent="0.25">
      <c r="A1580" s="2">
        <v>245</v>
      </c>
      <c r="B1580" t="s">
        <v>2264</v>
      </c>
      <c r="C1580">
        <v>16</v>
      </c>
      <c r="D1580">
        <v>210</v>
      </c>
      <c r="E1580">
        <v>750</v>
      </c>
      <c r="F1580" t="s">
        <v>273</v>
      </c>
      <c r="G1580" s="2" t="s">
        <v>156</v>
      </c>
      <c r="H1580">
        <v>12</v>
      </c>
      <c r="I1580">
        <v>235.33</v>
      </c>
      <c r="J1580" s="2" t="s">
        <v>170</v>
      </c>
      <c r="K1580" s="2" t="s">
        <v>74</v>
      </c>
      <c r="M1580" t="s">
        <v>2440</v>
      </c>
      <c r="P1580" s="19" t="s">
        <v>2011</v>
      </c>
      <c r="Q1580" s="19" t="s">
        <v>25</v>
      </c>
      <c r="R1580" s="19" t="s">
        <v>138</v>
      </c>
      <c r="W1580" s="20">
        <v>23</v>
      </c>
      <c r="X1580" s="65" t="s">
        <v>2010</v>
      </c>
      <c r="Z1580" t="s">
        <v>307</v>
      </c>
      <c r="AB1580" t="s">
        <v>178</v>
      </c>
      <c r="AC1580" t="s">
        <v>2261</v>
      </c>
      <c r="AD1580" s="2" t="s">
        <v>180</v>
      </c>
    </row>
    <row r="1581" spans="1:30" hidden="1" x14ac:dyDescent="0.25">
      <c r="A1581" s="2">
        <v>246</v>
      </c>
      <c r="B1581" t="s">
        <v>2265</v>
      </c>
      <c r="C1581">
        <v>16</v>
      </c>
      <c r="D1581">
        <v>190</v>
      </c>
      <c r="E1581">
        <v>251</v>
      </c>
      <c r="F1581" t="s">
        <v>273</v>
      </c>
      <c r="G1581" s="2" t="s">
        <v>156</v>
      </c>
      <c r="H1581">
        <v>10</v>
      </c>
      <c r="I1581">
        <v>59.65</v>
      </c>
      <c r="J1581" s="2" t="s">
        <v>170</v>
      </c>
      <c r="K1581" s="2" t="s">
        <v>74</v>
      </c>
      <c r="M1581" t="s">
        <v>2440</v>
      </c>
      <c r="P1581" s="19" t="s">
        <v>2011</v>
      </c>
      <c r="Q1581" s="19" t="s">
        <v>25</v>
      </c>
      <c r="R1581" s="19" t="s">
        <v>138</v>
      </c>
      <c r="W1581" s="20">
        <v>23</v>
      </c>
      <c r="X1581" s="65" t="s">
        <v>2010</v>
      </c>
      <c r="Z1581" t="s">
        <v>307</v>
      </c>
      <c r="AB1581" t="s">
        <v>178</v>
      </c>
      <c r="AC1581" t="s">
        <v>2261</v>
      </c>
      <c r="AD1581" s="2" t="s">
        <v>180</v>
      </c>
    </row>
    <row r="1582" spans="1:30" hidden="1" x14ac:dyDescent="0.25">
      <c r="A1582" s="2">
        <v>247</v>
      </c>
      <c r="B1582" t="s">
        <v>2258</v>
      </c>
      <c r="C1582">
        <v>16</v>
      </c>
      <c r="D1582">
        <v>210</v>
      </c>
      <c r="E1582">
        <v>750</v>
      </c>
      <c r="F1582" t="s">
        <v>273</v>
      </c>
      <c r="G1582" s="2" t="s">
        <v>156</v>
      </c>
      <c r="H1582">
        <v>9</v>
      </c>
      <c r="I1582">
        <v>176.5</v>
      </c>
      <c r="J1582" s="2" t="s">
        <v>170</v>
      </c>
      <c r="K1582" s="2" t="s">
        <v>74</v>
      </c>
      <c r="M1582" t="s">
        <v>2440</v>
      </c>
      <c r="P1582" s="19" t="s">
        <v>2011</v>
      </c>
      <c r="Q1582" s="19" t="s">
        <v>25</v>
      </c>
      <c r="R1582" s="19" t="s">
        <v>138</v>
      </c>
      <c r="W1582" s="20">
        <v>23</v>
      </c>
      <c r="X1582" s="65" t="s">
        <v>2010</v>
      </c>
      <c r="Z1582" t="s">
        <v>307</v>
      </c>
      <c r="AB1582" t="s">
        <v>178</v>
      </c>
      <c r="AC1582" t="s">
        <v>2261</v>
      </c>
      <c r="AD1582" s="2" t="s">
        <v>180</v>
      </c>
    </row>
    <row r="1583" spans="1:30" hidden="1" x14ac:dyDescent="0.25">
      <c r="A1583" s="2">
        <v>248</v>
      </c>
      <c r="B1583" t="s">
        <v>2267</v>
      </c>
      <c r="C1583">
        <v>16</v>
      </c>
      <c r="D1583">
        <v>190</v>
      </c>
      <c r="E1583">
        <v>251</v>
      </c>
      <c r="F1583" t="s">
        <v>273</v>
      </c>
      <c r="G1583" s="2" t="s">
        <v>156</v>
      </c>
      <c r="H1583">
        <v>10</v>
      </c>
      <c r="I1583">
        <v>59.65</v>
      </c>
      <c r="J1583" s="2" t="s">
        <v>170</v>
      </c>
      <c r="K1583" s="2" t="s">
        <v>74</v>
      </c>
      <c r="M1583" t="s">
        <v>2440</v>
      </c>
      <c r="P1583" s="19" t="s">
        <v>2011</v>
      </c>
      <c r="Q1583" s="19" t="s">
        <v>25</v>
      </c>
      <c r="R1583" s="19" t="s">
        <v>138</v>
      </c>
      <c r="W1583" s="20">
        <v>23</v>
      </c>
      <c r="X1583" s="65" t="s">
        <v>2010</v>
      </c>
      <c r="Z1583" t="s">
        <v>307</v>
      </c>
      <c r="AB1583" t="s">
        <v>178</v>
      </c>
      <c r="AC1583" t="s">
        <v>2261</v>
      </c>
      <c r="AD1583" s="2" t="s">
        <v>180</v>
      </c>
    </row>
    <row r="1584" spans="1:30" hidden="1" x14ac:dyDescent="0.25">
      <c r="A1584" s="2">
        <v>249</v>
      </c>
      <c r="B1584" t="s">
        <v>2268</v>
      </c>
      <c r="C1584">
        <v>16</v>
      </c>
      <c r="D1584">
        <v>210</v>
      </c>
      <c r="E1584">
        <v>750</v>
      </c>
      <c r="F1584" t="s">
        <v>273</v>
      </c>
      <c r="G1584" s="2" t="s">
        <v>156</v>
      </c>
      <c r="H1584">
        <v>12</v>
      </c>
      <c r="I1584">
        <v>235.33</v>
      </c>
      <c r="J1584" s="2" t="s">
        <v>170</v>
      </c>
      <c r="K1584" s="2" t="s">
        <v>74</v>
      </c>
      <c r="M1584" t="s">
        <v>2440</v>
      </c>
      <c r="P1584" s="19" t="s">
        <v>2011</v>
      </c>
      <c r="Q1584" s="19" t="s">
        <v>25</v>
      </c>
      <c r="R1584" s="19" t="s">
        <v>138</v>
      </c>
      <c r="W1584" s="20">
        <v>23</v>
      </c>
      <c r="X1584" s="65" t="s">
        <v>2010</v>
      </c>
      <c r="Z1584" t="s">
        <v>307</v>
      </c>
      <c r="AB1584" t="s">
        <v>178</v>
      </c>
      <c r="AC1584" t="s">
        <v>2261</v>
      </c>
      <c r="AD1584" s="2" t="s">
        <v>180</v>
      </c>
    </row>
    <row r="1585" spans="1:30" hidden="1" x14ac:dyDescent="0.25">
      <c r="A1585" s="2">
        <v>250</v>
      </c>
      <c r="B1585" t="s">
        <v>2269</v>
      </c>
      <c r="C1585">
        <v>16</v>
      </c>
      <c r="D1585">
        <v>190</v>
      </c>
      <c r="E1585">
        <v>251</v>
      </c>
      <c r="F1585" t="s">
        <v>273</v>
      </c>
      <c r="G1585" s="2" t="s">
        <v>156</v>
      </c>
      <c r="H1585">
        <v>10</v>
      </c>
      <c r="I1585">
        <v>59.65</v>
      </c>
      <c r="J1585" s="2" t="s">
        <v>170</v>
      </c>
      <c r="K1585" s="2" t="s">
        <v>74</v>
      </c>
      <c r="M1585" t="s">
        <v>2440</v>
      </c>
      <c r="P1585" s="19" t="s">
        <v>2011</v>
      </c>
      <c r="Q1585" s="19" t="s">
        <v>25</v>
      </c>
      <c r="R1585" s="19" t="s">
        <v>138</v>
      </c>
      <c r="W1585" s="20">
        <v>23</v>
      </c>
      <c r="X1585" s="65" t="s">
        <v>2010</v>
      </c>
      <c r="Z1585" t="s">
        <v>307</v>
      </c>
      <c r="AB1585" t="s">
        <v>178</v>
      </c>
      <c r="AC1585" t="s">
        <v>2261</v>
      </c>
      <c r="AD1585" s="2" t="s">
        <v>180</v>
      </c>
    </row>
    <row r="1586" spans="1:30" hidden="1" x14ac:dyDescent="0.25">
      <c r="A1586" s="2">
        <v>251</v>
      </c>
      <c r="B1586" t="s">
        <v>2270</v>
      </c>
      <c r="C1586">
        <v>20</v>
      </c>
      <c r="D1586">
        <v>270</v>
      </c>
      <c r="E1586">
        <v>300</v>
      </c>
      <c r="F1586" t="s">
        <v>273</v>
      </c>
      <c r="G1586" s="2" t="s">
        <v>156</v>
      </c>
      <c r="H1586">
        <v>2</v>
      </c>
      <c r="I1586">
        <v>25.43</v>
      </c>
      <c r="J1586" s="2" t="s">
        <v>170</v>
      </c>
      <c r="K1586" s="2" t="s">
        <v>74</v>
      </c>
      <c r="M1586" t="s">
        <v>2440</v>
      </c>
      <c r="P1586" s="19" t="s">
        <v>2011</v>
      </c>
      <c r="Q1586" s="19" t="s">
        <v>25</v>
      </c>
      <c r="S1586" s="19" t="s">
        <v>138</v>
      </c>
      <c r="W1586" s="20">
        <v>23</v>
      </c>
      <c r="X1586" s="65" t="s">
        <v>2010</v>
      </c>
      <c r="Z1586" t="s">
        <v>307</v>
      </c>
      <c r="AB1586" t="s">
        <v>178</v>
      </c>
      <c r="AC1586" t="s">
        <v>2272</v>
      </c>
      <c r="AD1586" s="2" t="s">
        <v>2273</v>
      </c>
    </row>
    <row r="1587" spans="1:30" hidden="1" x14ac:dyDescent="0.25">
      <c r="A1587" s="2">
        <v>252</v>
      </c>
      <c r="B1587" t="s">
        <v>2275</v>
      </c>
      <c r="C1587">
        <v>20</v>
      </c>
      <c r="D1587">
        <v>300</v>
      </c>
      <c r="E1587">
        <v>480</v>
      </c>
      <c r="F1587" t="s">
        <v>273</v>
      </c>
      <c r="G1587" s="2" t="s">
        <v>156</v>
      </c>
      <c r="H1587">
        <v>1</v>
      </c>
      <c r="I1587">
        <v>22.61</v>
      </c>
      <c r="J1587" s="2" t="s">
        <v>170</v>
      </c>
      <c r="K1587" s="2" t="s">
        <v>74</v>
      </c>
      <c r="M1587" t="s">
        <v>2440</v>
      </c>
      <c r="P1587" s="19" t="s">
        <v>2011</v>
      </c>
      <c r="Q1587" s="19" t="s">
        <v>25</v>
      </c>
      <c r="S1587" s="19" t="s">
        <v>138</v>
      </c>
      <c r="W1587" s="20">
        <v>23</v>
      </c>
      <c r="X1587" s="65" t="s">
        <v>2010</v>
      </c>
      <c r="Z1587" t="s">
        <v>307</v>
      </c>
      <c r="AB1587" t="s">
        <v>178</v>
      </c>
      <c r="AC1587" t="s">
        <v>2272</v>
      </c>
      <c r="AD1587" s="2" t="s">
        <v>2273</v>
      </c>
    </row>
    <row r="1588" spans="1:30" hidden="1" x14ac:dyDescent="0.25">
      <c r="A1588" s="2">
        <v>253</v>
      </c>
      <c r="B1588" t="s">
        <v>2276</v>
      </c>
      <c r="C1588">
        <v>20</v>
      </c>
      <c r="D1588">
        <v>270</v>
      </c>
      <c r="E1588">
        <v>300</v>
      </c>
      <c r="F1588" t="s">
        <v>273</v>
      </c>
      <c r="G1588" s="2" t="s">
        <v>156</v>
      </c>
      <c r="H1588">
        <v>1</v>
      </c>
      <c r="I1588">
        <v>12.72</v>
      </c>
      <c r="J1588" s="2" t="s">
        <v>170</v>
      </c>
      <c r="K1588" s="2" t="s">
        <v>74</v>
      </c>
      <c r="M1588" t="s">
        <v>2440</v>
      </c>
      <c r="P1588" s="19" t="s">
        <v>2011</v>
      </c>
      <c r="Q1588" s="19" t="s">
        <v>25</v>
      </c>
      <c r="S1588" s="19" t="s">
        <v>138</v>
      </c>
      <c r="W1588" s="20">
        <v>23</v>
      </c>
      <c r="X1588" s="65" t="s">
        <v>2010</v>
      </c>
      <c r="Z1588" t="s">
        <v>307</v>
      </c>
      <c r="AB1588" t="s">
        <v>178</v>
      </c>
      <c r="AC1588" t="s">
        <v>2272</v>
      </c>
      <c r="AD1588" s="2" t="s">
        <v>2273</v>
      </c>
    </row>
    <row r="1589" spans="1:30" hidden="1" x14ac:dyDescent="0.25">
      <c r="A1589" s="2">
        <v>254</v>
      </c>
      <c r="B1589" t="s">
        <v>2277</v>
      </c>
      <c r="C1589">
        <v>20</v>
      </c>
      <c r="D1589">
        <v>270</v>
      </c>
      <c r="E1589">
        <v>300</v>
      </c>
      <c r="F1589" t="s">
        <v>273</v>
      </c>
      <c r="G1589" s="2" t="s">
        <v>156</v>
      </c>
      <c r="H1589">
        <v>1</v>
      </c>
      <c r="I1589">
        <v>12.72</v>
      </c>
      <c r="J1589" s="2" t="s">
        <v>170</v>
      </c>
      <c r="K1589" s="2" t="s">
        <v>74</v>
      </c>
      <c r="M1589" t="s">
        <v>2440</v>
      </c>
      <c r="P1589" s="19" t="s">
        <v>2011</v>
      </c>
      <c r="Q1589" s="19" t="s">
        <v>25</v>
      </c>
      <c r="S1589" s="19" t="s">
        <v>138</v>
      </c>
      <c r="W1589" s="20">
        <v>23</v>
      </c>
      <c r="X1589" s="65" t="s">
        <v>2010</v>
      </c>
      <c r="Z1589" t="s">
        <v>307</v>
      </c>
      <c r="AB1589" t="s">
        <v>178</v>
      </c>
      <c r="AC1589" t="s">
        <v>2272</v>
      </c>
      <c r="AD1589" s="2" t="s">
        <v>2273</v>
      </c>
    </row>
    <row r="1590" spans="1:30" hidden="1" x14ac:dyDescent="0.25">
      <c r="A1590" s="2">
        <v>255</v>
      </c>
      <c r="B1590" t="s">
        <v>2278</v>
      </c>
      <c r="C1590">
        <v>20</v>
      </c>
      <c r="D1590">
        <v>270</v>
      </c>
      <c r="E1590">
        <v>300</v>
      </c>
      <c r="F1590" t="s">
        <v>273</v>
      </c>
      <c r="G1590" s="2" t="s">
        <v>156</v>
      </c>
      <c r="H1590">
        <v>1</v>
      </c>
      <c r="I1590">
        <v>12.72</v>
      </c>
      <c r="J1590" s="2" t="s">
        <v>170</v>
      </c>
      <c r="K1590" s="2" t="s">
        <v>74</v>
      </c>
      <c r="M1590" t="s">
        <v>2440</v>
      </c>
      <c r="P1590" s="19" t="s">
        <v>2011</v>
      </c>
      <c r="Q1590" s="19" t="s">
        <v>25</v>
      </c>
      <c r="S1590" s="19" t="s">
        <v>138</v>
      </c>
      <c r="W1590" s="20">
        <v>23</v>
      </c>
      <c r="X1590" s="65" t="s">
        <v>2010</v>
      </c>
      <c r="Z1590" t="s">
        <v>307</v>
      </c>
      <c r="AB1590" t="s">
        <v>178</v>
      </c>
      <c r="AC1590" t="s">
        <v>2272</v>
      </c>
      <c r="AD1590" s="2" t="s">
        <v>2273</v>
      </c>
    </row>
    <row r="1591" spans="1:30" hidden="1" x14ac:dyDescent="0.25">
      <c r="A1591" s="2">
        <v>256</v>
      </c>
      <c r="B1591" t="s">
        <v>2275</v>
      </c>
      <c r="C1591">
        <v>20</v>
      </c>
      <c r="D1591">
        <v>300</v>
      </c>
      <c r="E1591">
        <v>480</v>
      </c>
      <c r="F1591" t="s">
        <v>273</v>
      </c>
      <c r="G1591" s="2" t="s">
        <v>156</v>
      </c>
      <c r="H1591">
        <v>1</v>
      </c>
      <c r="I1591">
        <v>22.61</v>
      </c>
      <c r="J1591" s="2" t="s">
        <v>170</v>
      </c>
      <c r="K1591" s="2" t="s">
        <v>74</v>
      </c>
      <c r="M1591" t="s">
        <v>2440</v>
      </c>
      <c r="P1591" s="19" t="s">
        <v>2011</v>
      </c>
      <c r="Q1591" s="19" t="s">
        <v>25</v>
      </c>
      <c r="S1591" s="19" t="s">
        <v>138</v>
      </c>
      <c r="W1591" s="20">
        <v>23</v>
      </c>
      <c r="X1591" s="65" t="s">
        <v>2010</v>
      </c>
      <c r="Z1591" t="s">
        <v>307</v>
      </c>
      <c r="AB1591" t="s">
        <v>178</v>
      </c>
      <c r="AC1591" t="s">
        <v>2280</v>
      </c>
      <c r="AD1591" s="2" t="s">
        <v>2281</v>
      </c>
    </row>
    <row r="1592" spans="1:30" hidden="1" x14ac:dyDescent="0.25">
      <c r="A1592" s="2">
        <v>257</v>
      </c>
      <c r="B1592" t="s">
        <v>2283</v>
      </c>
      <c r="C1592">
        <v>20</v>
      </c>
      <c r="D1592">
        <v>300</v>
      </c>
      <c r="E1592">
        <v>480</v>
      </c>
      <c r="F1592" t="s">
        <v>273</v>
      </c>
      <c r="G1592" s="2" t="s">
        <v>156</v>
      </c>
      <c r="H1592">
        <v>1</v>
      </c>
      <c r="I1592">
        <v>22.61</v>
      </c>
      <c r="J1592" s="2" t="s">
        <v>170</v>
      </c>
      <c r="K1592" s="2" t="s">
        <v>74</v>
      </c>
      <c r="M1592" t="s">
        <v>2440</v>
      </c>
      <c r="P1592" s="19" t="s">
        <v>2011</v>
      </c>
      <c r="Q1592" s="19" t="s">
        <v>25</v>
      </c>
      <c r="S1592" s="19" t="s">
        <v>138</v>
      </c>
      <c r="W1592" s="20">
        <v>23</v>
      </c>
      <c r="X1592" s="65" t="s">
        <v>2010</v>
      </c>
      <c r="Z1592" t="s">
        <v>307</v>
      </c>
      <c r="AB1592" t="s">
        <v>178</v>
      </c>
      <c r="AC1592" t="s">
        <v>2280</v>
      </c>
      <c r="AD1592" s="2" t="s">
        <v>2281</v>
      </c>
    </row>
    <row r="1593" spans="1:30" hidden="1" x14ac:dyDescent="0.25">
      <c r="A1593" s="2">
        <v>258</v>
      </c>
      <c r="B1593" t="s">
        <v>2284</v>
      </c>
      <c r="C1593">
        <v>20</v>
      </c>
      <c r="D1593">
        <v>300</v>
      </c>
      <c r="E1593">
        <v>480</v>
      </c>
      <c r="F1593" t="s">
        <v>273</v>
      </c>
      <c r="G1593" s="2" t="s">
        <v>156</v>
      </c>
      <c r="H1593">
        <v>3</v>
      </c>
      <c r="I1593">
        <v>67.819999999999993</v>
      </c>
      <c r="J1593" s="2" t="s">
        <v>170</v>
      </c>
      <c r="K1593" s="2" t="s">
        <v>74</v>
      </c>
      <c r="M1593" t="s">
        <v>2440</v>
      </c>
      <c r="P1593" s="19" t="s">
        <v>2011</v>
      </c>
      <c r="Q1593" s="19" t="s">
        <v>25</v>
      </c>
      <c r="S1593" s="19" t="s">
        <v>138</v>
      </c>
      <c r="W1593" s="20">
        <v>23</v>
      </c>
      <c r="X1593" s="65" t="s">
        <v>2010</v>
      </c>
      <c r="Z1593" t="s">
        <v>307</v>
      </c>
      <c r="AB1593" t="s">
        <v>178</v>
      </c>
      <c r="AC1593" t="s">
        <v>2280</v>
      </c>
      <c r="AD1593" s="2" t="s">
        <v>2281</v>
      </c>
    </row>
    <row r="1594" spans="1:30" hidden="1" x14ac:dyDescent="0.25">
      <c r="A1594" s="2">
        <v>259</v>
      </c>
      <c r="B1594" t="s">
        <v>2285</v>
      </c>
      <c r="C1594">
        <v>20</v>
      </c>
      <c r="D1594">
        <v>300</v>
      </c>
      <c r="E1594">
        <v>1514</v>
      </c>
      <c r="F1594" t="s">
        <v>273</v>
      </c>
      <c r="G1594" s="2" t="s">
        <v>156</v>
      </c>
      <c r="H1594">
        <v>1</v>
      </c>
      <c r="I1594">
        <v>71.31</v>
      </c>
      <c r="J1594" s="2" t="s">
        <v>170</v>
      </c>
      <c r="K1594" s="2" t="s">
        <v>74</v>
      </c>
      <c r="M1594" t="s">
        <v>2440</v>
      </c>
      <c r="P1594" s="19" t="s">
        <v>2011</v>
      </c>
      <c r="Q1594" s="19" t="s">
        <v>27</v>
      </c>
      <c r="S1594" s="19" t="s">
        <v>138</v>
      </c>
      <c r="W1594" s="20">
        <v>23</v>
      </c>
      <c r="X1594" s="65" t="s">
        <v>2010</v>
      </c>
      <c r="Z1594" t="s">
        <v>307</v>
      </c>
      <c r="AB1594" t="s">
        <v>178</v>
      </c>
      <c r="AC1594" t="s">
        <v>2287</v>
      </c>
      <c r="AD1594" s="2" t="s">
        <v>2288</v>
      </c>
    </row>
    <row r="1595" spans="1:30" hidden="1" x14ac:dyDescent="0.25">
      <c r="A1595" s="2">
        <v>260</v>
      </c>
      <c r="B1595" t="s">
        <v>2290</v>
      </c>
      <c r="C1595">
        <v>20</v>
      </c>
      <c r="D1595">
        <v>300</v>
      </c>
      <c r="E1595">
        <v>1514</v>
      </c>
      <c r="F1595" t="s">
        <v>273</v>
      </c>
      <c r="G1595" s="2" t="s">
        <v>156</v>
      </c>
      <c r="H1595">
        <v>1</v>
      </c>
      <c r="I1595">
        <v>71.31</v>
      </c>
      <c r="J1595" s="2" t="s">
        <v>170</v>
      </c>
      <c r="K1595" s="2" t="s">
        <v>74</v>
      </c>
      <c r="M1595" t="s">
        <v>2440</v>
      </c>
      <c r="P1595" s="19" t="s">
        <v>2011</v>
      </c>
      <c r="Q1595" s="19" t="s">
        <v>27</v>
      </c>
      <c r="S1595" s="19" t="s">
        <v>138</v>
      </c>
      <c r="W1595" s="20">
        <v>23</v>
      </c>
      <c r="X1595" s="65" t="s">
        <v>2010</v>
      </c>
      <c r="Z1595" t="s">
        <v>307</v>
      </c>
      <c r="AB1595" t="s">
        <v>178</v>
      </c>
      <c r="AC1595" t="s">
        <v>2287</v>
      </c>
      <c r="AD1595" s="2" t="s">
        <v>2288</v>
      </c>
    </row>
    <row r="1596" spans="1:30" hidden="1" x14ac:dyDescent="0.25">
      <c r="A1596" s="2">
        <v>261</v>
      </c>
      <c r="B1596" t="s">
        <v>2291</v>
      </c>
      <c r="C1596">
        <v>20</v>
      </c>
      <c r="D1596">
        <v>300</v>
      </c>
      <c r="E1596">
        <v>9516</v>
      </c>
      <c r="F1596" t="s">
        <v>273</v>
      </c>
      <c r="G1596" s="2" t="s">
        <v>156</v>
      </c>
      <c r="H1596">
        <v>1</v>
      </c>
      <c r="I1596">
        <v>448.2</v>
      </c>
      <c r="J1596" s="2" t="s">
        <v>170</v>
      </c>
      <c r="K1596" s="2" t="s">
        <v>74</v>
      </c>
      <c r="M1596" t="s">
        <v>2440</v>
      </c>
      <c r="P1596" s="19" t="s">
        <v>2011</v>
      </c>
      <c r="Q1596" s="19" t="s">
        <v>27</v>
      </c>
      <c r="S1596" s="19" t="s">
        <v>138</v>
      </c>
      <c r="V1596" s="19" t="s">
        <v>138</v>
      </c>
      <c r="W1596" s="20">
        <v>23</v>
      </c>
      <c r="X1596" s="65" t="s">
        <v>2010</v>
      </c>
      <c r="Z1596" t="s">
        <v>307</v>
      </c>
      <c r="AB1596" t="s">
        <v>178</v>
      </c>
      <c r="AC1596" t="s">
        <v>2287</v>
      </c>
      <c r="AD1596" s="2" t="s">
        <v>2288</v>
      </c>
    </row>
    <row r="1597" spans="1:30" hidden="1" x14ac:dyDescent="0.25">
      <c r="A1597" s="2">
        <v>262</v>
      </c>
      <c r="B1597" t="s">
        <v>2292</v>
      </c>
      <c r="C1597">
        <v>20</v>
      </c>
      <c r="D1597">
        <v>300</v>
      </c>
      <c r="E1597">
        <v>9516</v>
      </c>
      <c r="F1597" t="s">
        <v>273</v>
      </c>
      <c r="G1597" s="2" t="s">
        <v>156</v>
      </c>
      <c r="H1597">
        <v>1</v>
      </c>
      <c r="I1597">
        <v>448.2</v>
      </c>
      <c r="J1597" s="2" t="s">
        <v>170</v>
      </c>
      <c r="K1597" s="2" t="s">
        <v>74</v>
      </c>
      <c r="M1597" t="s">
        <v>2440</v>
      </c>
      <c r="P1597" s="19" t="s">
        <v>2011</v>
      </c>
      <c r="Q1597" s="19" t="s">
        <v>27</v>
      </c>
      <c r="S1597" s="19" t="s">
        <v>138</v>
      </c>
      <c r="V1597" s="19" t="s">
        <v>138</v>
      </c>
      <c r="W1597" s="20">
        <v>23</v>
      </c>
      <c r="X1597" s="65" t="s">
        <v>2010</v>
      </c>
      <c r="Z1597" t="s">
        <v>307</v>
      </c>
      <c r="AB1597" t="s">
        <v>178</v>
      </c>
      <c r="AC1597" t="s">
        <v>2287</v>
      </c>
      <c r="AD1597" s="2" t="s">
        <v>2288</v>
      </c>
    </row>
    <row r="1598" spans="1:30" hidden="1" x14ac:dyDescent="0.25">
      <c r="A1598" s="2">
        <v>263</v>
      </c>
      <c r="B1598" t="s">
        <v>2293</v>
      </c>
      <c r="C1598">
        <v>20</v>
      </c>
      <c r="D1598">
        <v>300</v>
      </c>
      <c r="E1598">
        <v>9516</v>
      </c>
      <c r="F1598" t="s">
        <v>273</v>
      </c>
      <c r="G1598" s="2" t="s">
        <v>156</v>
      </c>
      <c r="H1598">
        <v>1</v>
      </c>
      <c r="I1598">
        <v>448.2</v>
      </c>
      <c r="J1598" s="2" t="s">
        <v>170</v>
      </c>
      <c r="K1598" s="2" t="s">
        <v>74</v>
      </c>
      <c r="M1598" t="s">
        <v>2440</v>
      </c>
      <c r="P1598" s="19" t="s">
        <v>2011</v>
      </c>
      <c r="Q1598" s="19" t="s">
        <v>27</v>
      </c>
      <c r="S1598" s="19" t="s">
        <v>138</v>
      </c>
      <c r="V1598" s="19" t="s">
        <v>138</v>
      </c>
      <c r="W1598" s="20">
        <v>23</v>
      </c>
      <c r="X1598" s="65" t="s">
        <v>2010</v>
      </c>
      <c r="Z1598" t="s">
        <v>307</v>
      </c>
      <c r="AB1598" t="s">
        <v>178</v>
      </c>
      <c r="AC1598" t="s">
        <v>2287</v>
      </c>
      <c r="AD1598" s="2" t="s">
        <v>2288</v>
      </c>
    </row>
    <row r="1599" spans="1:30" hidden="1" x14ac:dyDescent="0.25">
      <c r="A1599" s="2">
        <v>264</v>
      </c>
      <c r="B1599" t="s">
        <v>2294</v>
      </c>
      <c r="C1599">
        <v>20</v>
      </c>
      <c r="D1599">
        <v>300</v>
      </c>
      <c r="E1599">
        <v>1514</v>
      </c>
      <c r="F1599" t="s">
        <v>273</v>
      </c>
      <c r="G1599" s="2" t="s">
        <v>156</v>
      </c>
      <c r="H1599">
        <v>1</v>
      </c>
      <c r="I1599">
        <v>71.31</v>
      </c>
      <c r="J1599" s="2" t="s">
        <v>170</v>
      </c>
      <c r="K1599" s="2" t="s">
        <v>74</v>
      </c>
      <c r="M1599" t="s">
        <v>2440</v>
      </c>
      <c r="P1599" s="19" t="s">
        <v>2011</v>
      </c>
      <c r="Q1599" s="19" t="s">
        <v>27</v>
      </c>
      <c r="S1599" s="19" t="s">
        <v>138</v>
      </c>
      <c r="W1599" s="20">
        <v>23</v>
      </c>
      <c r="X1599" s="65" t="s">
        <v>2010</v>
      </c>
      <c r="Z1599" t="s">
        <v>307</v>
      </c>
      <c r="AB1599" t="s">
        <v>178</v>
      </c>
      <c r="AC1599" t="s">
        <v>2287</v>
      </c>
      <c r="AD1599" s="2" t="s">
        <v>2288</v>
      </c>
    </row>
    <row r="1600" spans="1:30" hidden="1" x14ac:dyDescent="0.25">
      <c r="A1600" s="2">
        <v>265</v>
      </c>
      <c r="B1600" t="s">
        <v>2295</v>
      </c>
      <c r="C1600">
        <v>20</v>
      </c>
      <c r="D1600">
        <v>300</v>
      </c>
      <c r="E1600">
        <v>7800</v>
      </c>
      <c r="F1600" t="s">
        <v>273</v>
      </c>
      <c r="G1600" s="2" t="s">
        <v>156</v>
      </c>
      <c r="H1600">
        <v>2</v>
      </c>
      <c r="I1600">
        <v>734.76</v>
      </c>
      <c r="J1600" s="2" t="s">
        <v>170</v>
      </c>
      <c r="K1600" s="2" t="s">
        <v>74</v>
      </c>
      <c r="M1600" t="s">
        <v>2440</v>
      </c>
      <c r="P1600" s="19" t="s">
        <v>2011</v>
      </c>
      <c r="Q1600" s="19" t="s">
        <v>27</v>
      </c>
      <c r="S1600" s="19" t="s">
        <v>138</v>
      </c>
      <c r="W1600" s="20">
        <v>23</v>
      </c>
      <c r="X1600" s="65" t="s">
        <v>2010</v>
      </c>
      <c r="Z1600" t="s">
        <v>307</v>
      </c>
      <c r="AB1600" t="s">
        <v>178</v>
      </c>
      <c r="AC1600" t="s">
        <v>2296</v>
      </c>
      <c r="AD1600" s="2" t="s">
        <v>2297</v>
      </c>
    </row>
    <row r="1601" spans="1:30" hidden="1" x14ac:dyDescent="0.25">
      <c r="A1601" s="2">
        <v>266</v>
      </c>
      <c r="B1601" t="s">
        <v>2299</v>
      </c>
      <c r="C1601">
        <v>20</v>
      </c>
      <c r="D1601">
        <v>300</v>
      </c>
      <c r="E1601">
        <v>7800</v>
      </c>
      <c r="F1601" t="s">
        <v>273</v>
      </c>
      <c r="G1601" s="2" t="s">
        <v>156</v>
      </c>
      <c r="H1601">
        <v>2</v>
      </c>
      <c r="I1601">
        <v>734.76</v>
      </c>
      <c r="J1601" s="2" t="s">
        <v>170</v>
      </c>
      <c r="K1601" s="2" t="s">
        <v>74</v>
      </c>
      <c r="M1601" t="s">
        <v>2440</v>
      </c>
      <c r="P1601" s="19" t="s">
        <v>2011</v>
      </c>
      <c r="Q1601" s="19" t="s">
        <v>27</v>
      </c>
      <c r="S1601" s="19" t="s">
        <v>138</v>
      </c>
      <c r="W1601" s="20">
        <v>23</v>
      </c>
      <c r="X1601" s="65" t="s">
        <v>2010</v>
      </c>
      <c r="Z1601" t="s">
        <v>307</v>
      </c>
      <c r="AB1601" t="s">
        <v>178</v>
      </c>
      <c r="AC1601" t="s">
        <v>2296</v>
      </c>
      <c r="AD1601" s="2" t="s">
        <v>2297</v>
      </c>
    </row>
    <row r="1602" spans="1:30" hidden="1" x14ac:dyDescent="0.25">
      <c r="A1602" s="2">
        <v>267</v>
      </c>
      <c r="B1602" t="s">
        <v>2300</v>
      </c>
      <c r="C1602">
        <v>20</v>
      </c>
      <c r="D1602">
        <v>300</v>
      </c>
      <c r="E1602">
        <v>1383</v>
      </c>
      <c r="F1602" t="s">
        <v>273</v>
      </c>
      <c r="G1602" s="2" t="s">
        <v>156</v>
      </c>
      <c r="H1602">
        <v>1</v>
      </c>
      <c r="I1602">
        <v>65.14</v>
      </c>
      <c r="J1602" s="2" t="s">
        <v>170</v>
      </c>
      <c r="K1602" s="2" t="s">
        <v>74</v>
      </c>
      <c r="M1602" t="s">
        <v>2440</v>
      </c>
      <c r="P1602" s="19" t="s">
        <v>2011</v>
      </c>
      <c r="Q1602" s="19" t="s">
        <v>27</v>
      </c>
      <c r="S1602" s="19" t="s">
        <v>138</v>
      </c>
      <c r="V1602" s="19" t="s">
        <v>138</v>
      </c>
      <c r="W1602" s="20">
        <v>23</v>
      </c>
      <c r="X1602" s="65" t="s">
        <v>2010</v>
      </c>
      <c r="Z1602" t="s">
        <v>307</v>
      </c>
      <c r="AB1602" t="s">
        <v>178</v>
      </c>
      <c r="AC1602" t="s">
        <v>2301</v>
      </c>
      <c r="AD1602" s="2" t="s">
        <v>2302</v>
      </c>
    </row>
    <row r="1603" spans="1:30" hidden="1" x14ac:dyDescent="0.25">
      <c r="A1603" s="2">
        <v>268</v>
      </c>
      <c r="B1603" t="s">
        <v>2304</v>
      </c>
      <c r="C1603">
        <v>20</v>
      </c>
      <c r="D1603">
        <v>300</v>
      </c>
      <c r="E1603">
        <v>1383</v>
      </c>
      <c r="F1603" t="s">
        <v>273</v>
      </c>
      <c r="G1603" s="2" t="s">
        <v>156</v>
      </c>
      <c r="H1603">
        <v>1</v>
      </c>
      <c r="I1603">
        <v>65.14</v>
      </c>
      <c r="J1603" s="2" t="s">
        <v>170</v>
      </c>
      <c r="K1603" s="2" t="s">
        <v>74</v>
      </c>
      <c r="M1603" t="s">
        <v>2440</v>
      </c>
      <c r="P1603" s="19" t="s">
        <v>2011</v>
      </c>
      <c r="Q1603" s="19" t="s">
        <v>27</v>
      </c>
      <c r="S1603" s="19" t="s">
        <v>138</v>
      </c>
      <c r="V1603" s="19" t="s">
        <v>138</v>
      </c>
      <c r="W1603" s="20">
        <v>23</v>
      </c>
      <c r="X1603" s="65" t="s">
        <v>2010</v>
      </c>
      <c r="Z1603" t="s">
        <v>307</v>
      </c>
      <c r="AB1603" t="s">
        <v>178</v>
      </c>
      <c r="AC1603" t="s">
        <v>2301</v>
      </c>
      <c r="AD1603" s="2" t="s">
        <v>2302</v>
      </c>
    </row>
    <row r="1604" spans="1:30" hidden="1" x14ac:dyDescent="0.25">
      <c r="A1604" s="2">
        <v>269</v>
      </c>
      <c r="B1604" t="s">
        <v>2305</v>
      </c>
      <c r="C1604">
        <v>20</v>
      </c>
      <c r="D1604">
        <v>300</v>
      </c>
      <c r="E1604">
        <v>480</v>
      </c>
      <c r="F1604" t="s">
        <v>273</v>
      </c>
      <c r="G1604" s="2" t="s">
        <v>156</v>
      </c>
      <c r="H1604">
        <v>1</v>
      </c>
      <c r="I1604">
        <v>22.61</v>
      </c>
      <c r="J1604" s="2" t="s">
        <v>170</v>
      </c>
      <c r="K1604" s="2" t="s">
        <v>74</v>
      </c>
      <c r="M1604" t="s">
        <v>2440</v>
      </c>
      <c r="P1604" s="19" t="s">
        <v>2011</v>
      </c>
      <c r="Q1604" s="19" t="s">
        <v>25</v>
      </c>
      <c r="S1604" s="19" t="s">
        <v>138</v>
      </c>
      <c r="W1604" s="20">
        <v>23</v>
      </c>
      <c r="X1604" s="65" t="s">
        <v>2010</v>
      </c>
      <c r="Z1604" t="s">
        <v>307</v>
      </c>
      <c r="AB1604" t="s">
        <v>178</v>
      </c>
      <c r="AC1604" t="s">
        <v>2301</v>
      </c>
      <c r="AD1604" s="2" t="s">
        <v>2302</v>
      </c>
    </row>
    <row r="1605" spans="1:30" hidden="1" x14ac:dyDescent="0.25">
      <c r="A1605" s="2">
        <v>270</v>
      </c>
      <c r="B1605" t="s">
        <v>2275</v>
      </c>
      <c r="C1605">
        <v>20</v>
      </c>
      <c r="D1605">
        <v>300</v>
      </c>
      <c r="E1605">
        <v>480</v>
      </c>
      <c r="F1605" t="s">
        <v>273</v>
      </c>
      <c r="G1605" s="2" t="s">
        <v>156</v>
      </c>
      <c r="H1605">
        <v>1</v>
      </c>
      <c r="I1605">
        <v>22.61</v>
      </c>
      <c r="J1605" s="2" t="s">
        <v>170</v>
      </c>
      <c r="K1605" s="2" t="s">
        <v>74</v>
      </c>
      <c r="M1605" t="s">
        <v>2440</v>
      </c>
      <c r="P1605" s="19" t="s">
        <v>2011</v>
      </c>
      <c r="Q1605" s="19" t="s">
        <v>25</v>
      </c>
      <c r="S1605" s="19" t="s">
        <v>138</v>
      </c>
      <c r="W1605" s="20">
        <v>23</v>
      </c>
      <c r="X1605" s="65" t="s">
        <v>2010</v>
      </c>
      <c r="Z1605" t="s">
        <v>307</v>
      </c>
      <c r="AB1605" t="s">
        <v>178</v>
      </c>
      <c r="AC1605" t="s">
        <v>2301</v>
      </c>
      <c r="AD1605" s="2" t="s">
        <v>2302</v>
      </c>
    </row>
    <row r="1606" spans="1:30" hidden="1" x14ac:dyDescent="0.25">
      <c r="A1606" s="2">
        <v>271</v>
      </c>
      <c r="B1606" t="s">
        <v>2306</v>
      </c>
      <c r="C1606">
        <v>20</v>
      </c>
      <c r="D1606">
        <v>300</v>
      </c>
      <c r="E1606">
        <v>1096</v>
      </c>
      <c r="F1606" t="s">
        <v>273</v>
      </c>
      <c r="G1606" s="2" t="s">
        <v>156</v>
      </c>
      <c r="H1606">
        <v>2</v>
      </c>
      <c r="I1606">
        <v>103.24</v>
      </c>
      <c r="J1606" s="2" t="s">
        <v>170</v>
      </c>
      <c r="K1606" s="2" t="s">
        <v>74</v>
      </c>
      <c r="M1606" t="s">
        <v>2440</v>
      </c>
      <c r="P1606" s="19" t="s">
        <v>2011</v>
      </c>
      <c r="Q1606" s="19" t="s">
        <v>27</v>
      </c>
      <c r="S1606" s="19" t="s">
        <v>138</v>
      </c>
      <c r="V1606" s="19" t="s">
        <v>138</v>
      </c>
      <c r="W1606" s="20">
        <v>23</v>
      </c>
      <c r="X1606" s="65" t="s">
        <v>2010</v>
      </c>
      <c r="Z1606" t="s">
        <v>307</v>
      </c>
      <c r="AB1606" t="s">
        <v>178</v>
      </c>
      <c r="AC1606" t="s">
        <v>2301</v>
      </c>
      <c r="AD1606" s="2" t="s">
        <v>2302</v>
      </c>
    </row>
    <row r="1607" spans="1:30" hidden="1" x14ac:dyDescent="0.25">
      <c r="A1607" s="2">
        <v>272</v>
      </c>
      <c r="B1607" t="s">
        <v>2307</v>
      </c>
      <c r="C1607">
        <v>20</v>
      </c>
      <c r="D1607">
        <v>300</v>
      </c>
      <c r="E1607">
        <v>1096</v>
      </c>
      <c r="F1607" t="s">
        <v>273</v>
      </c>
      <c r="G1607" s="2" t="s">
        <v>156</v>
      </c>
      <c r="H1607">
        <v>2</v>
      </c>
      <c r="I1607">
        <v>103.24</v>
      </c>
      <c r="J1607" s="2" t="s">
        <v>170</v>
      </c>
      <c r="K1607" s="2" t="s">
        <v>74</v>
      </c>
      <c r="M1607" t="s">
        <v>2440</v>
      </c>
      <c r="P1607" s="19" t="s">
        <v>2011</v>
      </c>
      <c r="Q1607" s="19" t="s">
        <v>27</v>
      </c>
      <c r="S1607" s="19" t="s">
        <v>138</v>
      </c>
      <c r="V1607" s="19" t="s">
        <v>138</v>
      </c>
      <c r="W1607" s="20">
        <v>23</v>
      </c>
      <c r="X1607" s="65" t="s">
        <v>2010</v>
      </c>
      <c r="Z1607" t="s">
        <v>307</v>
      </c>
      <c r="AB1607" t="s">
        <v>178</v>
      </c>
      <c r="AC1607" t="s">
        <v>2301</v>
      </c>
      <c r="AD1607" s="2" t="s">
        <v>2302</v>
      </c>
    </row>
    <row r="1608" spans="1:30" hidden="1" x14ac:dyDescent="0.25">
      <c r="A1608" s="2">
        <v>273</v>
      </c>
      <c r="B1608" t="s">
        <v>2308</v>
      </c>
      <c r="C1608">
        <v>20</v>
      </c>
      <c r="D1608">
        <v>300</v>
      </c>
      <c r="E1608">
        <v>1096</v>
      </c>
      <c r="F1608" t="s">
        <v>273</v>
      </c>
      <c r="G1608" s="2" t="s">
        <v>156</v>
      </c>
      <c r="H1608">
        <v>2</v>
      </c>
      <c r="I1608">
        <v>103.24</v>
      </c>
      <c r="J1608" s="2" t="s">
        <v>170</v>
      </c>
      <c r="K1608" s="2" t="s">
        <v>74</v>
      </c>
      <c r="M1608" t="s">
        <v>2440</v>
      </c>
      <c r="P1608" s="19" t="s">
        <v>2011</v>
      </c>
      <c r="Q1608" s="19" t="s">
        <v>27</v>
      </c>
      <c r="S1608" s="19" t="s">
        <v>138</v>
      </c>
      <c r="V1608" s="19" t="s">
        <v>138</v>
      </c>
      <c r="W1608" s="20">
        <v>23</v>
      </c>
      <c r="X1608" s="65" t="s">
        <v>2010</v>
      </c>
      <c r="Z1608" t="s">
        <v>307</v>
      </c>
      <c r="AB1608" t="s">
        <v>178</v>
      </c>
      <c r="AC1608" t="s">
        <v>2301</v>
      </c>
      <c r="AD1608" s="2" t="s">
        <v>2302</v>
      </c>
    </row>
    <row r="1609" spans="1:30" hidden="1" x14ac:dyDescent="0.25">
      <c r="A1609" s="2">
        <v>274</v>
      </c>
      <c r="B1609" t="s">
        <v>2309</v>
      </c>
      <c r="C1609">
        <v>20</v>
      </c>
      <c r="D1609">
        <v>300</v>
      </c>
      <c r="E1609">
        <v>1096</v>
      </c>
      <c r="F1609" t="s">
        <v>273</v>
      </c>
      <c r="G1609" s="2" t="s">
        <v>156</v>
      </c>
      <c r="H1609">
        <v>2</v>
      </c>
      <c r="I1609">
        <v>103.24</v>
      </c>
      <c r="J1609" s="2" t="s">
        <v>170</v>
      </c>
      <c r="K1609" s="2" t="s">
        <v>74</v>
      </c>
      <c r="M1609" t="s">
        <v>2440</v>
      </c>
      <c r="P1609" s="19" t="s">
        <v>2011</v>
      </c>
      <c r="Q1609" s="19" t="s">
        <v>27</v>
      </c>
      <c r="S1609" s="19" t="s">
        <v>138</v>
      </c>
      <c r="V1609" s="19" t="s">
        <v>138</v>
      </c>
      <c r="W1609" s="20">
        <v>23</v>
      </c>
      <c r="X1609" s="65" t="s">
        <v>2010</v>
      </c>
      <c r="Z1609" t="s">
        <v>307</v>
      </c>
      <c r="AB1609" t="s">
        <v>178</v>
      </c>
      <c r="AC1609" t="s">
        <v>2301</v>
      </c>
      <c r="AD1609" s="2" t="s">
        <v>2302</v>
      </c>
    </row>
    <row r="1610" spans="1:30" hidden="1" x14ac:dyDescent="0.25">
      <c r="A1610" s="2">
        <v>275</v>
      </c>
      <c r="B1610" t="s">
        <v>2310</v>
      </c>
      <c r="C1610">
        <v>20</v>
      </c>
      <c r="D1610">
        <v>300</v>
      </c>
      <c r="E1610">
        <v>1383</v>
      </c>
      <c r="F1610" t="s">
        <v>273</v>
      </c>
      <c r="G1610" s="2" t="s">
        <v>156</v>
      </c>
      <c r="H1610">
        <v>1</v>
      </c>
      <c r="I1610">
        <v>65.14</v>
      </c>
      <c r="J1610" s="2" t="s">
        <v>170</v>
      </c>
      <c r="K1610" s="2" t="s">
        <v>74</v>
      </c>
      <c r="M1610" t="s">
        <v>2440</v>
      </c>
      <c r="P1610" s="19" t="s">
        <v>2011</v>
      </c>
      <c r="Q1610" s="19" t="s">
        <v>27</v>
      </c>
      <c r="S1610" s="19" t="s">
        <v>138</v>
      </c>
      <c r="V1610" s="19" t="s">
        <v>138</v>
      </c>
      <c r="W1610" s="20">
        <v>23</v>
      </c>
      <c r="X1610" s="65" t="s">
        <v>2010</v>
      </c>
      <c r="Z1610" t="s">
        <v>307</v>
      </c>
      <c r="AB1610" t="s">
        <v>178</v>
      </c>
      <c r="AC1610" t="s">
        <v>2301</v>
      </c>
      <c r="AD1610" s="2" t="s">
        <v>2302</v>
      </c>
    </row>
    <row r="1611" spans="1:30" hidden="1" x14ac:dyDescent="0.25">
      <c r="A1611" s="2">
        <v>276</v>
      </c>
      <c r="B1611" t="s">
        <v>2311</v>
      </c>
      <c r="C1611">
        <v>20</v>
      </c>
      <c r="D1611">
        <v>300</v>
      </c>
      <c r="E1611">
        <v>1096</v>
      </c>
      <c r="F1611" t="s">
        <v>273</v>
      </c>
      <c r="G1611" s="2" t="s">
        <v>156</v>
      </c>
      <c r="H1611">
        <v>2</v>
      </c>
      <c r="I1611">
        <v>103.24</v>
      </c>
      <c r="J1611" s="2" t="s">
        <v>170</v>
      </c>
      <c r="K1611" s="2" t="s">
        <v>74</v>
      </c>
      <c r="M1611" t="s">
        <v>2440</v>
      </c>
      <c r="P1611" s="19" t="s">
        <v>2011</v>
      </c>
      <c r="Q1611" s="19" t="s">
        <v>27</v>
      </c>
      <c r="S1611" s="19" t="s">
        <v>138</v>
      </c>
      <c r="V1611" s="19" t="s">
        <v>138</v>
      </c>
      <c r="W1611" s="20">
        <v>23</v>
      </c>
      <c r="X1611" s="65" t="s">
        <v>2010</v>
      </c>
      <c r="Z1611" t="s">
        <v>307</v>
      </c>
      <c r="AB1611" t="s">
        <v>178</v>
      </c>
      <c r="AC1611" t="s">
        <v>2301</v>
      </c>
      <c r="AD1611" s="2" t="s">
        <v>2302</v>
      </c>
    </row>
    <row r="1612" spans="1:30" hidden="1" x14ac:dyDescent="0.25">
      <c r="A1612" s="2">
        <v>277</v>
      </c>
      <c r="B1612" t="s">
        <v>2312</v>
      </c>
      <c r="C1612">
        <v>20</v>
      </c>
      <c r="D1612">
        <v>300</v>
      </c>
      <c r="E1612">
        <v>1096</v>
      </c>
      <c r="F1612" t="s">
        <v>273</v>
      </c>
      <c r="G1612" s="2" t="s">
        <v>156</v>
      </c>
      <c r="H1612">
        <v>2</v>
      </c>
      <c r="I1612">
        <v>103.24</v>
      </c>
      <c r="J1612" s="2" t="s">
        <v>170</v>
      </c>
      <c r="K1612" s="2" t="s">
        <v>74</v>
      </c>
      <c r="M1612" t="s">
        <v>2440</v>
      </c>
      <c r="P1612" s="19" t="s">
        <v>2011</v>
      </c>
      <c r="Q1612" s="19" t="s">
        <v>27</v>
      </c>
      <c r="S1612" s="19" t="s">
        <v>138</v>
      </c>
      <c r="V1612" s="19" t="s">
        <v>138</v>
      </c>
      <c r="W1612" s="20">
        <v>23</v>
      </c>
      <c r="X1612" s="65" t="s">
        <v>2010</v>
      </c>
      <c r="Z1612" t="s">
        <v>307</v>
      </c>
      <c r="AB1612" t="s">
        <v>178</v>
      </c>
      <c r="AC1612" t="s">
        <v>2301</v>
      </c>
      <c r="AD1612" s="2" t="s">
        <v>2302</v>
      </c>
    </row>
    <row r="1613" spans="1:30" hidden="1" x14ac:dyDescent="0.25">
      <c r="A1613" s="2">
        <v>278</v>
      </c>
      <c r="B1613" t="s">
        <v>2313</v>
      </c>
      <c r="C1613">
        <v>20</v>
      </c>
      <c r="D1613">
        <v>300</v>
      </c>
      <c r="E1613">
        <v>1383</v>
      </c>
      <c r="F1613" t="s">
        <v>273</v>
      </c>
      <c r="G1613" s="2" t="s">
        <v>156</v>
      </c>
      <c r="H1613">
        <v>1</v>
      </c>
      <c r="I1613">
        <v>65.14</v>
      </c>
      <c r="J1613" s="2" t="s">
        <v>170</v>
      </c>
      <c r="K1613" s="2" t="s">
        <v>74</v>
      </c>
      <c r="M1613" t="s">
        <v>2440</v>
      </c>
      <c r="P1613" s="19" t="s">
        <v>2011</v>
      </c>
      <c r="Q1613" s="19" t="s">
        <v>27</v>
      </c>
      <c r="S1613" s="19" t="s">
        <v>138</v>
      </c>
      <c r="V1613" s="19" t="s">
        <v>138</v>
      </c>
      <c r="W1613" s="20">
        <v>23</v>
      </c>
      <c r="X1613" s="65" t="s">
        <v>2010</v>
      </c>
      <c r="Z1613" t="s">
        <v>307</v>
      </c>
      <c r="AB1613" t="s">
        <v>178</v>
      </c>
      <c r="AC1613" t="s">
        <v>2314</v>
      </c>
      <c r="AD1613" s="2" t="s">
        <v>2315</v>
      </c>
    </row>
    <row r="1614" spans="1:30" hidden="1" x14ac:dyDescent="0.25">
      <c r="A1614" s="2">
        <v>279</v>
      </c>
      <c r="B1614" t="s">
        <v>2317</v>
      </c>
      <c r="C1614">
        <v>20</v>
      </c>
      <c r="D1614">
        <v>300</v>
      </c>
      <c r="E1614">
        <v>1383</v>
      </c>
      <c r="F1614" t="s">
        <v>273</v>
      </c>
      <c r="G1614" s="2" t="s">
        <v>156</v>
      </c>
      <c r="H1614">
        <v>1</v>
      </c>
      <c r="I1614">
        <v>65.14</v>
      </c>
      <c r="J1614" s="2" t="s">
        <v>170</v>
      </c>
      <c r="K1614" s="2" t="s">
        <v>74</v>
      </c>
      <c r="M1614" t="s">
        <v>2440</v>
      </c>
      <c r="P1614" s="19" t="s">
        <v>2011</v>
      </c>
      <c r="Q1614" s="19" t="s">
        <v>27</v>
      </c>
      <c r="S1614" s="19" t="s">
        <v>138</v>
      </c>
      <c r="V1614" s="19" t="s">
        <v>138</v>
      </c>
      <c r="W1614" s="20">
        <v>23</v>
      </c>
      <c r="X1614" s="65" t="s">
        <v>2010</v>
      </c>
      <c r="Z1614" t="s">
        <v>307</v>
      </c>
      <c r="AB1614" t="s">
        <v>178</v>
      </c>
      <c r="AC1614" t="s">
        <v>2314</v>
      </c>
      <c r="AD1614" s="2" t="s">
        <v>2315</v>
      </c>
    </row>
    <row r="1615" spans="1:30" hidden="1" x14ac:dyDescent="0.25">
      <c r="A1615" s="2">
        <v>280</v>
      </c>
      <c r="B1615" t="s">
        <v>2318</v>
      </c>
      <c r="C1615">
        <v>20</v>
      </c>
      <c r="D1615">
        <v>300</v>
      </c>
      <c r="E1615">
        <v>1383</v>
      </c>
      <c r="F1615" t="s">
        <v>273</v>
      </c>
      <c r="G1615" s="2" t="s">
        <v>156</v>
      </c>
      <c r="H1615">
        <v>1</v>
      </c>
      <c r="I1615">
        <v>65.14</v>
      </c>
      <c r="J1615" s="2" t="s">
        <v>170</v>
      </c>
      <c r="K1615" s="2" t="s">
        <v>74</v>
      </c>
      <c r="M1615" t="s">
        <v>2440</v>
      </c>
      <c r="P1615" s="19" t="s">
        <v>2011</v>
      </c>
      <c r="Q1615" s="19" t="s">
        <v>27</v>
      </c>
      <c r="S1615" s="19" t="s">
        <v>138</v>
      </c>
      <c r="V1615" s="19" t="s">
        <v>138</v>
      </c>
      <c r="W1615" s="20">
        <v>23</v>
      </c>
      <c r="X1615" s="65" t="s">
        <v>2010</v>
      </c>
      <c r="Z1615" t="s">
        <v>307</v>
      </c>
      <c r="AB1615" t="s">
        <v>178</v>
      </c>
      <c r="AC1615" t="s">
        <v>2314</v>
      </c>
      <c r="AD1615" s="2" t="s">
        <v>2315</v>
      </c>
    </row>
    <row r="1616" spans="1:30" hidden="1" x14ac:dyDescent="0.25">
      <c r="A1616" s="2">
        <v>281</v>
      </c>
      <c r="B1616" t="s">
        <v>2319</v>
      </c>
      <c r="C1616">
        <v>20</v>
      </c>
      <c r="D1616">
        <v>300</v>
      </c>
      <c r="E1616">
        <v>1096</v>
      </c>
      <c r="F1616" t="s">
        <v>273</v>
      </c>
      <c r="G1616" s="2" t="s">
        <v>156</v>
      </c>
      <c r="H1616">
        <v>2</v>
      </c>
      <c r="I1616">
        <v>103.24</v>
      </c>
      <c r="J1616" s="2" t="s">
        <v>170</v>
      </c>
      <c r="K1616" s="2" t="s">
        <v>74</v>
      </c>
      <c r="M1616" t="s">
        <v>2440</v>
      </c>
      <c r="P1616" s="19" t="s">
        <v>2011</v>
      </c>
      <c r="Q1616" s="19" t="s">
        <v>27</v>
      </c>
      <c r="S1616" s="19" t="s">
        <v>138</v>
      </c>
      <c r="V1616" s="19" t="s">
        <v>138</v>
      </c>
      <c r="W1616" s="20">
        <v>23</v>
      </c>
      <c r="X1616" s="65" t="s">
        <v>2010</v>
      </c>
      <c r="Z1616" t="s">
        <v>307</v>
      </c>
      <c r="AB1616" t="s">
        <v>178</v>
      </c>
      <c r="AC1616" t="s">
        <v>2314</v>
      </c>
      <c r="AD1616" s="2" t="s">
        <v>2315</v>
      </c>
    </row>
    <row r="1617" spans="1:30" hidden="1" x14ac:dyDescent="0.25">
      <c r="A1617" s="2">
        <v>282</v>
      </c>
      <c r="B1617" t="s">
        <v>2320</v>
      </c>
      <c r="C1617">
        <v>20</v>
      </c>
      <c r="D1617">
        <v>300</v>
      </c>
      <c r="E1617">
        <v>1096</v>
      </c>
      <c r="F1617" t="s">
        <v>273</v>
      </c>
      <c r="G1617" s="2" t="s">
        <v>156</v>
      </c>
      <c r="H1617">
        <v>2</v>
      </c>
      <c r="I1617">
        <v>103.24</v>
      </c>
      <c r="J1617" s="2" t="s">
        <v>170</v>
      </c>
      <c r="K1617" s="2" t="s">
        <v>74</v>
      </c>
      <c r="M1617" t="s">
        <v>2440</v>
      </c>
      <c r="P1617" s="19" t="s">
        <v>2011</v>
      </c>
      <c r="Q1617" s="19" t="s">
        <v>27</v>
      </c>
      <c r="S1617" s="19" t="s">
        <v>138</v>
      </c>
      <c r="V1617" s="19" t="s">
        <v>138</v>
      </c>
      <c r="W1617" s="20">
        <v>23</v>
      </c>
      <c r="X1617" s="65" t="s">
        <v>2010</v>
      </c>
      <c r="Z1617" t="s">
        <v>307</v>
      </c>
      <c r="AB1617" t="s">
        <v>178</v>
      </c>
      <c r="AC1617" t="s">
        <v>2314</v>
      </c>
      <c r="AD1617" s="2" t="s">
        <v>2315</v>
      </c>
    </row>
    <row r="1618" spans="1:30" hidden="1" x14ac:dyDescent="0.25">
      <c r="A1618" s="2">
        <v>283</v>
      </c>
      <c r="B1618" t="s">
        <v>2321</v>
      </c>
      <c r="C1618">
        <v>20</v>
      </c>
      <c r="D1618">
        <v>300</v>
      </c>
      <c r="E1618">
        <v>6464</v>
      </c>
      <c r="F1618" t="s">
        <v>273</v>
      </c>
      <c r="G1618" s="2" t="s">
        <v>156</v>
      </c>
      <c r="H1618">
        <v>1</v>
      </c>
      <c r="I1618">
        <v>304.45</v>
      </c>
      <c r="J1618" s="2" t="s">
        <v>170</v>
      </c>
      <c r="K1618" s="2" t="s">
        <v>74</v>
      </c>
      <c r="M1618" t="s">
        <v>2440</v>
      </c>
      <c r="P1618" s="19" t="s">
        <v>2011</v>
      </c>
      <c r="Q1618" s="19" t="s">
        <v>27</v>
      </c>
      <c r="R1618" s="19" t="s">
        <v>138</v>
      </c>
      <c r="W1618" s="20">
        <v>23</v>
      </c>
      <c r="X1618" s="65" t="s">
        <v>2010</v>
      </c>
      <c r="Z1618" t="s">
        <v>307</v>
      </c>
      <c r="AB1618" t="s">
        <v>178</v>
      </c>
      <c r="AC1618" t="s">
        <v>2322</v>
      </c>
      <c r="AD1618" s="2" t="s">
        <v>180</v>
      </c>
    </row>
    <row r="1619" spans="1:30" hidden="1" x14ac:dyDescent="0.25">
      <c r="A1619" s="2">
        <v>284</v>
      </c>
      <c r="B1619" t="s">
        <v>2324</v>
      </c>
      <c r="C1619">
        <v>20</v>
      </c>
      <c r="D1619">
        <v>300</v>
      </c>
      <c r="E1619">
        <v>6464</v>
      </c>
      <c r="F1619" t="s">
        <v>273</v>
      </c>
      <c r="G1619" s="2" t="s">
        <v>156</v>
      </c>
      <c r="H1619">
        <v>1</v>
      </c>
      <c r="I1619">
        <v>304.45</v>
      </c>
      <c r="J1619" s="2" t="s">
        <v>170</v>
      </c>
      <c r="K1619" s="2" t="s">
        <v>74</v>
      </c>
      <c r="M1619" t="s">
        <v>2440</v>
      </c>
      <c r="P1619" s="19" t="s">
        <v>2011</v>
      </c>
      <c r="Q1619" s="19" t="s">
        <v>27</v>
      </c>
      <c r="R1619" s="19" t="s">
        <v>138</v>
      </c>
      <c r="W1619" s="20">
        <v>23</v>
      </c>
      <c r="X1619" s="65" t="s">
        <v>2010</v>
      </c>
      <c r="Z1619" t="s">
        <v>307</v>
      </c>
      <c r="AB1619" t="s">
        <v>178</v>
      </c>
      <c r="AC1619" t="s">
        <v>2322</v>
      </c>
      <c r="AD1619" s="2" t="s">
        <v>180</v>
      </c>
    </row>
    <row r="1620" spans="1:30" hidden="1" x14ac:dyDescent="0.25">
      <c r="A1620" s="2">
        <v>285</v>
      </c>
      <c r="B1620" t="s">
        <v>2325</v>
      </c>
      <c r="C1620">
        <v>20</v>
      </c>
      <c r="D1620">
        <v>300</v>
      </c>
      <c r="E1620">
        <v>6464</v>
      </c>
      <c r="F1620" t="s">
        <v>273</v>
      </c>
      <c r="G1620" s="2" t="s">
        <v>156</v>
      </c>
      <c r="H1620">
        <v>1</v>
      </c>
      <c r="I1620">
        <v>304.45</v>
      </c>
      <c r="J1620" s="2" t="s">
        <v>170</v>
      </c>
      <c r="K1620" s="2" t="s">
        <v>74</v>
      </c>
      <c r="M1620" t="s">
        <v>2440</v>
      </c>
      <c r="P1620" s="19" t="s">
        <v>2011</v>
      </c>
      <c r="Q1620" s="19" t="s">
        <v>27</v>
      </c>
      <c r="R1620" s="19" t="s">
        <v>138</v>
      </c>
      <c r="W1620" s="20">
        <v>23</v>
      </c>
      <c r="X1620" s="65" t="s">
        <v>2010</v>
      </c>
      <c r="Z1620" t="s">
        <v>307</v>
      </c>
      <c r="AB1620" t="s">
        <v>178</v>
      </c>
      <c r="AC1620" t="s">
        <v>2322</v>
      </c>
      <c r="AD1620" s="2" t="s">
        <v>180</v>
      </c>
    </row>
    <row r="1621" spans="1:30" hidden="1" x14ac:dyDescent="0.25">
      <c r="A1621" s="2">
        <v>286</v>
      </c>
      <c r="B1621" t="s">
        <v>2326</v>
      </c>
      <c r="C1621">
        <v>20</v>
      </c>
      <c r="D1621">
        <v>300</v>
      </c>
      <c r="E1621">
        <v>6464</v>
      </c>
      <c r="F1621" t="s">
        <v>273</v>
      </c>
      <c r="G1621" s="2" t="s">
        <v>156</v>
      </c>
      <c r="H1621">
        <v>1</v>
      </c>
      <c r="I1621">
        <v>304.45</v>
      </c>
      <c r="J1621" s="2" t="s">
        <v>170</v>
      </c>
      <c r="K1621" s="2" t="s">
        <v>74</v>
      </c>
      <c r="M1621" t="s">
        <v>2440</v>
      </c>
      <c r="P1621" s="19" t="s">
        <v>2011</v>
      </c>
      <c r="Q1621" s="19" t="s">
        <v>27</v>
      </c>
      <c r="R1621" s="19" t="s">
        <v>138</v>
      </c>
      <c r="W1621" s="20">
        <v>23</v>
      </c>
      <c r="X1621" s="65" t="s">
        <v>2010</v>
      </c>
      <c r="Z1621" t="s">
        <v>307</v>
      </c>
      <c r="AB1621" t="s">
        <v>178</v>
      </c>
      <c r="AC1621" t="s">
        <v>2322</v>
      </c>
      <c r="AD1621" s="2" t="s">
        <v>180</v>
      </c>
    </row>
    <row r="1622" spans="1:30" hidden="1" x14ac:dyDescent="0.25">
      <c r="A1622" s="2">
        <v>287</v>
      </c>
      <c r="B1622" t="s">
        <v>2327</v>
      </c>
      <c r="C1622">
        <v>20</v>
      </c>
      <c r="D1622">
        <v>300</v>
      </c>
      <c r="E1622">
        <v>6464</v>
      </c>
      <c r="F1622" t="s">
        <v>273</v>
      </c>
      <c r="G1622" s="2" t="s">
        <v>156</v>
      </c>
      <c r="H1622">
        <v>1</v>
      </c>
      <c r="I1622">
        <v>304.45</v>
      </c>
      <c r="J1622" s="2" t="s">
        <v>170</v>
      </c>
      <c r="K1622" s="2" t="s">
        <v>74</v>
      </c>
      <c r="M1622" t="s">
        <v>2440</v>
      </c>
      <c r="P1622" s="19" t="s">
        <v>2011</v>
      </c>
      <c r="Q1622" s="19" t="s">
        <v>27</v>
      </c>
      <c r="R1622" s="19" t="s">
        <v>138</v>
      </c>
      <c r="W1622" s="20">
        <v>23</v>
      </c>
      <c r="X1622" s="65" t="s">
        <v>2010</v>
      </c>
      <c r="Z1622" t="s">
        <v>307</v>
      </c>
      <c r="AB1622" t="s">
        <v>178</v>
      </c>
      <c r="AC1622" t="s">
        <v>2328</v>
      </c>
      <c r="AD1622" s="2" t="s">
        <v>180</v>
      </c>
    </row>
    <row r="1623" spans="1:30" hidden="1" x14ac:dyDescent="0.25">
      <c r="A1623" s="2">
        <v>288</v>
      </c>
      <c r="B1623" t="s">
        <v>2330</v>
      </c>
      <c r="C1623">
        <v>20</v>
      </c>
      <c r="D1623">
        <v>300</v>
      </c>
      <c r="E1623">
        <v>6464</v>
      </c>
      <c r="F1623" t="s">
        <v>273</v>
      </c>
      <c r="G1623" s="2" t="s">
        <v>156</v>
      </c>
      <c r="H1623">
        <v>1</v>
      </c>
      <c r="I1623">
        <v>304.45</v>
      </c>
      <c r="J1623" s="2" t="s">
        <v>170</v>
      </c>
      <c r="K1623" s="2" t="s">
        <v>74</v>
      </c>
      <c r="M1623" t="s">
        <v>2440</v>
      </c>
      <c r="P1623" s="19" t="s">
        <v>2011</v>
      </c>
      <c r="Q1623" s="19" t="s">
        <v>27</v>
      </c>
      <c r="R1623" s="19" t="s">
        <v>138</v>
      </c>
      <c r="W1623" s="20">
        <v>23</v>
      </c>
      <c r="X1623" s="65" t="s">
        <v>2010</v>
      </c>
      <c r="Z1623" t="s">
        <v>307</v>
      </c>
      <c r="AB1623" t="s">
        <v>178</v>
      </c>
      <c r="AC1623" t="s">
        <v>2328</v>
      </c>
      <c r="AD1623" s="2" t="s">
        <v>180</v>
      </c>
    </row>
    <row r="1624" spans="1:30" hidden="1" x14ac:dyDescent="0.25">
      <c r="A1624" s="2">
        <v>289</v>
      </c>
      <c r="B1624" t="s">
        <v>2331</v>
      </c>
      <c r="C1624">
        <v>20</v>
      </c>
      <c r="D1624">
        <v>300</v>
      </c>
      <c r="E1624">
        <v>6464</v>
      </c>
      <c r="F1624" t="s">
        <v>273</v>
      </c>
      <c r="G1624" s="2" t="s">
        <v>156</v>
      </c>
      <c r="H1624">
        <v>1</v>
      </c>
      <c r="I1624">
        <v>304.45</v>
      </c>
      <c r="J1624" s="2" t="s">
        <v>170</v>
      </c>
      <c r="K1624" s="2" t="s">
        <v>74</v>
      </c>
      <c r="M1624" t="s">
        <v>2440</v>
      </c>
      <c r="P1624" s="19" t="s">
        <v>2011</v>
      </c>
      <c r="Q1624" s="19" t="s">
        <v>27</v>
      </c>
      <c r="R1624" s="19" t="s">
        <v>138</v>
      </c>
      <c r="W1624" s="20">
        <v>23</v>
      </c>
      <c r="X1624" s="65" t="s">
        <v>2010</v>
      </c>
      <c r="Z1624" t="s">
        <v>307</v>
      </c>
      <c r="AB1624" t="s">
        <v>178</v>
      </c>
      <c r="AC1624" t="s">
        <v>2328</v>
      </c>
      <c r="AD1624" s="2" t="s">
        <v>180</v>
      </c>
    </row>
    <row r="1625" spans="1:30" hidden="1" x14ac:dyDescent="0.25">
      <c r="A1625" s="2">
        <v>290</v>
      </c>
      <c r="B1625" t="s">
        <v>2332</v>
      </c>
      <c r="C1625">
        <v>20</v>
      </c>
      <c r="D1625">
        <v>300</v>
      </c>
      <c r="E1625">
        <v>6464</v>
      </c>
      <c r="F1625" t="s">
        <v>273</v>
      </c>
      <c r="G1625" s="2" t="s">
        <v>156</v>
      </c>
      <c r="H1625">
        <v>1</v>
      </c>
      <c r="I1625">
        <v>304.45</v>
      </c>
      <c r="J1625" s="2" t="s">
        <v>170</v>
      </c>
      <c r="K1625" s="2" t="s">
        <v>74</v>
      </c>
      <c r="M1625" t="s">
        <v>2440</v>
      </c>
      <c r="P1625" s="19" t="s">
        <v>2011</v>
      </c>
      <c r="Q1625" s="19" t="s">
        <v>27</v>
      </c>
      <c r="R1625" s="19" t="s">
        <v>138</v>
      </c>
      <c r="W1625" s="20">
        <v>23</v>
      </c>
      <c r="X1625" s="65" t="s">
        <v>2010</v>
      </c>
      <c r="Z1625" t="s">
        <v>307</v>
      </c>
      <c r="AB1625" t="s">
        <v>178</v>
      </c>
      <c r="AC1625" t="s">
        <v>2328</v>
      </c>
      <c r="AD1625" s="2" t="s">
        <v>180</v>
      </c>
    </row>
    <row r="1626" spans="1:30" hidden="1" x14ac:dyDescent="0.25">
      <c r="A1626" s="2">
        <v>291</v>
      </c>
      <c r="B1626" t="s">
        <v>2333</v>
      </c>
      <c r="C1626">
        <v>20</v>
      </c>
      <c r="D1626">
        <v>300</v>
      </c>
      <c r="E1626">
        <v>6464</v>
      </c>
      <c r="F1626" t="s">
        <v>273</v>
      </c>
      <c r="G1626" s="2" t="s">
        <v>156</v>
      </c>
      <c r="H1626">
        <v>1</v>
      </c>
      <c r="I1626">
        <v>304.45</v>
      </c>
      <c r="J1626" s="2" t="s">
        <v>170</v>
      </c>
      <c r="K1626" s="2" t="s">
        <v>74</v>
      </c>
      <c r="M1626" t="s">
        <v>2440</v>
      </c>
      <c r="P1626" s="19" t="s">
        <v>2011</v>
      </c>
      <c r="Q1626" s="19" t="s">
        <v>27</v>
      </c>
      <c r="R1626" s="19" t="s">
        <v>138</v>
      </c>
      <c r="W1626" s="20">
        <v>23</v>
      </c>
      <c r="X1626" s="65" t="s">
        <v>2010</v>
      </c>
      <c r="Z1626" t="s">
        <v>307</v>
      </c>
      <c r="AB1626" t="s">
        <v>178</v>
      </c>
      <c r="AC1626" t="s">
        <v>2328</v>
      </c>
      <c r="AD1626" s="2" t="s">
        <v>180</v>
      </c>
    </row>
    <row r="1627" spans="1:30" hidden="1" x14ac:dyDescent="0.25">
      <c r="A1627" s="2">
        <v>292</v>
      </c>
      <c r="B1627" t="s">
        <v>2334</v>
      </c>
      <c r="C1627">
        <v>20</v>
      </c>
      <c r="D1627">
        <v>300</v>
      </c>
      <c r="E1627">
        <v>6464</v>
      </c>
      <c r="F1627" t="s">
        <v>273</v>
      </c>
      <c r="G1627" s="2" t="s">
        <v>156</v>
      </c>
      <c r="H1627">
        <v>1</v>
      </c>
      <c r="I1627">
        <v>304.45</v>
      </c>
      <c r="J1627" s="2" t="s">
        <v>170</v>
      </c>
      <c r="K1627" s="2" t="s">
        <v>74</v>
      </c>
      <c r="M1627" t="s">
        <v>2440</v>
      </c>
      <c r="P1627" s="19" t="s">
        <v>2011</v>
      </c>
      <c r="Q1627" s="19" t="s">
        <v>27</v>
      </c>
      <c r="R1627" s="19" t="s">
        <v>138</v>
      </c>
      <c r="W1627" s="20">
        <v>23</v>
      </c>
      <c r="X1627" s="65" t="s">
        <v>2010</v>
      </c>
      <c r="Z1627" t="s">
        <v>307</v>
      </c>
      <c r="AB1627" t="s">
        <v>178</v>
      </c>
      <c r="AC1627" t="s">
        <v>2328</v>
      </c>
      <c r="AD1627" s="2" t="s">
        <v>180</v>
      </c>
    </row>
    <row r="1628" spans="1:30" hidden="1" x14ac:dyDescent="0.25">
      <c r="A1628" s="2">
        <v>293</v>
      </c>
      <c r="B1628" t="s">
        <v>2335</v>
      </c>
      <c r="C1628">
        <v>20</v>
      </c>
      <c r="D1628">
        <v>300</v>
      </c>
      <c r="E1628">
        <v>6464</v>
      </c>
      <c r="F1628" t="s">
        <v>273</v>
      </c>
      <c r="G1628" s="2" t="s">
        <v>156</v>
      </c>
      <c r="H1628">
        <v>1</v>
      </c>
      <c r="I1628">
        <v>304.45</v>
      </c>
      <c r="J1628" s="2" t="s">
        <v>170</v>
      </c>
      <c r="K1628" s="2" t="s">
        <v>74</v>
      </c>
      <c r="M1628" t="s">
        <v>2440</v>
      </c>
      <c r="P1628" s="19" t="s">
        <v>2011</v>
      </c>
      <c r="Q1628" s="19" t="s">
        <v>27</v>
      </c>
      <c r="R1628" s="19" t="s">
        <v>138</v>
      </c>
      <c r="W1628" s="20">
        <v>23</v>
      </c>
      <c r="X1628" s="65" t="s">
        <v>2010</v>
      </c>
      <c r="Z1628" t="s">
        <v>307</v>
      </c>
      <c r="AB1628" t="s">
        <v>178</v>
      </c>
      <c r="AC1628" t="s">
        <v>2328</v>
      </c>
      <c r="AD1628" s="2" t="s">
        <v>180</v>
      </c>
    </row>
    <row r="1629" spans="1:30" hidden="1" x14ac:dyDescent="0.25">
      <c r="A1629" s="2">
        <v>294</v>
      </c>
      <c r="B1629" t="s">
        <v>2336</v>
      </c>
      <c r="C1629">
        <v>20</v>
      </c>
      <c r="D1629">
        <v>300</v>
      </c>
      <c r="E1629">
        <v>6464</v>
      </c>
      <c r="F1629" t="s">
        <v>273</v>
      </c>
      <c r="G1629" s="2" t="s">
        <v>156</v>
      </c>
      <c r="H1629">
        <v>1</v>
      </c>
      <c r="I1629">
        <v>304.45</v>
      </c>
      <c r="J1629" s="2" t="s">
        <v>170</v>
      </c>
      <c r="K1629" s="2" t="s">
        <v>74</v>
      </c>
      <c r="M1629" t="s">
        <v>2440</v>
      </c>
      <c r="P1629" s="19" t="s">
        <v>2011</v>
      </c>
      <c r="Q1629" s="19" t="s">
        <v>27</v>
      </c>
      <c r="R1629" s="19" t="s">
        <v>138</v>
      </c>
      <c r="W1629" s="20">
        <v>23</v>
      </c>
      <c r="X1629" s="65" t="s">
        <v>2010</v>
      </c>
      <c r="Z1629" t="s">
        <v>307</v>
      </c>
      <c r="AB1629" t="s">
        <v>178</v>
      </c>
      <c r="AC1629" t="s">
        <v>2328</v>
      </c>
      <c r="AD1629" s="2" t="s">
        <v>180</v>
      </c>
    </row>
    <row r="1630" spans="1:30" hidden="1" x14ac:dyDescent="0.25">
      <c r="A1630" s="2">
        <v>295</v>
      </c>
      <c r="B1630" t="s">
        <v>2337</v>
      </c>
      <c r="C1630">
        <v>20</v>
      </c>
      <c r="D1630">
        <v>300</v>
      </c>
      <c r="E1630">
        <v>6464</v>
      </c>
      <c r="F1630" t="s">
        <v>273</v>
      </c>
      <c r="G1630" s="2" t="s">
        <v>156</v>
      </c>
      <c r="H1630">
        <v>1</v>
      </c>
      <c r="I1630">
        <v>304.45</v>
      </c>
      <c r="J1630" s="2" t="s">
        <v>170</v>
      </c>
      <c r="K1630" s="2" t="s">
        <v>74</v>
      </c>
      <c r="M1630" t="s">
        <v>2440</v>
      </c>
      <c r="P1630" s="19" t="s">
        <v>2011</v>
      </c>
      <c r="Q1630" s="19" t="s">
        <v>27</v>
      </c>
      <c r="R1630" s="19" t="s">
        <v>138</v>
      </c>
      <c r="W1630" s="20">
        <v>23</v>
      </c>
      <c r="X1630" s="65" t="s">
        <v>2010</v>
      </c>
      <c r="Z1630" t="s">
        <v>307</v>
      </c>
      <c r="AB1630" t="s">
        <v>178</v>
      </c>
      <c r="AC1630" t="s">
        <v>2328</v>
      </c>
      <c r="AD1630" s="2" t="s">
        <v>180</v>
      </c>
    </row>
    <row r="1631" spans="1:30" hidden="1" x14ac:dyDescent="0.25">
      <c r="A1631" s="2">
        <v>296</v>
      </c>
      <c r="B1631" t="s">
        <v>2338</v>
      </c>
      <c r="C1631">
        <v>20</v>
      </c>
      <c r="D1631">
        <v>300</v>
      </c>
      <c r="E1631">
        <v>6464</v>
      </c>
      <c r="F1631" t="s">
        <v>273</v>
      </c>
      <c r="G1631" s="2" t="s">
        <v>156</v>
      </c>
      <c r="H1631">
        <v>1</v>
      </c>
      <c r="I1631">
        <v>304.45</v>
      </c>
      <c r="J1631" s="2" t="s">
        <v>170</v>
      </c>
      <c r="K1631" s="2" t="s">
        <v>74</v>
      </c>
      <c r="M1631" t="s">
        <v>2440</v>
      </c>
      <c r="P1631" s="19" t="s">
        <v>2011</v>
      </c>
      <c r="Q1631" s="19" t="s">
        <v>27</v>
      </c>
      <c r="R1631" s="19" t="s">
        <v>138</v>
      </c>
      <c r="W1631" s="20">
        <v>23</v>
      </c>
      <c r="X1631" s="65" t="s">
        <v>2010</v>
      </c>
      <c r="Z1631" t="s">
        <v>307</v>
      </c>
      <c r="AB1631" t="s">
        <v>178</v>
      </c>
      <c r="AC1631" t="s">
        <v>2328</v>
      </c>
      <c r="AD1631" s="2" t="s">
        <v>180</v>
      </c>
    </row>
    <row r="1632" spans="1:30" hidden="1" x14ac:dyDescent="0.25">
      <c r="A1632" s="2">
        <v>297</v>
      </c>
      <c r="B1632" t="s">
        <v>2339</v>
      </c>
      <c r="C1632">
        <v>20</v>
      </c>
      <c r="D1632">
        <v>300</v>
      </c>
      <c r="E1632">
        <v>6464</v>
      </c>
      <c r="F1632" t="s">
        <v>273</v>
      </c>
      <c r="G1632" s="2" t="s">
        <v>156</v>
      </c>
      <c r="H1632">
        <v>1</v>
      </c>
      <c r="I1632">
        <v>304.45</v>
      </c>
      <c r="J1632" s="2" t="s">
        <v>170</v>
      </c>
      <c r="K1632" s="2" t="s">
        <v>74</v>
      </c>
      <c r="M1632" t="s">
        <v>2440</v>
      </c>
      <c r="P1632" s="19" t="s">
        <v>2011</v>
      </c>
      <c r="Q1632" s="19" t="s">
        <v>27</v>
      </c>
      <c r="R1632" s="19" t="s">
        <v>138</v>
      </c>
      <c r="W1632" s="20">
        <v>23</v>
      </c>
      <c r="X1632" s="65" t="s">
        <v>2010</v>
      </c>
      <c r="Z1632" t="s">
        <v>307</v>
      </c>
      <c r="AB1632" t="s">
        <v>178</v>
      </c>
      <c r="AC1632" t="s">
        <v>2328</v>
      </c>
      <c r="AD1632" s="2" t="s">
        <v>180</v>
      </c>
    </row>
    <row r="1633" spans="1:30" hidden="1" x14ac:dyDescent="0.25">
      <c r="A1633" s="2">
        <v>298</v>
      </c>
      <c r="B1633" t="s">
        <v>2340</v>
      </c>
      <c r="C1633">
        <v>20</v>
      </c>
      <c r="D1633">
        <v>300</v>
      </c>
      <c r="E1633">
        <v>6464</v>
      </c>
      <c r="F1633" t="s">
        <v>273</v>
      </c>
      <c r="G1633" s="2" t="s">
        <v>156</v>
      </c>
      <c r="H1633">
        <v>1</v>
      </c>
      <c r="I1633">
        <v>304.45</v>
      </c>
      <c r="J1633" s="2" t="s">
        <v>170</v>
      </c>
      <c r="K1633" s="2" t="s">
        <v>74</v>
      </c>
      <c r="M1633" t="s">
        <v>2440</v>
      </c>
      <c r="P1633" s="19" t="s">
        <v>2011</v>
      </c>
      <c r="Q1633" s="19" t="s">
        <v>27</v>
      </c>
      <c r="R1633" s="19" t="s">
        <v>138</v>
      </c>
      <c r="W1633" s="20">
        <v>23</v>
      </c>
      <c r="X1633" s="65" t="s">
        <v>2010</v>
      </c>
      <c r="Z1633" t="s">
        <v>307</v>
      </c>
      <c r="AB1633" t="s">
        <v>178</v>
      </c>
      <c r="AC1633" t="s">
        <v>2328</v>
      </c>
      <c r="AD1633" s="2" t="s">
        <v>180</v>
      </c>
    </row>
    <row r="1634" spans="1:30" hidden="1" x14ac:dyDescent="0.25">
      <c r="A1634" s="2">
        <v>299</v>
      </c>
      <c r="B1634" t="s">
        <v>2341</v>
      </c>
      <c r="C1634">
        <v>20</v>
      </c>
      <c r="D1634">
        <v>300</v>
      </c>
      <c r="E1634">
        <v>6464</v>
      </c>
      <c r="F1634" t="s">
        <v>273</v>
      </c>
      <c r="G1634" s="2" t="s">
        <v>156</v>
      </c>
      <c r="H1634">
        <v>1</v>
      </c>
      <c r="I1634">
        <v>304.45</v>
      </c>
      <c r="J1634" s="2" t="s">
        <v>170</v>
      </c>
      <c r="K1634" s="2" t="s">
        <v>74</v>
      </c>
      <c r="M1634" t="s">
        <v>2440</v>
      </c>
      <c r="P1634" s="19" t="s">
        <v>2011</v>
      </c>
      <c r="Q1634" s="19" t="s">
        <v>27</v>
      </c>
      <c r="R1634" s="19" t="s">
        <v>138</v>
      </c>
      <c r="W1634" s="20">
        <v>23</v>
      </c>
      <c r="X1634" s="65" t="s">
        <v>2010</v>
      </c>
      <c r="Z1634" t="s">
        <v>307</v>
      </c>
      <c r="AB1634" t="s">
        <v>178</v>
      </c>
      <c r="AC1634" t="s">
        <v>2328</v>
      </c>
      <c r="AD1634" s="2" t="s">
        <v>180</v>
      </c>
    </row>
    <row r="1635" spans="1:30" hidden="1" x14ac:dyDescent="0.25">
      <c r="A1635" s="2">
        <v>300</v>
      </c>
      <c r="B1635" t="s">
        <v>2342</v>
      </c>
      <c r="C1635">
        <v>20</v>
      </c>
      <c r="D1635">
        <v>300</v>
      </c>
      <c r="E1635">
        <v>6464</v>
      </c>
      <c r="F1635" t="s">
        <v>273</v>
      </c>
      <c r="G1635" s="2" t="s">
        <v>156</v>
      </c>
      <c r="H1635">
        <v>1</v>
      </c>
      <c r="I1635">
        <v>304.45</v>
      </c>
      <c r="J1635" s="2" t="s">
        <v>170</v>
      </c>
      <c r="K1635" s="2" t="s">
        <v>74</v>
      </c>
      <c r="M1635" t="s">
        <v>2440</v>
      </c>
      <c r="P1635" s="19" t="s">
        <v>2011</v>
      </c>
      <c r="Q1635" s="19" t="s">
        <v>27</v>
      </c>
      <c r="R1635" s="19" t="s">
        <v>138</v>
      </c>
      <c r="W1635" s="20">
        <v>23</v>
      </c>
      <c r="X1635" s="65" t="s">
        <v>2010</v>
      </c>
      <c r="Z1635" t="s">
        <v>307</v>
      </c>
      <c r="AB1635" t="s">
        <v>178</v>
      </c>
      <c r="AC1635" t="s">
        <v>2328</v>
      </c>
      <c r="AD1635" s="2" t="s">
        <v>180</v>
      </c>
    </row>
    <row r="1636" spans="1:30" hidden="1" x14ac:dyDescent="0.25">
      <c r="A1636" s="2">
        <v>301</v>
      </c>
      <c r="B1636" t="s">
        <v>2343</v>
      </c>
      <c r="C1636">
        <v>20</v>
      </c>
      <c r="D1636">
        <v>300</v>
      </c>
      <c r="E1636">
        <v>6464</v>
      </c>
      <c r="F1636" t="s">
        <v>273</v>
      </c>
      <c r="G1636" s="2" t="s">
        <v>156</v>
      </c>
      <c r="H1636">
        <v>1</v>
      </c>
      <c r="I1636">
        <v>304.45</v>
      </c>
      <c r="J1636" s="2" t="s">
        <v>170</v>
      </c>
      <c r="K1636" s="2" t="s">
        <v>74</v>
      </c>
      <c r="M1636" t="s">
        <v>2440</v>
      </c>
      <c r="P1636" s="19" t="s">
        <v>2011</v>
      </c>
      <c r="Q1636" s="19" t="s">
        <v>27</v>
      </c>
      <c r="R1636" s="19" t="s">
        <v>138</v>
      </c>
      <c r="W1636" s="20">
        <v>23</v>
      </c>
      <c r="X1636" s="65" t="s">
        <v>2010</v>
      </c>
      <c r="Z1636" t="s">
        <v>307</v>
      </c>
      <c r="AB1636" t="s">
        <v>178</v>
      </c>
      <c r="AC1636" t="s">
        <v>2328</v>
      </c>
      <c r="AD1636" s="2" t="s">
        <v>180</v>
      </c>
    </row>
    <row r="1637" spans="1:30" hidden="1" x14ac:dyDescent="0.25">
      <c r="A1637" s="2">
        <v>302</v>
      </c>
      <c r="B1637" t="s">
        <v>2344</v>
      </c>
      <c r="C1637">
        <v>20</v>
      </c>
      <c r="D1637">
        <v>300</v>
      </c>
      <c r="E1637">
        <v>6464</v>
      </c>
      <c r="F1637" t="s">
        <v>273</v>
      </c>
      <c r="G1637" s="2" t="s">
        <v>156</v>
      </c>
      <c r="H1637">
        <v>1</v>
      </c>
      <c r="I1637">
        <v>304.45</v>
      </c>
      <c r="J1637" s="2" t="s">
        <v>170</v>
      </c>
      <c r="K1637" s="2" t="s">
        <v>74</v>
      </c>
      <c r="M1637" t="s">
        <v>2440</v>
      </c>
      <c r="P1637" s="19" t="s">
        <v>2011</v>
      </c>
      <c r="Q1637" s="19" t="s">
        <v>27</v>
      </c>
      <c r="R1637" s="19" t="s">
        <v>138</v>
      </c>
      <c r="W1637" s="20">
        <v>23</v>
      </c>
      <c r="X1637" s="65" t="s">
        <v>2010</v>
      </c>
      <c r="Z1637" t="s">
        <v>307</v>
      </c>
      <c r="AB1637" t="s">
        <v>178</v>
      </c>
      <c r="AC1637" t="s">
        <v>2328</v>
      </c>
      <c r="AD1637" s="2" t="s">
        <v>180</v>
      </c>
    </row>
    <row r="1638" spans="1:30" hidden="1" x14ac:dyDescent="0.25">
      <c r="A1638" s="2">
        <v>303</v>
      </c>
      <c r="B1638" t="s">
        <v>2345</v>
      </c>
      <c r="C1638">
        <v>20</v>
      </c>
      <c r="D1638">
        <v>300</v>
      </c>
      <c r="E1638">
        <v>9980</v>
      </c>
      <c r="F1638" t="s">
        <v>273</v>
      </c>
      <c r="G1638" s="2" t="s">
        <v>156</v>
      </c>
      <c r="H1638">
        <v>1</v>
      </c>
      <c r="I1638">
        <v>470.06</v>
      </c>
      <c r="J1638" s="2" t="s">
        <v>170</v>
      </c>
      <c r="K1638" s="2" t="s">
        <v>74</v>
      </c>
      <c r="M1638" t="s">
        <v>2440</v>
      </c>
      <c r="P1638" s="19" t="s">
        <v>2011</v>
      </c>
      <c r="Q1638" s="19" t="s">
        <v>27</v>
      </c>
      <c r="R1638" s="19" t="s">
        <v>138</v>
      </c>
      <c r="W1638" s="20">
        <v>23</v>
      </c>
      <c r="X1638" s="65" t="s">
        <v>2010</v>
      </c>
      <c r="Z1638" t="s">
        <v>307</v>
      </c>
      <c r="AB1638" t="s">
        <v>178</v>
      </c>
      <c r="AC1638" t="s">
        <v>2346</v>
      </c>
      <c r="AD1638" s="2" t="s">
        <v>180</v>
      </c>
    </row>
    <row r="1639" spans="1:30" hidden="1" x14ac:dyDescent="0.25">
      <c r="A1639" s="2">
        <v>304</v>
      </c>
      <c r="B1639" t="s">
        <v>2348</v>
      </c>
      <c r="C1639">
        <v>20</v>
      </c>
      <c r="D1639">
        <v>300</v>
      </c>
      <c r="E1639">
        <v>9980</v>
      </c>
      <c r="F1639" t="s">
        <v>273</v>
      </c>
      <c r="G1639" s="2" t="s">
        <v>156</v>
      </c>
      <c r="H1639">
        <v>1</v>
      </c>
      <c r="I1639">
        <v>470.06</v>
      </c>
      <c r="J1639" s="2" t="s">
        <v>170</v>
      </c>
      <c r="K1639" s="2" t="s">
        <v>74</v>
      </c>
      <c r="M1639" t="s">
        <v>2440</v>
      </c>
      <c r="P1639" s="19" t="s">
        <v>2011</v>
      </c>
      <c r="Q1639" s="19" t="s">
        <v>27</v>
      </c>
      <c r="R1639" s="19" t="s">
        <v>138</v>
      </c>
      <c r="W1639" s="20">
        <v>23</v>
      </c>
      <c r="X1639" s="65" t="s">
        <v>2010</v>
      </c>
      <c r="Z1639" t="s">
        <v>307</v>
      </c>
      <c r="AB1639" t="s">
        <v>178</v>
      </c>
      <c r="AC1639" t="s">
        <v>2346</v>
      </c>
      <c r="AD1639" s="2" t="s">
        <v>180</v>
      </c>
    </row>
    <row r="1640" spans="1:30" hidden="1" x14ac:dyDescent="0.25">
      <c r="A1640" s="2">
        <v>305</v>
      </c>
      <c r="B1640" t="s">
        <v>2349</v>
      </c>
      <c r="C1640">
        <v>20</v>
      </c>
      <c r="D1640">
        <v>300</v>
      </c>
      <c r="E1640">
        <v>1514</v>
      </c>
      <c r="F1640" t="s">
        <v>273</v>
      </c>
      <c r="G1640" s="2" t="s">
        <v>156</v>
      </c>
      <c r="H1640">
        <v>1</v>
      </c>
      <c r="I1640">
        <v>71.31</v>
      </c>
      <c r="J1640" s="2" t="s">
        <v>170</v>
      </c>
      <c r="K1640" s="2" t="s">
        <v>74</v>
      </c>
      <c r="M1640" t="s">
        <v>2440</v>
      </c>
      <c r="P1640" s="19" t="s">
        <v>2011</v>
      </c>
      <c r="Q1640" s="19" t="s">
        <v>27</v>
      </c>
      <c r="R1640" s="19" t="s">
        <v>138</v>
      </c>
      <c r="W1640" s="20">
        <v>23</v>
      </c>
      <c r="X1640" s="65" t="s">
        <v>2010</v>
      </c>
      <c r="Z1640" t="s">
        <v>307</v>
      </c>
      <c r="AB1640" t="s">
        <v>178</v>
      </c>
      <c r="AC1640" t="s">
        <v>2346</v>
      </c>
      <c r="AD1640" s="2" t="s">
        <v>180</v>
      </c>
    </row>
    <row r="1641" spans="1:30" hidden="1" x14ac:dyDescent="0.25">
      <c r="A1641" s="2">
        <v>306</v>
      </c>
      <c r="B1641" t="s">
        <v>2305</v>
      </c>
      <c r="C1641">
        <v>20</v>
      </c>
      <c r="D1641">
        <v>300</v>
      </c>
      <c r="E1641">
        <v>480</v>
      </c>
      <c r="F1641" t="s">
        <v>273</v>
      </c>
      <c r="G1641" s="2" t="s">
        <v>156</v>
      </c>
      <c r="H1641">
        <v>2</v>
      </c>
      <c r="I1641">
        <v>45.22</v>
      </c>
      <c r="J1641" s="2" t="s">
        <v>170</v>
      </c>
      <c r="K1641" s="2" t="s">
        <v>74</v>
      </c>
      <c r="M1641" t="s">
        <v>2440</v>
      </c>
      <c r="P1641" s="19" t="s">
        <v>2011</v>
      </c>
      <c r="Q1641" s="19" t="s">
        <v>25</v>
      </c>
      <c r="R1641" s="19" t="s">
        <v>138</v>
      </c>
      <c r="W1641" s="20">
        <v>23</v>
      </c>
      <c r="X1641" s="65" t="s">
        <v>2010</v>
      </c>
      <c r="Z1641" t="s">
        <v>307</v>
      </c>
      <c r="AB1641" t="s">
        <v>178</v>
      </c>
      <c r="AC1641" t="s">
        <v>2346</v>
      </c>
      <c r="AD1641" s="2" t="s">
        <v>180</v>
      </c>
    </row>
    <row r="1642" spans="1:30" hidden="1" x14ac:dyDescent="0.25">
      <c r="A1642" s="2">
        <v>307</v>
      </c>
      <c r="B1642" t="s">
        <v>2350</v>
      </c>
      <c r="C1642">
        <v>20</v>
      </c>
      <c r="D1642">
        <v>1436</v>
      </c>
      <c r="E1642">
        <v>9068</v>
      </c>
      <c r="F1642" t="s">
        <v>273</v>
      </c>
      <c r="G1642" s="2" t="s">
        <v>156</v>
      </c>
      <c r="H1642">
        <v>1</v>
      </c>
      <c r="I1642">
        <v>2029.94</v>
      </c>
      <c r="J1642" s="2" t="s">
        <v>170</v>
      </c>
      <c r="K1642" s="2" t="s">
        <v>74</v>
      </c>
      <c r="M1642" t="s">
        <v>2440</v>
      </c>
      <c r="P1642" s="19" t="s">
        <v>2011</v>
      </c>
      <c r="Q1642" s="19" t="s">
        <v>27</v>
      </c>
      <c r="R1642" s="19" t="s">
        <v>138</v>
      </c>
      <c r="W1642" s="20">
        <v>23</v>
      </c>
      <c r="X1642" s="65" t="s">
        <v>2010</v>
      </c>
      <c r="Z1642" t="s">
        <v>307</v>
      </c>
      <c r="AB1642" t="s">
        <v>178</v>
      </c>
      <c r="AC1642" t="s">
        <v>2346</v>
      </c>
      <c r="AD1642" s="2" t="s">
        <v>180</v>
      </c>
    </row>
    <row r="1643" spans="1:30" hidden="1" x14ac:dyDescent="0.25">
      <c r="A1643" s="2">
        <v>308</v>
      </c>
      <c r="B1643" t="s">
        <v>2275</v>
      </c>
      <c r="C1643">
        <v>20</v>
      </c>
      <c r="D1643">
        <v>300</v>
      </c>
      <c r="E1643">
        <v>480</v>
      </c>
      <c r="F1643" t="s">
        <v>273</v>
      </c>
      <c r="G1643" s="2" t="s">
        <v>156</v>
      </c>
      <c r="H1643">
        <v>2</v>
      </c>
      <c r="I1643">
        <v>45.22</v>
      </c>
      <c r="J1643" s="2" t="s">
        <v>170</v>
      </c>
      <c r="K1643" s="2" t="s">
        <v>74</v>
      </c>
      <c r="M1643" t="s">
        <v>2440</v>
      </c>
      <c r="P1643" s="19" t="s">
        <v>2011</v>
      </c>
      <c r="Q1643" s="19" t="s">
        <v>25</v>
      </c>
      <c r="R1643" s="19" t="s">
        <v>138</v>
      </c>
      <c r="W1643" s="20">
        <v>23</v>
      </c>
      <c r="X1643" s="65" t="s">
        <v>2010</v>
      </c>
      <c r="Z1643" t="s">
        <v>307</v>
      </c>
      <c r="AB1643" t="s">
        <v>178</v>
      </c>
      <c r="AC1643" t="s">
        <v>2346</v>
      </c>
      <c r="AD1643" s="2" t="s">
        <v>180</v>
      </c>
    </row>
    <row r="1644" spans="1:30" hidden="1" x14ac:dyDescent="0.25">
      <c r="A1644" s="2">
        <v>309</v>
      </c>
      <c r="B1644" t="s">
        <v>2351</v>
      </c>
      <c r="C1644">
        <v>20</v>
      </c>
      <c r="D1644">
        <v>300</v>
      </c>
      <c r="E1644">
        <v>9980</v>
      </c>
      <c r="F1644" t="s">
        <v>273</v>
      </c>
      <c r="G1644" s="2" t="s">
        <v>156</v>
      </c>
      <c r="H1644">
        <v>1</v>
      </c>
      <c r="I1644">
        <v>470.06</v>
      </c>
      <c r="J1644" s="2" t="s">
        <v>170</v>
      </c>
      <c r="K1644" s="2" t="s">
        <v>74</v>
      </c>
      <c r="M1644" t="s">
        <v>2440</v>
      </c>
      <c r="P1644" s="19" t="s">
        <v>2011</v>
      </c>
      <c r="Q1644" s="19" t="s">
        <v>27</v>
      </c>
      <c r="R1644" s="19" t="s">
        <v>138</v>
      </c>
      <c r="W1644" s="20">
        <v>23</v>
      </c>
      <c r="X1644" s="65" t="s">
        <v>2010</v>
      </c>
      <c r="Z1644" t="s">
        <v>307</v>
      </c>
      <c r="AB1644" t="s">
        <v>178</v>
      </c>
      <c r="AC1644" t="s">
        <v>2346</v>
      </c>
      <c r="AD1644" s="2" t="s">
        <v>180</v>
      </c>
    </row>
    <row r="1645" spans="1:30" hidden="1" x14ac:dyDescent="0.25">
      <c r="A1645" s="2">
        <v>310</v>
      </c>
      <c r="B1645" t="s">
        <v>2352</v>
      </c>
      <c r="C1645">
        <v>20</v>
      </c>
      <c r="D1645">
        <v>300</v>
      </c>
      <c r="E1645">
        <v>1514</v>
      </c>
      <c r="F1645" t="s">
        <v>273</v>
      </c>
      <c r="G1645" s="2" t="s">
        <v>156</v>
      </c>
      <c r="H1645">
        <v>1</v>
      </c>
      <c r="I1645">
        <v>71.31</v>
      </c>
      <c r="J1645" s="2" t="s">
        <v>170</v>
      </c>
      <c r="K1645" s="2" t="s">
        <v>74</v>
      </c>
      <c r="M1645" t="s">
        <v>2440</v>
      </c>
      <c r="P1645" s="19" t="s">
        <v>2011</v>
      </c>
      <c r="Q1645" s="19" t="s">
        <v>27</v>
      </c>
      <c r="R1645" s="19" t="s">
        <v>138</v>
      </c>
      <c r="W1645" s="20">
        <v>23</v>
      </c>
      <c r="X1645" s="65" t="s">
        <v>2010</v>
      </c>
      <c r="Z1645" t="s">
        <v>307</v>
      </c>
      <c r="AB1645" t="s">
        <v>178</v>
      </c>
      <c r="AC1645" t="s">
        <v>2346</v>
      </c>
      <c r="AD1645" s="2" t="s">
        <v>180</v>
      </c>
    </row>
    <row r="1646" spans="1:30" hidden="1" x14ac:dyDescent="0.25">
      <c r="A1646" s="2">
        <v>311</v>
      </c>
      <c r="B1646" t="s">
        <v>2353</v>
      </c>
      <c r="C1646">
        <v>20</v>
      </c>
      <c r="D1646">
        <v>300</v>
      </c>
      <c r="E1646">
        <v>1514</v>
      </c>
      <c r="F1646" t="s">
        <v>273</v>
      </c>
      <c r="G1646" s="2" t="s">
        <v>156</v>
      </c>
      <c r="H1646">
        <v>1</v>
      </c>
      <c r="I1646">
        <v>71.31</v>
      </c>
      <c r="J1646" s="2" t="s">
        <v>170</v>
      </c>
      <c r="K1646" s="2" t="s">
        <v>74</v>
      </c>
      <c r="M1646" t="s">
        <v>2440</v>
      </c>
      <c r="P1646" s="19" t="s">
        <v>2011</v>
      </c>
      <c r="Q1646" s="19" t="s">
        <v>27</v>
      </c>
      <c r="R1646" s="19" t="s">
        <v>138</v>
      </c>
      <c r="W1646" s="20">
        <v>23</v>
      </c>
      <c r="X1646" s="65" t="s">
        <v>2010</v>
      </c>
      <c r="Z1646" t="s">
        <v>307</v>
      </c>
      <c r="AB1646" t="s">
        <v>178</v>
      </c>
      <c r="AC1646" t="s">
        <v>2346</v>
      </c>
      <c r="AD1646" s="2" t="s">
        <v>180</v>
      </c>
    </row>
    <row r="1647" spans="1:30" hidden="1" x14ac:dyDescent="0.25">
      <c r="A1647" s="2">
        <v>312</v>
      </c>
      <c r="B1647" t="s">
        <v>2354</v>
      </c>
      <c r="C1647">
        <v>20</v>
      </c>
      <c r="D1647">
        <v>300</v>
      </c>
      <c r="E1647">
        <v>1514</v>
      </c>
      <c r="F1647" t="s">
        <v>273</v>
      </c>
      <c r="G1647" s="2" t="s">
        <v>156</v>
      </c>
      <c r="H1647">
        <v>1</v>
      </c>
      <c r="I1647">
        <v>71.31</v>
      </c>
      <c r="J1647" s="2" t="s">
        <v>170</v>
      </c>
      <c r="K1647" s="2" t="s">
        <v>74</v>
      </c>
      <c r="M1647" t="s">
        <v>2440</v>
      </c>
      <c r="P1647" s="19" t="s">
        <v>2011</v>
      </c>
      <c r="Q1647" s="19" t="s">
        <v>27</v>
      </c>
      <c r="R1647" s="19" t="s">
        <v>138</v>
      </c>
      <c r="W1647" s="20">
        <v>23</v>
      </c>
      <c r="X1647" s="65" t="s">
        <v>2010</v>
      </c>
      <c r="Z1647" t="s">
        <v>307</v>
      </c>
      <c r="AB1647" t="s">
        <v>178</v>
      </c>
      <c r="AC1647" t="s">
        <v>2346</v>
      </c>
      <c r="AD1647" s="2" t="s">
        <v>180</v>
      </c>
    </row>
    <row r="1648" spans="1:30" hidden="1" x14ac:dyDescent="0.25">
      <c r="A1648" s="2">
        <v>313</v>
      </c>
      <c r="B1648" t="s">
        <v>2355</v>
      </c>
      <c r="C1648">
        <v>20</v>
      </c>
      <c r="D1648">
        <v>300</v>
      </c>
      <c r="E1648">
        <v>1514</v>
      </c>
      <c r="F1648" t="s">
        <v>273</v>
      </c>
      <c r="G1648" s="2" t="s">
        <v>156</v>
      </c>
      <c r="H1648">
        <v>1</v>
      </c>
      <c r="I1648">
        <v>71.31</v>
      </c>
      <c r="J1648" s="2" t="s">
        <v>170</v>
      </c>
      <c r="K1648" s="2" t="s">
        <v>74</v>
      </c>
      <c r="M1648" t="s">
        <v>2440</v>
      </c>
      <c r="P1648" s="19" t="s">
        <v>2011</v>
      </c>
      <c r="Q1648" s="19" t="s">
        <v>27</v>
      </c>
      <c r="R1648" s="19" t="s">
        <v>138</v>
      </c>
      <c r="W1648" s="20">
        <v>23</v>
      </c>
      <c r="X1648" s="65" t="s">
        <v>2010</v>
      </c>
      <c r="Z1648" t="s">
        <v>307</v>
      </c>
      <c r="AB1648" t="s">
        <v>178</v>
      </c>
      <c r="AC1648" t="s">
        <v>2346</v>
      </c>
      <c r="AD1648" s="2" t="s">
        <v>180</v>
      </c>
    </row>
    <row r="1649" spans="1:30" hidden="1" x14ac:dyDescent="0.25">
      <c r="A1649" s="2">
        <v>314</v>
      </c>
      <c r="B1649" t="s">
        <v>2356</v>
      </c>
      <c r="C1649">
        <v>20</v>
      </c>
      <c r="D1649">
        <v>300</v>
      </c>
      <c r="E1649">
        <v>1514</v>
      </c>
      <c r="F1649" t="s">
        <v>273</v>
      </c>
      <c r="G1649" s="2" t="s">
        <v>156</v>
      </c>
      <c r="H1649">
        <v>1</v>
      </c>
      <c r="I1649">
        <v>71.31</v>
      </c>
      <c r="J1649" s="2" t="s">
        <v>170</v>
      </c>
      <c r="K1649" s="2" t="s">
        <v>74</v>
      </c>
      <c r="M1649" t="s">
        <v>2440</v>
      </c>
      <c r="P1649" s="19" t="s">
        <v>2011</v>
      </c>
      <c r="Q1649" s="19" t="s">
        <v>27</v>
      </c>
      <c r="R1649" s="19" t="s">
        <v>138</v>
      </c>
      <c r="W1649" s="20">
        <v>23</v>
      </c>
      <c r="X1649" s="65" t="s">
        <v>2010</v>
      </c>
      <c r="Z1649" t="s">
        <v>307</v>
      </c>
      <c r="AB1649" t="s">
        <v>178</v>
      </c>
      <c r="AC1649" t="s">
        <v>2346</v>
      </c>
      <c r="AD1649" s="2" t="s">
        <v>180</v>
      </c>
    </row>
    <row r="1650" spans="1:30" hidden="1" x14ac:dyDescent="0.25">
      <c r="A1650" s="2">
        <v>315</v>
      </c>
      <c r="B1650" t="s">
        <v>2283</v>
      </c>
      <c r="C1650">
        <v>20</v>
      </c>
      <c r="D1650">
        <v>300</v>
      </c>
      <c r="E1650">
        <v>480</v>
      </c>
      <c r="F1650" t="s">
        <v>273</v>
      </c>
      <c r="G1650" s="2" t="s">
        <v>156</v>
      </c>
      <c r="H1650">
        <v>2</v>
      </c>
      <c r="I1650">
        <v>45.22</v>
      </c>
      <c r="J1650" s="2" t="s">
        <v>170</v>
      </c>
      <c r="K1650" s="2" t="s">
        <v>74</v>
      </c>
      <c r="M1650" t="s">
        <v>2440</v>
      </c>
      <c r="P1650" s="19" t="s">
        <v>2011</v>
      </c>
      <c r="Q1650" s="19" t="s">
        <v>25</v>
      </c>
      <c r="R1650" s="19" t="s">
        <v>138</v>
      </c>
      <c r="W1650" s="20">
        <v>23</v>
      </c>
      <c r="X1650" s="65" t="s">
        <v>2010</v>
      </c>
      <c r="Z1650" t="s">
        <v>307</v>
      </c>
      <c r="AB1650" t="s">
        <v>178</v>
      </c>
      <c r="AC1650" t="s">
        <v>2346</v>
      </c>
      <c r="AD1650" s="2" t="s">
        <v>180</v>
      </c>
    </row>
    <row r="1651" spans="1:30" hidden="1" x14ac:dyDescent="0.25">
      <c r="A1651" s="2">
        <v>316</v>
      </c>
      <c r="B1651" t="s">
        <v>2357</v>
      </c>
      <c r="C1651">
        <v>20</v>
      </c>
      <c r="D1651">
        <v>300</v>
      </c>
      <c r="E1651">
        <v>1514</v>
      </c>
      <c r="F1651" t="s">
        <v>273</v>
      </c>
      <c r="G1651" s="2" t="s">
        <v>156</v>
      </c>
      <c r="H1651">
        <v>1</v>
      </c>
      <c r="I1651">
        <v>71.31</v>
      </c>
      <c r="J1651" s="2" t="s">
        <v>170</v>
      </c>
      <c r="K1651" s="2" t="s">
        <v>74</v>
      </c>
      <c r="M1651" t="s">
        <v>2440</v>
      </c>
      <c r="P1651" s="19" t="s">
        <v>2011</v>
      </c>
      <c r="Q1651" s="19" t="s">
        <v>27</v>
      </c>
      <c r="R1651" s="19" t="s">
        <v>138</v>
      </c>
      <c r="W1651" s="20">
        <v>23</v>
      </c>
      <c r="X1651" s="65" t="s">
        <v>2010</v>
      </c>
      <c r="Z1651" t="s">
        <v>307</v>
      </c>
      <c r="AB1651" t="s">
        <v>178</v>
      </c>
      <c r="AC1651" t="s">
        <v>2358</v>
      </c>
      <c r="AD1651" s="2" t="s">
        <v>180</v>
      </c>
    </row>
    <row r="1652" spans="1:30" hidden="1" x14ac:dyDescent="0.25">
      <c r="A1652" s="2">
        <v>317</v>
      </c>
      <c r="B1652" t="s">
        <v>2360</v>
      </c>
      <c r="C1652">
        <v>20</v>
      </c>
      <c r="D1652">
        <v>300</v>
      </c>
      <c r="E1652">
        <v>1514</v>
      </c>
      <c r="F1652" t="s">
        <v>273</v>
      </c>
      <c r="G1652" s="2" t="s">
        <v>156</v>
      </c>
      <c r="H1652">
        <v>1</v>
      </c>
      <c r="I1652">
        <v>71.31</v>
      </c>
      <c r="J1652" s="2" t="s">
        <v>170</v>
      </c>
      <c r="K1652" s="2" t="s">
        <v>74</v>
      </c>
      <c r="M1652" t="s">
        <v>2440</v>
      </c>
      <c r="P1652" s="19" t="s">
        <v>2011</v>
      </c>
      <c r="Q1652" s="19" t="s">
        <v>27</v>
      </c>
      <c r="R1652" s="19" t="s">
        <v>138</v>
      </c>
      <c r="W1652" s="20">
        <v>23</v>
      </c>
      <c r="X1652" s="65" t="s">
        <v>2010</v>
      </c>
      <c r="Z1652" t="s">
        <v>307</v>
      </c>
      <c r="AB1652" t="s">
        <v>178</v>
      </c>
      <c r="AC1652" t="s">
        <v>2358</v>
      </c>
      <c r="AD1652" s="2" t="s">
        <v>180</v>
      </c>
    </row>
    <row r="1653" spans="1:30" hidden="1" x14ac:dyDescent="0.25">
      <c r="A1653" s="2">
        <v>318</v>
      </c>
      <c r="B1653" t="s">
        <v>2361</v>
      </c>
      <c r="C1653">
        <v>20</v>
      </c>
      <c r="D1653">
        <v>300</v>
      </c>
      <c r="E1653">
        <v>1514</v>
      </c>
      <c r="F1653" t="s">
        <v>273</v>
      </c>
      <c r="G1653" s="2" t="s">
        <v>156</v>
      </c>
      <c r="H1653">
        <v>1</v>
      </c>
      <c r="I1653">
        <v>71.31</v>
      </c>
      <c r="J1653" s="2" t="s">
        <v>170</v>
      </c>
      <c r="K1653" s="2" t="s">
        <v>74</v>
      </c>
      <c r="M1653" t="s">
        <v>2440</v>
      </c>
      <c r="P1653" s="19" t="s">
        <v>2011</v>
      </c>
      <c r="Q1653" s="19" t="s">
        <v>27</v>
      </c>
      <c r="R1653" s="19" t="s">
        <v>138</v>
      </c>
      <c r="W1653" s="20">
        <v>23</v>
      </c>
      <c r="X1653" s="65" t="s">
        <v>2010</v>
      </c>
      <c r="Z1653" t="s">
        <v>307</v>
      </c>
      <c r="AB1653" t="s">
        <v>178</v>
      </c>
      <c r="AC1653" t="s">
        <v>2358</v>
      </c>
      <c r="AD1653" s="2" t="s">
        <v>180</v>
      </c>
    </row>
    <row r="1654" spans="1:30" hidden="1" x14ac:dyDescent="0.25">
      <c r="A1654" s="2">
        <v>319</v>
      </c>
      <c r="B1654" t="s">
        <v>2362</v>
      </c>
      <c r="C1654">
        <v>20</v>
      </c>
      <c r="D1654">
        <v>300</v>
      </c>
      <c r="E1654">
        <v>1514</v>
      </c>
      <c r="F1654" t="s">
        <v>273</v>
      </c>
      <c r="G1654" s="2" t="s">
        <v>156</v>
      </c>
      <c r="H1654">
        <v>1</v>
      </c>
      <c r="I1654">
        <v>71.31</v>
      </c>
      <c r="J1654" s="2" t="s">
        <v>170</v>
      </c>
      <c r="K1654" s="2" t="s">
        <v>74</v>
      </c>
      <c r="M1654" t="s">
        <v>2440</v>
      </c>
      <c r="P1654" s="19" t="s">
        <v>2011</v>
      </c>
      <c r="Q1654" s="19" t="s">
        <v>27</v>
      </c>
      <c r="R1654" s="19" t="s">
        <v>138</v>
      </c>
      <c r="W1654" s="20">
        <v>23</v>
      </c>
      <c r="X1654" s="65" t="s">
        <v>2010</v>
      </c>
      <c r="Z1654" t="s">
        <v>307</v>
      </c>
      <c r="AB1654" t="s">
        <v>178</v>
      </c>
      <c r="AC1654" t="s">
        <v>2358</v>
      </c>
      <c r="AD1654" s="2" t="s">
        <v>180</v>
      </c>
    </row>
    <row r="1655" spans="1:30" hidden="1" x14ac:dyDescent="0.25">
      <c r="A1655" s="2">
        <v>320</v>
      </c>
      <c r="B1655" t="s">
        <v>2305</v>
      </c>
      <c r="C1655">
        <v>20</v>
      </c>
      <c r="D1655">
        <v>300</v>
      </c>
      <c r="E1655">
        <v>480</v>
      </c>
      <c r="F1655" t="s">
        <v>273</v>
      </c>
      <c r="G1655" s="2" t="s">
        <v>156</v>
      </c>
      <c r="H1655">
        <v>2</v>
      </c>
      <c r="I1655">
        <v>45.22</v>
      </c>
      <c r="J1655" s="2" t="s">
        <v>170</v>
      </c>
      <c r="K1655" s="2" t="s">
        <v>74</v>
      </c>
      <c r="M1655" t="s">
        <v>2440</v>
      </c>
      <c r="P1655" s="19" t="s">
        <v>2011</v>
      </c>
      <c r="Q1655" s="19" t="s">
        <v>25</v>
      </c>
      <c r="R1655" s="19" t="s">
        <v>138</v>
      </c>
      <c r="W1655" s="20">
        <v>23</v>
      </c>
      <c r="X1655" s="65" t="s">
        <v>2010</v>
      </c>
      <c r="Z1655" t="s">
        <v>307</v>
      </c>
      <c r="AB1655" t="s">
        <v>178</v>
      </c>
      <c r="AC1655" t="s">
        <v>2358</v>
      </c>
      <c r="AD1655" s="2" t="s">
        <v>180</v>
      </c>
    </row>
    <row r="1656" spans="1:30" hidden="1" x14ac:dyDescent="0.25">
      <c r="A1656" s="2">
        <v>321</v>
      </c>
      <c r="B1656" t="s">
        <v>2363</v>
      </c>
      <c r="C1656">
        <v>20</v>
      </c>
      <c r="D1656">
        <v>1436</v>
      </c>
      <c r="E1656">
        <v>9068</v>
      </c>
      <c r="F1656" t="s">
        <v>273</v>
      </c>
      <c r="G1656" s="2" t="s">
        <v>156</v>
      </c>
      <c r="H1656">
        <v>1</v>
      </c>
      <c r="I1656">
        <v>2029.94</v>
      </c>
      <c r="J1656" s="2" t="s">
        <v>170</v>
      </c>
      <c r="K1656" s="2" t="s">
        <v>74</v>
      </c>
      <c r="M1656" t="s">
        <v>2440</v>
      </c>
      <c r="P1656" s="19" t="s">
        <v>2011</v>
      </c>
      <c r="Q1656" s="19" t="s">
        <v>27</v>
      </c>
      <c r="R1656" s="19" t="s">
        <v>138</v>
      </c>
      <c r="W1656" s="20">
        <v>23</v>
      </c>
      <c r="X1656" s="65" t="s">
        <v>2010</v>
      </c>
      <c r="Z1656" t="s">
        <v>307</v>
      </c>
      <c r="AB1656" t="s">
        <v>178</v>
      </c>
      <c r="AC1656" t="s">
        <v>2358</v>
      </c>
      <c r="AD1656" s="2" t="s">
        <v>180</v>
      </c>
    </row>
    <row r="1657" spans="1:30" hidden="1" x14ac:dyDescent="0.25">
      <c r="A1657" s="2">
        <v>322</v>
      </c>
      <c r="B1657" t="s">
        <v>2364</v>
      </c>
      <c r="C1657">
        <v>20</v>
      </c>
      <c r="D1657">
        <v>300</v>
      </c>
      <c r="E1657">
        <v>9980</v>
      </c>
      <c r="F1657" t="s">
        <v>273</v>
      </c>
      <c r="G1657" s="2" t="s">
        <v>156</v>
      </c>
      <c r="H1657">
        <v>1</v>
      </c>
      <c r="I1657">
        <v>470.06</v>
      </c>
      <c r="J1657" s="2" t="s">
        <v>170</v>
      </c>
      <c r="K1657" s="2" t="s">
        <v>74</v>
      </c>
      <c r="M1657" t="s">
        <v>2440</v>
      </c>
      <c r="P1657" s="19" t="s">
        <v>2011</v>
      </c>
      <c r="Q1657" s="19" t="s">
        <v>27</v>
      </c>
      <c r="R1657" s="19" t="s">
        <v>138</v>
      </c>
      <c r="W1657" s="20">
        <v>23</v>
      </c>
      <c r="X1657" s="65" t="s">
        <v>2010</v>
      </c>
      <c r="Z1657" t="s">
        <v>307</v>
      </c>
      <c r="AB1657" t="s">
        <v>178</v>
      </c>
      <c r="AC1657" t="s">
        <v>2358</v>
      </c>
      <c r="AD1657" s="2" t="s">
        <v>180</v>
      </c>
    </row>
    <row r="1658" spans="1:30" hidden="1" x14ac:dyDescent="0.25">
      <c r="A1658" s="2">
        <v>323</v>
      </c>
      <c r="B1658" t="s">
        <v>2365</v>
      </c>
      <c r="C1658">
        <v>20</v>
      </c>
      <c r="D1658">
        <v>300</v>
      </c>
      <c r="E1658">
        <v>9980</v>
      </c>
      <c r="F1658" t="s">
        <v>273</v>
      </c>
      <c r="G1658" s="2" t="s">
        <v>156</v>
      </c>
      <c r="H1658">
        <v>1</v>
      </c>
      <c r="I1658">
        <v>470.06</v>
      </c>
      <c r="J1658" s="2" t="s">
        <v>170</v>
      </c>
      <c r="K1658" s="2" t="s">
        <v>74</v>
      </c>
      <c r="M1658" t="s">
        <v>2440</v>
      </c>
      <c r="P1658" s="19" t="s">
        <v>2011</v>
      </c>
      <c r="Q1658" s="19" t="s">
        <v>27</v>
      </c>
      <c r="R1658" s="19" t="s">
        <v>138</v>
      </c>
      <c r="W1658" s="20">
        <v>23</v>
      </c>
      <c r="X1658" s="65" t="s">
        <v>2010</v>
      </c>
      <c r="Z1658" t="s">
        <v>307</v>
      </c>
      <c r="AB1658" t="s">
        <v>178</v>
      </c>
      <c r="AC1658" t="s">
        <v>2358</v>
      </c>
      <c r="AD1658" s="2" t="s">
        <v>180</v>
      </c>
    </row>
    <row r="1659" spans="1:30" hidden="1" x14ac:dyDescent="0.25">
      <c r="A1659" s="2">
        <v>324</v>
      </c>
      <c r="B1659" t="s">
        <v>2366</v>
      </c>
      <c r="C1659">
        <v>20</v>
      </c>
      <c r="D1659">
        <v>300</v>
      </c>
      <c r="E1659">
        <v>9980</v>
      </c>
      <c r="F1659" t="s">
        <v>273</v>
      </c>
      <c r="G1659" s="2" t="s">
        <v>156</v>
      </c>
      <c r="H1659">
        <v>1</v>
      </c>
      <c r="I1659">
        <v>470.06</v>
      </c>
      <c r="J1659" s="2" t="s">
        <v>170</v>
      </c>
      <c r="K1659" s="2" t="s">
        <v>74</v>
      </c>
      <c r="M1659" t="s">
        <v>2440</v>
      </c>
      <c r="P1659" s="19" t="s">
        <v>2011</v>
      </c>
      <c r="Q1659" s="19" t="s">
        <v>27</v>
      </c>
      <c r="R1659" s="19" t="s">
        <v>138</v>
      </c>
      <c r="W1659" s="20">
        <v>23</v>
      </c>
      <c r="X1659" s="65" t="s">
        <v>2010</v>
      </c>
      <c r="Z1659" t="s">
        <v>307</v>
      </c>
      <c r="AB1659" t="s">
        <v>178</v>
      </c>
      <c r="AC1659" t="s">
        <v>2358</v>
      </c>
      <c r="AD1659" s="2" t="s">
        <v>180</v>
      </c>
    </row>
    <row r="1660" spans="1:30" hidden="1" x14ac:dyDescent="0.25">
      <c r="A1660" s="2">
        <v>325</v>
      </c>
      <c r="B1660" t="s">
        <v>2367</v>
      </c>
      <c r="C1660">
        <v>20</v>
      </c>
      <c r="D1660">
        <v>300</v>
      </c>
      <c r="E1660">
        <v>1514</v>
      </c>
      <c r="F1660" t="s">
        <v>273</v>
      </c>
      <c r="G1660" s="2" t="s">
        <v>156</v>
      </c>
      <c r="H1660">
        <v>1</v>
      </c>
      <c r="I1660">
        <v>71.31</v>
      </c>
      <c r="J1660" s="2" t="s">
        <v>170</v>
      </c>
      <c r="K1660" s="2" t="s">
        <v>74</v>
      </c>
      <c r="M1660" t="s">
        <v>2440</v>
      </c>
      <c r="P1660" s="19" t="s">
        <v>2011</v>
      </c>
      <c r="Q1660" s="19" t="s">
        <v>27</v>
      </c>
      <c r="R1660" s="19" t="s">
        <v>138</v>
      </c>
      <c r="W1660" s="20">
        <v>23</v>
      </c>
      <c r="X1660" s="65" t="s">
        <v>2010</v>
      </c>
      <c r="Z1660" t="s">
        <v>307</v>
      </c>
      <c r="AB1660" t="s">
        <v>178</v>
      </c>
      <c r="AC1660" t="s">
        <v>2358</v>
      </c>
      <c r="AD1660" s="2" t="s">
        <v>180</v>
      </c>
    </row>
    <row r="1661" spans="1:30" hidden="1" x14ac:dyDescent="0.25">
      <c r="A1661" s="2">
        <v>326</v>
      </c>
      <c r="B1661" t="s">
        <v>2368</v>
      </c>
      <c r="C1661">
        <v>20</v>
      </c>
      <c r="D1661">
        <v>300</v>
      </c>
      <c r="E1661">
        <v>1514</v>
      </c>
      <c r="F1661" t="s">
        <v>273</v>
      </c>
      <c r="G1661" s="2" t="s">
        <v>156</v>
      </c>
      <c r="H1661">
        <v>1</v>
      </c>
      <c r="I1661">
        <v>71.31</v>
      </c>
      <c r="J1661" s="2" t="s">
        <v>170</v>
      </c>
      <c r="K1661" s="2" t="s">
        <v>74</v>
      </c>
      <c r="M1661" t="s">
        <v>2440</v>
      </c>
      <c r="P1661" s="19" t="s">
        <v>2011</v>
      </c>
      <c r="Q1661" s="19" t="s">
        <v>27</v>
      </c>
      <c r="R1661" s="19" t="s">
        <v>138</v>
      </c>
      <c r="W1661" s="20">
        <v>23</v>
      </c>
      <c r="X1661" s="65" t="s">
        <v>2010</v>
      </c>
      <c r="Z1661" t="s">
        <v>307</v>
      </c>
      <c r="AB1661" t="s">
        <v>178</v>
      </c>
      <c r="AC1661" t="s">
        <v>2358</v>
      </c>
      <c r="AD1661" s="2" t="s">
        <v>180</v>
      </c>
    </row>
    <row r="1662" spans="1:30" hidden="1" x14ac:dyDescent="0.25">
      <c r="A1662" s="2">
        <v>327</v>
      </c>
      <c r="B1662" t="s">
        <v>2283</v>
      </c>
      <c r="C1662">
        <v>20</v>
      </c>
      <c r="D1662">
        <v>300</v>
      </c>
      <c r="E1662">
        <v>480</v>
      </c>
      <c r="F1662" t="s">
        <v>273</v>
      </c>
      <c r="G1662" s="2" t="s">
        <v>156</v>
      </c>
      <c r="H1662">
        <v>2</v>
      </c>
      <c r="I1662">
        <v>45.22</v>
      </c>
      <c r="J1662" s="2" t="s">
        <v>170</v>
      </c>
      <c r="K1662" s="2" t="s">
        <v>74</v>
      </c>
      <c r="M1662" t="s">
        <v>2440</v>
      </c>
      <c r="P1662" s="19" t="s">
        <v>2011</v>
      </c>
      <c r="Q1662" s="19" t="s">
        <v>25</v>
      </c>
      <c r="R1662" s="19" t="s">
        <v>138</v>
      </c>
      <c r="W1662" s="20">
        <v>23</v>
      </c>
      <c r="X1662" s="65" t="s">
        <v>2010</v>
      </c>
      <c r="Z1662" t="s">
        <v>307</v>
      </c>
      <c r="AB1662" t="s">
        <v>178</v>
      </c>
      <c r="AC1662" t="s">
        <v>2358</v>
      </c>
      <c r="AD1662" s="2" t="s">
        <v>180</v>
      </c>
    </row>
    <row r="1663" spans="1:30" hidden="1" x14ac:dyDescent="0.25">
      <c r="A1663" s="2">
        <v>328</v>
      </c>
      <c r="B1663" t="s">
        <v>2284</v>
      </c>
      <c r="C1663">
        <v>20</v>
      </c>
      <c r="D1663">
        <v>300</v>
      </c>
      <c r="E1663">
        <v>480</v>
      </c>
      <c r="F1663" t="s">
        <v>273</v>
      </c>
      <c r="G1663" s="2" t="s">
        <v>156</v>
      </c>
      <c r="H1663">
        <v>2</v>
      </c>
      <c r="I1663">
        <v>45.22</v>
      </c>
      <c r="J1663" s="2" t="s">
        <v>170</v>
      </c>
      <c r="K1663" s="2" t="s">
        <v>74</v>
      </c>
      <c r="M1663" t="s">
        <v>2440</v>
      </c>
      <c r="P1663" s="19" t="s">
        <v>2011</v>
      </c>
      <c r="Q1663" s="19" t="s">
        <v>25</v>
      </c>
      <c r="R1663" s="19" t="s">
        <v>138</v>
      </c>
      <c r="W1663" s="20">
        <v>23</v>
      </c>
      <c r="X1663" s="65" t="s">
        <v>2010</v>
      </c>
      <c r="Z1663" t="s">
        <v>307</v>
      </c>
      <c r="AB1663" t="s">
        <v>178</v>
      </c>
      <c r="AC1663" t="s">
        <v>2358</v>
      </c>
      <c r="AD1663" s="2" t="s">
        <v>180</v>
      </c>
    </row>
    <row r="1664" spans="1:30" hidden="1" x14ac:dyDescent="0.25">
      <c r="A1664" s="2">
        <v>329</v>
      </c>
      <c r="B1664" t="s">
        <v>2369</v>
      </c>
      <c r="C1664">
        <v>20</v>
      </c>
      <c r="D1664">
        <v>300</v>
      </c>
      <c r="E1664">
        <v>9980</v>
      </c>
      <c r="F1664" t="s">
        <v>273</v>
      </c>
      <c r="G1664" s="2" t="s">
        <v>156</v>
      </c>
      <c r="H1664">
        <v>1</v>
      </c>
      <c r="I1664">
        <v>470.06</v>
      </c>
      <c r="J1664" s="2" t="s">
        <v>170</v>
      </c>
      <c r="K1664" s="2" t="s">
        <v>74</v>
      </c>
      <c r="M1664" t="s">
        <v>2440</v>
      </c>
      <c r="P1664" s="19" t="s">
        <v>2011</v>
      </c>
      <c r="Q1664" s="19" t="s">
        <v>27</v>
      </c>
      <c r="R1664" s="19" t="s">
        <v>138</v>
      </c>
      <c r="W1664" s="20">
        <v>23</v>
      </c>
      <c r="X1664" s="65" t="s">
        <v>2010</v>
      </c>
      <c r="Z1664" t="s">
        <v>307</v>
      </c>
      <c r="AB1664" t="s">
        <v>178</v>
      </c>
      <c r="AC1664" t="s">
        <v>2370</v>
      </c>
      <c r="AD1664" s="2" t="s">
        <v>180</v>
      </c>
    </row>
    <row r="1665" spans="1:30" hidden="1" x14ac:dyDescent="0.25">
      <c r="A1665" s="2">
        <v>330</v>
      </c>
      <c r="B1665" t="s">
        <v>2372</v>
      </c>
      <c r="C1665">
        <v>20</v>
      </c>
      <c r="D1665">
        <v>300</v>
      </c>
      <c r="E1665">
        <v>9980</v>
      </c>
      <c r="F1665" t="s">
        <v>273</v>
      </c>
      <c r="G1665" s="2" t="s">
        <v>156</v>
      </c>
      <c r="H1665">
        <v>1</v>
      </c>
      <c r="I1665">
        <v>470.06</v>
      </c>
      <c r="J1665" s="2" t="s">
        <v>170</v>
      </c>
      <c r="K1665" s="2" t="s">
        <v>74</v>
      </c>
      <c r="M1665" t="s">
        <v>2440</v>
      </c>
      <c r="P1665" s="19" t="s">
        <v>2011</v>
      </c>
      <c r="Q1665" s="19" t="s">
        <v>27</v>
      </c>
      <c r="R1665" s="19" t="s">
        <v>138</v>
      </c>
      <c r="W1665" s="20">
        <v>23</v>
      </c>
      <c r="X1665" s="65" t="s">
        <v>2010</v>
      </c>
      <c r="Z1665" t="s">
        <v>307</v>
      </c>
      <c r="AB1665" t="s">
        <v>178</v>
      </c>
      <c r="AC1665" t="s">
        <v>2370</v>
      </c>
      <c r="AD1665" s="2" t="s">
        <v>180</v>
      </c>
    </row>
    <row r="1666" spans="1:30" hidden="1" x14ac:dyDescent="0.25">
      <c r="A1666" s="2">
        <v>331</v>
      </c>
      <c r="B1666" t="s">
        <v>2373</v>
      </c>
      <c r="C1666">
        <v>20</v>
      </c>
      <c r="D1666">
        <v>300</v>
      </c>
      <c r="E1666">
        <v>9980</v>
      </c>
      <c r="F1666" t="s">
        <v>273</v>
      </c>
      <c r="G1666" s="2" t="s">
        <v>156</v>
      </c>
      <c r="H1666">
        <v>1</v>
      </c>
      <c r="I1666">
        <v>470.06</v>
      </c>
      <c r="J1666" s="2" t="s">
        <v>170</v>
      </c>
      <c r="K1666" s="2" t="s">
        <v>74</v>
      </c>
      <c r="M1666" t="s">
        <v>2440</v>
      </c>
      <c r="P1666" s="19" t="s">
        <v>2011</v>
      </c>
      <c r="Q1666" s="19" t="s">
        <v>27</v>
      </c>
      <c r="R1666" s="19" t="s">
        <v>138</v>
      </c>
      <c r="W1666" s="20">
        <v>23</v>
      </c>
      <c r="X1666" s="65" t="s">
        <v>2010</v>
      </c>
      <c r="Z1666" t="s">
        <v>307</v>
      </c>
      <c r="AB1666" t="s">
        <v>178</v>
      </c>
      <c r="AC1666" t="s">
        <v>2370</v>
      </c>
      <c r="AD1666" s="2" t="s">
        <v>180</v>
      </c>
    </row>
    <row r="1667" spans="1:30" hidden="1" x14ac:dyDescent="0.25">
      <c r="A1667" s="2">
        <v>332</v>
      </c>
      <c r="B1667" t="s">
        <v>2374</v>
      </c>
      <c r="C1667">
        <v>20</v>
      </c>
      <c r="D1667">
        <v>300</v>
      </c>
      <c r="E1667">
        <v>9980</v>
      </c>
      <c r="F1667" t="s">
        <v>273</v>
      </c>
      <c r="G1667" s="2" t="s">
        <v>156</v>
      </c>
      <c r="H1667">
        <v>1</v>
      </c>
      <c r="I1667">
        <v>470.06</v>
      </c>
      <c r="J1667" s="2" t="s">
        <v>170</v>
      </c>
      <c r="K1667" s="2" t="s">
        <v>74</v>
      </c>
      <c r="M1667" t="s">
        <v>2440</v>
      </c>
      <c r="P1667" s="19" t="s">
        <v>2011</v>
      </c>
      <c r="Q1667" s="19" t="s">
        <v>27</v>
      </c>
      <c r="R1667" s="19" t="s">
        <v>138</v>
      </c>
      <c r="W1667" s="20">
        <v>23</v>
      </c>
      <c r="X1667" s="65" t="s">
        <v>2010</v>
      </c>
      <c r="Z1667" t="s">
        <v>307</v>
      </c>
      <c r="AB1667" t="s">
        <v>178</v>
      </c>
      <c r="AC1667" t="s">
        <v>2370</v>
      </c>
      <c r="AD1667" s="2" t="s">
        <v>180</v>
      </c>
    </row>
    <row r="1668" spans="1:30" hidden="1" x14ac:dyDescent="0.25">
      <c r="A1668" s="2">
        <v>333</v>
      </c>
      <c r="B1668" t="s">
        <v>2375</v>
      </c>
      <c r="C1668">
        <v>20</v>
      </c>
      <c r="D1668">
        <v>300</v>
      </c>
      <c r="E1668">
        <v>9516</v>
      </c>
      <c r="F1668" t="s">
        <v>273</v>
      </c>
      <c r="G1668" s="2" t="s">
        <v>156</v>
      </c>
      <c r="H1668">
        <v>1</v>
      </c>
      <c r="I1668">
        <v>448.2</v>
      </c>
      <c r="J1668" s="2" t="s">
        <v>170</v>
      </c>
      <c r="K1668" s="2" t="s">
        <v>74</v>
      </c>
      <c r="M1668" t="s">
        <v>2440</v>
      </c>
      <c r="P1668" s="19" t="s">
        <v>2011</v>
      </c>
      <c r="Q1668" s="19" t="s">
        <v>27</v>
      </c>
      <c r="R1668" s="19" t="s">
        <v>138</v>
      </c>
      <c r="V1668" s="19" t="s">
        <v>138</v>
      </c>
      <c r="W1668" s="20">
        <v>23</v>
      </c>
      <c r="X1668" s="65" t="s">
        <v>2010</v>
      </c>
      <c r="Z1668" t="s">
        <v>307</v>
      </c>
      <c r="AB1668" t="s">
        <v>178</v>
      </c>
      <c r="AC1668" t="s">
        <v>2376</v>
      </c>
      <c r="AD1668" s="2" t="s">
        <v>180</v>
      </c>
    </row>
    <row r="1669" spans="1:30" hidden="1" x14ac:dyDescent="0.25">
      <c r="A1669" s="2">
        <v>334</v>
      </c>
      <c r="B1669" t="s">
        <v>2378</v>
      </c>
      <c r="C1669">
        <v>20</v>
      </c>
      <c r="D1669">
        <v>300</v>
      </c>
      <c r="E1669">
        <v>1383</v>
      </c>
      <c r="F1669" t="s">
        <v>273</v>
      </c>
      <c r="G1669" s="2" t="s">
        <v>156</v>
      </c>
      <c r="H1669">
        <v>1</v>
      </c>
      <c r="I1669">
        <v>65.14</v>
      </c>
      <c r="J1669" s="2" t="s">
        <v>170</v>
      </c>
      <c r="K1669" s="2" t="s">
        <v>74</v>
      </c>
      <c r="M1669" t="s">
        <v>2440</v>
      </c>
      <c r="P1669" s="19" t="s">
        <v>2011</v>
      </c>
      <c r="Q1669" s="19" t="s">
        <v>27</v>
      </c>
      <c r="R1669" s="19" t="s">
        <v>138</v>
      </c>
      <c r="V1669" s="19" t="s">
        <v>138</v>
      </c>
      <c r="W1669" s="20">
        <v>23</v>
      </c>
      <c r="X1669" s="65" t="s">
        <v>2010</v>
      </c>
      <c r="Z1669" t="s">
        <v>307</v>
      </c>
      <c r="AB1669" t="s">
        <v>178</v>
      </c>
      <c r="AC1669" t="s">
        <v>2376</v>
      </c>
      <c r="AD1669" s="2" t="s">
        <v>180</v>
      </c>
    </row>
    <row r="1670" spans="1:30" hidden="1" x14ac:dyDescent="0.25">
      <c r="A1670" s="2">
        <v>335</v>
      </c>
      <c r="B1670" t="s">
        <v>2379</v>
      </c>
      <c r="C1670">
        <v>20</v>
      </c>
      <c r="D1670">
        <v>300</v>
      </c>
      <c r="E1670">
        <v>1383</v>
      </c>
      <c r="F1670" t="s">
        <v>273</v>
      </c>
      <c r="G1670" s="2" t="s">
        <v>156</v>
      </c>
      <c r="H1670">
        <v>1</v>
      </c>
      <c r="I1670">
        <v>65.14</v>
      </c>
      <c r="J1670" s="2" t="s">
        <v>170</v>
      </c>
      <c r="K1670" s="2" t="s">
        <v>74</v>
      </c>
      <c r="M1670" t="s">
        <v>2440</v>
      </c>
      <c r="P1670" s="19" t="s">
        <v>2011</v>
      </c>
      <c r="Q1670" s="19" t="s">
        <v>27</v>
      </c>
      <c r="R1670" s="19" t="s">
        <v>138</v>
      </c>
      <c r="V1670" s="19" t="s">
        <v>138</v>
      </c>
      <c r="W1670" s="20">
        <v>23</v>
      </c>
      <c r="X1670" s="65" t="s">
        <v>2010</v>
      </c>
      <c r="Z1670" t="s">
        <v>307</v>
      </c>
      <c r="AB1670" t="s">
        <v>178</v>
      </c>
      <c r="AC1670" t="s">
        <v>2376</v>
      </c>
      <c r="AD1670" s="2" t="s">
        <v>180</v>
      </c>
    </row>
    <row r="1671" spans="1:30" hidden="1" x14ac:dyDescent="0.25">
      <c r="A1671" s="2">
        <v>336</v>
      </c>
      <c r="B1671" t="s">
        <v>2380</v>
      </c>
      <c r="C1671">
        <v>20</v>
      </c>
      <c r="D1671">
        <v>300</v>
      </c>
      <c r="E1671">
        <v>1383</v>
      </c>
      <c r="F1671" t="s">
        <v>273</v>
      </c>
      <c r="G1671" s="2" t="s">
        <v>156</v>
      </c>
      <c r="H1671">
        <v>1</v>
      </c>
      <c r="I1671">
        <v>65.14</v>
      </c>
      <c r="J1671" s="2" t="s">
        <v>170</v>
      </c>
      <c r="K1671" s="2" t="s">
        <v>74</v>
      </c>
      <c r="M1671" t="s">
        <v>2440</v>
      </c>
      <c r="P1671" s="19" t="s">
        <v>2011</v>
      </c>
      <c r="Q1671" s="19" t="s">
        <v>27</v>
      </c>
      <c r="R1671" s="19" t="s">
        <v>138</v>
      </c>
      <c r="V1671" s="19" t="s">
        <v>138</v>
      </c>
      <c r="W1671" s="20">
        <v>23</v>
      </c>
      <c r="X1671" s="65" t="s">
        <v>2010</v>
      </c>
      <c r="Z1671" t="s">
        <v>307</v>
      </c>
      <c r="AB1671" t="s">
        <v>178</v>
      </c>
      <c r="AC1671" t="s">
        <v>2376</v>
      </c>
      <c r="AD1671" s="2" t="s">
        <v>180</v>
      </c>
    </row>
    <row r="1672" spans="1:30" hidden="1" x14ac:dyDescent="0.25">
      <c r="A1672" s="2">
        <v>337</v>
      </c>
      <c r="B1672" t="s">
        <v>2381</v>
      </c>
      <c r="C1672">
        <v>20</v>
      </c>
      <c r="D1672">
        <v>300</v>
      </c>
      <c r="E1672">
        <v>9516</v>
      </c>
      <c r="F1672" t="s">
        <v>273</v>
      </c>
      <c r="G1672" s="2" t="s">
        <v>156</v>
      </c>
      <c r="H1672">
        <v>1</v>
      </c>
      <c r="I1672">
        <v>448.2</v>
      </c>
      <c r="J1672" s="2" t="s">
        <v>170</v>
      </c>
      <c r="K1672" s="2" t="s">
        <v>74</v>
      </c>
      <c r="M1672" t="s">
        <v>2440</v>
      </c>
      <c r="P1672" s="19" t="s">
        <v>2011</v>
      </c>
      <c r="Q1672" s="19" t="s">
        <v>27</v>
      </c>
      <c r="R1672" s="19" t="s">
        <v>138</v>
      </c>
      <c r="V1672" s="19" t="s">
        <v>138</v>
      </c>
      <c r="W1672" s="20">
        <v>23</v>
      </c>
      <c r="X1672" s="65" t="s">
        <v>2010</v>
      </c>
      <c r="Z1672" t="s">
        <v>307</v>
      </c>
      <c r="AB1672" t="s">
        <v>178</v>
      </c>
      <c r="AC1672" t="s">
        <v>2376</v>
      </c>
      <c r="AD1672" s="2" t="s">
        <v>180</v>
      </c>
    </row>
    <row r="1673" spans="1:30" hidden="1" x14ac:dyDescent="0.25">
      <c r="A1673" s="2">
        <v>338</v>
      </c>
      <c r="B1673" t="s">
        <v>2382</v>
      </c>
      <c r="C1673">
        <v>20</v>
      </c>
      <c r="D1673">
        <v>300</v>
      </c>
      <c r="E1673">
        <v>9516</v>
      </c>
      <c r="F1673" t="s">
        <v>273</v>
      </c>
      <c r="G1673" s="2" t="s">
        <v>156</v>
      </c>
      <c r="H1673">
        <v>1</v>
      </c>
      <c r="I1673">
        <v>448.2</v>
      </c>
      <c r="J1673" s="2" t="s">
        <v>170</v>
      </c>
      <c r="K1673" s="2" t="s">
        <v>74</v>
      </c>
      <c r="M1673" t="s">
        <v>2440</v>
      </c>
      <c r="P1673" s="19" t="s">
        <v>2011</v>
      </c>
      <c r="Q1673" s="19" t="s">
        <v>27</v>
      </c>
      <c r="R1673" s="19" t="s">
        <v>138</v>
      </c>
      <c r="V1673" s="19" t="s">
        <v>138</v>
      </c>
      <c r="W1673" s="20">
        <v>23</v>
      </c>
      <c r="X1673" s="65" t="s">
        <v>2010</v>
      </c>
      <c r="Z1673" t="s">
        <v>307</v>
      </c>
      <c r="AB1673" t="s">
        <v>178</v>
      </c>
      <c r="AC1673" t="s">
        <v>2376</v>
      </c>
      <c r="AD1673" s="2" t="s">
        <v>180</v>
      </c>
    </row>
    <row r="1674" spans="1:30" hidden="1" x14ac:dyDescent="0.25">
      <c r="A1674" s="2">
        <v>339</v>
      </c>
      <c r="B1674" t="s">
        <v>2383</v>
      </c>
      <c r="C1674">
        <v>20</v>
      </c>
      <c r="D1674">
        <v>300</v>
      </c>
      <c r="E1674">
        <v>1383</v>
      </c>
      <c r="F1674" t="s">
        <v>273</v>
      </c>
      <c r="G1674" s="2" t="s">
        <v>156</v>
      </c>
      <c r="H1674">
        <v>1</v>
      </c>
      <c r="I1674">
        <v>65.14</v>
      </c>
      <c r="J1674" s="2" t="s">
        <v>170</v>
      </c>
      <c r="K1674" s="2" t="s">
        <v>74</v>
      </c>
      <c r="M1674" t="s">
        <v>2440</v>
      </c>
      <c r="P1674" s="19" t="s">
        <v>2011</v>
      </c>
      <c r="Q1674" s="19" t="s">
        <v>27</v>
      </c>
      <c r="R1674" s="19" t="s">
        <v>138</v>
      </c>
      <c r="V1674" s="19" t="s">
        <v>138</v>
      </c>
      <c r="W1674" s="20">
        <v>23</v>
      </c>
      <c r="X1674" s="65" t="s">
        <v>2010</v>
      </c>
      <c r="Z1674" t="s">
        <v>307</v>
      </c>
      <c r="AB1674" t="s">
        <v>178</v>
      </c>
      <c r="AC1674" t="s">
        <v>2376</v>
      </c>
      <c r="AD1674" s="2" t="s">
        <v>180</v>
      </c>
    </row>
    <row r="1675" spans="1:30" hidden="1" x14ac:dyDescent="0.25">
      <c r="A1675" s="2">
        <v>340</v>
      </c>
      <c r="B1675" t="s">
        <v>2384</v>
      </c>
      <c r="C1675">
        <v>20</v>
      </c>
      <c r="D1675">
        <v>300</v>
      </c>
      <c r="E1675">
        <v>1383</v>
      </c>
      <c r="F1675" t="s">
        <v>273</v>
      </c>
      <c r="G1675" s="2" t="s">
        <v>156</v>
      </c>
      <c r="H1675">
        <v>1</v>
      </c>
      <c r="I1675">
        <v>65.14</v>
      </c>
      <c r="J1675" s="2" t="s">
        <v>170</v>
      </c>
      <c r="K1675" s="2" t="s">
        <v>74</v>
      </c>
      <c r="M1675" t="s">
        <v>2440</v>
      </c>
      <c r="P1675" s="19" t="s">
        <v>2011</v>
      </c>
      <c r="Q1675" s="19" t="s">
        <v>27</v>
      </c>
      <c r="R1675" s="19" t="s">
        <v>138</v>
      </c>
      <c r="V1675" s="19" t="s">
        <v>138</v>
      </c>
      <c r="W1675" s="20">
        <v>23</v>
      </c>
      <c r="X1675" s="65" t="s">
        <v>2010</v>
      </c>
      <c r="Z1675" t="s">
        <v>307</v>
      </c>
      <c r="AB1675" t="s">
        <v>178</v>
      </c>
      <c r="AC1675" t="s">
        <v>2376</v>
      </c>
      <c r="AD1675" s="2" t="s">
        <v>180</v>
      </c>
    </row>
    <row r="1676" spans="1:30" hidden="1" x14ac:dyDescent="0.25">
      <c r="A1676" s="2">
        <v>341</v>
      </c>
      <c r="B1676" t="s">
        <v>2385</v>
      </c>
      <c r="C1676">
        <v>20</v>
      </c>
      <c r="D1676">
        <v>1436</v>
      </c>
      <c r="E1676">
        <v>6298</v>
      </c>
      <c r="F1676" t="s">
        <v>273</v>
      </c>
      <c r="G1676" s="2" t="s">
        <v>156</v>
      </c>
      <c r="H1676">
        <v>1</v>
      </c>
      <c r="I1676">
        <v>1414.64</v>
      </c>
      <c r="J1676" s="2" t="s">
        <v>170</v>
      </c>
      <c r="K1676" s="2" t="s">
        <v>74</v>
      </c>
      <c r="M1676" t="s">
        <v>2440</v>
      </c>
      <c r="P1676" s="19" t="s">
        <v>2011</v>
      </c>
      <c r="Q1676" s="19" t="s">
        <v>27</v>
      </c>
      <c r="R1676" s="19" t="s">
        <v>138</v>
      </c>
      <c r="V1676" s="19" t="s">
        <v>138</v>
      </c>
      <c r="W1676" s="20">
        <v>23</v>
      </c>
      <c r="X1676" s="65" t="s">
        <v>2010</v>
      </c>
      <c r="Z1676" t="s">
        <v>307</v>
      </c>
      <c r="AB1676" t="s">
        <v>178</v>
      </c>
      <c r="AC1676" t="s">
        <v>2376</v>
      </c>
      <c r="AD1676" s="2" t="s">
        <v>180</v>
      </c>
    </row>
    <row r="1677" spans="1:30" hidden="1" x14ac:dyDescent="0.25">
      <c r="A1677" s="2">
        <v>342</v>
      </c>
      <c r="B1677" t="s">
        <v>2386</v>
      </c>
      <c r="C1677">
        <v>20</v>
      </c>
      <c r="D1677">
        <v>300</v>
      </c>
      <c r="E1677">
        <v>9516</v>
      </c>
      <c r="F1677" t="s">
        <v>273</v>
      </c>
      <c r="G1677" s="2" t="s">
        <v>156</v>
      </c>
      <c r="H1677">
        <v>1</v>
      </c>
      <c r="I1677">
        <v>448.2</v>
      </c>
      <c r="J1677" s="2" t="s">
        <v>170</v>
      </c>
      <c r="K1677" s="2" t="s">
        <v>74</v>
      </c>
      <c r="M1677" t="s">
        <v>2440</v>
      </c>
      <c r="P1677" s="19" t="s">
        <v>2011</v>
      </c>
      <c r="Q1677" s="19" t="s">
        <v>27</v>
      </c>
      <c r="R1677" s="19" t="s">
        <v>138</v>
      </c>
      <c r="V1677" s="19" t="s">
        <v>138</v>
      </c>
      <c r="W1677" s="20">
        <v>23</v>
      </c>
      <c r="X1677" s="65" t="s">
        <v>2010</v>
      </c>
      <c r="Z1677" t="s">
        <v>307</v>
      </c>
      <c r="AB1677" t="s">
        <v>178</v>
      </c>
      <c r="AC1677" t="s">
        <v>2387</v>
      </c>
      <c r="AD1677" s="2" t="s">
        <v>180</v>
      </c>
    </row>
    <row r="1678" spans="1:30" hidden="1" x14ac:dyDescent="0.25">
      <c r="A1678" s="2">
        <v>343</v>
      </c>
      <c r="B1678" t="s">
        <v>2389</v>
      </c>
      <c r="C1678">
        <v>20</v>
      </c>
      <c r="D1678">
        <v>300</v>
      </c>
      <c r="E1678">
        <v>9516</v>
      </c>
      <c r="F1678" t="s">
        <v>273</v>
      </c>
      <c r="G1678" s="2" t="s">
        <v>156</v>
      </c>
      <c r="H1678">
        <v>1</v>
      </c>
      <c r="I1678">
        <v>448.2</v>
      </c>
      <c r="J1678" s="2" t="s">
        <v>170</v>
      </c>
      <c r="K1678" s="2" t="s">
        <v>74</v>
      </c>
      <c r="M1678" t="s">
        <v>2440</v>
      </c>
      <c r="P1678" s="19" t="s">
        <v>2011</v>
      </c>
      <c r="Q1678" s="19" t="s">
        <v>27</v>
      </c>
      <c r="R1678" s="19" t="s">
        <v>138</v>
      </c>
      <c r="V1678" s="19" t="s">
        <v>138</v>
      </c>
      <c r="W1678" s="20">
        <v>23</v>
      </c>
      <c r="X1678" s="65" t="s">
        <v>2010</v>
      </c>
      <c r="Z1678" t="s">
        <v>307</v>
      </c>
      <c r="AB1678" t="s">
        <v>178</v>
      </c>
      <c r="AC1678" t="s">
        <v>2387</v>
      </c>
      <c r="AD1678" s="2" t="s">
        <v>180</v>
      </c>
    </row>
    <row r="1679" spans="1:30" hidden="1" x14ac:dyDescent="0.25">
      <c r="A1679" s="2">
        <v>344</v>
      </c>
      <c r="B1679" t="s">
        <v>2390</v>
      </c>
      <c r="C1679">
        <v>20</v>
      </c>
      <c r="D1679">
        <v>300</v>
      </c>
      <c r="E1679">
        <v>9516</v>
      </c>
      <c r="F1679" t="s">
        <v>273</v>
      </c>
      <c r="G1679" s="2" t="s">
        <v>156</v>
      </c>
      <c r="H1679">
        <v>1</v>
      </c>
      <c r="I1679">
        <v>448.2</v>
      </c>
      <c r="J1679" s="2" t="s">
        <v>170</v>
      </c>
      <c r="K1679" s="2" t="s">
        <v>74</v>
      </c>
      <c r="M1679" t="s">
        <v>2440</v>
      </c>
      <c r="P1679" s="19" t="s">
        <v>2011</v>
      </c>
      <c r="Q1679" s="19" t="s">
        <v>27</v>
      </c>
      <c r="R1679" s="19" t="s">
        <v>138</v>
      </c>
      <c r="V1679" s="19" t="s">
        <v>138</v>
      </c>
      <c r="W1679" s="20">
        <v>23</v>
      </c>
      <c r="X1679" s="65" t="s">
        <v>2010</v>
      </c>
      <c r="Z1679" t="s">
        <v>307</v>
      </c>
      <c r="AB1679" t="s">
        <v>178</v>
      </c>
      <c r="AC1679" t="s">
        <v>2387</v>
      </c>
      <c r="AD1679" s="2" t="s">
        <v>180</v>
      </c>
    </row>
    <row r="1680" spans="1:30" hidden="1" x14ac:dyDescent="0.25">
      <c r="A1680" s="2">
        <v>345</v>
      </c>
      <c r="B1680" t="s">
        <v>2391</v>
      </c>
      <c r="C1680">
        <v>20</v>
      </c>
      <c r="D1680">
        <v>300</v>
      </c>
      <c r="E1680">
        <v>1514</v>
      </c>
      <c r="F1680" t="s">
        <v>273</v>
      </c>
      <c r="G1680" s="2" t="s">
        <v>156</v>
      </c>
      <c r="H1680">
        <v>1</v>
      </c>
      <c r="I1680">
        <v>71.31</v>
      </c>
      <c r="J1680" s="2" t="s">
        <v>170</v>
      </c>
      <c r="K1680" s="2" t="s">
        <v>74</v>
      </c>
      <c r="M1680" t="s">
        <v>2440</v>
      </c>
      <c r="P1680" s="19" t="s">
        <v>2011</v>
      </c>
      <c r="Q1680" s="19" t="s">
        <v>27</v>
      </c>
      <c r="R1680" s="19" t="s">
        <v>138</v>
      </c>
      <c r="W1680" s="20">
        <v>23</v>
      </c>
      <c r="X1680" s="65" t="s">
        <v>2010</v>
      </c>
      <c r="Z1680" t="s">
        <v>307</v>
      </c>
      <c r="AB1680" t="s">
        <v>178</v>
      </c>
      <c r="AC1680" t="s">
        <v>2387</v>
      </c>
      <c r="AD1680" s="2" t="s">
        <v>180</v>
      </c>
    </row>
    <row r="1681" spans="1:30" hidden="1" x14ac:dyDescent="0.25">
      <c r="A1681" s="2">
        <v>346</v>
      </c>
      <c r="B1681" t="s">
        <v>2392</v>
      </c>
      <c r="C1681">
        <v>20</v>
      </c>
      <c r="D1681">
        <v>300</v>
      </c>
      <c r="E1681">
        <v>1383</v>
      </c>
      <c r="F1681" t="s">
        <v>273</v>
      </c>
      <c r="G1681" s="2" t="s">
        <v>156</v>
      </c>
      <c r="H1681">
        <v>1</v>
      </c>
      <c r="I1681">
        <v>65.14</v>
      </c>
      <c r="J1681" s="2" t="s">
        <v>170</v>
      </c>
      <c r="K1681" s="2" t="s">
        <v>74</v>
      </c>
      <c r="M1681" t="s">
        <v>2440</v>
      </c>
      <c r="P1681" s="19" t="s">
        <v>2011</v>
      </c>
      <c r="Q1681" s="19" t="s">
        <v>27</v>
      </c>
      <c r="R1681" s="19" t="s">
        <v>138</v>
      </c>
      <c r="V1681" s="19" t="s">
        <v>138</v>
      </c>
      <c r="W1681" s="20">
        <v>23</v>
      </c>
      <c r="X1681" s="65" t="s">
        <v>2010</v>
      </c>
      <c r="Z1681" t="s">
        <v>307</v>
      </c>
      <c r="AB1681" t="s">
        <v>178</v>
      </c>
      <c r="AC1681" t="s">
        <v>2387</v>
      </c>
      <c r="AD1681" s="2" t="s">
        <v>180</v>
      </c>
    </row>
    <row r="1682" spans="1:30" hidden="1" x14ac:dyDescent="0.25">
      <c r="A1682" s="2">
        <v>347</v>
      </c>
      <c r="B1682" t="s">
        <v>2270</v>
      </c>
      <c r="C1682">
        <v>20</v>
      </c>
      <c r="D1682">
        <v>270</v>
      </c>
      <c r="E1682">
        <v>300</v>
      </c>
      <c r="F1682" t="s">
        <v>273</v>
      </c>
      <c r="G1682" s="2" t="s">
        <v>156</v>
      </c>
      <c r="H1682">
        <v>2</v>
      </c>
      <c r="I1682">
        <v>25.43</v>
      </c>
      <c r="J1682" s="2" t="s">
        <v>170</v>
      </c>
      <c r="K1682" s="2" t="s">
        <v>74</v>
      </c>
      <c r="M1682" t="s">
        <v>2440</v>
      </c>
      <c r="P1682" s="19" t="s">
        <v>2011</v>
      </c>
      <c r="Q1682" s="19" t="s">
        <v>25</v>
      </c>
      <c r="R1682" s="19" t="s">
        <v>138</v>
      </c>
      <c r="W1682" s="20">
        <v>23</v>
      </c>
      <c r="X1682" s="65" t="s">
        <v>2010</v>
      </c>
      <c r="Z1682" t="s">
        <v>307</v>
      </c>
      <c r="AB1682" t="s">
        <v>178</v>
      </c>
      <c r="AC1682" t="s">
        <v>2387</v>
      </c>
      <c r="AD1682" s="2" t="s">
        <v>180</v>
      </c>
    </row>
    <row r="1683" spans="1:30" hidden="1" x14ac:dyDescent="0.25">
      <c r="A1683" s="2">
        <v>348</v>
      </c>
      <c r="B1683" t="s">
        <v>2276</v>
      </c>
      <c r="C1683">
        <v>20</v>
      </c>
      <c r="D1683">
        <v>270</v>
      </c>
      <c r="E1683">
        <v>300</v>
      </c>
      <c r="F1683" t="s">
        <v>273</v>
      </c>
      <c r="G1683" s="2" t="s">
        <v>156</v>
      </c>
      <c r="H1683">
        <v>3</v>
      </c>
      <c r="I1683">
        <v>38.15</v>
      </c>
      <c r="J1683" s="2" t="s">
        <v>170</v>
      </c>
      <c r="K1683" s="2" t="s">
        <v>74</v>
      </c>
      <c r="M1683" t="s">
        <v>2440</v>
      </c>
      <c r="P1683" s="19" t="s">
        <v>2011</v>
      </c>
      <c r="Q1683" s="19" t="s">
        <v>25</v>
      </c>
      <c r="R1683" s="19" t="s">
        <v>138</v>
      </c>
      <c r="W1683" s="20">
        <v>23</v>
      </c>
      <c r="X1683" s="65" t="s">
        <v>2010</v>
      </c>
      <c r="Z1683" t="s">
        <v>307</v>
      </c>
      <c r="AB1683" t="s">
        <v>178</v>
      </c>
      <c r="AC1683" t="s">
        <v>2387</v>
      </c>
      <c r="AD1683" s="2" t="s">
        <v>180</v>
      </c>
    </row>
    <row r="1684" spans="1:30" hidden="1" x14ac:dyDescent="0.25">
      <c r="A1684" s="2">
        <v>349</v>
      </c>
      <c r="B1684" t="s">
        <v>2393</v>
      </c>
      <c r="C1684">
        <v>20</v>
      </c>
      <c r="D1684">
        <v>300</v>
      </c>
      <c r="E1684">
        <v>1383</v>
      </c>
      <c r="F1684" t="s">
        <v>273</v>
      </c>
      <c r="G1684" s="2" t="s">
        <v>156</v>
      </c>
      <c r="H1684">
        <v>1</v>
      </c>
      <c r="I1684">
        <v>65.14</v>
      </c>
      <c r="J1684" s="2" t="s">
        <v>170</v>
      </c>
      <c r="K1684" s="2" t="s">
        <v>74</v>
      </c>
      <c r="M1684" t="s">
        <v>2440</v>
      </c>
      <c r="P1684" s="19" t="s">
        <v>2011</v>
      </c>
      <c r="Q1684" s="19" t="s">
        <v>27</v>
      </c>
      <c r="R1684" s="19" t="s">
        <v>138</v>
      </c>
      <c r="V1684" s="19" t="s">
        <v>138</v>
      </c>
      <c r="W1684" s="20">
        <v>23</v>
      </c>
      <c r="X1684" s="65" t="s">
        <v>2010</v>
      </c>
      <c r="Z1684" t="s">
        <v>307</v>
      </c>
      <c r="AB1684" t="s">
        <v>178</v>
      </c>
      <c r="AC1684" t="s">
        <v>2387</v>
      </c>
      <c r="AD1684" s="2" t="s">
        <v>180</v>
      </c>
    </row>
    <row r="1685" spans="1:30" hidden="1" x14ac:dyDescent="0.25">
      <c r="A1685" s="2">
        <v>350</v>
      </c>
      <c r="B1685" t="s">
        <v>2394</v>
      </c>
      <c r="C1685">
        <v>20</v>
      </c>
      <c r="D1685">
        <v>300</v>
      </c>
      <c r="E1685">
        <v>1383</v>
      </c>
      <c r="F1685" t="s">
        <v>273</v>
      </c>
      <c r="G1685" s="2" t="s">
        <v>156</v>
      </c>
      <c r="H1685">
        <v>1</v>
      </c>
      <c r="I1685">
        <v>65.14</v>
      </c>
      <c r="J1685" s="2" t="s">
        <v>170</v>
      </c>
      <c r="K1685" s="2" t="s">
        <v>74</v>
      </c>
      <c r="M1685" t="s">
        <v>2440</v>
      </c>
      <c r="P1685" s="19" t="s">
        <v>2011</v>
      </c>
      <c r="Q1685" s="19" t="s">
        <v>27</v>
      </c>
      <c r="R1685" s="19" t="s">
        <v>138</v>
      </c>
      <c r="V1685" s="19" t="s">
        <v>138</v>
      </c>
      <c r="W1685" s="20">
        <v>23</v>
      </c>
      <c r="X1685" s="65" t="s">
        <v>2010</v>
      </c>
      <c r="Z1685" t="s">
        <v>307</v>
      </c>
      <c r="AB1685" t="s">
        <v>178</v>
      </c>
      <c r="AC1685" t="s">
        <v>2387</v>
      </c>
      <c r="AD1685" s="2" t="s">
        <v>180</v>
      </c>
    </row>
    <row r="1686" spans="1:30" hidden="1" x14ac:dyDescent="0.25">
      <c r="A1686" s="2">
        <v>351</v>
      </c>
      <c r="B1686" t="s">
        <v>2395</v>
      </c>
      <c r="C1686">
        <v>20</v>
      </c>
      <c r="D1686">
        <v>300</v>
      </c>
      <c r="E1686">
        <v>1383</v>
      </c>
      <c r="F1686" t="s">
        <v>273</v>
      </c>
      <c r="G1686" s="2" t="s">
        <v>156</v>
      </c>
      <c r="H1686">
        <v>1</v>
      </c>
      <c r="I1686">
        <v>65.14</v>
      </c>
      <c r="J1686" s="2" t="s">
        <v>170</v>
      </c>
      <c r="K1686" s="2" t="s">
        <v>74</v>
      </c>
      <c r="M1686" t="s">
        <v>2440</v>
      </c>
      <c r="P1686" s="19" t="s">
        <v>2011</v>
      </c>
      <c r="Q1686" s="19" t="s">
        <v>27</v>
      </c>
      <c r="R1686" s="19" t="s">
        <v>138</v>
      </c>
      <c r="V1686" s="19" t="s">
        <v>138</v>
      </c>
      <c r="W1686" s="20">
        <v>23</v>
      </c>
      <c r="X1686" s="65" t="s">
        <v>2010</v>
      </c>
      <c r="Z1686" t="s">
        <v>307</v>
      </c>
      <c r="AB1686" t="s">
        <v>178</v>
      </c>
      <c r="AC1686" t="s">
        <v>2387</v>
      </c>
      <c r="AD1686" s="2" t="s">
        <v>180</v>
      </c>
    </row>
    <row r="1687" spans="1:30" hidden="1" x14ac:dyDescent="0.25">
      <c r="A1687" s="2">
        <v>352</v>
      </c>
      <c r="B1687" t="s">
        <v>2396</v>
      </c>
      <c r="C1687">
        <v>20</v>
      </c>
      <c r="D1687">
        <v>300</v>
      </c>
      <c r="E1687">
        <v>1383</v>
      </c>
      <c r="F1687" t="s">
        <v>273</v>
      </c>
      <c r="G1687" s="2" t="s">
        <v>156</v>
      </c>
      <c r="H1687">
        <v>1</v>
      </c>
      <c r="I1687">
        <v>65.14</v>
      </c>
      <c r="J1687" s="2" t="s">
        <v>170</v>
      </c>
      <c r="K1687" s="2" t="s">
        <v>74</v>
      </c>
      <c r="M1687" t="s">
        <v>2440</v>
      </c>
      <c r="P1687" s="19" t="s">
        <v>2011</v>
      </c>
      <c r="Q1687" s="19" t="s">
        <v>27</v>
      </c>
      <c r="R1687" s="19" t="s">
        <v>138</v>
      </c>
      <c r="V1687" s="19" t="s">
        <v>138</v>
      </c>
      <c r="W1687" s="20">
        <v>23</v>
      </c>
      <c r="X1687" s="65" t="s">
        <v>2010</v>
      </c>
      <c r="Z1687" t="s">
        <v>307</v>
      </c>
      <c r="AB1687" t="s">
        <v>178</v>
      </c>
      <c r="AC1687" t="s">
        <v>2387</v>
      </c>
      <c r="AD1687" s="2" t="s">
        <v>180</v>
      </c>
    </row>
    <row r="1688" spans="1:30" hidden="1" x14ac:dyDescent="0.25">
      <c r="A1688" s="2">
        <v>353</v>
      </c>
      <c r="B1688" t="s">
        <v>2397</v>
      </c>
      <c r="C1688">
        <v>20</v>
      </c>
      <c r="D1688">
        <v>1436</v>
      </c>
      <c r="E1688">
        <v>6298</v>
      </c>
      <c r="F1688" t="s">
        <v>273</v>
      </c>
      <c r="G1688" s="2" t="s">
        <v>156</v>
      </c>
      <c r="H1688">
        <v>1</v>
      </c>
      <c r="I1688">
        <v>1414.64</v>
      </c>
      <c r="J1688" s="2" t="s">
        <v>170</v>
      </c>
      <c r="K1688" s="2" t="s">
        <v>74</v>
      </c>
      <c r="M1688" t="s">
        <v>2440</v>
      </c>
      <c r="P1688" s="19" t="s">
        <v>2011</v>
      </c>
      <c r="Q1688" s="19" t="s">
        <v>27</v>
      </c>
      <c r="R1688" s="19" t="s">
        <v>138</v>
      </c>
      <c r="V1688" s="19" t="s">
        <v>138</v>
      </c>
      <c r="W1688" s="20">
        <v>23</v>
      </c>
      <c r="X1688" s="65" t="s">
        <v>2010</v>
      </c>
      <c r="Z1688" t="s">
        <v>307</v>
      </c>
      <c r="AB1688" t="s">
        <v>178</v>
      </c>
      <c r="AC1688" t="s">
        <v>2387</v>
      </c>
      <c r="AD1688" s="2" t="s">
        <v>180</v>
      </c>
    </row>
    <row r="1689" spans="1:30" hidden="1" x14ac:dyDescent="0.25">
      <c r="A1689" s="2">
        <v>354</v>
      </c>
      <c r="B1689" t="s">
        <v>2398</v>
      </c>
      <c r="C1689">
        <v>20</v>
      </c>
      <c r="D1689">
        <v>300</v>
      </c>
      <c r="E1689">
        <v>6232</v>
      </c>
      <c r="F1689" t="s">
        <v>273</v>
      </c>
      <c r="G1689" s="2" t="s">
        <v>156</v>
      </c>
      <c r="H1689">
        <v>1</v>
      </c>
      <c r="I1689">
        <v>293.52999999999997</v>
      </c>
      <c r="J1689" s="2" t="s">
        <v>170</v>
      </c>
      <c r="K1689" s="2" t="s">
        <v>74</v>
      </c>
      <c r="M1689" t="s">
        <v>2440</v>
      </c>
      <c r="P1689" s="19" t="s">
        <v>2011</v>
      </c>
      <c r="Q1689" s="19" t="s">
        <v>27</v>
      </c>
      <c r="R1689" s="19" t="s">
        <v>138</v>
      </c>
      <c r="W1689" s="20">
        <v>23</v>
      </c>
      <c r="X1689" s="65" t="s">
        <v>2010</v>
      </c>
      <c r="Z1689" t="s">
        <v>307</v>
      </c>
      <c r="AB1689" t="s">
        <v>178</v>
      </c>
      <c r="AC1689" t="s">
        <v>2399</v>
      </c>
      <c r="AD1689" s="2" t="s">
        <v>180</v>
      </c>
    </row>
    <row r="1690" spans="1:30" hidden="1" x14ac:dyDescent="0.25">
      <c r="A1690" s="2">
        <v>355</v>
      </c>
      <c r="B1690" t="s">
        <v>2401</v>
      </c>
      <c r="C1690">
        <v>20</v>
      </c>
      <c r="D1690">
        <v>300</v>
      </c>
      <c r="E1690">
        <v>6232</v>
      </c>
      <c r="F1690" t="s">
        <v>273</v>
      </c>
      <c r="G1690" s="2" t="s">
        <v>156</v>
      </c>
      <c r="H1690">
        <v>1</v>
      </c>
      <c r="I1690">
        <v>293.52999999999997</v>
      </c>
      <c r="J1690" s="2" t="s">
        <v>170</v>
      </c>
      <c r="K1690" s="2" t="s">
        <v>74</v>
      </c>
      <c r="M1690" t="s">
        <v>2440</v>
      </c>
      <c r="P1690" s="19" t="s">
        <v>2011</v>
      </c>
      <c r="Q1690" s="19" t="s">
        <v>27</v>
      </c>
      <c r="R1690" s="19" t="s">
        <v>138</v>
      </c>
      <c r="W1690" s="20">
        <v>23</v>
      </c>
      <c r="X1690" s="65" t="s">
        <v>2010</v>
      </c>
      <c r="Z1690" t="s">
        <v>307</v>
      </c>
      <c r="AB1690" t="s">
        <v>178</v>
      </c>
      <c r="AC1690" t="s">
        <v>2399</v>
      </c>
      <c r="AD1690" s="2" t="s">
        <v>180</v>
      </c>
    </row>
    <row r="1691" spans="1:30" hidden="1" x14ac:dyDescent="0.25">
      <c r="A1691" s="2">
        <v>356</v>
      </c>
      <c r="B1691" t="s">
        <v>2402</v>
      </c>
      <c r="C1691">
        <v>20</v>
      </c>
      <c r="D1691">
        <v>300</v>
      </c>
      <c r="E1691">
        <v>9516</v>
      </c>
      <c r="F1691" t="s">
        <v>273</v>
      </c>
      <c r="G1691" s="2" t="s">
        <v>156</v>
      </c>
      <c r="H1691">
        <v>1</v>
      </c>
      <c r="I1691">
        <v>448.2</v>
      </c>
      <c r="J1691" s="2" t="s">
        <v>170</v>
      </c>
      <c r="K1691" s="2" t="s">
        <v>74</v>
      </c>
      <c r="M1691" t="s">
        <v>2440</v>
      </c>
      <c r="P1691" s="19" t="s">
        <v>2011</v>
      </c>
      <c r="Q1691" s="19" t="s">
        <v>27</v>
      </c>
      <c r="R1691" s="19" t="s">
        <v>138</v>
      </c>
      <c r="V1691" s="19" t="s">
        <v>138</v>
      </c>
      <c r="W1691" s="20">
        <v>23</v>
      </c>
      <c r="X1691" s="65" t="s">
        <v>2010</v>
      </c>
      <c r="Z1691" t="s">
        <v>307</v>
      </c>
      <c r="AB1691" t="s">
        <v>178</v>
      </c>
      <c r="AC1691" t="s">
        <v>2399</v>
      </c>
      <c r="AD1691" s="2" t="s">
        <v>180</v>
      </c>
    </row>
    <row r="1692" spans="1:30" hidden="1" x14ac:dyDescent="0.25">
      <c r="A1692" s="2">
        <v>357</v>
      </c>
      <c r="B1692" t="s">
        <v>2403</v>
      </c>
      <c r="C1692">
        <v>20</v>
      </c>
      <c r="D1692">
        <v>300</v>
      </c>
      <c r="E1692">
        <v>8016</v>
      </c>
      <c r="F1692" t="s">
        <v>273</v>
      </c>
      <c r="G1692" s="2" t="s">
        <v>156</v>
      </c>
      <c r="H1692">
        <v>1</v>
      </c>
      <c r="I1692">
        <v>377.55</v>
      </c>
      <c r="J1692" s="2" t="s">
        <v>170</v>
      </c>
      <c r="K1692" s="2" t="s">
        <v>74</v>
      </c>
      <c r="M1692" t="s">
        <v>2440</v>
      </c>
      <c r="P1692" s="19" t="s">
        <v>2011</v>
      </c>
      <c r="Q1692" s="19" t="s">
        <v>27</v>
      </c>
      <c r="R1692" s="19" t="s">
        <v>138</v>
      </c>
      <c r="V1692" s="19" t="s">
        <v>138</v>
      </c>
      <c r="W1692" s="20">
        <v>23</v>
      </c>
      <c r="X1692" s="65" t="s">
        <v>2010</v>
      </c>
      <c r="Z1692" t="s">
        <v>307</v>
      </c>
      <c r="AB1692" t="s">
        <v>178</v>
      </c>
      <c r="AC1692" t="s">
        <v>2399</v>
      </c>
      <c r="AD1692" s="2" t="s">
        <v>180</v>
      </c>
    </row>
    <row r="1693" spans="1:30" hidden="1" x14ac:dyDescent="0.25">
      <c r="A1693" s="2">
        <v>358</v>
      </c>
      <c r="B1693" t="s">
        <v>2404</v>
      </c>
      <c r="C1693">
        <v>20</v>
      </c>
      <c r="D1693">
        <v>300</v>
      </c>
      <c r="E1693">
        <v>9068</v>
      </c>
      <c r="F1693" t="s">
        <v>273</v>
      </c>
      <c r="G1693" s="2" t="s">
        <v>156</v>
      </c>
      <c r="H1693">
        <v>1</v>
      </c>
      <c r="I1693">
        <v>427.1</v>
      </c>
      <c r="J1693" s="2" t="s">
        <v>170</v>
      </c>
      <c r="K1693" s="2" t="s">
        <v>74</v>
      </c>
      <c r="M1693" t="s">
        <v>2440</v>
      </c>
      <c r="P1693" s="19" t="s">
        <v>2011</v>
      </c>
      <c r="Q1693" s="19" t="s">
        <v>27</v>
      </c>
      <c r="R1693" s="19" t="s">
        <v>138</v>
      </c>
      <c r="W1693" s="20">
        <v>23</v>
      </c>
      <c r="X1693" s="65" t="s">
        <v>2010</v>
      </c>
      <c r="Z1693" t="s">
        <v>307</v>
      </c>
      <c r="AB1693" t="s">
        <v>178</v>
      </c>
      <c r="AC1693" t="s">
        <v>2399</v>
      </c>
      <c r="AD1693" s="2" t="s">
        <v>180</v>
      </c>
    </row>
    <row r="1694" spans="1:30" hidden="1" x14ac:dyDescent="0.25">
      <c r="A1694" s="2">
        <v>359</v>
      </c>
      <c r="B1694" t="s">
        <v>2405</v>
      </c>
      <c r="C1694">
        <v>20</v>
      </c>
      <c r="D1694">
        <v>300</v>
      </c>
      <c r="E1694">
        <v>8016</v>
      </c>
      <c r="F1694" t="s">
        <v>273</v>
      </c>
      <c r="G1694" s="2" t="s">
        <v>156</v>
      </c>
      <c r="H1694">
        <v>1</v>
      </c>
      <c r="I1694">
        <v>377.55</v>
      </c>
      <c r="J1694" s="2" t="s">
        <v>170</v>
      </c>
      <c r="K1694" s="2" t="s">
        <v>74</v>
      </c>
      <c r="M1694" t="s">
        <v>2440</v>
      </c>
      <c r="P1694" s="19" t="s">
        <v>2011</v>
      </c>
      <c r="Q1694" s="19" t="s">
        <v>27</v>
      </c>
      <c r="R1694" s="19" t="s">
        <v>138</v>
      </c>
      <c r="V1694" s="19" t="s">
        <v>138</v>
      </c>
      <c r="W1694" s="20">
        <v>23</v>
      </c>
      <c r="X1694" s="65" t="s">
        <v>2010</v>
      </c>
      <c r="Z1694" t="s">
        <v>307</v>
      </c>
      <c r="AB1694" t="s">
        <v>178</v>
      </c>
      <c r="AC1694" t="s">
        <v>2399</v>
      </c>
      <c r="AD1694" s="2" t="s">
        <v>180</v>
      </c>
    </row>
    <row r="1695" spans="1:30" hidden="1" x14ac:dyDescent="0.25">
      <c r="A1695" s="2">
        <v>360</v>
      </c>
      <c r="B1695" t="s">
        <v>2406</v>
      </c>
      <c r="C1695">
        <v>20</v>
      </c>
      <c r="D1695">
        <v>300</v>
      </c>
      <c r="E1695">
        <v>9068</v>
      </c>
      <c r="F1695" t="s">
        <v>273</v>
      </c>
      <c r="G1695" s="2" t="s">
        <v>156</v>
      </c>
      <c r="H1695">
        <v>1</v>
      </c>
      <c r="I1695">
        <v>427.1</v>
      </c>
      <c r="J1695" s="2" t="s">
        <v>170</v>
      </c>
      <c r="K1695" s="2" t="s">
        <v>74</v>
      </c>
      <c r="M1695" t="s">
        <v>2440</v>
      </c>
      <c r="P1695" s="19" t="s">
        <v>2011</v>
      </c>
      <c r="Q1695" s="19" t="s">
        <v>27</v>
      </c>
      <c r="R1695" s="19" t="s">
        <v>138</v>
      </c>
      <c r="W1695" s="20">
        <v>23</v>
      </c>
      <c r="X1695" s="65" t="s">
        <v>2010</v>
      </c>
      <c r="Z1695" t="s">
        <v>307</v>
      </c>
      <c r="AB1695" t="s">
        <v>178</v>
      </c>
      <c r="AC1695" t="s">
        <v>2399</v>
      </c>
      <c r="AD1695" s="2" t="s">
        <v>180</v>
      </c>
    </row>
    <row r="1696" spans="1:30" hidden="1" x14ac:dyDescent="0.25">
      <c r="A1696" s="2">
        <v>361</v>
      </c>
      <c r="B1696" t="s">
        <v>2407</v>
      </c>
      <c r="C1696">
        <v>20</v>
      </c>
      <c r="D1696">
        <v>300</v>
      </c>
      <c r="E1696">
        <v>6232</v>
      </c>
      <c r="F1696" t="s">
        <v>273</v>
      </c>
      <c r="G1696" s="2" t="s">
        <v>156</v>
      </c>
      <c r="H1696">
        <v>1</v>
      </c>
      <c r="I1696">
        <v>293.52999999999997</v>
      </c>
      <c r="J1696" s="2" t="s">
        <v>170</v>
      </c>
      <c r="K1696" s="2" t="s">
        <v>74</v>
      </c>
      <c r="M1696" t="s">
        <v>2440</v>
      </c>
      <c r="P1696" s="19" t="s">
        <v>2011</v>
      </c>
      <c r="Q1696" s="19" t="s">
        <v>27</v>
      </c>
      <c r="R1696" s="19" t="s">
        <v>138</v>
      </c>
      <c r="W1696" s="20">
        <v>23</v>
      </c>
      <c r="X1696" s="65" t="s">
        <v>2010</v>
      </c>
      <c r="Z1696" t="s">
        <v>307</v>
      </c>
      <c r="AB1696" t="s">
        <v>178</v>
      </c>
      <c r="AC1696" t="s">
        <v>2399</v>
      </c>
      <c r="AD1696" s="2" t="s">
        <v>180</v>
      </c>
    </row>
    <row r="1697" spans="1:30" hidden="1" x14ac:dyDescent="0.25">
      <c r="A1697" s="2">
        <v>362</v>
      </c>
      <c r="B1697" t="s">
        <v>2277</v>
      </c>
      <c r="C1697">
        <v>20</v>
      </c>
      <c r="D1697">
        <v>270</v>
      </c>
      <c r="E1697">
        <v>300</v>
      </c>
      <c r="F1697" t="s">
        <v>273</v>
      </c>
      <c r="G1697" s="2" t="s">
        <v>156</v>
      </c>
      <c r="H1697">
        <v>3</v>
      </c>
      <c r="I1697">
        <v>38.15</v>
      </c>
      <c r="J1697" s="2" t="s">
        <v>170</v>
      </c>
      <c r="K1697" s="2" t="s">
        <v>74</v>
      </c>
      <c r="M1697" t="s">
        <v>2440</v>
      </c>
      <c r="P1697" s="19" t="s">
        <v>2011</v>
      </c>
      <c r="Q1697" s="19" t="s">
        <v>25</v>
      </c>
      <c r="R1697" s="19" t="s">
        <v>138</v>
      </c>
      <c r="W1697" s="20">
        <v>23</v>
      </c>
      <c r="X1697" s="65" t="s">
        <v>2010</v>
      </c>
      <c r="Z1697" t="s">
        <v>307</v>
      </c>
      <c r="AB1697" t="s">
        <v>178</v>
      </c>
      <c r="AC1697" t="s">
        <v>2399</v>
      </c>
      <c r="AD1697" s="2" t="s">
        <v>180</v>
      </c>
    </row>
    <row r="1698" spans="1:30" hidden="1" x14ac:dyDescent="0.25">
      <c r="A1698" s="2">
        <v>363</v>
      </c>
      <c r="B1698" t="s">
        <v>2278</v>
      </c>
      <c r="C1698">
        <v>20</v>
      </c>
      <c r="D1698">
        <v>270</v>
      </c>
      <c r="E1698">
        <v>300</v>
      </c>
      <c r="F1698" t="s">
        <v>273</v>
      </c>
      <c r="G1698" s="2" t="s">
        <v>156</v>
      </c>
      <c r="H1698">
        <v>3</v>
      </c>
      <c r="I1698">
        <v>38.15</v>
      </c>
      <c r="J1698" s="2" t="s">
        <v>170</v>
      </c>
      <c r="K1698" s="2" t="s">
        <v>74</v>
      </c>
      <c r="M1698" t="s">
        <v>2440</v>
      </c>
      <c r="P1698" s="19" t="s">
        <v>2011</v>
      </c>
      <c r="Q1698" s="19" t="s">
        <v>25</v>
      </c>
      <c r="R1698" s="19" t="s">
        <v>138</v>
      </c>
      <c r="W1698" s="20">
        <v>23</v>
      </c>
      <c r="X1698" s="65" t="s">
        <v>2010</v>
      </c>
      <c r="Z1698" t="s">
        <v>307</v>
      </c>
      <c r="AB1698" t="s">
        <v>178</v>
      </c>
      <c r="AC1698" t="s">
        <v>2399</v>
      </c>
      <c r="AD1698" s="2" t="s">
        <v>180</v>
      </c>
    </row>
    <row r="1699" spans="1:30" hidden="1" x14ac:dyDescent="0.25">
      <c r="A1699" s="2">
        <v>364</v>
      </c>
      <c r="B1699" t="s">
        <v>2408</v>
      </c>
      <c r="C1699">
        <v>20</v>
      </c>
      <c r="D1699">
        <v>300</v>
      </c>
      <c r="E1699">
        <v>6101</v>
      </c>
      <c r="F1699" t="s">
        <v>273</v>
      </c>
      <c r="G1699" s="2" t="s">
        <v>156</v>
      </c>
      <c r="H1699">
        <v>1</v>
      </c>
      <c r="I1699">
        <v>287.36</v>
      </c>
      <c r="J1699" s="2" t="s">
        <v>170</v>
      </c>
      <c r="K1699" s="2" t="s">
        <v>74</v>
      </c>
      <c r="M1699" t="s">
        <v>2440</v>
      </c>
      <c r="P1699" s="19" t="s">
        <v>2011</v>
      </c>
      <c r="Q1699" s="19" t="s">
        <v>27</v>
      </c>
      <c r="R1699" s="19" t="s">
        <v>138</v>
      </c>
      <c r="V1699" s="19" t="s">
        <v>138</v>
      </c>
      <c r="W1699" s="20">
        <v>23</v>
      </c>
      <c r="X1699" s="65" t="s">
        <v>2010</v>
      </c>
      <c r="Z1699" t="s">
        <v>307</v>
      </c>
      <c r="AB1699" t="s">
        <v>178</v>
      </c>
      <c r="AC1699" t="s">
        <v>2409</v>
      </c>
      <c r="AD1699" s="2" t="s">
        <v>180</v>
      </c>
    </row>
    <row r="1700" spans="1:30" hidden="1" x14ac:dyDescent="0.25">
      <c r="A1700" s="2">
        <v>365</v>
      </c>
      <c r="B1700" t="s">
        <v>2411</v>
      </c>
      <c r="C1700">
        <v>20</v>
      </c>
      <c r="D1700">
        <v>300</v>
      </c>
      <c r="E1700">
        <v>6101</v>
      </c>
      <c r="F1700" t="s">
        <v>273</v>
      </c>
      <c r="G1700" s="2" t="s">
        <v>156</v>
      </c>
      <c r="H1700">
        <v>1</v>
      </c>
      <c r="I1700">
        <v>287.36</v>
      </c>
      <c r="J1700" s="2" t="s">
        <v>170</v>
      </c>
      <c r="K1700" s="2" t="s">
        <v>74</v>
      </c>
      <c r="M1700" t="s">
        <v>2440</v>
      </c>
      <c r="P1700" s="19" t="s">
        <v>2011</v>
      </c>
      <c r="Q1700" s="19" t="s">
        <v>27</v>
      </c>
      <c r="R1700" s="19" t="s">
        <v>138</v>
      </c>
      <c r="V1700" s="19" t="s">
        <v>138</v>
      </c>
      <c r="W1700" s="20">
        <v>23</v>
      </c>
      <c r="X1700" s="65" t="s">
        <v>2010</v>
      </c>
      <c r="Z1700" t="s">
        <v>307</v>
      </c>
      <c r="AB1700" t="s">
        <v>178</v>
      </c>
      <c r="AC1700" t="s">
        <v>2409</v>
      </c>
      <c r="AD1700" s="2" t="s">
        <v>180</v>
      </c>
    </row>
    <row r="1701" spans="1:30" hidden="1" x14ac:dyDescent="0.25">
      <c r="A1701" s="2">
        <v>366</v>
      </c>
      <c r="B1701" t="s">
        <v>2412</v>
      </c>
      <c r="C1701">
        <v>20</v>
      </c>
      <c r="D1701">
        <v>300</v>
      </c>
      <c r="E1701">
        <v>6101</v>
      </c>
      <c r="F1701" t="s">
        <v>273</v>
      </c>
      <c r="G1701" s="2" t="s">
        <v>156</v>
      </c>
      <c r="H1701">
        <v>1</v>
      </c>
      <c r="I1701">
        <v>287.36</v>
      </c>
      <c r="J1701" s="2" t="s">
        <v>170</v>
      </c>
      <c r="K1701" s="2" t="s">
        <v>74</v>
      </c>
      <c r="M1701" t="s">
        <v>2440</v>
      </c>
      <c r="P1701" s="19" t="s">
        <v>2011</v>
      </c>
      <c r="Q1701" s="19" t="s">
        <v>27</v>
      </c>
      <c r="R1701" s="19" t="s">
        <v>138</v>
      </c>
      <c r="V1701" s="19" t="s">
        <v>138</v>
      </c>
      <c r="W1701" s="20">
        <v>23</v>
      </c>
      <c r="X1701" s="65" t="s">
        <v>2010</v>
      </c>
      <c r="Z1701" t="s">
        <v>307</v>
      </c>
      <c r="AB1701" t="s">
        <v>178</v>
      </c>
      <c r="AC1701" t="s">
        <v>2409</v>
      </c>
      <c r="AD1701" s="2" t="s">
        <v>180</v>
      </c>
    </row>
    <row r="1702" spans="1:30" hidden="1" x14ac:dyDescent="0.25">
      <c r="A1702" s="2">
        <v>367</v>
      </c>
      <c r="B1702" t="s">
        <v>2413</v>
      </c>
      <c r="C1702">
        <v>20</v>
      </c>
      <c r="D1702">
        <v>300</v>
      </c>
      <c r="E1702">
        <v>6101</v>
      </c>
      <c r="F1702" t="s">
        <v>273</v>
      </c>
      <c r="G1702" s="2" t="s">
        <v>156</v>
      </c>
      <c r="H1702">
        <v>1</v>
      </c>
      <c r="I1702">
        <v>287.36</v>
      </c>
      <c r="J1702" s="2" t="s">
        <v>170</v>
      </c>
      <c r="K1702" s="2" t="s">
        <v>74</v>
      </c>
      <c r="M1702" t="s">
        <v>2440</v>
      </c>
      <c r="P1702" s="19" t="s">
        <v>2011</v>
      </c>
      <c r="Q1702" s="19" t="s">
        <v>27</v>
      </c>
      <c r="R1702" s="19" t="s">
        <v>138</v>
      </c>
      <c r="V1702" s="19" t="s">
        <v>138</v>
      </c>
      <c r="W1702" s="20">
        <v>23</v>
      </c>
      <c r="X1702" s="65" t="s">
        <v>2010</v>
      </c>
      <c r="Z1702" t="s">
        <v>307</v>
      </c>
      <c r="AB1702" t="s">
        <v>178</v>
      </c>
      <c r="AC1702" t="s">
        <v>2409</v>
      </c>
      <c r="AD1702" s="2" t="s">
        <v>180</v>
      </c>
    </row>
    <row r="1703" spans="1:30" hidden="1" x14ac:dyDescent="0.25">
      <c r="A1703" s="2">
        <v>368</v>
      </c>
      <c r="B1703" t="s">
        <v>2414</v>
      </c>
      <c r="C1703">
        <v>20</v>
      </c>
      <c r="D1703">
        <v>300</v>
      </c>
      <c r="E1703">
        <v>6101</v>
      </c>
      <c r="F1703" t="s">
        <v>273</v>
      </c>
      <c r="G1703" s="2" t="s">
        <v>156</v>
      </c>
      <c r="H1703">
        <v>1</v>
      </c>
      <c r="I1703">
        <v>287.36</v>
      </c>
      <c r="J1703" s="2" t="s">
        <v>170</v>
      </c>
      <c r="K1703" s="2" t="s">
        <v>74</v>
      </c>
      <c r="M1703" t="s">
        <v>2440</v>
      </c>
      <c r="P1703" s="19" t="s">
        <v>2011</v>
      </c>
      <c r="Q1703" s="19" t="s">
        <v>27</v>
      </c>
      <c r="R1703" s="19" t="s">
        <v>138</v>
      </c>
      <c r="V1703" s="19" t="s">
        <v>138</v>
      </c>
      <c r="W1703" s="20">
        <v>23</v>
      </c>
      <c r="X1703" s="65" t="s">
        <v>2010</v>
      </c>
      <c r="Z1703" t="s">
        <v>307</v>
      </c>
      <c r="AB1703" t="s">
        <v>178</v>
      </c>
      <c r="AC1703" t="s">
        <v>2409</v>
      </c>
      <c r="AD1703" s="2" t="s">
        <v>180</v>
      </c>
    </row>
    <row r="1704" spans="1:30" hidden="1" x14ac:dyDescent="0.25">
      <c r="A1704" s="2">
        <v>369</v>
      </c>
      <c r="B1704" t="s">
        <v>2415</v>
      </c>
      <c r="C1704">
        <v>20</v>
      </c>
      <c r="D1704">
        <v>300</v>
      </c>
      <c r="E1704">
        <v>6101</v>
      </c>
      <c r="F1704" t="s">
        <v>273</v>
      </c>
      <c r="G1704" s="2" t="s">
        <v>156</v>
      </c>
      <c r="H1704">
        <v>1</v>
      </c>
      <c r="I1704">
        <v>287.36</v>
      </c>
      <c r="J1704" s="2" t="s">
        <v>170</v>
      </c>
      <c r="K1704" s="2" t="s">
        <v>74</v>
      </c>
      <c r="M1704" t="s">
        <v>2440</v>
      </c>
      <c r="P1704" s="19" t="s">
        <v>2011</v>
      </c>
      <c r="Q1704" s="19" t="s">
        <v>27</v>
      </c>
      <c r="R1704" s="19" t="s">
        <v>138</v>
      </c>
      <c r="V1704" s="19" t="s">
        <v>138</v>
      </c>
      <c r="W1704" s="20">
        <v>23</v>
      </c>
      <c r="X1704" s="65" t="s">
        <v>2010</v>
      </c>
      <c r="Z1704" t="s">
        <v>307</v>
      </c>
      <c r="AB1704" t="s">
        <v>178</v>
      </c>
      <c r="AC1704" t="s">
        <v>2409</v>
      </c>
      <c r="AD1704" s="2" t="s">
        <v>180</v>
      </c>
    </row>
    <row r="1705" spans="1:30" hidden="1" x14ac:dyDescent="0.25">
      <c r="A1705" s="2">
        <v>370</v>
      </c>
      <c r="B1705" t="s">
        <v>2416</v>
      </c>
      <c r="C1705">
        <v>20</v>
      </c>
      <c r="D1705">
        <v>300</v>
      </c>
      <c r="E1705">
        <v>6101</v>
      </c>
      <c r="F1705" t="s">
        <v>273</v>
      </c>
      <c r="G1705" s="2" t="s">
        <v>156</v>
      </c>
      <c r="H1705">
        <v>1</v>
      </c>
      <c r="I1705">
        <v>287.36</v>
      </c>
      <c r="J1705" s="2" t="s">
        <v>170</v>
      </c>
      <c r="K1705" s="2" t="s">
        <v>74</v>
      </c>
      <c r="M1705" t="s">
        <v>2440</v>
      </c>
      <c r="P1705" s="19" t="s">
        <v>2011</v>
      </c>
      <c r="Q1705" s="19" t="s">
        <v>27</v>
      </c>
      <c r="R1705" s="19" t="s">
        <v>138</v>
      </c>
      <c r="V1705" s="19" t="s">
        <v>138</v>
      </c>
      <c r="W1705" s="20">
        <v>23</v>
      </c>
      <c r="X1705" s="65" t="s">
        <v>2010</v>
      </c>
      <c r="Z1705" t="s">
        <v>307</v>
      </c>
      <c r="AB1705" t="s">
        <v>178</v>
      </c>
      <c r="AC1705" t="s">
        <v>2409</v>
      </c>
      <c r="AD1705" s="2" t="s">
        <v>180</v>
      </c>
    </row>
    <row r="1706" spans="1:30" hidden="1" x14ac:dyDescent="0.25">
      <c r="A1706" s="2">
        <v>371</v>
      </c>
      <c r="B1706" t="s">
        <v>2417</v>
      </c>
      <c r="C1706">
        <v>20</v>
      </c>
      <c r="D1706">
        <v>300</v>
      </c>
      <c r="E1706">
        <v>6232</v>
      </c>
      <c r="F1706" t="s">
        <v>273</v>
      </c>
      <c r="G1706" s="2" t="s">
        <v>156</v>
      </c>
      <c r="H1706">
        <v>1</v>
      </c>
      <c r="I1706">
        <v>293.52999999999997</v>
      </c>
      <c r="J1706" s="2" t="s">
        <v>170</v>
      </c>
      <c r="K1706" s="2" t="s">
        <v>74</v>
      </c>
      <c r="M1706" t="s">
        <v>2440</v>
      </c>
      <c r="P1706" s="19" t="s">
        <v>2011</v>
      </c>
      <c r="Q1706" s="19" t="s">
        <v>27</v>
      </c>
      <c r="R1706" s="19" t="s">
        <v>138</v>
      </c>
      <c r="W1706" s="20">
        <v>23</v>
      </c>
      <c r="X1706" s="65" t="s">
        <v>2010</v>
      </c>
      <c r="Z1706" t="s">
        <v>307</v>
      </c>
      <c r="AB1706" t="s">
        <v>178</v>
      </c>
      <c r="AC1706" t="s">
        <v>2409</v>
      </c>
      <c r="AD1706" s="2" t="s">
        <v>180</v>
      </c>
    </row>
    <row r="1707" spans="1:30" hidden="1" x14ac:dyDescent="0.25">
      <c r="A1707" s="2">
        <v>372</v>
      </c>
      <c r="B1707" t="s">
        <v>2418</v>
      </c>
      <c r="C1707">
        <v>20</v>
      </c>
      <c r="D1707">
        <v>300</v>
      </c>
      <c r="E1707">
        <v>6101</v>
      </c>
      <c r="F1707" t="s">
        <v>273</v>
      </c>
      <c r="G1707" s="2" t="s">
        <v>156</v>
      </c>
      <c r="H1707">
        <v>1</v>
      </c>
      <c r="I1707">
        <v>287.36</v>
      </c>
      <c r="J1707" s="2" t="s">
        <v>170</v>
      </c>
      <c r="K1707" s="2" t="s">
        <v>74</v>
      </c>
      <c r="M1707" t="s">
        <v>2440</v>
      </c>
      <c r="P1707" s="19" t="s">
        <v>2011</v>
      </c>
      <c r="Q1707" s="19" t="s">
        <v>27</v>
      </c>
      <c r="R1707" s="19" t="s">
        <v>138</v>
      </c>
      <c r="V1707" s="19" t="s">
        <v>138</v>
      </c>
      <c r="W1707" s="20">
        <v>23</v>
      </c>
      <c r="X1707" s="65" t="s">
        <v>2010</v>
      </c>
      <c r="Z1707" t="s">
        <v>307</v>
      </c>
      <c r="AB1707" t="s">
        <v>178</v>
      </c>
      <c r="AC1707" t="s">
        <v>2419</v>
      </c>
      <c r="AD1707" s="2" t="s">
        <v>180</v>
      </c>
    </row>
    <row r="1708" spans="1:30" hidden="1" x14ac:dyDescent="0.25">
      <c r="A1708" s="2">
        <v>373</v>
      </c>
      <c r="B1708" t="s">
        <v>2421</v>
      </c>
      <c r="C1708">
        <v>20</v>
      </c>
      <c r="D1708">
        <v>300</v>
      </c>
      <c r="E1708">
        <v>6101</v>
      </c>
      <c r="F1708" t="s">
        <v>273</v>
      </c>
      <c r="G1708" s="2" t="s">
        <v>156</v>
      </c>
      <c r="H1708">
        <v>1</v>
      </c>
      <c r="I1708">
        <v>287.36</v>
      </c>
      <c r="J1708" s="2" t="s">
        <v>170</v>
      </c>
      <c r="K1708" s="2" t="s">
        <v>74</v>
      </c>
      <c r="M1708" t="s">
        <v>2440</v>
      </c>
      <c r="P1708" s="19" t="s">
        <v>2011</v>
      </c>
      <c r="Q1708" s="19" t="s">
        <v>27</v>
      </c>
      <c r="R1708" s="19" t="s">
        <v>138</v>
      </c>
      <c r="V1708" s="19" t="s">
        <v>138</v>
      </c>
      <c r="W1708" s="20">
        <v>23</v>
      </c>
      <c r="X1708" s="65" t="s">
        <v>2010</v>
      </c>
      <c r="Z1708" t="s">
        <v>307</v>
      </c>
      <c r="AB1708" t="s">
        <v>178</v>
      </c>
      <c r="AC1708" t="s">
        <v>2419</v>
      </c>
      <c r="AD1708" s="2" t="s">
        <v>180</v>
      </c>
    </row>
    <row r="1709" spans="1:30" hidden="1" x14ac:dyDescent="0.25">
      <c r="A1709" s="2">
        <v>374</v>
      </c>
      <c r="B1709" t="s">
        <v>2422</v>
      </c>
      <c r="C1709">
        <v>20</v>
      </c>
      <c r="D1709">
        <v>300</v>
      </c>
      <c r="E1709">
        <v>6101</v>
      </c>
      <c r="F1709" t="s">
        <v>273</v>
      </c>
      <c r="G1709" s="2" t="s">
        <v>156</v>
      </c>
      <c r="H1709">
        <v>1</v>
      </c>
      <c r="I1709">
        <v>287.36</v>
      </c>
      <c r="J1709" s="2" t="s">
        <v>170</v>
      </c>
      <c r="K1709" s="2" t="s">
        <v>74</v>
      </c>
      <c r="M1709" t="s">
        <v>2440</v>
      </c>
      <c r="P1709" s="19" t="s">
        <v>2011</v>
      </c>
      <c r="Q1709" s="19" t="s">
        <v>27</v>
      </c>
      <c r="R1709" s="19" t="s">
        <v>138</v>
      </c>
      <c r="V1709" s="19" t="s">
        <v>138</v>
      </c>
      <c r="W1709" s="20">
        <v>23</v>
      </c>
      <c r="X1709" s="65" t="s">
        <v>2010</v>
      </c>
      <c r="Z1709" t="s">
        <v>307</v>
      </c>
      <c r="AB1709" t="s">
        <v>178</v>
      </c>
      <c r="AC1709" t="s">
        <v>2419</v>
      </c>
      <c r="AD1709" s="2" t="s">
        <v>180</v>
      </c>
    </row>
    <row r="1710" spans="1:30" hidden="1" x14ac:dyDescent="0.25">
      <c r="A1710" s="2">
        <v>375</v>
      </c>
      <c r="B1710" t="s">
        <v>2423</v>
      </c>
      <c r="C1710">
        <v>20</v>
      </c>
      <c r="D1710">
        <v>300</v>
      </c>
      <c r="E1710">
        <v>6101</v>
      </c>
      <c r="F1710" t="s">
        <v>273</v>
      </c>
      <c r="G1710" s="2" t="s">
        <v>156</v>
      </c>
      <c r="H1710">
        <v>1</v>
      </c>
      <c r="I1710">
        <v>287.36</v>
      </c>
      <c r="J1710" s="2" t="s">
        <v>170</v>
      </c>
      <c r="K1710" s="2" t="s">
        <v>74</v>
      </c>
      <c r="M1710" t="s">
        <v>2440</v>
      </c>
      <c r="P1710" s="19" t="s">
        <v>2011</v>
      </c>
      <c r="Q1710" s="19" t="s">
        <v>27</v>
      </c>
      <c r="R1710" s="19" t="s">
        <v>138</v>
      </c>
      <c r="V1710" s="19" t="s">
        <v>138</v>
      </c>
      <c r="W1710" s="20">
        <v>23</v>
      </c>
      <c r="X1710" s="65" t="s">
        <v>2010</v>
      </c>
      <c r="Z1710" t="s">
        <v>307</v>
      </c>
      <c r="AB1710" t="s">
        <v>178</v>
      </c>
      <c r="AC1710" t="s">
        <v>2419</v>
      </c>
      <c r="AD1710" s="2" t="s">
        <v>180</v>
      </c>
    </row>
    <row r="1711" spans="1:30" hidden="1" x14ac:dyDescent="0.25">
      <c r="A1711" s="2">
        <v>376</v>
      </c>
      <c r="B1711" t="s">
        <v>2424</v>
      </c>
      <c r="C1711">
        <v>20</v>
      </c>
      <c r="D1711">
        <v>300</v>
      </c>
      <c r="E1711">
        <v>6101</v>
      </c>
      <c r="F1711" t="s">
        <v>273</v>
      </c>
      <c r="G1711" s="2" t="s">
        <v>156</v>
      </c>
      <c r="H1711">
        <v>1</v>
      </c>
      <c r="I1711">
        <v>287.36</v>
      </c>
      <c r="J1711" s="2" t="s">
        <v>170</v>
      </c>
      <c r="K1711" s="2" t="s">
        <v>74</v>
      </c>
      <c r="M1711" t="s">
        <v>2440</v>
      </c>
      <c r="P1711" s="19" t="s">
        <v>2011</v>
      </c>
      <c r="Q1711" s="19" t="s">
        <v>27</v>
      </c>
      <c r="R1711" s="19" t="s">
        <v>138</v>
      </c>
      <c r="V1711" s="19" t="s">
        <v>138</v>
      </c>
      <c r="W1711" s="20">
        <v>23</v>
      </c>
      <c r="X1711" s="65" t="s">
        <v>2010</v>
      </c>
      <c r="Z1711" t="s">
        <v>307</v>
      </c>
      <c r="AB1711" t="s">
        <v>178</v>
      </c>
      <c r="AC1711" t="s">
        <v>2419</v>
      </c>
      <c r="AD1711" s="2" t="s">
        <v>180</v>
      </c>
    </row>
    <row r="1712" spans="1:30" hidden="1" x14ac:dyDescent="0.25">
      <c r="A1712" s="2">
        <v>377</v>
      </c>
      <c r="B1712" t="s">
        <v>2425</v>
      </c>
      <c r="C1712">
        <v>20</v>
      </c>
      <c r="D1712">
        <v>300</v>
      </c>
      <c r="E1712">
        <v>6101</v>
      </c>
      <c r="F1712" t="s">
        <v>273</v>
      </c>
      <c r="G1712" s="2" t="s">
        <v>156</v>
      </c>
      <c r="H1712">
        <v>1</v>
      </c>
      <c r="I1712">
        <v>287.36</v>
      </c>
      <c r="J1712" s="2" t="s">
        <v>170</v>
      </c>
      <c r="K1712" s="2" t="s">
        <v>74</v>
      </c>
      <c r="M1712" t="s">
        <v>2440</v>
      </c>
      <c r="P1712" s="19" t="s">
        <v>2011</v>
      </c>
      <c r="Q1712" s="19" t="s">
        <v>27</v>
      </c>
      <c r="R1712" s="19" t="s">
        <v>138</v>
      </c>
      <c r="V1712" s="19" t="s">
        <v>138</v>
      </c>
      <c r="W1712" s="20">
        <v>23</v>
      </c>
      <c r="X1712" s="65" t="s">
        <v>2010</v>
      </c>
      <c r="Z1712" t="s">
        <v>307</v>
      </c>
      <c r="AB1712" t="s">
        <v>178</v>
      </c>
      <c r="AC1712" t="s">
        <v>2419</v>
      </c>
      <c r="AD1712" s="2" t="s">
        <v>180</v>
      </c>
    </row>
    <row r="1713" spans="1:30" hidden="1" x14ac:dyDescent="0.25">
      <c r="A1713" s="2">
        <v>378</v>
      </c>
      <c r="B1713" t="s">
        <v>2426</v>
      </c>
      <c r="C1713">
        <v>20</v>
      </c>
      <c r="D1713">
        <v>300</v>
      </c>
      <c r="E1713">
        <v>6101</v>
      </c>
      <c r="F1713" t="s">
        <v>273</v>
      </c>
      <c r="G1713" s="2" t="s">
        <v>156</v>
      </c>
      <c r="H1713">
        <v>1</v>
      </c>
      <c r="I1713">
        <v>287.36</v>
      </c>
      <c r="J1713" s="2" t="s">
        <v>170</v>
      </c>
      <c r="K1713" s="2" t="s">
        <v>74</v>
      </c>
      <c r="M1713" t="s">
        <v>2440</v>
      </c>
      <c r="P1713" s="19" t="s">
        <v>2011</v>
      </c>
      <c r="Q1713" s="19" t="s">
        <v>27</v>
      </c>
      <c r="R1713" s="19" t="s">
        <v>138</v>
      </c>
      <c r="V1713" s="19" t="s">
        <v>138</v>
      </c>
      <c r="W1713" s="20">
        <v>23</v>
      </c>
      <c r="X1713" s="65" t="s">
        <v>2010</v>
      </c>
      <c r="Z1713" t="s">
        <v>307</v>
      </c>
      <c r="AB1713" t="s">
        <v>178</v>
      </c>
      <c r="AC1713" t="s">
        <v>2419</v>
      </c>
      <c r="AD1713" s="2" t="s">
        <v>180</v>
      </c>
    </row>
    <row r="1714" spans="1:30" hidden="1" x14ac:dyDescent="0.25">
      <c r="A1714" s="2">
        <v>379</v>
      </c>
      <c r="B1714" t="s">
        <v>2427</v>
      </c>
      <c r="C1714">
        <v>20</v>
      </c>
      <c r="D1714">
        <v>300</v>
      </c>
      <c r="E1714">
        <v>6101</v>
      </c>
      <c r="F1714" t="s">
        <v>273</v>
      </c>
      <c r="G1714" s="2" t="s">
        <v>156</v>
      </c>
      <c r="H1714">
        <v>1</v>
      </c>
      <c r="I1714">
        <v>287.36</v>
      </c>
      <c r="J1714" s="2" t="s">
        <v>170</v>
      </c>
      <c r="K1714" s="2" t="s">
        <v>74</v>
      </c>
      <c r="M1714" t="s">
        <v>2440</v>
      </c>
      <c r="P1714" s="19" t="s">
        <v>2011</v>
      </c>
      <c r="Q1714" s="19" t="s">
        <v>27</v>
      </c>
      <c r="R1714" s="19" t="s">
        <v>138</v>
      </c>
      <c r="V1714" s="19" t="s">
        <v>138</v>
      </c>
      <c r="W1714" s="20">
        <v>23</v>
      </c>
      <c r="X1714" s="65" t="s">
        <v>2010</v>
      </c>
      <c r="Z1714" t="s">
        <v>307</v>
      </c>
      <c r="AB1714" t="s">
        <v>178</v>
      </c>
      <c r="AC1714" t="s">
        <v>2419</v>
      </c>
      <c r="AD1714" s="2" t="s">
        <v>180</v>
      </c>
    </row>
    <row r="1715" spans="1:30" hidden="1" x14ac:dyDescent="0.25">
      <c r="A1715" s="2">
        <v>380</v>
      </c>
      <c r="B1715" t="s">
        <v>2428</v>
      </c>
      <c r="C1715">
        <v>20</v>
      </c>
      <c r="D1715">
        <v>300</v>
      </c>
      <c r="E1715">
        <v>6101</v>
      </c>
      <c r="F1715" t="s">
        <v>273</v>
      </c>
      <c r="G1715" s="2" t="s">
        <v>156</v>
      </c>
      <c r="H1715">
        <v>1</v>
      </c>
      <c r="I1715">
        <v>287.36</v>
      </c>
      <c r="J1715" s="2" t="s">
        <v>170</v>
      </c>
      <c r="K1715" s="2" t="s">
        <v>74</v>
      </c>
      <c r="M1715" t="s">
        <v>2440</v>
      </c>
      <c r="P1715" s="19" t="s">
        <v>2011</v>
      </c>
      <c r="Q1715" s="19" t="s">
        <v>27</v>
      </c>
      <c r="R1715" s="19" t="s">
        <v>138</v>
      </c>
      <c r="V1715" s="19" t="s">
        <v>138</v>
      </c>
      <c r="W1715" s="20">
        <v>23</v>
      </c>
      <c r="X1715" s="65" t="s">
        <v>2010</v>
      </c>
      <c r="Z1715" t="s">
        <v>307</v>
      </c>
      <c r="AB1715" t="s">
        <v>178</v>
      </c>
      <c r="AC1715" t="s">
        <v>2429</v>
      </c>
      <c r="AD1715" s="2" t="s">
        <v>180</v>
      </c>
    </row>
    <row r="1716" spans="1:30" hidden="1" x14ac:dyDescent="0.25">
      <c r="A1716" s="2">
        <v>381</v>
      </c>
      <c r="B1716" t="s">
        <v>2431</v>
      </c>
      <c r="C1716">
        <v>32</v>
      </c>
      <c r="D1716">
        <v>550</v>
      </c>
      <c r="E1716">
        <v>7896</v>
      </c>
      <c r="F1716" t="s">
        <v>273</v>
      </c>
      <c r="G1716" s="2" t="s">
        <v>156</v>
      </c>
      <c r="H1716">
        <v>1</v>
      </c>
      <c r="I1716">
        <v>1090.9100000000001</v>
      </c>
      <c r="J1716" s="2" t="s">
        <v>170</v>
      </c>
      <c r="K1716" s="2" t="s">
        <v>74</v>
      </c>
      <c r="M1716" t="s">
        <v>2440</v>
      </c>
      <c r="P1716" s="19" t="s">
        <v>2011</v>
      </c>
      <c r="Q1716" s="19" t="s">
        <v>27</v>
      </c>
      <c r="S1716" s="19" t="s">
        <v>138</v>
      </c>
      <c r="V1716" s="19" t="s">
        <v>138</v>
      </c>
      <c r="W1716" s="20">
        <v>23</v>
      </c>
      <c r="X1716" s="65" t="s">
        <v>2010</v>
      </c>
      <c r="Z1716" t="s">
        <v>307</v>
      </c>
      <c r="AB1716" t="s">
        <v>178</v>
      </c>
      <c r="AC1716" t="s">
        <v>2432</v>
      </c>
      <c r="AD1716" s="2" t="s">
        <v>2433</v>
      </c>
    </row>
    <row r="1717" spans="1:30" hidden="1" x14ac:dyDescent="0.25">
      <c r="A1717" s="2">
        <v>382</v>
      </c>
      <c r="B1717" t="s">
        <v>2435</v>
      </c>
      <c r="C1717">
        <v>32</v>
      </c>
      <c r="D1717">
        <v>550</v>
      </c>
      <c r="E1717">
        <v>7896</v>
      </c>
      <c r="F1717" t="s">
        <v>273</v>
      </c>
      <c r="G1717" s="2" t="s">
        <v>156</v>
      </c>
      <c r="H1717">
        <v>1</v>
      </c>
      <c r="I1717">
        <v>1090.9100000000001</v>
      </c>
      <c r="J1717" s="2" t="s">
        <v>170</v>
      </c>
      <c r="K1717" s="2" t="s">
        <v>74</v>
      </c>
      <c r="M1717" t="s">
        <v>2440</v>
      </c>
      <c r="P1717" s="19" t="s">
        <v>2011</v>
      </c>
      <c r="Q1717" s="19" t="s">
        <v>27</v>
      </c>
      <c r="S1717" s="19" t="s">
        <v>138</v>
      </c>
      <c r="V1717" s="19" t="s">
        <v>138</v>
      </c>
      <c r="W1717" s="20">
        <v>23</v>
      </c>
      <c r="X1717" s="65" t="s">
        <v>2010</v>
      </c>
      <c r="Z1717" t="s">
        <v>307</v>
      </c>
      <c r="AB1717" t="s">
        <v>178</v>
      </c>
      <c r="AC1717" t="s">
        <v>2432</v>
      </c>
      <c r="AD1717" s="2" t="s">
        <v>2433</v>
      </c>
    </row>
    <row r="1718" spans="1:30" hidden="1" x14ac:dyDescent="0.25">
      <c r="A1718" s="2">
        <v>383</v>
      </c>
      <c r="B1718" t="s">
        <v>2436</v>
      </c>
      <c r="C1718">
        <v>32</v>
      </c>
      <c r="D1718">
        <v>550</v>
      </c>
      <c r="E1718">
        <v>7660</v>
      </c>
      <c r="F1718" t="s">
        <v>273</v>
      </c>
      <c r="G1718" s="2" t="s">
        <v>156</v>
      </c>
      <c r="H1718">
        <v>2</v>
      </c>
      <c r="I1718">
        <v>2116.61</v>
      </c>
      <c r="J1718" s="2" t="s">
        <v>170</v>
      </c>
      <c r="K1718" s="2" t="s">
        <v>74</v>
      </c>
      <c r="M1718" t="s">
        <v>2440</v>
      </c>
      <c r="P1718" s="19" t="s">
        <v>2011</v>
      </c>
      <c r="Q1718" s="19" t="s">
        <v>27</v>
      </c>
      <c r="R1718" s="19" t="s">
        <v>138</v>
      </c>
      <c r="W1718" s="20">
        <v>23</v>
      </c>
      <c r="X1718" s="65" t="s">
        <v>2010</v>
      </c>
      <c r="Z1718" t="s">
        <v>307</v>
      </c>
      <c r="AB1718" t="s">
        <v>178</v>
      </c>
      <c r="AC1718" t="s">
        <v>2437</v>
      </c>
      <c r="AD1718" s="2" t="s">
        <v>180</v>
      </c>
    </row>
    <row r="1719" spans="1:30" hidden="1" x14ac:dyDescent="0.25">
      <c r="A1719" s="2">
        <v>384</v>
      </c>
      <c r="B1719" t="s">
        <v>2439</v>
      </c>
      <c r="C1719">
        <v>32</v>
      </c>
      <c r="D1719">
        <v>550</v>
      </c>
      <c r="E1719">
        <v>7660</v>
      </c>
      <c r="F1719" t="s">
        <v>273</v>
      </c>
      <c r="G1719" s="2" t="s">
        <v>156</v>
      </c>
      <c r="H1719">
        <v>2</v>
      </c>
      <c r="I1719">
        <v>2116.61</v>
      </c>
      <c r="J1719" s="2" t="s">
        <v>170</v>
      </c>
      <c r="K1719" s="2" t="s">
        <v>74</v>
      </c>
      <c r="M1719" t="s">
        <v>2440</v>
      </c>
      <c r="P1719" s="19" t="s">
        <v>2011</v>
      </c>
      <c r="Q1719" s="19" t="s">
        <v>27</v>
      </c>
      <c r="R1719" s="19" t="s">
        <v>138</v>
      </c>
      <c r="W1719" s="20">
        <v>23</v>
      </c>
      <c r="X1719" s="65" t="s">
        <v>2010</v>
      </c>
      <c r="Z1719" t="s">
        <v>307</v>
      </c>
      <c r="AB1719" t="s">
        <v>178</v>
      </c>
      <c r="AC1719" t="s">
        <v>2437</v>
      </c>
      <c r="AD1719" s="2" t="s">
        <v>180</v>
      </c>
    </row>
    <row r="1720" spans="1:30" x14ac:dyDescent="0.25">
      <c r="A1720" s="2">
        <v>1</v>
      </c>
      <c r="B1720" t="s">
        <v>2446</v>
      </c>
      <c r="C1720">
        <v>12</v>
      </c>
      <c r="D1720">
        <v>135</v>
      </c>
      <c r="E1720">
        <v>488</v>
      </c>
      <c r="F1720" t="s">
        <v>273</v>
      </c>
      <c r="G1720" s="2" t="s">
        <v>156</v>
      </c>
      <c r="H1720">
        <v>3</v>
      </c>
      <c r="I1720">
        <v>18.57</v>
      </c>
      <c r="J1720" s="2" t="s">
        <v>170</v>
      </c>
      <c r="K1720" s="2" t="s">
        <v>74</v>
      </c>
      <c r="M1720" t="s">
        <v>3150</v>
      </c>
      <c r="P1720" s="19" t="s">
        <v>2449</v>
      </c>
      <c r="Q1720" s="19" t="s">
        <v>25</v>
      </c>
      <c r="S1720" s="19" t="s">
        <v>138</v>
      </c>
      <c r="W1720" s="20">
        <v>24</v>
      </c>
      <c r="X1720" s="65" t="s">
        <v>2010</v>
      </c>
      <c r="Z1720" t="s">
        <v>307</v>
      </c>
      <c r="AB1720" t="s">
        <v>178</v>
      </c>
      <c r="AC1720" t="s">
        <v>2448</v>
      </c>
      <c r="AD1720" s="2" t="s">
        <v>2450</v>
      </c>
    </row>
    <row r="1721" spans="1:30" x14ac:dyDescent="0.25">
      <c r="A1721" s="2">
        <v>2</v>
      </c>
      <c r="B1721" t="s">
        <v>2452</v>
      </c>
      <c r="C1721">
        <v>12</v>
      </c>
      <c r="D1721">
        <v>120</v>
      </c>
      <c r="E1721">
        <v>129</v>
      </c>
      <c r="F1721" t="s">
        <v>273</v>
      </c>
      <c r="G1721" s="2" t="s">
        <v>156</v>
      </c>
      <c r="H1721">
        <v>1</v>
      </c>
      <c r="I1721">
        <v>1.32</v>
      </c>
      <c r="J1721" s="2" t="s">
        <v>170</v>
      </c>
      <c r="K1721" s="2" t="s">
        <v>74</v>
      </c>
      <c r="M1721" t="s">
        <v>3150</v>
      </c>
      <c r="P1721" s="19" t="s">
        <v>2449</v>
      </c>
      <c r="Q1721" s="19" t="s">
        <v>25</v>
      </c>
      <c r="S1721" s="19" t="s">
        <v>138</v>
      </c>
      <c r="W1721" s="20">
        <v>24</v>
      </c>
      <c r="X1721" s="65" t="s">
        <v>2010</v>
      </c>
      <c r="Z1721" t="s">
        <v>307</v>
      </c>
      <c r="AB1721" t="s">
        <v>178</v>
      </c>
      <c r="AC1721" t="s">
        <v>2448</v>
      </c>
      <c r="AD1721" s="2" t="s">
        <v>2450</v>
      </c>
    </row>
    <row r="1722" spans="1:30" x14ac:dyDescent="0.25">
      <c r="A1722" s="2">
        <v>3</v>
      </c>
      <c r="B1722" t="s">
        <v>2453</v>
      </c>
      <c r="C1722">
        <v>12</v>
      </c>
      <c r="D1722">
        <v>490</v>
      </c>
      <c r="E1722">
        <v>1514</v>
      </c>
      <c r="F1722" t="s">
        <v>273</v>
      </c>
      <c r="G1722" s="2" t="s">
        <v>156</v>
      </c>
      <c r="H1722">
        <v>1</v>
      </c>
      <c r="I1722">
        <v>69.78</v>
      </c>
      <c r="J1722" s="2" t="s">
        <v>170</v>
      </c>
      <c r="K1722" s="2" t="s">
        <v>74</v>
      </c>
      <c r="M1722" t="s">
        <v>3150</v>
      </c>
      <c r="P1722" s="19" t="s">
        <v>2449</v>
      </c>
      <c r="Q1722" s="19" t="s">
        <v>27</v>
      </c>
      <c r="S1722" s="19" t="s">
        <v>138</v>
      </c>
      <c r="W1722" s="20">
        <v>24</v>
      </c>
      <c r="X1722" s="65" t="s">
        <v>2010</v>
      </c>
      <c r="Z1722" t="s">
        <v>307</v>
      </c>
      <c r="AB1722" t="s">
        <v>178</v>
      </c>
      <c r="AC1722" t="s">
        <v>2448</v>
      </c>
      <c r="AD1722" s="2" t="s">
        <v>2450</v>
      </c>
    </row>
    <row r="1723" spans="1:30" x14ac:dyDescent="0.25">
      <c r="A1723" s="2">
        <v>4</v>
      </c>
      <c r="B1723" t="s">
        <v>2454</v>
      </c>
      <c r="C1723">
        <v>12</v>
      </c>
      <c r="D1723">
        <v>490</v>
      </c>
      <c r="E1723">
        <v>1514</v>
      </c>
      <c r="F1723" t="s">
        <v>273</v>
      </c>
      <c r="G1723" s="2" t="s">
        <v>156</v>
      </c>
      <c r="H1723">
        <v>1</v>
      </c>
      <c r="I1723">
        <v>69.78</v>
      </c>
      <c r="J1723" s="2" t="s">
        <v>170</v>
      </c>
      <c r="K1723" s="2" t="s">
        <v>74</v>
      </c>
      <c r="M1723" t="s">
        <v>3150</v>
      </c>
      <c r="P1723" s="19" t="s">
        <v>2449</v>
      </c>
      <c r="Q1723" s="19" t="s">
        <v>27</v>
      </c>
      <c r="S1723" s="19" t="s">
        <v>138</v>
      </c>
      <c r="W1723" s="20">
        <v>24</v>
      </c>
      <c r="X1723" s="65" t="s">
        <v>2010</v>
      </c>
      <c r="Z1723" t="s">
        <v>307</v>
      </c>
      <c r="AB1723" t="s">
        <v>178</v>
      </c>
      <c r="AC1723" t="s">
        <v>2448</v>
      </c>
      <c r="AD1723" s="2" t="s">
        <v>2450</v>
      </c>
    </row>
    <row r="1724" spans="1:30" x14ac:dyDescent="0.25">
      <c r="A1724" s="2">
        <v>5</v>
      </c>
      <c r="B1724" t="s">
        <v>2455</v>
      </c>
      <c r="C1724">
        <v>12</v>
      </c>
      <c r="D1724">
        <v>95</v>
      </c>
      <c r="E1724">
        <v>263</v>
      </c>
      <c r="F1724" t="s">
        <v>273</v>
      </c>
      <c r="G1724" s="2" t="s">
        <v>156</v>
      </c>
      <c r="H1724">
        <v>1</v>
      </c>
      <c r="I1724">
        <v>2.34</v>
      </c>
      <c r="J1724" s="2" t="s">
        <v>170</v>
      </c>
      <c r="K1724" s="2" t="s">
        <v>74</v>
      </c>
      <c r="M1724" t="s">
        <v>3150</v>
      </c>
      <c r="P1724" s="19" t="s">
        <v>2449</v>
      </c>
      <c r="Q1724" s="19" t="s">
        <v>25</v>
      </c>
      <c r="S1724" s="19" t="s">
        <v>138</v>
      </c>
      <c r="W1724" s="20">
        <v>24</v>
      </c>
      <c r="X1724" s="65" t="s">
        <v>2010</v>
      </c>
      <c r="Z1724" t="s">
        <v>307</v>
      </c>
      <c r="AB1724" t="s">
        <v>178</v>
      </c>
      <c r="AC1724" t="s">
        <v>2448</v>
      </c>
      <c r="AD1724" s="2" t="s">
        <v>2450</v>
      </c>
    </row>
    <row r="1725" spans="1:30" x14ac:dyDescent="0.25">
      <c r="A1725" s="2">
        <v>6</v>
      </c>
      <c r="B1725" t="s">
        <v>2456</v>
      </c>
      <c r="C1725">
        <v>12</v>
      </c>
      <c r="D1725">
        <v>130</v>
      </c>
      <c r="E1725">
        <v>663</v>
      </c>
      <c r="F1725" t="s">
        <v>273</v>
      </c>
      <c r="G1725" s="2" t="s">
        <v>156</v>
      </c>
      <c r="H1725">
        <v>7</v>
      </c>
      <c r="I1725">
        <v>56.77</v>
      </c>
      <c r="J1725" s="2" t="s">
        <v>170</v>
      </c>
      <c r="K1725" s="2" t="s">
        <v>74</v>
      </c>
      <c r="M1725" t="s">
        <v>3150</v>
      </c>
      <c r="P1725" s="19" t="s">
        <v>2449</v>
      </c>
      <c r="Q1725" s="19" t="s">
        <v>25</v>
      </c>
      <c r="S1725" s="19" t="s">
        <v>138</v>
      </c>
      <c r="W1725" s="20">
        <v>24</v>
      </c>
      <c r="X1725" s="65" t="s">
        <v>2010</v>
      </c>
      <c r="Z1725" t="s">
        <v>307</v>
      </c>
      <c r="AB1725" t="s">
        <v>178</v>
      </c>
      <c r="AC1725" t="s">
        <v>2448</v>
      </c>
      <c r="AD1725" s="2" t="s">
        <v>2450</v>
      </c>
    </row>
    <row r="1726" spans="1:30" x14ac:dyDescent="0.25">
      <c r="A1726" s="2">
        <v>7</v>
      </c>
      <c r="B1726" t="s">
        <v>2457</v>
      </c>
      <c r="C1726">
        <v>12</v>
      </c>
      <c r="D1726">
        <v>238</v>
      </c>
      <c r="E1726">
        <v>1280</v>
      </c>
      <c r="F1726" t="s">
        <v>273</v>
      </c>
      <c r="G1726" s="2" t="s">
        <v>156</v>
      </c>
      <c r="H1726">
        <v>1</v>
      </c>
      <c r="I1726">
        <v>28.7</v>
      </c>
      <c r="J1726" s="2" t="s">
        <v>170</v>
      </c>
      <c r="K1726" s="2" t="s">
        <v>74</v>
      </c>
      <c r="M1726" t="s">
        <v>3150</v>
      </c>
      <c r="P1726" s="19" t="s">
        <v>2449</v>
      </c>
      <c r="S1726" s="19" t="s">
        <v>138</v>
      </c>
      <c r="U1726" s="19" t="s">
        <v>138</v>
      </c>
      <c r="W1726" s="20">
        <v>24</v>
      </c>
      <c r="X1726" s="65" t="s">
        <v>2010</v>
      </c>
      <c r="Z1726" t="s">
        <v>307</v>
      </c>
      <c r="AB1726" t="s">
        <v>178</v>
      </c>
      <c r="AC1726" t="s">
        <v>2448</v>
      </c>
      <c r="AD1726" s="2" t="s">
        <v>2450</v>
      </c>
    </row>
    <row r="1727" spans="1:30" x14ac:dyDescent="0.25">
      <c r="A1727" s="2">
        <v>8</v>
      </c>
      <c r="B1727" t="s">
        <v>2458</v>
      </c>
      <c r="C1727">
        <v>12</v>
      </c>
      <c r="D1727">
        <v>238</v>
      </c>
      <c r="E1727">
        <v>1280</v>
      </c>
      <c r="F1727" t="s">
        <v>273</v>
      </c>
      <c r="G1727" s="2" t="s">
        <v>156</v>
      </c>
      <c r="H1727">
        <v>1</v>
      </c>
      <c r="I1727">
        <v>28.7</v>
      </c>
      <c r="J1727" s="2" t="s">
        <v>170</v>
      </c>
      <c r="K1727" s="2" t="s">
        <v>74</v>
      </c>
      <c r="M1727" t="s">
        <v>3150</v>
      </c>
      <c r="P1727" s="19" t="s">
        <v>2449</v>
      </c>
      <c r="S1727" s="19" t="s">
        <v>138</v>
      </c>
      <c r="U1727" s="19" t="s">
        <v>138</v>
      </c>
      <c r="W1727" s="20">
        <v>24</v>
      </c>
      <c r="X1727" s="65" t="s">
        <v>2010</v>
      </c>
      <c r="Z1727" t="s">
        <v>307</v>
      </c>
      <c r="AB1727" t="s">
        <v>178</v>
      </c>
      <c r="AC1727" t="s">
        <v>2448</v>
      </c>
      <c r="AD1727" s="2" t="s">
        <v>2450</v>
      </c>
    </row>
    <row r="1728" spans="1:30" x14ac:dyDescent="0.25">
      <c r="A1728" s="2">
        <v>9</v>
      </c>
      <c r="B1728" t="s">
        <v>2459</v>
      </c>
      <c r="C1728">
        <v>12</v>
      </c>
      <c r="D1728">
        <v>490</v>
      </c>
      <c r="E1728">
        <v>1514</v>
      </c>
      <c r="F1728" t="s">
        <v>273</v>
      </c>
      <c r="G1728" s="2" t="s">
        <v>156</v>
      </c>
      <c r="H1728">
        <v>1</v>
      </c>
      <c r="I1728">
        <v>69.78</v>
      </c>
      <c r="J1728" s="2" t="s">
        <v>170</v>
      </c>
      <c r="K1728" s="2" t="s">
        <v>74</v>
      </c>
      <c r="M1728" t="s">
        <v>3150</v>
      </c>
      <c r="P1728" s="19" t="s">
        <v>2449</v>
      </c>
      <c r="Q1728" s="19" t="s">
        <v>27</v>
      </c>
      <c r="S1728" s="19" t="s">
        <v>138</v>
      </c>
      <c r="W1728" s="20">
        <v>24</v>
      </c>
      <c r="X1728" s="65" t="s">
        <v>2010</v>
      </c>
      <c r="Z1728" t="s">
        <v>307</v>
      </c>
      <c r="AB1728" t="s">
        <v>178</v>
      </c>
      <c r="AC1728" t="s">
        <v>2448</v>
      </c>
      <c r="AD1728" s="2" t="s">
        <v>2450</v>
      </c>
    </row>
    <row r="1729" spans="1:30" x14ac:dyDescent="0.25">
      <c r="A1729" s="2">
        <v>10</v>
      </c>
      <c r="B1729" t="s">
        <v>2460</v>
      </c>
      <c r="C1729">
        <v>12</v>
      </c>
      <c r="D1729">
        <v>490</v>
      </c>
      <c r="E1729">
        <v>1514</v>
      </c>
      <c r="F1729" t="s">
        <v>273</v>
      </c>
      <c r="G1729" s="2" t="s">
        <v>156</v>
      </c>
      <c r="H1729">
        <v>1</v>
      </c>
      <c r="I1729">
        <v>69.78</v>
      </c>
      <c r="J1729" s="2" t="s">
        <v>170</v>
      </c>
      <c r="K1729" s="2" t="s">
        <v>74</v>
      </c>
      <c r="M1729" t="s">
        <v>3150</v>
      </c>
      <c r="P1729" s="19" t="s">
        <v>2449</v>
      </c>
      <c r="Q1729" s="19" t="s">
        <v>27</v>
      </c>
      <c r="S1729" s="19" t="s">
        <v>138</v>
      </c>
      <c r="W1729" s="20">
        <v>24</v>
      </c>
      <c r="X1729" s="65" t="s">
        <v>2010</v>
      </c>
      <c r="Z1729" t="s">
        <v>307</v>
      </c>
      <c r="AB1729" t="s">
        <v>178</v>
      </c>
      <c r="AC1729" t="s">
        <v>2448</v>
      </c>
      <c r="AD1729" s="2" t="s">
        <v>2450</v>
      </c>
    </row>
    <row r="1730" spans="1:30" x14ac:dyDescent="0.25">
      <c r="A1730" s="2">
        <v>11</v>
      </c>
      <c r="B1730" t="s">
        <v>2461</v>
      </c>
      <c r="C1730">
        <v>12</v>
      </c>
      <c r="D1730">
        <v>490</v>
      </c>
      <c r="E1730">
        <v>1514</v>
      </c>
      <c r="F1730" t="s">
        <v>273</v>
      </c>
      <c r="G1730" s="2" t="s">
        <v>156</v>
      </c>
      <c r="H1730">
        <v>1</v>
      </c>
      <c r="I1730">
        <v>69.78</v>
      </c>
      <c r="J1730" s="2" t="s">
        <v>170</v>
      </c>
      <c r="K1730" s="2" t="s">
        <v>74</v>
      </c>
      <c r="M1730" t="s">
        <v>3150</v>
      </c>
      <c r="P1730" s="19" t="s">
        <v>2449</v>
      </c>
      <c r="Q1730" s="19" t="s">
        <v>27</v>
      </c>
      <c r="S1730" s="19" t="s">
        <v>138</v>
      </c>
      <c r="W1730" s="20">
        <v>24</v>
      </c>
      <c r="X1730" s="65" t="s">
        <v>2010</v>
      </c>
      <c r="Z1730" t="s">
        <v>307</v>
      </c>
      <c r="AB1730" t="s">
        <v>178</v>
      </c>
      <c r="AC1730" t="s">
        <v>2448</v>
      </c>
      <c r="AD1730" s="2" t="s">
        <v>2450</v>
      </c>
    </row>
    <row r="1731" spans="1:30" x14ac:dyDescent="0.25">
      <c r="A1731" s="2">
        <v>12</v>
      </c>
      <c r="B1731" t="s">
        <v>2462</v>
      </c>
      <c r="C1731">
        <v>12</v>
      </c>
      <c r="D1731">
        <v>490</v>
      </c>
      <c r="E1731">
        <v>1514</v>
      </c>
      <c r="F1731" t="s">
        <v>273</v>
      </c>
      <c r="G1731" s="2" t="s">
        <v>156</v>
      </c>
      <c r="H1731">
        <v>1</v>
      </c>
      <c r="I1731">
        <v>69.78</v>
      </c>
      <c r="J1731" s="2" t="s">
        <v>170</v>
      </c>
      <c r="K1731" s="2" t="s">
        <v>74</v>
      </c>
      <c r="M1731" t="s">
        <v>3150</v>
      </c>
      <c r="P1731" s="19" t="s">
        <v>2449</v>
      </c>
      <c r="Q1731" s="19" t="s">
        <v>27</v>
      </c>
      <c r="S1731" s="19" t="s">
        <v>138</v>
      </c>
      <c r="W1731" s="20">
        <v>24</v>
      </c>
      <c r="X1731" s="65" t="s">
        <v>2010</v>
      </c>
      <c r="Z1731" t="s">
        <v>307</v>
      </c>
      <c r="AB1731" t="s">
        <v>178</v>
      </c>
      <c r="AC1731" t="s">
        <v>2448</v>
      </c>
      <c r="AD1731" s="2" t="s">
        <v>2450</v>
      </c>
    </row>
    <row r="1732" spans="1:30" x14ac:dyDescent="0.25">
      <c r="A1732" s="2">
        <v>13</v>
      </c>
      <c r="B1732" t="s">
        <v>2463</v>
      </c>
      <c r="C1732">
        <v>12</v>
      </c>
      <c r="D1732">
        <v>490</v>
      </c>
      <c r="E1732">
        <v>1514</v>
      </c>
      <c r="F1732" t="s">
        <v>273</v>
      </c>
      <c r="G1732" s="2" t="s">
        <v>156</v>
      </c>
      <c r="H1732">
        <v>1</v>
      </c>
      <c r="I1732">
        <v>69.78</v>
      </c>
      <c r="J1732" s="2" t="s">
        <v>170</v>
      </c>
      <c r="K1732" s="2" t="s">
        <v>74</v>
      </c>
      <c r="M1732" t="s">
        <v>3150</v>
      </c>
      <c r="P1732" s="19" t="s">
        <v>2449</v>
      </c>
      <c r="Q1732" s="19" t="s">
        <v>27</v>
      </c>
      <c r="S1732" s="19" t="s">
        <v>138</v>
      </c>
      <c r="W1732" s="20">
        <v>24</v>
      </c>
      <c r="X1732" s="65" t="s">
        <v>2010</v>
      </c>
      <c r="Z1732" t="s">
        <v>307</v>
      </c>
      <c r="AB1732" t="s">
        <v>178</v>
      </c>
      <c r="AC1732" t="s">
        <v>2448</v>
      </c>
      <c r="AD1732" s="2" t="s">
        <v>2450</v>
      </c>
    </row>
    <row r="1733" spans="1:30" x14ac:dyDescent="0.25">
      <c r="A1733" s="2">
        <v>14</v>
      </c>
      <c r="B1733" t="s">
        <v>2464</v>
      </c>
      <c r="C1733">
        <v>12</v>
      </c>
      <c r="D1733">
        <v>130</v>
      </c>
      <c r="E1733">
        <v>263</v>
      </c>
      <c r="F1733" t="s">
        <v>273</v>
      </c>
      <c r="G1733" s="2" t="s">
        <v>156</v>
      </c>
      <c r="H1733">
        <v>1</v>
      </c>
      <c r="I1733">
        <v>3.21</v>
      </c>
      <c r="J1733" s="2" t="s">
        <v>170</v>
      </c>
      <c r="K1733" s="2" t="s">
        <v>74</v>
      </c>
      <c r="M1733" t="s">
        <v>3150</v>
      </c>
      <c r="P1733" s="19" t="s">
        <v>2449</v>
      </c>
      <c r="Q1733" s="19" t="s">
        <v>25</v>
      </c>
      <c r="S1733" s="19" t="s">
        <v>138</v>
      </c>
      <c r="W1733" s="20">
        <v>24</v>
      </c>
      <c r="X1733" s="65" t="s">
        <v>2010</v>
      </c>
      <c r="Z1733" t="s">
        <v>307</v>
      </c>
      <c r="AB1733" t="s">
        <v>178</v>
      </c>
      <c r="AC1733" t="s">
        <v>2448</v>
      </c>
      <c r="AD1733" s="2" t="s">
        <v>2450</v>
      </c>
    </row>
    <row r="1734" spans="1:30" x14ac:dyDescent="0.25">
      <c r="A1734" s="2">
        <v>15</v>
      </c>
      <c r="B1734" t="s">
        <v>2465</v>
      </c>
      <c r="C1734">
        <v>12</v>
      </c>
      <c r="D1734">
        <v>490</v>
      </c>
      <c r="E1734">
        <v>1514</v>
      </c>
      <c r="F1734" t="s">
        <v>273</v>
      </c>
      <c r="G1734" s="2" t="s">
        <v>156</v>
      </c>
      <c r="H1734">
        <v>1</v>
      </c>
      <c r="I1734">
        <v>69.78</v>
      </c>
      <c r="J1734" s="2" t="s">
        <v>170</v>
      </c>
      <c r="K1734" s="2" t="s">
        <v>74</v>
      </c>
      <c r="M1734" t="s">
        <v>3150</v>
      </c>
      <c r="P1734" s="19" t="s">
        <v>2449</v>
      </c>
      <c r="Q1734" s="19" t="s">
        <v>27</v>
      </c>
      <c r="S1734" s="19" t="s">
        <v>138</v>
      </c>
      <c r="W1734" s="20">
        <v>24</v>
      </c>
      <c r="X1734" s="65" t="s">
        <v>2010</v>
      </c>
      <c r="Z1734" t="s">
        <v>307</v>
      </c>
      <c r="AB1734" t="s">
        <v>178</v>
      </c>
      <c r="AC1734" t="s">
        <v>2448</v>
      </c>
      <c r="AD1734" s="2" t="s">
        <v>2450</v>
      </c>
    </row>
    <row r="1735" spans="1:30" x14ac:dyDescent="0.25">
      <c r="A1735" s="2">
        <v>16</v>
      </c>
      <c r="B1735" t="s">
        <v>2466</v>
      </c>
      <c r="C1735">
        <v>12</v>
      </c>
      <c r="D1735">
        <v>490</v>
      </c>
      <c r="E1735">
        <v>1514</v>
      </c>
      <c r="F1735" t="s">
        <v>273</v>
      </c>
      <c r="G1735" s="2" t="s">
        <v>156</v>
      </c>
      <c r="H1735">
        <v>1</v>
      </c>
      <c r="I1735">
        <v>69.78</v>
      </c>
      <c r="J1735" s="2" t="s">
        <v>170</v>
      </c>
      <c r="K1735" s="2" t="s">
        <v>74</v>
      </c>
      <c r="M1735" t="s">
        <v>3150</v>
      </c>
      <c r="P1735" s="19" t="s">
        <v>2449</v>
      </c>
      <c r="Q1735" s="19" t="s">
        <v>27</v>
      </c>
      <c r="S1735" s="19" t="s">
        <v>138</v>
      </c>
      <c r="W1735" s="20">
        <v>24</v>
      </c>
      <c r="X1735" s="65" t="s">
        <v>2010</v>
      </c>
      <c r="Z1735" t="s">
        <v>307</v>
      </c>
      <c r="AB1735" t="s">
        <v>178</v>
      </c>
      <c r="AC1735" t="s">
        <v>2448</v>
      </c>
      <c r="AD1735" s="2" t="s">
        <v>2450</v>
      </c>
    </row>
    <row r="1736" spans="1:30" x14ac:dyDescent="0.25">
      <c r="A1736" s="2">
        <v>17</v>
      </c>
      <c r="B1736" t="s">
        <v>2446</v>
      </c>
      <c r="C1736">
        <v>12</v>
      </c>
      <c r="D1736">
        <v>135</v>
      </c>
      <c r="E1736">
        <v>488</v>
      </c>
      <c r="F1736" t="s">
        <v>273</v>
      </c>
      <c r="G1736" s="2" t="s">
        <v>156</v>
      </c>
      <c r="H1736">
        <v>2</v>
      </c>
      <c r="I1736">
        <v>12.38</v>
      </c>
      <c r="J1736" s="2" t="s">
        <v>170</v>
      </c>
      <c r="K1736" s="2" t="s">
        <v>74</v>
      </c>
      <c r="M1736" t="s">
        <v>3150</v>
      </c>
      <c r="P1736" s="19" t="s">
        <v>2449</v>
      </c>
      <c r="Q1736" s="19" t="s">
        <v>25</v>
      </c>
      <c r="S1736" s="19" t="s">
        <v>138</v>
      </c>
      <c r="W1736" s="20">
        <v>24</v>
      </c>
      <c r="X1736" s="65" t="s">
        <v>2010</v>
      </c>
      <c r="Z1736" t="s">
        <v>307</v>
      </c>
      <c r="AB1736" t="s">
        <v>178</v>
      </c>
      <c r="AC1736" t="s">
        <v>2468</v>
      </c>
      <c r="AD1736" s="2" t="s">
        <v>2469</v>
      </c>
    </row>
    <row r="1737" spans="1:30" x14ac:dyDescent="0.25">
      <c r="A1737" s="2">
        <v>18</v>
      </c>
      <c r="B1737" t="s">
        <v>2471</v>
      </c>
      <c r="C1737">
        <v>12</v>
      </c>
      <c r="D1737">
        <v>490</v>
      </c>
      <c r="E1737">
        <v>1514</v>
      </c>
      <c r="F1737" t="s">
        <v>273</v>
      </c>
      <c r="G1737" s="2" t="s">
        <v>156</v>
      </c>
      <c r="H1737">
        <v>1</v>
      </c>
      <c r="I1737">
        <v>69.78</v>
      </c>
      <c r="J1737" s="2" t="s">
        <v>170</v>
      </c>
      <c r="K1737" s="2" t="s">
        <v>74</v>
      </c>
      <c r="M1737" t="s">
        <v>3150</v>
      </c>
      <c r="P1737" s="19" t="s">
        <v>2449</v>
      </c>
      <c r="Q1737" s="19" t="s">
        <v>27</v>
      </c>
      <c r="S1737" s="19" t="s">
        <v>138</v>
      </c>
      <c r="W1737" s="20">
        <v>24</v>
      </c>
      <c r="X1737" s="65" t="s">
        <v>2010</v>
      </c>
      <c r="Z1737" t="s">
        <v>307</v>
      </c>
      <c r="AB1737" t="s">
        <v>178</v>
      </c>
      <c r="AC1737" t="s">
        <v>2468</v>
      </c>
      <c r="AD1737" s="2" t="s">
        <v>2469</v>
      </c>
    </row>
    <row r="1738" spans="1:30" x14ac:dyDescent="0.25">
      <c r="A1738" s="2">
        <v>19</v>
      </c>
      <c r="B1738" t="s">
        <v>2472</v>
      </c>
      <c r="C1738">
        <v>12</v>
      </c>
      <c r="D1738">
        <v>490</v>
      </c>
      <c r="E1738">
        <v>1514</v>
      </c>
      <c r="F1738" t="s">
        <v>273</v>
      </c>
      <c r="G1738" s="2" t="s">
        <v>156</v>
      </c>
      <c r="H1738">
        <v>1</v>
      </c>
      <c r="I1738">
        <v>69.78</v>
      </c>
      <c r="J1738" s="2" t="s">
        <v>170</v>
      </c>
      <c r="K1738" s="2" t="s">
        <v>74</v>
      </c>
      <c r="M1738" t="s">
        <v>3150</v>
      </c>
      <c r="P1738" s="19" t="s">
        <v>2449</v>
      </c>
      <c r="Q1738" s="19" t="s">
        <v>27</v>
      </c>
      <c r="S1738" s="19" t="s">
        <v>138</v>
      </c>
      <c r="W1738" s="20">
        <v>24</v>
      </c>
      <c r="X1738" s="65" t="s">
        <v>2010</v>
      </c>
      <c r="Z1738" t="s">
        <v>307</v>
      </c>
      <c r="AB1738" t="s">
        <v>178</v>
      </c>
      <c r="AC1738" t="s">
        <v>2468</v>
      </c>
      <c r="AD1738" s="2" t="s">
        <v>2469</v>
      </c>
    </row>
    <row r="1739" spans="1:30" x14ac:dyDescent="0.25">
      <c r="A1739" s="2">
        <v>20</v>
      </c>
      <c r="B1739" t="s">
        <v>2473</v>
      </c>
      <c r="C1739">
        <v>12</v>
      </c>
      <c r="D1739">
        <v>490</v>
      </c>
      <c r="E1739">
        <v>1514</v>
      </c>
      <c r="F1739" t="s">
        <v>273</v>
      </c>
      <c r="G1739" s="2" t="s">
        <v>156</v>
      </c>
      <c r="H1739">
        <v>1</v>
      </c>
      <c r="I1739">
        <v>69.78</v>
      </c>
      <c r="J1739" s="2" t="s">
        <v>170</v>
      </c>
      <c r="K1739" s="2" t="s">
        <v>74</v>
      </c>
      <c r="M1739" t="s">
        <v>3150</v>
      </c>
      <c r="P1739" s="19" t="s">
        <v>2449</v>
      </c>
      <c r="Q1739" s="19" t="s">
        <v>27</v>
      </c>
      <c r="S1739" s="19" t="s">
        <v>138</v>
      </c>
      <c r="W1739" s="20">
        <v>24</v>
      </c>
      <c r="X1739" s="65" t="s">
        <v>2010</v>
      </c>
      <c r="Z1739" t="s">
        <v>307</v>
      </c>
      <c r="AB1739" t="s">
        <v>178</v>
      </c>
      <c r="AC1739" t="s">
        <v>2468</v>
      </c>
      <c r="AD1739" s="2" t="s">
        <v>2469</v>
      </c>
    </row>
    <row r="1740" spans="1:30" x14ac:dyDescent="0.25">
      <c r="A1740" s="2">
        <v>21</v>
      </c>
      <c r="B1740" t="s">
        <v>2474</v>
      </c>
      <c r="C1740">
        <v>12</v>
      </c>
      <c r="D1740">
        <v>490</v>
      </c>
      <c r="E1740">
        <v>1514</v>
      </c>
      <c r="F1740" t="s">
        <v>273</v>
      </c>
      <c r="G1740" s="2" t="s">
        <v>156</v>
      </c>
      <c r="H1740">
        <v>1</v>
      </c>
      <c r="I1740">
        <v>69.78</v>
      </c>
      <c r="J1740" s="2" t="s">
        <v>170</v>
      </c>
      <c r="K1740" s="2" t="s">
        <v>74</v>
      </c>
      <c r="M1740" t="s">
        <v>3150</v>
      </c>
      <c r="P1740" s="19" t="s">
        <v>2449</v>
      </c>
      <c r="Q1740" s="19" t="s">
        <v>27</v>
      </c>
      <c r="S1740" s="19" t="s">
        <v>138</v>
      </c>
      <c r="W1740" s="20">
        <v>24</v>
      </c>
      <c r="X1740" s="65" t="s">
        <v>2010</v>
      </c>
      <c r="Z1740" t="s">
        <v>307</v>
      </c>
      <c r="AB1740" t="s">
        <v>178</v>
      </c>
      <c r="AC1740" t="s">
        <v>2468</v>
      </c>
      <c r="AD1740" s="2" t="s">
        <v>2469</v>
      </c>
    </row>
    <row r="1741" spans="1:30" x14ac:dyDescent="0.25">
      <c r="A1741" s="2">
        <v>22</v>
      </c>
      <c r="B1741" t="s">
        <v>2475</v>
      </c>
      <c r="C1741">
        <v>12</v>
      </c>
      <c r="D1741">
        <v>490</v>
      </c>
      <c r="E1741">
        <v>1514</v>
      </c>
      <c r="F1741" t="s">
        <v>273</v>
      </c>
      <c r="G1741" s="2" t="s">
        <v>156</v>
      </c>
      <c r="H1741">
        <v>1</v>
      </c>
      <c r="I1741">
        <v>69.78</v>
      </c>
      <c r="J1741" s="2" t="s">
        <v>170</v>
      </c>
      <c r="K1741" s="2" t="s">
        <v>74</v>
      </c>
      <c r="M1741" t="s">
        <v>3150</v>
      </c>
      <c r="P1741" s="19" t="s">
        <v>2449</v>
      </c>
      <c r="Q1741" s="19" t="s">
        <v>27</v>
      </c>
      <c r="S1741" s="19" t="s">
        <v>138</v>
      </c>
      <c r="W1741" s="20">
        <v>24</v>
      </c>
      <c r="X1741" s="65" t="s">
        <v>2010</v>
      </c>
      <c r="Z1741" t="s">
        <v>307</v>
      </c>
      <c r="AB1741" t="s">
        <v>178</v>
      </c>
      <c r="AC1741" t="s">
        <v>2468</v>
      </c>
      <c r="AD1741" s="2" t="s">
        <v>2469</v>
      </c>
    </row>
    <row r="1742" spans="1:30" x14ac:dyDescent="0.25">
      <c r="A1742" s="2">
        <v>23</v>
      </c>
      <c r="B1742" t="s">
        <v>2476</v>
      </c>
      <c r="C1742">
        <v>12</v>
      </c>
      <c r="D1742">
        <v>100</v>
      </c>
      <c r="E1742">
        <v>150</v>
      </c>
      <c r="F1742" t="s">
        <v>273</v>
      </c>
      <c r="G1742" s="2" t="s">
        <v>156</v>
      </c>
      <c r="H1742">
        <v>1</v>
      </c>
      <c r="I1742">
        <v>1.41</v>
      </c>
      <c r="J1742" s="2" t="s">
        <v>170</v>
      </c>
      <c r="K1742" s="2" t="s">
        <v>74</v>
      </c>
      <c r="M1742" t="s">
        <v>3150</v>
      </c>
      <c r="P1742" s="19" t="s">
        <v>2449</v>
      </c>
      <c r="Q1742" s="19" t="s">
        <v>25</v>
      </c>
      <c r="S1742" s="19" t="s">
        <v>138</v>
      </c>
      <c r="W1742" s="20">
        <v>24</v>
      </c>
      <c r="X1742" s="65" t="s">
        <v>2010</v>
      </c>
      <c r="Z1742" t="s">
        <v>307</v>
      </c>
      <c r="AB1742" t="s">
        <v>178</v>
      </c>
      <c r="AC1742" t="s">
        <v>2468</v>
      </c>
      <c r="AD1742" s="2" t="s">
        <v>2469</v>
      </c>
    </row>
    <row r="1743" spans="1:30" x14ac:dyDescent="0.25">
      <c r="A1743" s="2">
        <v>24</v>
      </c>
      <c r="B1743" t="s">
        <v>2455</v>
      </c>
      <c r="C1743">
        <v>12</v>
      </c>
      <c r="D1743">
        <v>95</v>
      </c>
      <c r="E1743">
        <v>263</v>
      </c>
      <c r="F1743" t="s">
        <v>273</v>
      </c>
      <c r="G1743" s="2" t="s">
        <v>156</v>
      </c>
      <c r="H1743">
        <v>2</v>
      </c>
      <c r="I1743">
        <v>4.68</v>
      </c>
      <c r="J1743" s="2" t="s">
        <v>170</v>
      </c>
      <c r="K1743" s="2" t="s">
        <v>74</v>
      </c>
      <c r="M1743" t="s">
        <v>3150</v>
      </c>
      <c r="P1743" s="19" t="s">
        <v>2449</v>
      </c>
      <c r="Q1743" s="19" t="s">
        <v>25</v>
      </c>
      <c r="S1743" s="19" t="s">
        <v>138</v>
      </c>
      <c r="W1743" s="20">
        <v>24</v>
      </c>
      <c r="X1743" s="65" t="s">
        <v>2010</v>
      </c>
      <c r="Z1743" t="s">
        <v>307</v>
      </c>
      <c r="AB1743" t="s">
        <v>178</v>
      </c>
      <c r="AC1743" t="s">
        <v>2468</v>
      </c>
      <c r="AD1743" s="2" t="s">
        <v>2469</v>
      </c>
    </row>
    <row r="1744" spans="1:30" x14ac:dyDescent="0.25">
      <c r="A1744" s="2">
        <v>25</v>
      </c>
      <c r="B1744" t="s">
        <v>2456</v>
      </c>
      <c r="C1744">
        <v>12</v>
      </c>
      <c r="D1744">
        <v>130</v>
      </c>
      <c r="E1744">
        <v>663</v>
      </c>
      <c r="F1744" t="s">
        <v>273</v>
      </c>
      <c r="G1744" s="2" t="s">
        <v>156</v>
      </c>
      <c r="H1744">
        <v>2</v>
      </c>
      <c r="I1744">
        <v>16.22</v>
      </c>
      <c r="J1744" s="2" t="s">
        <v>170</v>
      </c>
      <c r="K1744" s="2" t="s">
        <v>74</v>
      </c>
      <c r="M1744" t="s">
        <v>3150</v>
      </c>
      <c r="P1744" s="19" t="s">
        <v>2449</v>
      </c>
      <c r="Q1744" s="19" t="s">
        <v>25</v>
      </c>
      <c r="S1744" s="19" t="s">
        <v>138</v>
      </c>
      <c r="W1744" s="20">
        <v>24</v>
      </c>
      <c r="X1744" s="65" t="s">
        <v>2010</v>
      </c>
      <c r="Z1744" t="s">
        <v>307</v>
      </c>
      <c r="AB1744" t="s">
        <v>178</v>
      </c>
      <c r="AC1744" t="s">
        <v>2468</v>
      </c>
      <c r="AD1744" s="2" t="s">
        <v>2469</v>
      </c>
    </row>
    <row r="1745" spans="1:30" x14ac:dyDescent="0.25">
      <c r="A1745" s="2">
        <v>26</v>
      </c>
      <c r="B1745" t="s">
        <v>2477</v>
      </c>
      <c r="C1745">
        <v>12</v>
      </c>
      <c r="D1745">
        <v>238</v>
      </c>
      <c r="E1745">
        <v>1280</v>
      </c>
      <c r="F1745" t="s">
        <v>273</v>
      </c>
      <c r="G1745" s="2" t="s">
        <v>156</v>
      </c>
      <c r="H1745">
        <v>1</v>
      </c>
      <c r="I1745">
        <v>28.7</v>
      </c>
      <c r="J1745" s="2" t="s">
        <v>170</v>
      </c>
      <c r="K1745" s="2" t="s">
        <v>74</v>
      </c>
      <c r="M1745" t="s">
        <v>3150</v>
      </c>
      <c r="P1745" s="19" t="s">
        <v>2449</v>
      </c>
      <c r="S1745" s="19" t="s">
        <v>138</v>
      </c>
      <c r="U1745" s="19" t="s">
        <v>138</v>
      </c>
      <c r="W1745" s="20">
        <v>24</v>
      </c>
      <c r="X1745" s="65" t="s">
        <v>2010</v>
      </c>
      <c r="Z1745" t="s">
        <v>307</v>
      </c>
      <c r="AB1745" t="s">
        <v>178</v>
      </c>
      <c r="AC1745" t="s">
        <v>2468</v>
      </c>
      <c r="AD1745" s="2" t="s">
        <v>2469</v>
      </c>
    </row>
    <row r="1746" spans="1:30" x14ac:dyDescent="0.25">
      <c r="A1746" s="2">
        <v>27</v>
      </c>
      <c r="B1746" t="s">
        <v>2478</v>
      </c>
      <c r="C1746">
        <v>12</v>
      </c>
      <c r="D1746">
        <v>238</v>
      </c>
      <c r="E1746">
        <v>1280</v>
      </c>
      <c r="F1746" t="s">
        <v>273</v>
      </c>
      <c r="G1746" s="2" t="s">
        <v>156</v>
      </c>
      <c r="H1746">
        <v>1</v>
      </c>
      <c r="I1746">
        <v>28.7</v>
      </c>
      <c r="J1746" s="2" t="s">
        <v>170</v>
      </c>
      <c r="K1746" s="2" t="s">
        <v>74</v>
      </c>
      <c r="M1746" t="s">
        <v>3150</v>
      </c>
      <c r="P1746" s="19" t="s">
        <v>2449</v>
      </c>
      <c r="S1746" s="19" t="s">
        <v>138</v>
      </c>
      <c r="U1746" s="19" t="s">
        <v>138</v>
      </c>
      <c r="W1746" s="20">
        <v>24</v>
      </c>
      <c r="X1746" s="65" t="s">
        <v>2010</v>
      </c>
      <c r="Z1746" t="s">
        <v>307</v>
      </c>
      <c r="AB1746" t="s">
        <v>178</v>
      </c>
      <c r="AC1746" t="s">
        <v>2468</v>
      </c>
      <c r="AD1746" s="2" t="s">
        <v>2469</v>
      </c>
    </row>
    <row r="1747" spans="1:30" x14ac:dyDescent="0.25">
      <c r="A1747" s="2">
        <v>28</v>
      </c>
      <c r="B1747" t="s">
        <v>2479</v>
      </c>
      <c r="C1747">
        <v>12</v>
      </c>
      <c r="D1747">
        <v>238</v>
      </c>
      <c r="E1747">
        <v>1280</v>
      </c>
      <c r="F1747" t="s">
        <v>273</v>
      </c>
      <c r="G1747" s="2" t="s">
        <v>156</v>
      </c>
      <c r="H1747">
        <v>1</v>
      </c>
      <c r="I1747">
        <v>28.7</v>
      </c>
      <c r="J1747" s="2" t="s">
        <v>170</v>
      </c>
      <c r="K1747" s="2" t="s">
        <v>74</v>
      </c>
      <c r="M1747" t="s">
        <v>3150</v>
      </c>
      <c r="P1747" s="19" t="s">
        <v>2449</v>
      </c>
      <c r="S1747" s="19" t="s">
        <v>138</v>
      </c>
      <c r="U1747" s="19" t="s">
        <v>138</v>
      </c>
      <c r="W1747" s="20">
        <v>24</v>
      </c>
      <c r="X1747" s="65" t="s">
        <v>2010</v>
      </c>
      <c r="Z1747" t="s">
        <v>307</v>
      </c>
      <c r="AB1747" t="s">
        <v>178</v>
      </c>
      <c r="AC1747" t="s">
        <v>2468</v>
      </c>
      <c r="AD1747" s="2" t="s">
        <v>2469</v>
      </c>
    </row>
    <row r="1748" spans="1:30" x14ac:dyDescent="0.25">
      <c r="A1748" s="2">
        <v>29</v>
      </c>
      <c r="B1748" t="s">
        <v>2480</v>
      </c>
      <c r="C1748">
        <v>12</v>
      </c>
      <c r="D1748">
        <v>130</v>
      </c>
      <c r="E1748">
        <v>1315</v>
      </c>
      <c r="F1748" t="s">
        <v>273</v>
      </c>
      <c r="G1748" s="2" t="s">
        <v>156</v>
      </c>
      <c r="H1748">
        <v>1</v>
      </c>
      <c r="I1748">
        <v>16.100000000000001</v>
      </c>
      <c r="J1748" s="2" t="s">
        <v>170</v>
      </c>
      <c r="K1748" s="2" t="s">
        <v>74</v>
      </c>
      <c r="M1748" t="s">
        <v>3150</v>
      </c>
      <c r="P1748" s="19" t="s">
        <v>2449</v>
      </c>
      <c r="Q1748" s="19" t="s">
        <v>25</v>
      </c>
      <c r="S1748" s="19" t="s">
        <v>138</v>
      </c>
      <c r="W1748" s="20">
        <v>24</v>
      </c>
      <c r="X1748" s="65" t="s">
        <v>2010</v>
      </c>
      <c r="Z1748" t="s">
        <v>307</v>
      </c>
      <c r="AB1748" t="s">
        <v>178</v>
      </c>
      <c r="AC1748" t="s">
        <v>2468</v>
      </c>
      <c r="AD1748" s="2" t="s">
        <v>2469</v>
      </c>
    </row>
    <row r="1749" spans="1:30" x14ac:dyDescent="0.25">
      <c r="A1749" s="2">
        <v>30</v>
      </c>
      <c r="B1749" t="s">
        <v>2481</v>
      </c>
      <c r="C1749">
        <v>12</v>
      </c>
      <c r="D1749">
        <v>128</v>
      </c>
      <c r="E1749">
        <v>145</v>
      </c>
      <c r="F1749" t="s">
        <v>273</v>
      </c>
      <c r="G1749" s="2" t="s">
        <v>156</v>
      </c>
      <c r="H1749">
        <v>1</v>
      </c>
      <c r="I1749">
        <v>1.67</v>
      </c>
      <c r="J1749" s="2" t="s">
        <v>170</v>
      </c>
      <c r="K1749" s="2" t="s">
        <v>74</v>
      </c>
      <c r="M1749" t="s">
        <v>3150</v>
      </c>
      <c r="P1749" s="19" t="s">
        <v>2449</v>
      </c>
      <c r="Q1749" s="19" t="s">
        <v>25</v>
      </c>
      <c r="S1749" s="19" t="s">
        <v>138</v>
      </c>
      <c r="W1749" s="20">
        <v>24</v>
      </c>
      <c r="X1749" s="65" t="s">
        <v>2010</v>
      </c>
      <c r="Z1749" t="s">
        <v>307</v>
      </c>
      <c r="AB1749" t="s">
        <v>178</v>
      </c>
      <c r="AC1749" t="s">
        <v>2468</v>
      </c>
      <c r="AD1749" s="2" t="s">
        <v>2469</v>
      </c>
    </row>
    <row r="1750" spans="1:30" x14ac:dyDescent="0.25">
      <c r="A1750" s="2">
        <v>31</v>
      </c>
      <c r="B1750" t="s">
        <v>2482</v>
      </c>
      <c r="C1750">
        <v>12</v>
      </c>
      <c r="D1750">
        <v>130</v>
      </c>
      <c r="E1750">
        <v>1315</v>
      </c>
      <c r="F1750" t="s">
        <v>273</v>
      </c>
      <c r="G1750" s="2" t="s">
        <v>156</v>
      </c>
      <c r="H1750">
        <v>1</v>
      </c>
      <c r="I1750">
        <v>16.100000000000001</v>
      </c>
      <c r="J1750" s="2" t="s">
        <v>170</v>
      </c>
      <c r="K1750" s="2" t="s">
        <v>74</v>
      </c>
      <c r="M1750" t="s">
        <v>3150</v>
      </c>
      <c r="P1750" s="19" t="s">
        <v>2449</v>
      </c>
      <c r="Q1750" s="19" t="s">
        <v>25</v>
      </c>
      <c r="S1750" s="19" t="s">
        <v>138</v>
      </c>
      <c r="W1750" s="20">
        <v>24</v>
      </c>
      <c r="X1750" s="65" t="s">
        <v>2010</v>
      </c>
      <c r="Z1750" t="s">
        <v>307</v>
      </c>
      <c r="AB1750" t="s">
        <v>178</v>
      </c>
      <c r="AC1750" t="s">
        <v>2468</v>
      </c>
      <c r="AD1750" s="2" t="s">
        <v>2469</v>
      </c>
    </row>
    <row r="1751" spans="1:30" x14ac:dyDescent="0.25">
      <c r="A1751" s="2">
        <v>32</v>
      </c>
      <c r="B1751" t="s">
        <v>2483</v>
      </c>
      <c r="C1751">
        <v>12</v>
      </c>
      <c r="D1751">
        <v>130</v>
      </c>
      <c r="E1751">
        <v>663</v>
      </c>
      <c r="F1751" t="s">
        <v>273</v>
      </c>
      <c r="G1751" s="2" t="s">
        <v>156</v>
      </c>
      <c r="H1751">
        <v>2</v>
      </c>
      <c r="I1751">
        <v>16.22</v>
      </c>
      <c r="J1751" s="2" t="s">
        <v>170</v>
      </c>
      <c r="K1751" s="2" t="s">
        <v>74</v>
      </c>
      <c r="M1751" t="s">
        <v>3150</v>
      </c>
      <c r="P1751" s="19" t="s">
        <v>2449</v>
      </c>
      <c r="Q1751" s="19" t="s">
        <v>25</v>
      </c>
      <c r="S1751" s="19" t="s">
        <v>138</v>
      </c>
      <c r="W1751" s="20">
        <v>24</v>
      </c>
      <c r="X1751" s="65" t="s">
        <v>2010</v>
      </c>
      <c r="Z1751" t="s">
        <v>307</v>
      </c>
      <c r="AB1751" t="s">
        <v>178</v>
      </c>
      <c r="AC1751" t="s">
        <v>2468</v>
      </c>
      <c r="AD1751" s="2" t="s">
        <v>2469</v>
      </c>
    </row>
    <row r="1752" spans="1:30" x14ac:dyDescent="0.25">
      <c r="A1752" s="2">
        <v>33</v>
      </c>
      <c r="B1752" t="s">
        <v>2484</v>
      </c>
      <c r="C1752">
        <v>12</v>
      </c>
      <c r="D1752">
        <v>490</v>
      </c>
      <c r="E1752">
        <v>1514</v>
      </c>
      <c r="F1752" t="s">
        <v>273</v>
      </c>
      <c r="G1752" s="2" t="s">
        <v>156</v>
      </c>
      <c r="H1752">
        <v>1</v>
      </c>
      <c r="I1752">
        <v>69.78</v>
      </c>
      <c r="J1752" s="2" t="s">
        <v>170</v>
      </c>
      <c r="K1752" s="2" t="s">
        <v>74</v>
      </c>
      <c r="M1752" t="s">
        <v>3150</v>
      </c>
      <c r="P1752" s="19" t="s">
        <v>2449</v>
      </c>
      <c r="Q1752" s="19" t="s">
        <v>27</v>
      </c>
      <c r="S1752" s="19" t="s">
        <v>138</v>
      </c>
      <c r="W1752" s="20">
        <v>24</v>
      </c>
      <c r="X1752" s="65" t="s">
        <v>2010</v>
      </c>
      <c r="Z1752" t="s">
        <v>307</v>
      </c>
      <c r="AB1752" t="s">
        <v>178</v>
      </c>
      <c r="AC1752" t="s">
        <v>2468</v>
      </c>
      <c r="AD1752" s="2" t="s">
        <v>2469</v>
      </c>
    </row>
    <row r="1753" spans="1:30" x14ac:dyDescent="0.25">
      <c r="A1753" s="2">
        <v>34</v>
      </c>
      <c r="B1753" t="s">
        <v>2485</v>
      </c>
      <c r="C1753">
        <v>12</v>
      </c>
      <c r="D1753">
        <v>490</v>
      </c>
      <c r="E1753">
        <v>1514</v>
      </c>
      <c r="F1753" t="s">
        <v>273</v>
      </c>
      <c r="G1753" s="2" t="s">
        <v>156</v>
      </c>
      <c r="H1753">
        <v>1</v>
      </c>
      <c r="I1753">
        <v>69.78</v>
      </c>
      <c r="J1753" s="2" t="s">
        <v>170</v>
      </c>
      <c r="K1753" s="2" t="s">
        <v>74</v>
      </c>
      <c r="M1753" t="s">
        <v>3150</v>
      </c>
      <c r="P1753" s="19" t="s">
        <v>2449</v>
      </c>
      <c r="Q1753" s="19" t="s">
        <v>27</v>
      </c>
      <c r="S1753" s="19" t="s">
        <v>138</v>
      </c>
      <c r="W1753" s="20">
        <v>24</v>
      </c>
      <c r="X1753" s="65" t="s">
        <v>2010</v>
      </c>
      <c r="Z1753" t="s">
        <v>307</v>
      </c>
      <c r="AB1753" t="s">
        <v>178</v>
      </c>
      <c r="AC1753" t="s">
        <v>2468</v>
      </c>
      <c r="AD1753" s="2" t="s">
        <v>2469</v>
      </c>
    </row>
    <row r="1754" spans="1:30" x14ac:dyDescent="0.25">
      <c r="A1754" s="2">
        <v>35</v>
      </c>
      <c r="B1754" t="s">
        <v>2486</v>
      </c>
      <c r="C1754">
        <v>12</v>
      </c>
      <c r="D1754">
        <v>490</v>
      </c>
      <c r="E1754">
        <v>1514</v>
      </c>
      <c r="F1754" t="s">
        <v>273</v>
      </c>
      <c r="G1754" s="2" t="s">
        <v>156</v>
      </c>
      <c r="H1754">
        <v>1</v>
      </c>
      <c r="I1754">
        <v>69.78</v>
      </c>
      <c r="J1754" s="2" t="s">
        <v>170</v>
      </c>
      <c r="K1754" s="2" t="s">
        <v>74</v>
      </c>
      <c r="M1754" t="s">
        <v>3150</v>
      </c>
      <c r="P1754" s="19" t="s">
        <v>2449</v>
      </c>
      <c r="Q1754" s="19" t="s">
        <v>27</v>
      </c>
      <c r="S1754" s="19" t="s">
        <v>138</v>
      </c>
      <c r="W1754" s="20">
        <v>24</v>
      </c>
      <c r="X1754" s="65" t="s">
        <v>2010</v>
      </c>
      <c r="Z1754" t="s">
        <v>307</v>
      </c>
      <c r="AB1754" t="s">
        <v>178</v>
      </c>
      <c r="AC1754" t="s">
        <v>2468</v>
      </c>
      <c r="AD1754" s="2" t="s">
        <v>2469</v>
      </c>
    </row>
    <row r="1755" spans="1:30" x14ac:dyDescent="0.25">
      <c r="A1755" s="2">
        <v>36</v>
      </c>
      <c r="B1755" t="s">
        <v>2487</v>
      </c>
      <c r="C1755">
        <v>12</v>
      </c>
      <c r="D1755">
        <v>130</v>
      </c>
      <c r="E1755">
        <v>263</v>
      </c>
      <c r="F1755" t="s">
        <v>273</v>
      </c>
      <c r="G1755" s="2" t="s">
        <v>156</v>
      </c>
      <c r="H1755">
        <v>1</v>
      </c>
      <c r="I1755">
        <v>3.21</v>
      </c>
      <c r="J1755" s="2" t="s">
        <v>170</v>
      </c>
      <c r="K1755" s="2" t="s">
        <v>74</v>
      </c>
      <c r="M1755" t="s">
        <v>3150</v>
      </c>
      <c r="P1755" s="19" t="s">
        <v>2449</v>
      </c>
      <c r="Q1755" s="19" t="s">
        <v>25</v>
      </c>
      <c r="S1755" s="19" t="s">
        <v>138</v>
      </c>
      <c r="W1755" s="20">
        <v>24</v>
      </c>
      <c r="X1755" s="65" t="s">
        <v>2010</v>
      </c>
      <c r="Z1755" t="s">
        <v>307</v>
      </c>
      <c r="AB1755" t="s">
        <v>178</v>
      </c>
      <c r="AC1755" t="s">
        <v>2468</v>
      </c>
      <c r="AD1755" s="2" t="s">
        <v>2469</v>
      </c>
    </row>
    <row r="1756" spans="1:30" x14ac:dyDescent="0.25">
      <c r="A1756" s="2">
        <v>37</v>
      </c>
      <c r="B1756" t="s">
        <v>2446</v>
      </c>
      <c r="C1756">
        <v>12</v>
      </c>
      <c r="D1756">
        <v>135</v>
      </c>
      <c r="E1756">
        <v>488</v>
      </c>
      <c r="F1756" t="s">
        <v>273</v>
      </c>
      <c r="G1756" s="2" t="s">
        <v>156</v>
      </c>
      <c r="H1756">
        <v>3</v>
      </c>
      <c r="I1756">
        <v>18.57</v>
      </c>
      <c r="J1756" s="2" t="s">
        <v>170</v>
      </c>
      <c r="K1756" s="2" t="s">
        <v>74</v>
      </c>
      <c r="M1756" t="s">
        <v>3150</v>
      </c>
      <c r="P1756" s="19" t="s">
        <v>2449</v>
      </c>
      <c r="Q1756" s="19" t="s">
        <v>25</v>
      </c>
      <c r="S1756" s="19" t="s">
        <v>138</v>
      </c>
      <c r="W1756" s="20">
        <v>24</v>
      </c>
      <c r="X1756" s="65" t="s">
        <v>2010</v>
      </c>
      <c r="Z1756" t="s">
        <v>307</v>
      </c>
      <c r="AB1756" t="s">
        <v>178</v>
      </c>
      <c r="AC1756" t="s">
        <v>2489</v>
      </c>
      <c r="AD1756" s="2" t="s">
        <v>2490</v>
      </c>
    </row>
    <row r="1757" spans="1:30" x14ac:dyDescent="0.25">
      <c r="A1757" s="2">
        <v>38</v>
      </c>
      <c r="B1757" t="s">
        <v>2492</v>
      </c>
      <c r="C1757">
        <v>12</v>
      </c>
      <c r="D1757">
        <v>490</v>
      </c>
      <c r="E1757">
        <v>1514</v>
      </c>
      <c r="F1757" t="s">
        <v>273</v>
      </c>
      <c r="G1757" s="2" t="s">
        <v>156</v>
      </c>
      <c r="H1757">
        <v>1</v>
      </c>
      <c r="I1757">
        <v>69.78</v>
      </c>
      <c r="J1757" s="2" t="s">
        <v>170</v>
      </c>
      <c r="K1757" s="2" t="s">
        <v>74</v>
      </c>
      <c r="M1757" t="s">
        <v>3150</v>
      </c>
      <c r="P1757" s="19" t="s">
        <v>2449</v>
      </c>
      <c r="Q1757" s="19" t="s">
        <v>27</v>
      </c>
      <c r="S1757" s="19" t="s">
        <v>138</v>
      </c>
      <c r="W1757" s="20">
        <v>24</v>
      </c>
      <c r="X1757" s="65" t="s">
        <v>2010</v>
      </c>
      <c r="Z1757" t="s">
        <v>307</v>
      </c>
      <c r="AB1757" t="s">
        <v>178</v>
      </c>
      <c r="AC1757" t="s">
        <v>2489</v>
      </c>
      <c r="AD1757" s="2" t="s">
        <v>2490</v>
      </c>
    </row>
    <row r="1758" spans="1:30" x14ac:dyDescent="0.25">
      <c r="A1758" s="2">
        <v>39</v>
      </c>
      <c r="B1758" t="s">
        <v>2493</v>
      </c>
      <c r="C1758">
        <v>12</v>
      </c>
      <c r="D1758">
        <v>130</v>
      </c>
      <c r="E1758">
        <v>1458</v>
      </c>
      <c r="F1758" t="s">
        <v>273</v>
      </c>
      <c r="G1758" s="2" t="s">
        <v>156</v>
      </c>
      <c r="H1758">
        <v>1</v>
      </c>
      <c r="I1758">
        <v>17.84</v>
      </c>
      <c r="J1758" s="2" t="s">
        <v>170</v>
      </c>
      <c r="K1758" s="2" t="s">
        <v>74</v>
      </c>
      <c r="M1758" t="s">
        <v>3150</v>
      </c>
      <c r="P1758" s="19" t="s">
        <v>2449</v>
      </c>
      <c r="Q1758" s="19" t="s">
        <v>25</v>
      </c>
      <c r="S1758" s="19" t="s">
        <v>138</v>
      </c>
      <c r="W1758" s="20">
        <v>24</v>
      </c>
      <c r="X1758" s="65" t="s">
        <v>2010</v>
      </c>
      <c r="Z1758" t="s">
        <v>307</v>
      </c>
      <c r="AB1758" t="s">
        <v>178</v>
      </c>
      <c r="AC1758" t="s">
        <v>2489</v>
      </c>
      <c r="AD1758" s="2" t="s">
        <v>2490</v>
      </c>
    </row>
    <row r="1759" spans="1:30" x14ac:dyDescent="0.25">
      <c r="A1759" s="2">
        <v>40</v>
      </c>
      <c r="B1759" t="s">
        <v>2494</v>
      </c>
      <c r="C1759">
        <v>12</v>
      </c>
      <c r="D1759">
        <v>130</v>
      </c>
      <c r="E1759">
        <v>1458</v>
      </c>
      <c r="F1759" t="s">
        <v>273</v>
      </c>
      <c r="G1759" s="2" t="s">
        <v>156</v>
      </c>
      <c r="H1759">
        <v>1</v>
      </c>
      <c r="I1759">
        <v>17.84</v>
      </c>
      <c r="J1759" s="2" t="s">
        <v>170</v>
      </c>
      <c r="K1759" s="2" t="s">
        <v>74</v>
      </c>
      <c r="M1759" t="s">
        <v>3150</v>
      </c>
      <c r="P1759" s="19" t="s">
        <v>2449</v>
      </c>
      <c r="Q1759" s="19" t="s">
        <v>25</v>
      </c>
      <c r="S1759" s="19" t="s">
        <v>138</v>
      </c>
      <c r="W1759" s="20">
        <v>24</v>
      </c>
      <c r="X1759" s="65" t="s">
        <v>2010</v>
      </c>
      <c r="Z1759" t="s">
        <v>307</v>
      </c>
      <c r="AB1759" t="s">
        <v>178</v>
      </c>
      <c r="AC1759" t="s">
        <v>2489</v>
      </c>
      <c r="AD1759" s="2" t="s">
        <v>2490</v>
      </c>
    </row>
    <row r="1760" spans="1:30" x14ac:dyDescent="0.25">
      <c r="A1760" s="2">
        <v>41</v>
      </c>
      <c r="B1760" t="s">
        <v>2495</v>
      </c>
      <c r="C1760">
        <v>12</v>
      </c>
      <c r="D1760">
        <v>130</v>
      </c>
      <c r="E1760">
        <v>663</v>
      </c>
      <c r="F1760" t="s">
        <v>273</v>
      </c>
      <c r="G1760" s="2" t="s">
        <v>156</v>
      </c>
      <c r="H1760">
        <v>1</v>
      </c>
      <c r="I1760">
        <v>8.11</v>
      </c>
      <c r="J1760" s="2" t="s">
        <v>170</v>
      </c>
      <c r="K1760" s="2" t="s">
        <v>74</v>
      </c>
      <c r="M1760" t="s">
        <v>3150</v>
      </c>
      <c r="P1760" s="19" t="s">
        <v>2449</v>
      </c>
      <c r="Q1760" s="19" t="s">
        <v>25</v>
      </c>
      <c r="S1760" s="19" t="s">
        <v>138</v>
      </c>
      <c r="W1760" s="20">
        <v>24</v>
      </c>
      <c r="X1760" s="65" t="s">
        <v>2010</v>
      </c>
      <c r="Z1760" t="s">
        <v>307</v>
      </c>
      <c r="AB1760" t="s">
        <v>178</v>
      </c>
      <c r="AC1760" t="s">
        <v>2489</v>
      </c>
      <c r="AD1760" s="2" t="s">
        <v>2490</v>
      </c>
    </row>
    <row r="1761" spans="1:30" x14ac:dyDescent="0.25">
      <c r="A1761" s="2">
        <v>42</v>
      </c>
      <c r="B1761" t="s">
        <v>2496</v>
      </c>
      <c r="C1761">
        <v>12</v>
      </c>
      <c r="D1761">
        <v>130</v>
      </c>
      <c r="E1761">
        <v>263</v>
      </c>
      <c r="F1761" t="s">
        <v>273</v>
      </c>
      <c r="G1761" s="2" t="s">
        <v>156</v>
      </c>
      <c r="H1761">
        <v>1</v>
      </c>
      <c r="I1761">
        <v>3.21</v>
      </c>
      <c r="J1761" s="2" t="s">
        <v>170</v>
      </c>
      <c r="K1761" s="2" t="s">
        <v>74</v>
      </c>
      <c r="M1761" t="s">
        <v>3150</v>
      </c>
      <c r="P1761" s="19" t="s">
        <v>2449</v>
      </c>
      <c r="Q1761" s="19" t="s">
        <v>25</v>
      </c>
      <c r="S1761" s="19" t="s">
        <v>138</v>
      </c>
      <c r="W1761" s="20">
        <v>24</v>
      </c>
      <c r="X1761" s="65" t="s">
        <v>2010</v>
      </c>
      <c r="Z1761" t="s">
        <v>307</v>
      </c>
      <c r="AB1761" t="s">
        <v>178</v>
      </c>
      <c r="AC1761" t="s">
        <v>2489</v>
      </c>
      <c r="AD1761" s="2" t="s">
        <v>2490</v>
      </c>
    </row>
    <row r="1762" spans="1:30" x14ac:dyDescent="0.25">
      <c r="A1762" s="2">
        <v>43</v>
      </c>
      <c r="B1762" t="s">
        <v>2497</v>
      </c>
      <c r="C1762">
        <v>12</v>
      </c>
      <c r="D1762">
        <v>490</v>
      </c>
      <c r="E1762">
        <v>1388</v>
      </c>
      <c r="F1762" t="s">
        <v>273</v>
      </c>
      <c r="G1762" s="2" t="s">
        <v>156</v>
      </c>
      <c r="H1762">
        <v>1</v>
      </c>
      <c r="I1762">
        <v>63.63</v>
      </c>
      <c r="J1762" s="2" t="s">
        <v>170</v>
      </c>
      <c r="K1762" s="2" t="s">
        <v>74</v>
      </c>
      <c r="M1762" t="s">
        <v>3150</v>
      </c>
      <c r="P1762" s="19" t="s">
        <v>2449</v>
      </c>
      <c r="Q1762" s="19" t="s">
        <v>27</v>
      </c>
      <c r="S1762" s="19" t="s">
        <v>138</v>
      </c>
      <c r="W1762" s="20">
        <v>24</v>
      </c>
      <c r="X1762" s="65" t="s">
        <v>2010</v>
      </c>
      <c r="Z1762" t="s">
        <v>307</v>
      </c>
      <c r="AB1762" t="s">
        <v>178</v>
      </c>
      <c r="AC1762" t="s">
        <v>2489</v>
      </c>
      <c r="AD1762" s="2" t="s">
        <v>2490</v>
      </c>
    </row>
    <row r="1763" spans="1:30" x14ac:dyDescent="0.25">
      <c r="A1763" s="2">
        <v>44</v>
      </c>
      <c r="B1763" t="s">
        <v>2498</v>
      </c>
      <c r="C1763">
        <v>12</v>
      </c>
      <c r="D1763">
        <v>100</v>
      </c>
      <c r="E1763">
        <v>150</v>
      </c>
      <c r="F1763" t="s">
        <v>273</v>
      </c>
      <c r="G1763" s="2" t="s">
        <v>156</v>
      </c>
      <c r="H1763">
        <v>1</v>
      </c>
      <c r="I1763">
        <v>1.41</v>
      </c>
      <c r="J1763" s="2" t="s">
        <v>170</v>
      </c>
      <c r="K1763" s="2" t="s">
        <v>74</v>
      </c>
      <c r="M1763" t="s">
        <v>3150</v>
      </c>
      <c r="P1763" s="19" t="s">
        <v>2449</v>
      </c>
      <c r="Q1763" s="19" t="s">
        <v>25</v>
      </c>
      <c r="S1763" s="19" t="s">
        <v>138</v>
      </c>
      <c r="W1763" s="20">
        <v>24</v>
      </c>
      <c r="X1763" s="65" t="s">
        <v>2010</v>
      </c>
      <c r="Z1763" t="s">
        <v>307</v>
      </c>
      <c r="AB1763" t="s">
        <v>178</v>
      </c>
      <c r="AC1763" t="s">
        <v>2489</v>
      </c>
      <c r="AD1763" s="2" t="s">
        <v>2490</v>
      </c>
    </row>
    <row r="1764" spans="1:30" x14ac:dyDescent="0.25">
      <c r="A1764" s="2">
        <v>45</v>
      </c>
      <c r="B1764" t="s">
        <v>2499</v>
      </c>
      <c r="C1764">
        <v>12</v>
      </c>
      <c r="D1764">
        <v>490</v>
      </c>
      <c r="E1764">
        <v>1514</v>
      </c>
      <c r="F1764" t="s">
        <v>273</v>
      </c>
      <c r="G1764" s="2" t="s">
        <v>156</v>
      </c>
      <c r="H1764">
        <v>1</v>
      </c>
      <c r="I1764">
        <v>69.78</v>
      </c>
      <c r="J1764" s="2" t="s">
        <v>170</v>
      </c>
      <c r="K1764" s="2" t="s">
        <v>74</v>
      </c>
      <c r="M1764" t="s">
        <v>3150</v>
      </c>
      <c r="P1764" s="19" t="s">
        <v>2449</v>
      </c>
      <c r="Q1764" s="19" t="s">
        <v>27</v>
      </c>
      <c r="S1764" s="19" t="s">
        <v>138</v>
      </c>
      <c r="W1764" s="20">
        <v>24</v>
      </c>
      <c r="X1764" s="65" t="s">
        <v>2010</v>
      </c>
      <c r="Z1764" t="s">
        <v>307</v>
      </c>
      <c r="AB1764" t="s">
        <v>178</v>
      </c>
      <c r="AC1764" t="s">
        <v>2489</v>
      </c>
      <c r="AD1764" s="2" t="s">
        <v>2490</v>
      </c>
    </row>
    <row r="1765" spans="1:30" x14ac:dyDescent="0.25">
      <c r="A1765" s="2">
        <v>46</v>
      </c>
      <c r="B1765" t="s">
        <v>2500</v>
      </c>
      <c r="C1765">
        <v>12</v>
      </c>
      <c r="D1765">
        <v>490</v>
      </c>
      <c r="E1765">
        <v>1514</v>
      </c>
      <c r="F1765" t="s">
        <v>273</v>
      </c>
      <c r="G1765" s="2" t="s">
        <v>156</v>
      </c>
      <c r="H1765">
        <v>1</v>
      </c>
      <c r="I1765">
        <v>69.78</v>
      </c>
      <c r="J1765" s="2" t="s">
        <v>170</v>
      </c>
      <c r="K1765" s="2" t="s">
        <v>74</v>
      </c>
      <c r="M1765" t="s">
        <v>3150</v>
      </c>
      <c r="P1765" s="19" t="s">
        <v>2449</v>
      </c>
      <c r="Q1765" s="19" t="s">
        <v>27</v>
      </c>
      <c r="S1765" s="19" t="s">
        <v>138</v>
      </c>
      <c r="W1765" s="20">
        <v>24</v>
      </c>
      <c r="X1765" s="65" t="s">
        <v>2010</v>
      </c>
      <c r="Z1765" t="s">
        <v>307</v>
      </c>
      <c r="AB1765" t="s">
        <v>178</v>
      </c>
      <c r="AC1765" t="s">
        <v>2489</v>
      </c>
      <c r="AD1765" s="2" t="s">
        <v>2490</v>
      </c>
    </row>
    <row r="1766" spans="1:30" x14ac:dyDescent="0.25">
      <c r="A1766" s="2">
        <v>47</v>
      </c>
      <c r="B1766" t="s">
        <v>2501</v>
      </c>
      <c r="C1766">
        <v>12</v>
      </c>
      <c r="D1766">
        <v>490</v>
      </c>
      <c r="E1766">
        <v>1514</v>
      </c>
      <c r="F1766" t="s">
        <v>273</v>
      </c>
      <c r="G1766" s="2" t="s">
        <v>156</v>
      </c>
      <c r="H1766">
        <v>1</v>
      </c>
      <c r="I1766">
        <v>69.78</v>
      </c>
      <c r="J1766" s="2" t="s">
        <v>170</v>
      </c>
      <c r="K1766" s="2" t="s">
        <v>74</v>
      </c>
      <c r="M1766" t="s">
        <v>3150</v>
      </c>
      <c r="P1766" s="19" t="s">
        <v>2449</v>
      </c>
      <c r="Q1766" s="19" t="s">
        <v>27</v>
      </c>
      <c r="S1766" s="19" t="s">
        <v>138</v>
      </c>
      <c r="W1766" s="20">
        <v>24</v>
      </c>
      <c r="X1766" s="65" t="s">
        <v>2010</v>
      </c>
      <c r="Z1766" t="s">
        <v>307</v>
      </c>
      <c r="AB1766" t="s">
        <v>178</v>
      </c>
      <c r="AC1766" t="s">
        <v>2489</v>
      </c>
      <c r="AD1766" s="2" t="s">
        <v>2490</v>
      </c>
    </row>
    <row r="1767" spans="1:30" x14ac:dyDescent="0.25">
      <c r="A1767" s="2">
        <v>48</v>
      </c>
      <c r="B1767" t="s">
        <v>2502</v>
      </c>
      <c r="C1767">
        <v>12</v>
      </c>
      <c r="D1767">
        <v>1434</v>
      </c>
      <c r="E1767">
        <v>1460</v>
      </c>
      <c r="F1767" t="s">
        <v>273</v>
      </c>
      <c r="G1767" s="2" t="s">
        <v>156</v>
      </c>
      <c r="H1767">
        <v>1</v>
      </c>
      <c r="I1767">
        <v>194.55</v>
      </c>
      <c r="J1767" s="2" t="s">
        <v>170</v>
      </c>
      <c r="K1767" s="2" t="s">
        <v>74</v>
      </c>
      <c r="M1767" t="s">
        <v>3150</v>
      </c>
      <c r="P1767" s="19" t="s">
        <v>2449</v>
      </c>
      <c r="Q1767" s="19" t="s">
        <v>27</v>
      </c>
      <c r="S1767" s="19" t="s">
        <v>138</v>
      </c>
      <c r="W1767" s="20">
        <v>24</v>
      </c>
      <c r="X1767" s="65" t="s">
        <v>2010</v>
      </c>
      <c r="Z1767" t="s">
        <v>307</v>
      </c>
      <c r="AB1767" t="s">
        <v>178</v>
      </c>
      <c r="AC1767" t="s">
        <v>2489</v>
      </c>
      <c r="AD1767" s="2" t="s">
        <v>2490</v>
      </c>
    </row>
    <row r="1768" spans="1:30" x14ac:dyDescent="0.25">
      <c r="A1768" s="2">
        <v>49</v>
      </c>
      <c r="B1768" t="s">
        <v>2503</v>
      </c>
      <c r="C1768">
        <v>12</v>
      </c>
      <c r="D1768">
        <v>130</v>
      </c>
      <c r="E1768">
        <v>663</v>
      </c>
      <c r="F1768" t="s">
        <v>273</v>
      </c>
      <c r="G1768" s="2" t="s">
        <v>156</v>
      </c>
      <c r="H1768">
        <v>2</v>
      </c>
      <c r="I1768">
        <v>16.22</v>
      </c>
      <c r="J1768" s="2" t="s">
        <v>170</v>
      </c>
      <c r="K1768" s="2" t="s">
        <v>74</v>
      </c>
      <c r="M1768" t="s">
        <v>3150</v>
      </c>
      <c r="P1768" s="19" t="s">
        <v>2449</v>
      </c>
      <c r="Q1768" s="19" t="s">
        <v>25</v>
      </c>
      <c r="S1768" s="19" t="s">
        <v>138</v>
      </c>
      <c r="W1768" s="20">
        <v>24</v>
      </c>
      <c r="X1768" s="65" t="s">
        <v>2010</v>
      </c>
      <c r="Z1768" t="s">
        <v>307</v>
      </c>
      <c r="AB1768" t="s">
        <v>178</v>
      </c>
      <c r="AC1768" t="s">
        <v>2489</v>
      </c>
      <c r="AD1768" s="2" t="s">
        <v>2490</v>
      </c>
    </row>
    <row r="1769" spans="1:30" x14ac:dyDescent="0.25">
      <c r="A1769" s="2">
        <v>50</v>
      </c>
      <c r="B1769" t="s">
        <v>2504</v>
      </c>
      <c r="C1769">
        <v>12</v>
      </c>
      <c r="D1769">
        <v>1434</v>
      </c>
      <c r="E1769">
        <v>1460</v>
      </c>
      <c r="F1769" t="s">
        <v>273</v>
      </c>
      <c r="G1769" s="2" t="s">
        <v>156</v>
      </c>
      <c r="H1769">
        <v>1</v>
      </c>
      <c r="I1769">
        <v>194.55</v>
      </c>
      <c r="J1769" s="2" t="s">
        <v>170</v>
      </c>
      <c r="K1769" s="2" t="s">
        <v>74</v>
      </c>
      <c r="M1769" t="s">
        <v>3150</v>
      </c>
      <c r="P1769" s="19" t="s">
        <v>2449</v>
      </c>
      <c r="Q1769" s="19" t="s">
        <v>27</v>
      </c>
      <c r="S1769" s="19" t="s">
        <v>138</v>
      </c>
      <c r="W1769" s="20">
        <v>24</v>
      </c>
      <c r="X1769" s="65" t="s">
        <v>2010</v>
      </c>
      <c r="Z1769" t="s">
        <v>307</v>
      </c>
      <c r="AB1769" t="s">
        <v>178</v>
      </c>
      <c r="AC1769" t="s">
        <v>2489</v>
      </c>
      <c r="AD1769" s="2" t="s">
        <v>2490</v>
      </c>
    </row>
    <row r="1770" spans="1:30" x14ac:dyDescent="0.25">
      <c r="A1770" s="2">
        <v>51</v>
      </c>
      <c r="B1770" t="s">
        <v>2505</v>
      </c>
      <c r="C1770">
        <v>12</v>
      </c>
      <c r="D1770">
        <v>130</v>
      </c>
      <c r="E1770">
        <v>1458</v>
      </c>
      <c r="F1770" t="s">
        <v>273</v>
      </c>
      <c r="G1770" s="2" t="s">
        <v>156</v>
      </c>
      <c r="H1770">
        <v>1</v>
      </c>
      <c r="I1770">
        <v>17.84</v>
      </c>
      <c r="J1770" s="2" t="s">
        <v>170</v>
      </c>
      <c r="K1770" s="2" t="s">
        <v>74</v>
      </c>
      <c r="M1770" t="s">
        <v>3150</v>
      </c>
      <c r="P1770" s="19" t="s">
        <v>2449</v>
      </c>
      <c r="Q1770" s="19" t="s">
        <v>25</v>
      </c>
      <c r="S1770" s="19" t="s">
        <v>138</v>
      </c>
      <c r="W1770" s="20">
        <v>24</v>
      </c>
      <c r="X1770" s="65" t="s">
        <v>2010</v>
      </c>
      <c r="Z1770" t="s">
        <v>307</v>
      </c>
      <c r="AB1770" t="s">
        <v>178</v>
      </c>
      <c r="AC1770" t="s">
        <v>2489</v>
      </c>
      <c r="AD1770" s="2" t="s">
        <v>2490</v>
      </c>
    </row>
    <row r="1771" spans="1:30" x14ac:dyDescent="0.25">
      <c r="A1771" s="2">
        <v>52</v>
      </c>
      <c r="B1771" t="s">
        <v>2506</v>
      </c>
      <c r="C1771">
        <v>12</v>
      </c>
      <c r="D1771">
        <v>130</v>
      </c>
      <c r="E1771">
        <v>1458</v>
      </c>
      <c r="F1771" t="s">
        <v>273</v>
      </c>
      <c r="G1771" s="2" t="s">
        <v>156</v>
      </c>
      <c r="H1771">
        <v>1</v>
      </c>
      <c r="I1771">
        <v>17.84</v>
      </c>
      <c r="J1771" s="2" t="s">
        <v>170</v>
      </c>
      <c r="K1771" s="2" t="s">
        <v>74</v>
      </c>
      <c r="M1771" t="s">
        <v>3150</v>
      </c>
      <c r="P1771" s="19" t="s">
        <v>2449</v>
      </c>
      <c r="Q1771" s="19" t="s">
        <v>25</v>
      </c>
      <c r="S1771" s="19" t="s">
        <v>138</v>
      </c>
      <c r="W1771" s="20">
        <v>24</v>
      </c>
      <c r="X1771" s="65" t="s">
        <v>2010</v>
      </c>
      <c r="Z1771" t="s">
        <v>307</v>
      </c>
      <c r="AB1771" t="s">
        <v>178</v>
      </c>
      <c r="AC1771" t="s">
        <v>2489</v>
      </c>
      <c r="AD1771" s="2" t="s">
        <v>2490</v>
      </c>
    </row>
    <row r="1772" spans="1:30" x14ac:dyDescent="0.25">
      <c r="A1772" s="2">
        <v>53</v>
      </c>
      <c r="B1772" t="s">
        <v>2507</v>
      </c>
      <c r="C1772">
        <v>12</v>
      </c>
      <c r="D1772">
        <v>130</v>
      </c>
      <c r="E1772">
        <v>263</v>
      </c>
      <c r="F1772" t="s">
        <v>273</v>
      </c>
      <c r="G1772" s="2" t="s">
        <v>156</v>
      </c>
      <c r="H1772">
        <v>1</v>
      </c>
      <c r="I1772">
        <v>3.21</v>
      </c>
      <c r="J1772" s="2" t="s">
        <v>170</v>
      </c>
      <c r="K1772" s="2" t="s">
        <v>74</v>
      </c>
      <c r="M1772" t="s">
        <v>3150</v>
      </c>
      <c r="P1772" s="19" t="s">
        <v>2449</v>
      </c>
      <c r="Q1772" s="19" t="s">
        <v>25</v>
      </c>
      <c r="S1772" s="19" t="s">
        <v>138</v>
      </c>
      <c r="W1772" s="20">
        <v>24</v>
      </c>
      <c r="X1772" s="65" t="s">
        <v>2010</v>
      </c>
      <c r="Z1772" t="s">
        <v>307</v>
      </c>
      <c r="AB1772" t="s">
        <v>178</v>
      </c>
      <c r="AC1772" t="s">
        <v>2489</v>
      </c>
      <c r="AD1772" s="2" t="s">
        <v>2490</v>
      </c>
    </row>
    <row r="1773" spans="1:30" x14ac:dyDescent="0.25">
      <c r="A1773" s="2">
        <v>54</v>
      </c>
      <c r="B1773" t="s">
        <v>2508</v>
      </c>
      <c r="C1773">
        <v>12</v>
      </c>
      <c r="D1773">
        <v>130</v>
      </c>
      <c r="E1773">
        <v>1458</v>
      </c>
      <c r="F1773" t="s">
        <v>273</v>
      </c>
      <c r="G1773" s="2" t="s">
        <v>156</v>
      </c>
      <c r="H1773">
        <v>1</v>
      </c>
      <c r="I1773">
        <v>17.84</v>
      </c>
      <c r="J1773" s="2" t="s">
        <v>170</v>
      </c>
      <c r="K1773" s="2" t="s">
        <v>74</v>
      </c>
      <c r="M1773" t="s">
        <v>3150</v>
      </c>
      <c r="P1773" s="19" t="s">
        <v>2449</v>
      </c>
      <c r="Q1773" s="19" t="s">
        <v>25</v>
      </c>
      <c r="S1773" s="19" t="s">
        <v>138</v>
      </c>
      <c r="W1773" s="20">
        <v>24</v>
      </c>
      <c r="X1773" s="65" t="s">
        <v>2010</v>
      </c>
      <c r="Z1773" t="s">
        <v>307</v>
      </c>
      <c r="AB1773" t="s">
        <v>178</v>
      </c>
      <c r="AC1773" t="s">
        <v>2489</v>
      </c>
      <c r="AD1773" s="2" t="s">
        <v>2490</v>
      </c>
    </row>
    <row r="1774" spans="1:30" x14ac:dyDescent="0.25">
      <c r="A1774" s="2">
        <v>55</v>
      </c>
      <c r="B1774" t="s">
        <v>2509</v>
      </c>
      <c r="C1774">
        <v>12</v>
      </c>
      <c r="D1774">
        <v>130</v>
      </c>
      <c r="E1774">
        <v>1458</v>
      </c>
      <c r="F1774" t="s">
        <v>273</v>
      </c>
      <c r="G1774" s="2" t="s">
        <v>156</v>
      </c>
      <c r="H1774">
        <v>1</v>
      </c>
      <c r="I1774">
        <v>17.84</v>
      </c>
      <c r="J1774" s="2" t="s">
        <v>170</v>
      </c>
      <c r="K1774" s="2" t="s">
        <v>74</v>
      </c>
      <c r="M1774" t="s">
        <v>3150</v>
      </c>
      <c r="P1774" s="19" t="s">
        <v>2449</v>
      </c>
      <c r="Q1774" s="19" t="s">
        <v>25</v>
      </c>
      <c r="S1774" s="19" t="s">
        <v>138</v>
      </c>
      <c r="W1774" s="20">
        <v>24</v>
      </c>
      <c r="X1774" s="65" t="s">
        <v>2010</v>
      </c>
      <c r="Z1774" t="s">
        <v>307</v>
      </c>
      <c r="AB1774" t="s">
        <v>178</v>
      </c>
      <c r="AC1774" t="s">
        <v>2489</v>
      </c>
      <c r="AD1774" s="2" t="s">
        <v>2490</v>
      </c>
    </row>
    <row r="1775" spans="1:30" x14ac:dyDescent="0.25">
      <c r="A1775" s="2">
        <v>56</v>
      </c>
      <c r="B1775" t="s">
        <v>2510</v>
      </c>
      <c r="C1775">
        <v>12</v>
      </c>
      <c r="D1775">
        <v>130</v>
      </c>
      <c r="E1775">
        <v>263</v>
      </c>
      <c r="F1775" t="s">
        <v>273</v>
      </c>
      <c r="G1775" s="2" t="s">
        <v>156</v>
      </c>
      <c r="H1775">
        <v>1</v>
      </c>
      <c r="I1775">
        <v>3.21</v>
      </c>
      <c r="J1775" s="2" t="s">
        <v>170</v>
      </c>
      <c r="K1775" s="2" t="s">
        <v>74</v>
      </c>
      <c r="M1775" t="s">
        <v>3150</v>
      </c>
      <c r="P1775" s="19" t="s">
        <v>2449</v>
      </c>
      <c r="Q1775" s="19" t="s">
        <v>25</v>
      </c>
      <c r="S1775" s="19" t="s">
        <v>138</v>
      </c>
      <c r="W1775" s="20">
        <v>24</v>
      </c>
      <c r="X1775" s="65" t="s">
        <v>2010</v>
      </c>
      <c r="Z1775" t="s">
        <v>307</v>
      </c>
      <c r="AB1775" t="s">
        <v>178</v>
      </c>
      <c r="AC1775" t="s">
        <v>2489</v>
      </c>
      <c r="AD1775" s="2" t="s">
        <v>2490</v>
      </c>
    </row>
    <row r="1776" spans="1:30" x14ac:dyDescent="0.25">
      <c r="A1776" s="2">
        <v>57</v>
      </c>
      <c r="B1776" t="s">
        <v>2511</v>
      </c>
      <c r="C1776">
        <v>12</v>
      </c>
      <c r="D1776">
        <v>490</v>
      </c>
      <c r="E1776">
        <v>9980</v>
      </c>
      <c r="F1776" t="s">
        <v>273</v>
      </c>
      <c r="G1776" s="2" t="s">
        <v>156</v>
      </c>
      <c r="H1776">
        <v>1</v>
      </c>
      <c r="I1776">
        <v>460.46</v>
      </c>
      <c r="J1776" s="2" t="s">
        <v>170</v>
      </c>
      <c r="K1776" s="2" t="s">
        <v>74</v>
      </c>
      <c r="M1776" t="s">
        <v>3150</v>
      </c>
      <c r="P1776" s="19" t="s">
        <v>2449</v>
      </c>
      <c r="Q1776" s="19" t="s">
        <v>27</v>
      </c>
      <c r="R1776" s="19" t="s">
        <v>138</v>
      </c>
      <c r="W1776" s="20">
        <v>24</v>
      </c>
      <c r="X1776" s="65" t="s">
        <v>2010</v>
      </c>
      <c r="Z1776" t="s">
        <v>307</v>
      </c>
      <c r="AB1776" t="s">
        <v>178</v>
      </c>
      <c r="AC1776" t="s">
        <v>2512</v>
      </c>
      <c r="AD1776" s="2" t="s">
        <v>180</v>
      </c>
    </row>
    <row r="1777" spans="1:30" x14ac:dyDescent="0.25">
      <c r="A1777" s="2">
        <v>58</v>
      </c>
      <c r="B1777" t="s">
        <v>2514</v>
      </c>
      <c r="C1777">
        <v>12</v>
      </c>
      <c r="D1777">
        <v>490</v>
      </c>
      <c r="E1777">
        <v>9980</v>
      </c>
      <c r="F1777" t="s">
        <v>273</v>
      </c>
      <c r="G1777" s="2" t="s">
        <v>156</v>
      </c>
      <c r="H1777">
        <v>1</v>
      </c>
      <c r="I1777">
        <v>460.46</v>
      </c>
      <c r="J1777" s="2" t="s">
        <v>170</v>
      </c>
      <c r="K1777" s="2" t="s">
        <v>74</v>
      </c>
      <c r="M1777" t="s">
        <v>3150</v>
      </c>
      <c r="P1777" s="19" t="s">
        <v>2449</v>
      </c>
      <c r="Q1777" s="19" t="s">
        <v>27</v>
      </c>
      <c r="R1777" s="19" t="s">
        <v>138</v>
      </c>
      <c r="W1777" s="20">
        <v>24</v>
      </c>
      <c r="X1777" s="65" t="s">
        <v>2010</v>
      </c>
      <c r="Z1777" t="s">
        <v>307</v>
      </c>
      <c r="AB1777" t="s">
        <v>178</v>
      </c>
      <c r="AC1777" t="s">
        <v>2512</v>
      </c>
      <c r="AD1777" s="2" t="s">
        <v>180</v>
      </c>
    </row>
    <row r="1778" spans="1:30" x14ac:dyDescent="0.25">
      <c r="A1778" s="2">
        <v>59</v>
      </c>
      <c r="B1778" t="s">
        <v>2515</v>
      </c>
      <c r="C1778">
        <v>12</v>
      </c>
      <c r="D1778">
        <v>130</v>
      </c>
      <c r="E1778">
        <v>263</v>
      </c>
      <c r="F1778" t="s">
        <v>273</v>
      </c>
      <c r="G1778" s="2" t="s">
        <v>156</v>
      </c>
      <c r="H1778">
        <v>1</v>
      </c>
      <c r="I1778">
        <v>3.21</v>
      </c>
      <c r="J1778" s="2" t="s">
        <v>170</v>
      </c>
      <c r="K1778" s="2" t="s">
        <v>74</v>
      </c>
      <c r="M1778" t="s">
        <v>3150</v>
      </c>
      <c r="P1778" s="19" t="s">
        <v>2449</v>
      </c>
      <c r="Q1778" s="19" t="s">
        <v>25</v>
      </c>
      <c r="R1778" s="19" t="s">
        <v>138</v>
      </c>
      <c r="W1778" s="20">
        <v>24</v>
      </c>
      <c r="X1778" s="65" t="s">
        <v>2010</v>
      </c>
      <c r="Z1778" t="s">
        <v>307</v>
      </c>
      <c r="AB1778" t="s">
        <v>178</v>
      </c>
      <c r="AC1778" t="s">
        <v>2512</v>
      </c>
      <c r="AD1778" s="2" t="s">
        <v>180</v>
      </c>
    </row>
    <row r="1779" spans="1:30" x14ac:dyDescent="0.25">
      <c r="A1779" s="2">
        <v>60</v>
      </c>
      <c r="B1779" t="s">
        <v>2495</v>
      </c>
      <c r="C1779">
        <v>12</v>
      </c>
      <c r="D1779">
        <v>130</v>
      </c>
      <c r="E1779">
        <v>663</v>
      </c>
      <c r="F1779" t="s">
        <v>273</v>
      </c>
      <c r="G1779" s="2" t="s">
        <v>156</v>
      </c>
      <c r="H1779">
        <v>8</v>
      </c>
      <c r="I1779">
        <v>64.88</v>
      </c>
      <c r="J1779" s="2" t="s">
        <v>170</v>
      </c>
      <c r="K1779" s="2" t="s">
        <v>74</v>
      </c>
      <c r="M1779" t="s">
        <v>3150</v>
      </c>
      <c r="P1779" s="19" t="s">
        <v>2449</v>
      </c>
      <c r="Q1779" s="19" t="s">
        <v>25</v>
      </c>
      <c r="R1779" s="19" t="s">
        <v>138</v>
      </c>
      <c r="W1779" s="20">
        <v>24</v>
      </c>
      <c r="X1779" s="65" t="s">
        <v>2010</v>
      </c>
      <c r="Z1779" t="s">
        <v>307</v>
      </c>
      <c r="AB1779" t="s">
        <v>178</v>
      </c>
      <c r="AC1779" t="s">
        <v>2512</v>
      </c>
      <c r="AD1779" s="2" t="s">
        <v>180</v>
      </c>
    </row>
    <row r="1780" spans="1:30" x14ac:dyDescent="0.25">
      <c r="A1780" s="2">
        <v>61</v>
      </c>
      <c r="B1780" t="s">
        <v>2516</v>
      </c>
      <c r="C1780">
        <v>12</v>
      </c>
      <c r="D1780">
        <v>238</v>
      </c>
      <c r="E1780">
        <v>1280</v>
      </c>
      <c r="F1780" t="s">
        <v>273</v>
      </c>
      <c r="G1780" s="2" t="s">
        <v>156</v>
      </c>
      <c r="H1780">
        <v>1</v>
      </c>
      <c r="I1780">
        <v>28.7</v>
      </c>
      <c r="J1780" s="2" t="s">
        <v>170</v>
      </c>
      <c r="K1780" s="2" t="s">
        <v>74</v>
      </c>
      <c r="M1780" t="s">
        <v>3150</v>
      </c>
      <c r="P1780" s="19" t="s">
        <v>2449</v>
      </c>
      <c r="R1780" s="19" t="s">
        <v>138</v>
      </c>
      <c r="U1780" s="19" t="s">
        <v>138</v>
      </c>
      <c r="W1780" s="20">
        <v>24</v>
      </c>
      <c r="X1780" s="65" t="s">
        <v>2010</v>
      </c>
      <c r="Z1780" t="s">
        <v>307</v>
      </c>
      <c r="AB1780" t="s">
        <v>178</v>
      </c>
      <c r="AC1780" t="s">
        <v>2512</v>
      </c>
      <c r="AD1780" s="2" t="s">
        <v>180</v>
      </c>
    </row>
    <row r="1781" spans="1:30" x14ac:dyDescent="0.25">
      <c r="A1781" s="2">
        <v>62</v>
      </c>
      <c r="B1781" t="s">
        <v>2517</v>
      </c>
      <c r="C1781">
        <v>12</v>
      </c>
      <c r="D1781">
        <v>238</v>
      </c>
      <c r="E1781">
        <v>1280</v>
      </c>
      <c r="F1781" t="s">
        <v>273</v>
      </c>
      <c r="G1781" s="2" t="s">
        <v>156</v>
      </c>
      <c r="H1781">
        <v>1</v>
      </c>
      <c r="I1781">
        <v>28.7</v>
      </c>
      <c r="J1781" s="2" t="s">
        <v>170</v>
      </c>
      <c r="K1781" s="2" t="s">
        <v>74</v>
      </c>
      <c r="M1781" t="s">
        <v>3150</v>
      </c>
      <c r="P1781" s="19" t="s">
        <v>2449</v>
      </c>
      <c r="R1781" s="19" t="s">
        <v>138</v>
      </c>
      <c r="U1781" s="19" t="s">
        <v>138</v>
      </c>
      <c r="W1781" s="20">
        <v>24</v>
      </c>
      <c r="X1781" s="65" t="s">
        <v>2010</v>
      </c>
      <c r="Z1781" t="s">
        <v>307</v>
      </c>
      <c r="AB1781" t="s">
        <v>178</v>
      </c>
      <c r="AC1781" t="s">
        <v>2512</v>
      </c>
      <c r="AD1781" s="2" t="s">
        <v>180</v>
      </c>
    </row>
    <row r="1782" spans="1:30" x14ac:dyDescent="0.25">
      <c r="A1782" s="2">
        <v>63</v>
      </c>
      <c r="B1782" t="s">
        <v>2518</v>
      </c>
      <c r="C1782">
        <v>12</v>
      </c>
      <c r="D1782">
        <v>238</v>
      </c>
      <c r="E1782">
        <v>1280</v>
      </c>
      <c r="F1782" t="s">
        <v>273</v>
      </c>
      <c r="G1782" s="2" t="s">
        <v>156</v>
      </c>
      <c r="H1782">
        <v>1</v>
      </c>
      <c r="I1782">
        <v>28.7</v>
      </c>
      <c r="J1782" s="2" t="s">
        <v>170</v>
      </c>
      <c r="K1782" s="2" t="s">
        <v>74</v>
      </c>
      <c r="M1782" t="s">
        <v>3150</v>
      </c>
      <c r="P1782" s="19" t="s">
        <v>2449</v>
      </c>
      <c r="R1782" s="19" t="s">
        <v>138</v>
      </c>
      <c r="U1782" s="19" t="s">
        <v>138</v>
      </c>
      <c r="W1782" s="20">
        <v>24</v>
      </c>
      <c r="X1782" s="65" t="s">
        <v>2010</v>
      </c>
      <c r="Z1782" t="s">
        <v>307</v>
      </c>
      <c r="AB1782" t="s">
        <v>178</v>
      </c>
      <c r="AC1782" t="s">
        <v>2512</v>
      </c>
      <c r="AD1782" s="2" t="s">
        <v>180</v>
      </c>
    </row>
    <row r="1783" spans="1:30" x14ac:dyDescent="0.25">
      <c r="A1783" s="2">
        <v>64</v>
      </c>
      <c r="B1783" t="s">
        <v>2519</v>
      </c>
      <c r="C1783">
        <v>12</v>
      </c>
      <c r="D1783">
        <v>238</v>
      </c>
      <c r="E1783">
        <v>1280</v>
      </c>
      <c r="F1783" t="s">
        <v>273</v>
      </c>
      <c r="G1783" s="2" t="s">
        <v>156</v>
      </c>
      <c r="H1783">
        <v>1</v>
      </c>
      <c r="I1783">
        <v>28.7</v>
      </c>
      <c r="J1783" s="2" t="s">
        <v>170</v>
      </c>
      <c r="K1783" s="2" t="s">
        <v>74</v>
      </c>
      <c r="M1783" t="s">
        <v>3150</v>
      </c>
      <c r="P1783" s="19" t="s">
        <v>2449</v>
      </c>
      <c r="R1783" s="19" t="s">
        <v>138</v>
      </c>
      <c r="U1783" s="19" t="s">
        <v>138</v>
      </c>
      <c r="W1783" s="20">
        <v>24</v>
      </c>
      <c r="X1783" s="65" t="s">
        <v>2010</v>
      </c>
      <c r="Z1783" t="s">
        <v>307</v>
      </c>
      <c r="AB1783" t="s">
        <v>178</v>
      </c>
      <c r="AC1783" t="s">
        <v>2512</v>
      </c>
      <c r="AD1783" s="2" t="s">
        <v>180</v>
      </c>
    </row>
    <row r="1784" spans="1:30" x14ac:dyDescent="0.25">
      <c r="A1784" s="2">
        <v>65</v>
      </c>
      <c r="B1784" t="s">
        <v>2520</v>
      </c>
      <c r="C1784">
        <v>12</v>
      </c>
      <c r="D1784">
        <v>238</v>
      </c>
      <c r="E1784">
        <v>1280</v>
      </c>
      <c r="F1784" t="s">
        <v>273</v>
      </c>
      <c r="G1784" s="2" t="s">
        <v>156</v>
      </c>
      <c r="H1784">
        <v>1</v>
      </c>
      <c r="I1784">
        <v>28.7</v>
      </c>
      <c r="J1784" s="2" t="s">
        <v>170</v>
      </c>
      <c r="K1784" s="2" t="s">
        <v>74</v>
      </c>
      <c r="M1784" t="s">
        <v>3150</v>
      </c>
      <c r="P1784" s="19" t="s">
        <v>2449</v>
      </c>
      <c r="R1784" s="19" t="s">
        <v>138</v>
      </c>
      <c r="U1784" s="19" t="s">
        <v>138</v>
      </c>
      <c r="W1784" s="20">
        <v>24</v>
      </c>
      <c r="X1784" s="65" t="s">
        <v>2010</v>
      </c>
      <c r="Z1784" t="s">
        <v>307</v>
      </c>
      <c r="AB1784" t="s">
        <v>178</v>
      </c>
      <c r="AC1784" t="s">
        <v>2512</v>
      </c>
      <c r="AD1784" s="2" t="s">
        <v>180</v>
      </c>
    </row>
    <row r="1785" spans="1:30" x14ac:dyDescent="0.25">
      <c r="A1785" s="2">
        <v>66</v>
      </c>
      <c r="B1785" t="s">
        <v>2521</v>
      </c>
      <c r="C1785">
        <v>12</v>
      </c>
      <c r="D1785">
        <v>238</v>
      </c>
      <c r="E1785">
        <v>1280</v>
      </c>
      <c r="F1785" t="s">
        <v>273</v>
      </c>
      <c r="G1785" s="2" t="s">
        <v>156</v>
      </c>
      <c r="H1785">
        <v>1</v>
      </c>
      <c r="I1785">
        <v>28.7</v>
      </c>
      <c r="J1785" s="2" t="s">
        <v>170</v>
      </c>
      <c r="K1785" s="2" t="s">
        <v>74</v>
      </c>
      <c r="M1785" t="s">
        <v>3150</v>
      </c>
      <c r="P1785" s="19" t="s">
        <v>2449</v>
      </c>
      <c r="R1785" s="19" t="s">
        <v>138</v>
      </c>
      <c r="U1785" s="19" t="s">
        <v>138</v>
      </c>
      <c r="W1785" s="20">
        <v>24</v>
      </c>
      <c r="X1785" s="65" t="s">
        <v>2010</v>
      </c>
      <c r="Z1785" t="s">
        <v>307</v>
      </c>
      <c r="AB1785" t="s">
        <v>178</v>
      </c>
      <c r="AC1785" t="s">
        <v>2512</v>
      </c>
      <c r="AD1785" s="2" t="s">
        <v>180</v>
      </c>
    </row>
    <row r="1786" spans="1:30" x14ac:dyDescent="0.25">
      <c r="A1786" s="2">
        <v>67</v>
      </c>
      <c r="B1786" t="s">
        <v>2522</v>
      </c>
      <c r="C1786">
        <v>12</v>
      </c>
      <c r="D1786">
        <v>238</v>
      </c>
      <c r="E1786">
        <v>1280</v>
      </c>
      <c r="F1786" t="s">
        <v>273</v>
      </c>
      <c r="G1786" s="2" t="s">
        <v>156</v>
      </c>
      <c r="H1786">
        <v>1</v>
      </c>
      <c r="I1786">
        <v>28.7</v>
      </c>
      <c r="J1786" s="2" t="s">
        <v>170</v>
      </c>
      <c r="K1786" s="2" t="s">
        <v>74</v>
      </c>
      <c r="M1786" t="s">
        <v>3150</v>
      </c>
      <c r="P1786" s="19" t="s">
        <v>2449</v>
      </c>
      <c r="R1786" s="19" t="s">
        <v>138</v>
      </c>
      <c r="U1786" s="19" t="s">
        <v>138</v>
      </c>
      <c r="W1786" s="20">
        <v>24</v>
      </c>
      <c r="X1786" s="65" t="s">
        <v>2010</v>
      </c>
      <c r="Z1786" t="s">
        <v>307</v>
      </c>
      <c r="AB1786" t="s">
        <v>178</v>
      </c>
      <c r="AC1786" t="s">
        <v>2512</v>
      </c>
      <c r="AD1786" s="2" t="s">
        <v>180</v>
      </c>
    </row>
    <row r="1787" spans="1:30" x14ac:dyDescent="0.25">
      <c r="A1787" s="2">
        <v>68</v>
      </c>
      <c r="B1787" t="s">
        <v>2498</v>
      </c>
      <c r="C1787">
        <v>12</v>
      </c>
      <c r="D1787">
        <v>100</v>
      </c>
      <c r="E1787">
        <v>150</v>
      </c>
      <c r="F1787" t="s">
        <v>273</v>
      </c>
      <c r="G1787" s="2" t="s">
        <v>156</v>
      </c>
      <c r="H1787">
        <v>1</v>
      </c>
      <c r="I1787">
        <v>1.41</v>
      </c>
      <c r="J1787" s="2" t="s">
        <v>170</v>
      </c>
      <c r="K1787" s="2" t="s">
        <v>74</v>
      </c>
      <c r="M1787" t="s">
        <v>3150</v>
      </c>
      <c r="P1787" s="19" t="s">
        <v>2449</v>
      </c>
      <c r="Q1787" s="19" t="s">
        <v>25</v>
      </c>
      <c r="R1787" s="19" t="s">
        <v>138</v>
      </c>
      <c r="W1787" s="20">
        <v>24</v>
      </c>
      <c r="X1787" s="65" t="s">
        <v>2010</v>
      </c>
      <c r="Z1787" t="s">
        <v>307</v>
      </c>
      <c r="AB1787" t="s">
        <v>178</v>
      </c>
      <c r="AC1787" t="s">
        <v>2512</v>
      </c>
      <c r="AD1787" s="2" t="s">
        <v>180</v>
      </c>
    </row>
    <row r="1788" spans="1:30" x14ac:dyDescent="0.25">
      <c r="A1788" s="2">
        <v>69</v>
      </c>
      <c r="B1788" t="s">
        <v>2523</v>
      </c>
      <c r="C1788">
        <v>12</v>
      </c>
      <c r="D1788">
        <v>100</v>
      </c>
      <c r="E1788">
        <v>150</v>
      </c>
      <c r="F1788" t="s">
        <v>273</v>
      </c>
      <c r="G1788" s="2" t="s">
        <v>156</v>
      </c>
      <c r="H1788">
        <v>2</v>
      </c>
      <c r="I1788">
        <v>2.83</v>
      </c>
      <c r="J1788" s="2" t="s">
        <v>170</v>
      </c>
      <c r="K1788" s="2" t="s">
        <v>74</v>
      </c>
      <c r="M1788" t="s">
        <v>3150</v>
      </c>
      <c r="P1788" s="19" t="s">
        <v>2449</v>
      </c>
      <c r="Q1788" s="19" t="s">
        <v>25</v>
      </c>
      <c r="R1788" s="19" t="s">
        <v>138</v>
      </c>
      <c r="W1788" s="20">
        <v>24</v>
      </c>
      <c r="X1788" s="65" t="s">
        <v>2010</v>
      </c>
      <c r="Z1788" t="s">
        <v>307</v>
      </c>
      <c r="AB1788" t="s">
        <v>178</v>
      </c>
      <c r="AC1788" t="s">
        <v>2512</v>
      </c>
      <c r="AD1788" s="2" t="s">
        <v>180</v>
      </c>
    </row>
    <row r="1789" spans="1:30" x14ac:dyDescent="0.25">
      <c r="A1789" s="2">
        <v>70</v>
      </c>
      <c r="B1789" t="s">
        <v>2524</v>
      </c>
      <c r="C1789">
        <v>12</v>
      </c>
      <c r="D1789">
        <v>490</v>
      </c>
      <c r="E1789">
        <v>9980</v>
      </c>
      <c r="F1789" t="s">
        <v>273</v>
      </c>
      <c r="G1789" s="2" t="s">
        <v>156</v>
      </c>
      <c r="H1789">
        <v>1</v>
      </c>
      <c r="I1789">
        <v>460.46</v>
      </c>
      <c r="J1789" s="2" t="s">
        <v>170</v>
      </c>
      <c r="K1789" s="2" t="s">
        <v>74</v>
      </c>
      <c r="M1789" t="s">
        <v>3150</v>
      </c>
      <c r="P1789" s="19" t="s">
        <v>2449</v>
      </c>
      <c r="Q1789" s="19" t="s">
        <v>27</v>
      </c>
      <c r="R1789" s="19" t="s">
        <v>138</v>
      </c>
      <c r="W1789" s="20">
        <v>24</v>
      </c>
      <c r="X1789" s="65" t="s">
        <v>2010</v>
      </c>
      <c r="Z1789" t="s">
        <v>307</v>
      </c>
      <c r="AB1789" t="s">
        <v>178</v>
      </c>
      <c r="AC1789" t="s">
        <v>2512</v>
      </c>
      <c r="AD1789" s="2" t="s">
        <v>180</v>
      </c>
    </row>
    <row r="1790" spans="1:30" x14ac:dyDescent="0.25">
      <c r="A1790" s="2">
        <v>71</v>
      </c>
      <c r="B1790" t="s">
        <v>2525</v>
      </c>
      <c r="C1790">
        <v>12</v>
      </c>
      <c r="D1790">
        <v>490</v>
      </c>
      <c r="E1790">
        <v>9980</v>
      </c>
      <c r="F1790" t="s">
        <v>273</v>
      </c>
      <c r="G1790" s="2" t="s">
        <v>156</v>
      </c>
      <c r="H1790">
        <v>1</v>
      </c>
      <c r="I1790">
        <v>460.46</v>
      </c>
      <c r="J1790" s="2" t="s">
        <v>170</v>
      </c>
      <c r="K1790" s="2" t="s">
        <v>74</v>
      </c>
      <c r="M1790" t="s">
        <v>3150</v>
      </c>
      <c r="P1790" s="19" t="s">
        <v>2449</v>
      </c>
      <c r="Q1790" s="19" t="s">
        <v>27</v>
      </c>
      <c r="R1790" s="19" t="s">
        <v>138</v>
      </c>
      <c r="W1790" s="20">
        <v>24</v>
      </c>
      <c r="X1790" s="65" t="s">
        <v>2010</v>
      </c>
      <c r="Z1790" t="s">
        <v>307</v>
      </c>
      <c r="AB1790" t="s">
        <v>178</v>
      </c>
      <c r="AC1790" t="s">
        <v>2512</v>
      </c>
      <c r="AD1790" s="2" t="s">
        <v>180</v>
      </c>
    </row>
    <row r="1791" spans="1:30" x14ac:dyDescent="0.25">
      <c r="A1791" s="2">
        <v>72</v>
      </c>
      <c r="B1791" t="s">
        <v>2526</v>
      </c>
      <c r="C1791">
        <v>12</v>
      </c>
      <c r="D1791">
        <v>130</v>
      </c>
      <c r="E1791">
        <v>663</v>
      </c>
      <c r="F1791" t="s">
        <v>273</v>
      </c>
      <c r="G1791" s="2" t="s">
        <v>156</v>
      </c>
      <c r="H1791">
        <v>9</v>
      </c>
      <c r="I1791">
        <v>72.98</v>
      </c>
      <c r="J1791" s="2" t="s">
        <v>170</v>
      </c>
      <c r="K1791" s="2" t="s">
        <v>74</v>
      </c>
      <c r="M1791" t="s">
        <v>3150</v>
      </c>
      <c r="P1791" s="19" t="s">
        <v>2449</v>
      </c>
      <c r="Q1791" s="19" t="s">
        <v>25</v>
      </c>
      <c r="R1791" s="19" t="s">
        <v>138</v>
      </c>
      <c r="W1791" s="20">
        <v>24</v>
      </c>
      <c r="X1791" s="65" t="s">
        <v>2010</v>
      </c>
      <c r="Z1791" t="s">
        <v>307</v>
      </c>
      <c r="AB1791" t="s">
        <v>178</v>
      </c>
      <c r="AC1791" t="s">
        <v>2512</v>
      </c>
      <c r="AD1791" s="2" t="s">
        <v>180</v>
      </c>
    </row>
    <row r="1792" spans="1:30" x14ac:dyDescent="0.25">
      <c r="A1792" s="2">
        <v>73</v>
      </c>
      <c r="B1792" t="s">
        <v>2527</v>
      </c>
      <c r="C1792">
        <v>12</v>
      </c>
      <c r="D1792">
        <v>490</v>
      </c>
      <c r="E1792">
        <v>9980</v>
      </c>
      <c r="F1792" t="s">
        <v>273</v>
      </c>
      <c r="G1792" s="2" t="s">
        <v>156</v>
      </c>
      <c r="H1792">
        <v>1</v>
      </c>
      <c r="I1792">
        <v>460.46</v>
      </c>
      <c r="J1792" s="2" t="s">
        <v>170</v>
      </c>
      <c r="K1792" s="2" t="s">
        <v>74</v>
      </c>
      <c r="M1792" t="s">
        <v>3150</v>
      </c>
      <c r="P1792" s="19" t="s">
        <v>2449</v>
      </c>
      <c r="Q1792" s="19" t="s">
        <v>27</v>
      </c>
      <c r="R1792" s="19" t="s">
        <v>138</v>
      </c>
      <c r="W1792" s="20">
        <v>24</v>
      </c>
      <c r="X1792" s="65" t="s">
        <v>2010</v>
      </c>
      <c r="Z1792" t="s">
        <v>307</v>
      </c>
      <c r="AB1792" t="s">
        <v>178</v>
      </c>
      <c r="AC1792" t="s">
        <v>2528</v>
      </c>
      <c r="AD1792" s="2" t="s">
        <v>180</v>
      </c>
    </row>
    <row r="1793" spans="1:30" x14ac:dyDescent="0.25">
      <c r="A1793" s="2">
        <v>74</v>
      </c>
      <c r="B1793" t="s">
        <v>2455</v>
      </c>
      <c r="C1793">
        <v>12</v>
      </c>
      <c r="D1793">
        <v>95</v>
      </c>
      <c r="E1793">
        <v>263</v>
      </c>
      <c r="F1793" t="s">
        <v>273</v>
      </c>
      <c r="G1793" s="2" t="s">
        <v>156</v>
      </c>
      <c r="H1793">
        <v>3</v>
      </c>
      <c r="I1793">
        <v>7.01</v>
      </c>
      <c r="J1793" s="2" t="s">
        <v>170</v>
      </c>
      <c r="K1793" s="2" t="s">
        <v>74</v>
      </c>
      <c r="M1793" t="s">
        <v>3150</v>
      </c>
      <c r="P1793" s="19" t="s">
        <v>2449</v>
      </c>
      <c r="Q1793" s="19" t="s">
        <v>25</v>
      </c>
      <c r="R1793" s="19" t="s">
        <v>138</v>
      </c>
      <c r="W1793" s="20">
        <v>24</v>
      </c>
      <c r="X1793" s="65" t="s">
        <v>2010</v>
      </c>
      <c r="Z1793" t="s">
        <v>307</v>
      </c>
      <c r="AB1793" t="s">
        <v>178</v>
      </c>
      <c r="AC1793" t="s">
        <v>2528</v>
      </c>
      <c r="AD1793" s="2" t="s">
        <v>180</v>
      </c>
    </row>
    <row r="1794" spans="1:30" x14ac:dyDescent="0.25">
      <c r="A1794" s="2">
        <v>75</v>
      </c>
      <c r="B1794" t="s">
        <v>2530</v>
      </c>
      <c r="C1794">
        <v>12</v>
      </c>
      <c r="D1794">
        <v>238</v>
      </c>
      <c r="E1794">
        <v>1280</v>
      </c>
      <c r="F1794" t="s">
        <v>273</v>
      </c>
      <c r="G1794" s="2" t="s">
        <v>156</v>
      </c>
      <c r="H1794">
        <v>1</v>
      </c>
      <c r="I1794">
        <v>28.7</v>
      </c>
      <c r="J1794" s="2" t="s">
        <v>170</v>
      </c>
      <c r="K1794" s="2" t="s">
        <v>74</v>
      </c>
      <c r="M1794" t="s">
        <v>3150</v>
      </c>
      <c r="P1794" s="19" t="s">
        <v>2449</v>
      </c>
      <c r="R1794" s="19" t="s">
        <v>138</v>
      </c>
      <c r="U1794" s="19" t="s">
        <v>138</v>
      </c>
      <c r="W1794" s="20">
        <v>24</v>
      </c>
      <c r="X1794" s="65" t="s">
        <v>2010</v>
      </c>
      <c r="Z1794" t="s">
        <v>307</v>
      </c>
      <c r="AB1794" t="s">
        <v>178</v>
      </c>
      <c r="AC1794" t="s">
        <v>2528</v>
      </c>
      <c r="AD1794" s="2" t="s">
        <v>180</v>
      </c>
    </row>
    <row r="1795" spans="1:30" x14ac:dyDescent="0.25">
      <c r="A1795" s="2">
        <v>76</v>
      </c>
      <c r="B1795" t="s">
        <v>2531</v>
      </c>
      <c r="C1795">
        <v>12</v>
      </c>
      <c r="D1795">
        <v>238</v>
      </c>
      <c r="E1795">
        <v>1280</v>
      </c>
      <c r="F1795" t="s">
        <v>273</v>
      </c>
      <c r="G1795" s="2" t="s">
        <v>156</v>
      </c>
      <c r="H1795">
        <v>1</v>
      </c>
      <c r="I1795">
        <v>28.7</v>
      </c>
      <c r="J1795" s="2" t="s">
        <v>170</v>
      </c>
      <c r="K1795" s="2" t="s">
        <v>74</v>
      </c>
      <c r="M1795" t="s">
        <v>3150</v>
      </c>
      <c r="P1795" s="19" t="s">
        <v>2449</v>
      </c>
      <c r="R1795" s="19" t="s">
        <v>138</v>
      </c>
      <c r="U1795" s="19" t="s">
        <v>138</v>
      </c>
      <c r="W1795" s="20">
        <v>24</v>
      </c>
      <c r="X1795" s="65" t="s">
        <v>2010</v>
      </c>
      <c r="Z1795" t="s">
        <v>307</v>
      </c>
      <c r="AB1795" t="s">
        <v>178</v>
      </c>
      <c r="AC1795" t="s">
        <v>2528</v>
      </c>
      <c r="AD1795" s="2" t="s">
        <v>180</v>
      </c>
    </row>
    <row r="1796" spans="1:30" x14ac:dyDescent="0.25">
      <c r="A1796" s="2">
        <v>77</v>
      </c>
      <c r="B1796" t="s">
        <v>2532</v>
      </c>
      <c r="C1796">
        <v>12</v>
      </c>
      <c r="D1796">
        <v>238</v>
      </c>
      <c r="E1796">
        <v>1280</v>
      </c>
      <c r="F1796" t="s">
        <v>273</v>
      </c>
      <c r="G1796" s="2" t="s">
        <v>156</v>
      </c>
      <c r="H1796">
        <v>1</v>
      </c>
      <c r="I1796">
        <v>28.7</v>
      </c>
      <c r="J1796" s="2" t="s">
        <v>170</v>
      </c>
      <c r="K1796" s="2" t="s">
        <v>74</v>
      </c>
      <c r="M1796" t="s">
        <v>3150</v>
      </c>
      <c r="P1796" s="19" t="s">
        <v>2449</v>
      </c>
      <c r="R1796" s="19" t="s">
        <v>138</v>
      </c>
      <c r="U1796" s="19" t="s">
        <v>138</v>
      </c>
      <c r="W1796" s="20">
        <v>24</v>
      </c>
      <c r="X1796" s="65" t="s">
        <v>2010</v>
      </c>
      <c r="Z1796" t="s">
        <v>307</v>
      </c>
      <c r="AB1796" t="s">
        <v>178</v>
      </c>
      <c r="AC1796" t="s">
        <v>2528</v>
      </c>
      <c r="AD1796" s="2" t="s">
        <v>180</v>
      </c>
    </row>
    <row r="1797" spans="1:30" x14ac:dyDescent="0.25">
      <c r="A1797" s="2">
        <v>78</v>
      </c>
      <c r="B1797" t="s">
        <v>2533</v>
      </c>
      <c r="C1797">
        <v>12</v>
      </c>
      <c r="D1797">
        <v>238</v>
      </c>
      <c r="E1797">
        <v>1280</v>
      </c>
      <c r="F1797" t="s">
        <v>273</v>
      </c>
      <c r="G1797" s="2" t="s">
        <v>156</v>
      </c>
      <c r="H1797">
        <v>1</v>
      </c>
      <c r="I1797">
        <v>28.7</v>
      </c>
      <c r="J1797" s="2" t="s">
        <v>170</v>
      </c>
      <c r="K1797" s="2" t="s">
        <v>74</v>
      </c>
      <c r="M1797" t="s">
        <v>3150</v>
      </c>
      <c r="P1797" s="19" t="s">
        <v>2449</v>
      </c>
      <c r="R1797" s="19" t="s">
        <v>138</v>
      </c>
      <c r="U1797" s="19" t="s">
        <v>138</v>
      </c>
      <c r="W1797" s="20">
        <v>24</v>
      </c>
      <c r="X1797" s="65" t="s">
        <v>2010</v>
      </c>
      <c r="Z1797" t="s">
        <v>307</v>
      </c>
      <c r="AB1797" t="s">
        <v>178</v>
      </c>
      <c r="AC1797" t="s">
        <v>2528</v>
      </c>
      <c r="AD1797" s="2" t="s">
        <v>180</v>
      </c>
    </row>
    <row r="1798" spans="1:30" x14ac:dyDescent="0.25">
      <c r="A1798" s="2">
        <v>79</v>
      </c>
      <c r="B1798" t="s">
        <v>2534</v>
      </c>
      <c r="C1798">
        <v>12</v>
      </c>
      <c r="D1798">
        <v>490</v>
      </c>
      <c r="E1798">
        <v>9980</v>
      </c>
      <c r="F1798" t="s">
        <v>273</v>
      </c>
      <c r="G1798" s="2" t="s">
        <v>156</v>
      </c>
      <c r="H1798">
        <v>1</v>
      </c>
      <c r="I1798">
        <v>460.46</v>
      </c>
      <c r="J1798" s="2" t="s">
        <v>170</v>
      </c>
      <c r="K1798" s="2" t="s">
        <v>74</v>
      </c>
      <c r="M1798" t="s">
        <v>3150</v>
      </c>
      <c r="P1798" s="19" t="s">
        <v>2449</v>
      </c>
      <c r="Q1798" s="19" t="s">
        <v>27</v>
      </c>
      <c r="R1798" s="19" t="s">
        <v>138</v>
      </c>
      <c r="W1798" s="20">
        <v>24</v>
      </c>
      <c r="X1798" s="65" t="s">
        <v>2010</v>
      </c>
      <c r="Z1798" t="s">
        <v>307</v>
      </c>
      <c r="AB1798" t="s">
        <v>178</v>
      </c>
      <c r="AC1798" t="s">
        <v>2528</v>
      </c>
      <c r="AD1798" s="2" t="s">
        <v>180</v>
      </c>
    </row>
    <row r="1799" spans="1:30" x14ac:dyDescent="0.25">
      <c r="A1799" s="2">
        <v>80</v>
      </c>
      <c r="B1799" t="s">
        <v>2535</v>
      </c>
      <c r="C1799">
        <v>12</v>
      </c>
      <c r="D1799">
        <v>130</v>
      </c>
      <c r="E1799">
        <v>663</v>
      </c>
      <c r="F1799" t="s">
        <v>273</v>
      </c>
      <c r="G1799" s="2" t="s">
        <v>156</v>
      </c>
      <c r="H1799">
        <v>9</v>
      </c>
      <c r="I1799">
        <v>72.98</v>
      </c>
      <c r="J1799" s="2" t="s">
        <v>170</v>
      </c>
      <c r="K1799" s="2" t="s">
        <v>74</v>
      </c>
      <c r="M1799" t="s">
        <v>3150</v>
      </c>
      <c r="P1799" s="19" t="s">
        <v>2449</v>
      </c>
      <c r="Q1799" s="19" t="s">
        <v>25</v>
      </c>
      <c r="R1799" s="19" t="s">
        <v>138</v>
      </c>
      <c r="W1799" s="20">
        <v>24</v>
      </c>
      <c r="X1799" s="65" t="s">
        <v>2010</v>
      </c>
      <c r="Z1799" t="s">
        <v>307</v>
      </c>
      <c r="AB1799" t="s">
        <v>178</v>
      </c>
      <c r="AC1799" t="s">
        <v>2528</v>
      </c>
      <c r="AD1799" s="2" t="s">
        <v>180</v>
      </c>
    </row>
    <row r="1800" spans="1:30" x14ac:dyDescent="0.25">
      <c r="A1800" s="2">
        <v>81</v>
      </c>
      <c r="B1800" t="s">
        <v>2536</v>
      </c>
      <c r="C1800">
        <v>12</v>
      </c>
      <c r="D1800">
        <v>238</v>
      </c>
      <c r="E1800">
        <v>1280</v>
      </c>
      <c r="F1800" t="s">
        <v>273</v>
      </c>
      <c r="G1800" s="2" t="s">
        <v>156</v>
      </c>
      <c r="H1800">
        <v>1</v>
      </c>
      <c r="I1800">
        <v>28.7</v>
      </c>
      <c r="J1800" s="2" t="s">
        <v>170</v>
      </c>
      <c r="K1800" s="2" t="s">
        <v>74</v>
      </c>
      <c r="M1800" t="s">
        <v>3150</v>
      </c>
      <c r="P1800" s="19" t="s">
        <v>2449</v>
      </c>
      <c r="R1800" s="19" t="s">
        <v>138</v>
      </c>
      <c r="U1800" s="19" t="s">
        <v>138</v>
      </c>
      <c r="W1800" s="20">
        <v>24</v>
      </c>
      <c r="X1800" s="65" t="s">
        <v>2010</v>
      </c>
      <c r="Z1800" t="s">
        <v>307</v>
      </c>
      <c r="AB1800" t="s">
        <v>178</v>
      </c>
      <c r="AC1800" t="s">
        <v>2528</v>
      </c>
      <c r="AD1800" s="2" t="s">
        <v>180</v>
      </c>
    </row>
    <row r="1801" spans="1:30" x14ac:dyDescent="0.25">
      <c r="A1801" s="2">
        <v>82</v>
      </c>
      <c r="B1801" t="s">
        <v>2537</v>
      </c>
      <c r="C1801">
        <v>12</v>
      </c>
      <c r="D1801">
        <v>238</v>
      </c>
      <c r="E1801">
        <v>1280</v>
      </c>
      <c r="F1801" t="s">
        <v>273</v>
      </c>
      <c r="G1801" s="2" t="s">
        <v>156</v>
      </c>
      <c r="H1801">
        <v>1</v>
      </c>
      <c r="I1801">
        <v>28.7</v>
      </c>
      <c r="J1801" s="2" t="s">
        <v>170</v>
      </c>
      <c r="K1801" s="2" t="s">
        <v>74</v>
      </c>
      <c r="M1801" t="s">
        <v>3150</v>
      </c>
      <c r="P1801" s="19" t="s">
        <v>2449</v>
      </c>
      <c r="R1801" s="19" t="s">
        <v>138</v>
      </c>
      <c r="U1801" s="19" t="s">
        <v>138</v>
      </c>
      <c r="W1801" s="20">
        <v>24</v>
      </c>
      <c r="X1801" s="65" t="s">
        <v>2010</v>
      </c>
      <c r="Z1801" t="s">
        <v>307</v>
      </c>
      <c r="AB1801" t="s">
        <v>178</v>
      </c>
      <c r="AC1801" t="s">
        <v>2528</v>
      </c>
      <c r="AD1801" s="2" t="s">
        <v>180</v>
      </c>
    </row>
    <row r="1802" spans="1:30" x14ac:dyDescent="0.25">
      <c r="A1802" s="2">
        <v>83</v>
      </c>
      <c r="B1802" t="s">
        <v>2538</v>
      </c>
      <c r="C1802">
        <v>12</v>
      </c>
      <c r="D1802">
        <v>238</v>
      </c>
      <c r="E1802">
        <v>1280</v>
      </c>
      <c r="F1802" t="s">
        <v>273</v>
      </c>
      <c r="G1802" s="2" t="s">
        <v>156</v>
      </c>
      <c r="H1802">
        <v>1</v>
      </c>
      <c r="I1802">
        <v>28.7</v>
      </c>
      <c r="J1802" s="2" t="s">
        <v>170</v>
      </c>
      <c r="K1802" s="2" t="s">
        <v>74</v>
      </c>
      <c r="M1802" t="s">
        <v>3150</v>
      </c>
      <c r="P1802" s="19" t="s">
        <v>2449</v>
      </c>
      <c r="R1802" s="19" t="s">
        <v>138</v>
      </c>
      <c r="U1802" s="19" t="s">
        <v>138</v>
      </c>
      <c r="W1802" s="20">
        <v>24</v>
      </c>
      <c r="X1802" s="65" t="s">
        <v>2010</v>
      </c>
      <c r="Z1802" t="s">
        <v>307</v>
      </c>
      <c r="AB1802" t="s">
        <v>178</v>
      </c>
      <c r="AC1802" t="s">
        <v>2528</v>
      </c>
      <c r="AD1802" s="2" t="s">
        <v>180</v>
      </c>
    </row>
    <row r="1803" spans="1:30" x14ac:dyDescent="0.25">
      <c r="A1803" s="2">
        <v>84</v>
      </c>
      <c r="B1803" t="s">
        <v>2539</v>
      </c>
      <c r="C1803">
        <v>12</v>
      </c>
      <c r="D1803">
        <v>490</v>
      </c>
      <c r="E1803">
        <v>9980</v>
      </c>
      <c r="F1803" t="s">
        <v>273</v>
      </c>
      <c r="G1803" s="2" t="s">
        <v>156</v>
      </c>
      <c r="H1803">
        <v>1</v>
      </c>
      <c r="I1803">
        <v>460.46</v>
      </c>
      <c r="J1803" s="2" t="s">
        <v>170</v>
      </c>
      <c r="K1803" s="2" t="s">
        <v>74</v>
      </c>
      <c r="M1803" t="s">
        <v>3150</v>
      </c>
      <c r="P1803" s="19" t="s">
        <v>2449</v>
      </c>
      <c r="Q1803" s="19" t="s">
        <v>27</v>
      </c>
      <c r="R1803" s="19" t="s">
        <v>138</v>
      </c>
      <c r="W1803" s="20">
        <v>24</v>
      </c>
      <c r="X1803" s="65" t="s">
        <v>2010</v>
      </c>
      <c r="Z1803" t="s">
        <v>307</v>
      </c>
      <c r="AB1803" t="s">
        <v>178</v>
      </c>
      <c r="AC1803" t="s">
        <v>2528</v>
      </c>
      <c r="AD1803" s="2" t="s">
        <v>180</v>
      </c>
    </row>
    <row r="1804" spans="1:30" x14ac:dyDescent="0.25">
      <c r="A1804" s="2">
        <v>85</v>
      </c>
      <c r="B1804" t="s">
        <v>2540</v>
      </c>
      <c r="C1804">
        <v>12</v>
      </c>
      <c r="D1804">
        <v>490</v>
      </c>
      <c r="E1804">
        <v>9980</v>
      </c>
      <c r="F1804" t="s">
        <v>273</v>
      </c>
      <c r="G1804" s="2" t="s">
        <v>156</v>
      </c>
      <c r="H1804">
        <v>1</v>
      </c>
      <c r="I1804">
        <v>460.46</v>
      </c>
      <c r="J1804" s="2" t="s">
        <v>170</v>
      </c>
      <c r="K1804" s="2" t="s">
        <v>74</v>
      </c>
      <c r="M1804" t="s">
        <v>3150</v>
      </c>
      <c r="P1804" s="19" t="s">
        <v>2449</v>
      </c>
      <c r="Q1804" s="19" t="s">
        <v>27</v>
      </c>
      <c r="R1804" s="19" t="s">
        <v>138</v>
      </c>
      <c r="W1804" s="20">
        <v>24</v>
      </c>
      <c r="X1804" s="65" t="s">
        <v>2010</v>
      </c>
      <c r="Z1804" t="s">
        <v>307</v>
      </c>
      <c r="AB1804" t="s">
        <v>178</v>
      </c>
      <c r="AC1804" t="s">
        <v>2528</v>
      </c>
      <c r="AD1804" s="2" t="s">
        <v>180</v>
      </c>
    </row>
    <row r="1805" spans="1:30" x14ac:dyDescent="0.25">
      <c r="A1805" s="2">
        <v>86</v>
      </c>
      <c r="B1805" t="s">
        <v>2541</v>
      </c>
      <c r="C1805">
        <v>12</v>
      </c>
      <c r="D1805">
        <v>130</v>
      </c>
      <c r="E1805">
        <v>663</v>
      </c>
      <c r="F1805" t="s">
        <v>273</v>
      </c>
      <c r="G1805" s="2" t="s">
        <v>156</v>
      </c>
      <c r="H1805">
        <v>8</v>
      </c>
      <c r="I1805">
        <v>64.88</v>
      </c>
      <c r="J1805" s="2" t="s">
        <v>170</v>
      </c>
      <c r="K1805" s="2" t="s">
        <v>74</v>
      </c>
      <c r="M1805" t="s">
        <v>3150</v>
      </c>
      <c r="P1805" s="19" t="s">
        <v>2449</v>
      </c>
      <c r="Q1805" s="19" t="s">
        <v>25</v>
      </c>
      <c r="R1805" s="19" t="s">
        <v>138</v>
      </c>
      <c r="W1805" s="20">
        <v>24</v>
      </c>
      <c r="X1805" s="65" t="s">
        <v>2010</v>
      </c>
      <c r="Z1805" t="s">
        <v>307</v>
      </c>
      <c r="AB1805" t="s">
        <v>178</v>
      </c>
      <c r="AC1805" t="s">
        <v>2528</v>
      </c>
      <c r="AD1805" s="2" t="s">
        <v>180</v>
      </c>
    </row>
    <row r="1806" spans="1:30" x14ac:dyDescent="0.25">
      <c r="A1806" s="2">
        <v>87</v>
      </c>
      <c r="B1806" t="s">
        <v>2446</v>
      </c>
      <c r="C1806">
        <v>12</v>
      </c>
      <c r="D1806">
        <v>135</v>
      </c>
      <c r="E1806">
        <v>488</v>
      </c>
      <c r="F1806" t="s">
        <v>273</v>
      </c>
      <c r="G1806" s="2" t="s">
        <v>156</v>
      </c>
      <c r="H1806">
        <v>4</v>
      </c>
      <c r="I1806">
        <v>24.76</v>
      </c>
      <c r="J1806" s="2" t="s">
        <v>170</v>
      </c>
      <c r="K1806" s="2" t="s">
        <v>74</v>
      </c>
      <c r="M1806" t="s">
        <v>3150</v>
      </c>
      <c r="P1806" s="19" t="s">
        <v>2449</v>
      </c>
      <c r="Q1806" s="19" t="s">
        <v>25</v>
      </c>
      <c r="R1806" s="19" t="s">
        <v>138</v>
      </c>
      <c r="W1806" s="20">
        <v>24</v>
      </c>
      <c r="X1806" s="65" t="s">
        <v>2010</v>
      </c>
      <c r="Z1806" t="s">
        <v>307</v>
      </c>
      <c r="AB1806" t="s">
        <v>178</v>
      </c>
      <c r="AC1806" t="s">
        <v>2542</v>
      </c>
      <c r="AD1806" s="2" t="s">
        <v>180</v>
      </c>
    </row>
    <row r="1807" spans="1:30" x14ac:dyDescent="0.25">
      <c r="A1807" s="2">
        <v>88</v>
      </c>
      <c r="B1807" t="s">
        <v>2544</v>
      </c>
      <c r="C1807">
        <v>12</v>
      </c>
      <c r="D1807">
        <v>135</v>
      </c>
      <c r="E1807">
        <v>488</v>
      </c>
      <c r="F1807" t="s">
        <v>273</v>
      </c>
      <c r="G1807" s="2" t="s">
        <v>156</v>
      </c>
      <c r="H1807">
        <v>8</v>
      </c>
      <c r="I1807">
        <v>49.52</v>
      </c>
      <c r="J1807" s="2" t="s">
        <v>170</v>
      </c>
      <c r="K1807" s="2" t="s">
        <v>74</v>
      </c>
      <c r="M1807" t="s">
        <v>3150</v>
      </c>
      <c r="P1807" s="19" t="s">
        <v>2449</v>
      </c>
      <c r="Q1807" s="19" t="s">
        <v>25</v>
      </c>
      <c r="R1807" s="19" t="s">
        <v>138</v>
      </c>
      <c r="W1807" s="20">
        <v>24</v>
      </c>
      <c r="X1807" s="65" t="s">
        <v>2010</v>
      </c>
      <c r="Z1807" t="s">
        <v>307</v>
      </c>
      <c r="AB1807" t="s">
        <v>178</v>
      </c>
      <c r="AC1807" t="s">
        <v>2542</v>
      </c>
      <c r="AD1807" s="2" t="s">
        <v>180</v>
      </c>
    </row>
    <row r="1808" spans="1:30" x14ac:dyDescent="0.25">
      <c r="A1808" s="2">
        <v>89</v>
      </c>
      <c r="B1808" t="s">
        <v>2545</v>
      </c>
      <c r="C1808">
        <v>12</v>
      </c>
      <c r="D1808">
        <v>490</v>
      </c>
      <c r="E1808">
        <v>9980</v>
      </c>
      <c r="F1808" t="s">
        <v>273</v>
      </c>
      <c r="G1808" s="2" t="s">
        <v>156</v>
      </c>
      <c r="H1808">
        <v>1</v>
      </c>
      <c r="I1808">
        <v>460.46</v>
      </c>
      <c r="J1808" s="2" t="s">
        <v>170</v>
      </c>
      <c r="K1808" s="2" t="s">
        <v>74</v>
      </c>
      <c r="M1808" t="s">
        <v>3150</v>
      </c>
      <c r="P1808" s="19" t="s">
        <v>2449</v>
      </c>
      <c r="Q1808" s="19" t="s">
        <v>27</v>
      </c>
      <c r="R1808" s="19" t="s">
        <v>138</v>
      </c>
      <c r="W1808" s="20">
        <v>24</v>
      </c>
      <c r="X1808" s="65" t="s">
        <v>2010</v>
      </c>
      <c r="Z1808" t="s">
        <v>307</v>
      </c>
      <c r="AB1808" t="s">
        <v>178</v>
      </c>
      <c r="AC1808" t="s">
        <v>2542</v>
      </c>
      <c r="AD1808" s="2" t="s">
        <v>180</v>
      </c>
    </row>
    <row r="1809" spans="1:30" x14ac:dyDescent="0.25">
      <c r="A1809" s="2">
        <v>90</v>
      </c>
      <c r="B1809" t="s">
        <v>2455</v>
      </c>
      <c r="C1809">
        <v>12</v>
      </c>
      <c r="D1809">
        <v>95</v>
      </c>
      <c r="E1809">
        <v>263</v>
      </c>
      <c r="F1809" t="s">
        <v>273</v>
      </c>
      <c r="G1809" s="2" t="s">
        <v>156</v>
      </c>
      <c r="H1809">
        <v>2</v>
      </c>
      <c r="I1809">
        <v>4.68</v>
      </c>
      <c r="J1809" s="2" t="s">
        <v>170</v>
      </c>
      <c r="K1809" s="2" t="s">
        <v>74</v>
      </c>
      <c r="M1809" t="s">
        <v>3150</v>
      </c>
      <c r="P1809" s="19" t="s">
        <v>2449</v>
      </c>
      <c r="Q1809" s="19" t="s">
        <v>25</v>
      </c>
      <c r="R1809" s="19" t="s">
        <v>138</v>
      </c>
      <c r="W1809" s="20">
        <v>24</v>
      </c>
      <c r="X1809" s="65" t="s">
        <v>2010</v>
      </c>
      <c r="Z1809" t="s">
        <v>307</v>
      </c>
      <c r="AB1809" t="s">
        <v>178</v>
      </c>
      <c r="AC1809" t="s">
        <v>2542</v>
      </c>
      <c r="AD1809" s="2" t="s">
        <v>180</v>
      </c>
    </row>
    <row r="1810" spans="1:30" x14ac:dyDescent="0.25">
      <c r="A1810" s="2">
        <v>91</v>
      </c>
      <c r="B1810" t="s">
        <v>2546</v>
      </c>
      <c r="C1810">
        <v>12</v>
      </c>
      <c r="D1810">
        <v>95</v>
      </c>
      <c r="E1810">
        <v>263</v>
      </c>
      <c r="F1810" t="s">
        <v>273</v>
      </c>
      <c r="G1810" s="2" t="s">
        <v>156</v>
      </c>
      <c r="H1810">
        <v>2</v>
      </c>
      <c r="I1810">
        <v>4.68</v>
      </c>
      <c r="J1810" s="2" t="s">
        <v>170</v>
      </c>
      <c r="K1810" s="2" t="s">
        <v>74</v>
      </c>
      <c r="M1810" t="s">
        <v>3150</v>
      </c>
      <c r="P1810" s="19" t="s">
        <v>2449</v>
      </c>
      <c r="Q1810" s="19" t="s">
        <v>25</v>
      </c>
      <c r="R1810" s="19" t="s">
        <v>138</v>
      </c>
      <c r="W1810" s="20">
        <v>24</v>
      </c>
      <c r="X1810" s="65" t="s">
        <v>2010</v>
      </c>
      <c r="Z1810" t="s">
        <v>307</v>
      </c>
      <c r="AB1810" t="s">
        <v>178</v>
      </c>
      <c r="AC1810" t="s">
        <v>2542</v>
      </c>
      <c r="AD1810" s="2" t="s">
        <v>180</v>
      </c>
    </row>
    <row r="1811" spans="1:30" x14ac:dyDescent="0.25">
      <c r="A1811" s="2">
        <v>92</v>
      </c>
      <c r="B1811" t="s">
        <v>2523</v>
      </c>
      <c r="C1811">
        <v>12</v>
      </c>
      <c r="D1811">
        <v>100</v>
      </c>
      <c r="E1811">
        <v>150</v>
      </c>
      <c r="F1811" t="s">
        <v>273</v>
      </c>
      <c r="G1811" s="2" t="s">
        <v>156</v>
      </c>
      <c r="H1811">
        <v>1</v>
      </c>
      <c r="I1811">
        <v>1.41</v>
      </c>
      <c r="J1811" s="2" t="s">
        <v>170</v>
      </c>
      <c r="K1811" s="2" t="s">
        <v>74</v>
      </c>
      <c r="M1811" t="s">
        <v>3150</v>
      </c>
      <c r="P1811" s="19" t="s">
        <v>2449</v>
      </c>
      <c r="Q1811" s="19" t="s">
        <v>25</v>
      </c>
      <c r="R1811" s="19" t="s">
        <v>138</v>
      </c>
      <c r="W1811" s="20">
        <v>24</v>
      </c>
      <c r="X1811" s="65" t="s">
        <v>2010</v>
      </c>
      <c r="Z1811" t="s">
        <v>307</v>
      </c>
      <c r="AB1811" t="s">
        <v>178</v>
      </c>
      <c r="AC1811" t="s">
        <v>2542</v>
      </c>
      <c r="AD1811" s="2" t="s">
        <v>180</v>
      </c>
    </row>
    <row r="1812" spans="1:30" x14ac:dyDescent="0.25">
      <c r="A1812" s="2">
        <v>93</v>
      </c>
      <c r="B1812" t="s">
        <v>2547</v>
      </c>
      <c r="C1812">
        <v>12</v>
      </c>
      <c r="D1812">
        <v>490</v>
      </c>
      <c r="E1812">
        <v>9980</v>
      </c>
      <c r="F1812" t="s">
        <v>273</v>
      </c>
      <c r="G1812" s="2" t="s">
        <v>156</v>
      </c>
      <c r="H1812">
        <v>1</v>
      </c>
      <c r="I1812">
        <v>460.46</v>
      </c>
      <c r="J1812" s="2" t="s">
        <v>170</v>
      </c>
      <c r="K1812" s="2" t="s">
        <v>74</v>
      </c>
      <c r="M1812" t="s">
        <v>3150</v>
      </c>
      <c r="P1812" s="19" t="s">
        <v>2449</v>
      </c>
      <c r="Q1812" s="19" t="s">
        <v>27</v>
      </c>
      <c r="R1812" s="19" t="s">
        <v>138</v>
      </c>
      <c r="W1812" s="20">
        <v>24</v>
      </c>
      <c r="X1812" s="65" t="s">
        <v>2010</v>
      </c>
      <c r="Z1812" t="s">
        <v>307</v>
      </c>
      <c r="AB1812" t="s">
        <v>178</v>
      </c>
      <c r="AC1812" t="s">
        <v>2542</v>
      </c>
      <c r="AD1812" s="2" t="s">
        <v>180</v>
      </c>
    </row>
    <row r="1813" spans="1:30" x14ac:dyDescent="0.25">
      <c r="A1813" s="2">
        <v>94</v>
      </c>
      <c r="B1813" t="s">
        <v>2548</v>
      </c>
      <c r="C1813">
        <v>12</v>
      </c>
      <c r="D1813">
        <v>490</v>
      </c>
      <c r="E1813">
        <v>9980</v>
      </c>
      <c r="F1813" t="s">
        <v>273</v>
      </c>
      <c r="G1813" s="2" t="s">
        <v>156</v>
      </c>
      <c r="H1813">
        <v>1</v>
      </c>
      <c r="I1813">
        <v>460.46</v>
      </c>
      <c r="J1813" s="2" t="s">
        <v>170</v>
      </c>
      <c r="K1813" s="2" t="s">
        <v>74</v>
      </c>
      <c r="M1813" t="s">
        <v>3150</v>
      </c>
      <c r="P1813" s="19" t="s">
        <v>2449</v>
      </c>
      <c r="Q1813" s="19" t="s">
        <v>27</v>
      </c>
      <c r="R1813" s="19" t="s">
        <v>138</v>
      </c>
      <c r="W1813" s="20">
        <v>24</v>
      </c>
      <c r="X1813" s="65" t="s">
        <v>2010</v>
      </c>
      <c r="Z1813" t="s">
        <v>307</v>
      </c>
      <c r="AB1813" t="s">
        <v>178</v>
      </c>
      <c r="AC1813" t="s">
        <v>2542</v>
      </c>
      <c r="AD1813" s="2" t="s">
        <v>180</v>
      </c>
    </row>
    <row r="1814" spans="1:30" x14ac:dyDescent="0.25">
      <c r="A1814" s="2">
        <v>95</v>
      </c>
      <c r="B1814" t="s">
        <v>2549</v>
      </c>
      <c r="C1814">
        <v>12</v>
      </c>
      <c r="D1814">
        <v>238</v>
      </c>
      <c r="E1814">
        <v>1280</v>
      </c>
      <c r="F1814" t="s">
        <v>273</v>
      </c>
      <c r="G1814" s="2" t="s">
        <v>156</v>
      </c>
      <c r="H1814">
        <v>1</v>
      </c>
      <c r="I1814">
        <v>28.7</v>
      </c>
      <c r="J1814" s="2" t="s">
        <v>170</v>
      </c>
      <c r="K1814" s="2" t="s">
        <v>74</v>
      </c>
      <c r="M1814" t="s">
        <v>3150</v>
      </c>
      <c r="P1814" s="19" t="s">
        <v>2449</v>
      </c>
      <c r="R1814" s="19" t="s">
        <v>138</v>
      </c>
      <c r="U1814" s="19" t="s">
        <v>138</v>
      </c>
      <c r="W1814" s="20">
        <v>24</v>
      </c>
      <c r="X1814" s="65" t="s">
        <v>2010</v>
      </c>
      <c r="Z1814" t="s">
        <v>307</v>
      </c>
      <c r="AB1814" t="s">
        <v>178</v>
      </c>
      <c r="AC1814" t="s">
        <v>2542</v>
      </c>
      <c r="AD1814" s="2" t="s">
        <v>180</v>
      </c>
    </row>
    <row r="1815" spans="1:30" x14ac:dyDescent="0.25">
      <c r="A1815" s="2">
        <v>96</v>
      </c>
      <c r="B1815" t="s">
        <v>2550</v>
      </c>
      <c r="C1815">
        <v>12</v>
      </c>
      <c r="D1815">
        <v>238</v>
      </c>
      <c r="E1815">
        <v>1280</v>
      </c>
      <c r="F1815" t="s">
        <v>273</v>
      </c>
      <c r="G1815" s="2" t="s">
        <v>156</v>
      </c>
      <c r="H1815">
        <v>1</v>
      </c>
      <c r="I1815">
        <v>28.7</v>
      </c>
      <c r="J1815" s="2" t="s">
        <v>170</v>
      </c>
      <c r="K1815" s="2" t="s">
        <v>74</v>
      </c>
      <c r="M1815" t="s">
        <v>3150</v>
      </c>
      <c r="P1815" s="19" t="s">
        <v>2449</v>
      </c>
      <c r="R1815" s="19" t="s">
        <v>138</v>
      </c>
      <c r="U1815" s="19" t="s">
        <v>138</v>
      </c>
      <c r="W1815" s="20">
        <v>24</v>
      </c>
      <c r="X1815" s="65" t="s">
        <v>2010</v>
      </c>
      <c r="Z1815" t="s">
        <v>307</v>
      </c>
      <c r="AB1815" t="s">
        <v>178</v>
      </c>
      <c r="AC1815" t="s">
        <v>2542</v>
      </c>
      <c r="AD1815" s="2" t="s">
        <v>180</v>
      </c>
    </row>
    <row r="1816" spans="1:30" x14ac:dyDescent="0.25">
      <c r="A1816" s="2">
        <v>97</v>
      </c>
      <c r="B1816" t="s">
        <v>2551</v>
      </c>
      <c r="C1816">
        <v>12</v>
      </c>
      <c r="D1816">
        <v>238</v>
      </c>
      <c r="E1816">
        <v>1280</v>
      </c>
      <c r="F1816" t="s">
        <v>273</v>
      </c>
      <c r="G1816" s="2" t="s">
        <v>156</v>
      </c>
      <c r="H1816">
        <v>1</v>
      </c>
      <c r="I1816">
        <v>28.7</v>
      </c>
      <c r="J1816" s="2" t="s">
        <v>170</v>
      </c>
      <c r="K1816" s="2" t="s">
        <v>74</v>
      </c>
      <c r="M1816" t="s">
        <v>3150</v>
      </c>
      <c r="P1816" s="19" t="s">
        <v>2449</v>
      </c>
      <c r="R1816" s="19" t="s">
        <v>138</v>
      </c>
      <c r="U1816" s="19" t="s">
        <v>138</v>
      </c>
      <c r="W1816" s="20">
        <v>24</v>
      </c>
      <c r="X1816" s="65" t="s">
        <v>2010</v>
      </c>
      <c r="Z1816" t="s">
        <v>307</v>
      </c>
      <c r="AB1816" t="s">
        <v>178</v>
      </c>
      <c r="AC1816" t="s">
        <v>2542</v>
      </c>
      <c r="AD1816" s="2" t="s">
        <v>180</v>
      </c>
    </row>
    <row r="1817" spans="1:30" x14ac:dyDescent="0.25">
      <c r="A1817" s="2">
        <v>98</v>
      </c>
      <c r="B1817" t="s">
        <v>2552</v>
      </c>
      <c r="C1817">
        <v>12</v>
      </c>
      <c r="D1817">
        <v>238</v>
      </c>
      <c r="E1817">
        <v>1280</v>
      </c>
      <c r="F1817" t="s">
        <v>273</v>
      </c>
      <c r="G1817" s="2" t="s">
        <v>156</v>
      </c>
      <c r="H1817">
        <v>1</v>
      </c>
      <c r="I1817">
        <v>28.7</v>
      </c>
      <c r="J1817" s="2" t="s">
        <v>170</v>
      </c>
      <c r="K1817" s="2" t="s">
        <v>74</v>
      </c>
      <c r="M1817" t="s">
        <v>3150</v>
      </c>
      <c r="P1817" s="19" t="s">
        <v>2449</v>
      </c>
      <c r="R1817" s="19" t="s">
        <v>138</v>
      </c>
      <c r="U1817" s="19" t="s">
        <v>138</v>
      </c>
      <c r="W1817" s="20">
        <v>24</v>
      </c>
      <c r="X1817" s="65" t="s">
        <v>2010</v>
      </c>
      <c r="Z1817" t="s">
        <v>307</v>
      </c>
      <c r="AB1817" t="s">
        <v>178</v>
      </c>
      <c r="AC1817" t="s">
        <v>2542</v>
      </c>
      <c r="AD1817" s="2" t="s">
        <v>180</v>
      </c>
    </row>
    <row r="1818" spans="1:30" x14ac:dyDescent="0.25">
      <c r="A1818" s="2">
        <v>99</v>
      </c>
      <c r="B1818" t="s">
        <v>2553</v>
      </c>
      <c r="C1818">
        <v>12</v>
      </c>
      <c r="D1818">
        <v>238</v>
      </c>
      <c r="E1818">
        <v>1280</v>
      </c>
      <c r="F1818" t="s">
        <v>273</v>
      </c>
      <c r="G1818" s="2" t="s">
        <v>156</v>
      </c>
      <c r="H1818">
        <v>1</v>
      </c>
      <c r="I1818">
        <v>28.7</v>
      </c>
      <c r="J1818" s="2" t="s">
        <v>170</v>
      </c>
      <c r="K1818" s="2" t="s">
        <v>74</v>
      </c>
      <c r="M1818" t="s">
        <v>3150</v>
      </c>
      <c r="P1818" s="19" t="s">
        <v>2449</v>
      </c>
      <c r="R1818" s="19" t="s">
        <v>138</v>
      </c>
      <c r="U1818" s="19" t="s">
        <v>138</v>
      </c>
      <c r="W1818" s="20">
        <v>24</v>
      </c>
      <c r="X1818" s="65" t="s">
        <v>2010</v>
      </c>
      <c r="Z1818" t="s">
        <v>307</v>
      </c>
      <c r="AB1818" t="s">
        <v>178</v>
      </c>
      <c r="AC1818" t="s">
        <v>2542</v>
      </c>
      <c r="AD1818" s="2" t="s">
        <v>180</v>
      </c>
    </row>
    <row r="1819" spans="1:30" x14ac:dyDescent="0.25">
      <c r="A1819" s="2">
        <v>100</v>
      </c>
      <c r="B1819" t="s">
        <v>2554</v>
      </c>
      <c r="C1819">
        <v>12</v>
      </c>
      <c r="D1819">
        <v>238</v>
      </c>
      <c r="E1819">
        <v>1280</v>
      </c>
      <c r="F1819" t="s">
        <v>273</v>
      </c>
      <c r="G1819" s="2" t="s">
        <v>156</v>
      </c>
      <c r="H1819">
        <v>1</v>
      </c>
      <c r="I1819">
        <v>28.7</v>
      </c>
      <c r="J1819" s="2" t="s">
        <v>170</v>
      </c>
      <c r="K1819" s="2" t="s">
        <v>74</v>
      </c>
      <c r="M1819" t="s">
        <v>3150</v>
      </c>
      <c r="P1819" s="19" t="s">
        <v>2449</v>
      </c>
      <c r="R1819" s="19" t="s">
        <v>138</v>
      </c>
      <c r="U1819" s="19" t="s">
        <v>138</v>
      </c>
      <c r="W1819" s="20">
        <v>24</v>
      </c>
      <c r="X1819" s="65" t="s">
        <v>2010</v>
      </c>
      <c r="Z1819" t="s">
        <v>307</v>
      </c>
      <c r="AB1819" t="s">
        <v>178</v>
      </c>
      <c r="AC1819" t="s">
        <v>2542</v>
      </c>
      <c r="AD1819" s="2" t="s">
        <v>180</v>
      </c>
    </row>
    <row r="1820" spans="1:30" x14ac:dyDescent="0.25">
      <c r="A1820" s="2">
        <v>101</v>
      </c>
      <c r="B1820" t="s">
        <v>2555</v>
      </c>
      <c r="C1820">
        <v>12</v>
      </c>
      <c r="D1820">
        <v>238</v>
      </c>
      <c r="E1820">
        <v>1280</v>
      </c>
      <c r="F1820" t="s">
        <v>273</v>
      </c>
      <c r="G1820" s="2" t="s">
        <v>156</v>
      </c>
      <c r="H1820">
        <v>1</v>
      </c>
      <c r="I1820">
        <v>28.7</v>
      </c>
      <c r="J1820" s="2" t="s">
        <v>170</v>
      </c>
      <c r="K1820" s="2" t="s">
        <v>74</v>
      </c>
      <c r="M1820" t="s">
        <v>3150</v>
      </c>
      <c r="P1820" s="19" t="s">
        <v>2449</v>
      </c>
      <c r="R1820" s="19" t="s">
        <v>138</v>
      </c>
      <c r="U1820" s="19" t="s">
        <v>138</v>
      </c>
      <c r="W1820" s="20">
        <v>24</v>
      </c>
      <c r="X1820" s="65" t="s">
        <v>2010</v>
      </c>
      <c r="Z1820" t="s">
        <v>307</v>
      </c>
      <c r="AB1820" t="s">
        <v>178</v>
      </c>
      <c r="AC1820" t="s">
        <v>2542</v>
      </c>
      <c r="AD1820" s="2" t="s">
        <v>180</v>
      </c>
    </row>
    <row r="1821" spans="1:30" x14ac:dyDescent="0.25">
      <c r="A1821" s="2">
        <v>102</v>
      </c>
      <c r="B1821" t="s">
        <v>2556</v>
      </c>
      <c r="C1821">
        <v>12</v>
      </c>
      <c r="D1821">
        <v>490</v>
      </c>
      <c r="E1821">
        <v>9980</v>
      </c>
      <c r="F1821" t="s">
        <v>273</v>
      </c>
      <c r="G1821" s="2" t="s">
        <v>156</v>
      </c>
      <c r="H1821">
        <v>1</v>
      </c>
      <c r="I1821">
        <v>460.46</v>
      </c>
      <c r="J1821" s="2" t="s">
        <v>170</v>
      </c>
      <c r="K1821" s="2" t="s">
        <v>74</v>
      </c>
      <c r="M1821" t="s">
        <v>3150</v>
      </c>
      <c r="P1821" s="19" t="s">
        <v>2449</v>
      </c>
      <c r="Q1821" s="19" t="s">
        <v>27</v>
      </c>
      <c r="R1821" s="19" t="s">
        <v>138</v>
      </c>
      <c r="W1821" s="20">
        <v>24</v>
      </c>
      <c r="X1821" s="65" t="s">
        <v>2010</v>
      </c>
      <c r="Z1821" t="s">
        <v>307</v>
      </c>
      <c r="AB1821" t="s">
        <v>178</v>
      </c>
      <c r="AC1821" t="s">
        <v>2542</v>
      </c>
      <c r="AD1821" s="2" t="s">
        <v>180</v>
      </c>
    </row>
    <row r="1822" spans="1:30" x14ac:dyDescent="0.25">
      <c r="A1822" s="2">
        <v>103</v>
      </c>
      <c r="B1822" t="s">
        <v>2541</v>
      </c>
      <c r="C1822">
        <v>12</v>
      </c>
      <c r="D1822">
        <v>130</v>
      </c>
      <c r="E1822">
        <v>663</v>
      </c>
      <c r="F1822" t="s">
        <v>273</v>
      </c>
      <c r="G1822" s="2" t="s">
        <v>156</v>
      </c>
      <c r="H1822">
        <v>1</v>
      </c>
      <c r="I1822">
        <v>8.11</v>
      </c>
      <c r="J1822" s="2" t="s">
        <v>170</v>
      </c>
      <c r="K1822" s="2" t="s">
        <v>74</v>
      </c>
      <c r="M1822" t="s">
        <v>3150</v>
      </c>
      <c r="P1822" s="19" t="s">
        <v>2449</v>
      </c>
      <c r="Q1822" s="19" t="s">
        <v>25</v>
      </c>
      <c r="R1822" s="19" t="s">
        <v>138</v>
      </c>
      <c r="W1822" s="20">
        <v>24</v>
      </c>
      <c r="X1822" s="65" t="s">
        <v>2010</v>
      </c>
      <c r="Z1822" t="s">
        <v>307</v>
      </c>
      <c r="AB1822" t="s">
        <v>178</v>
      </c>
      <c r="AC1822" t="s">
        <v>2542</v>
      </c>
      <c r="AD1822" s="2" t="s">
        <v>180</v>
      </c>
    </row>
    <row r="1823" spans="1:30" x14ac:dyDescent="0.25">
      <c r="A1823" s="2">
        <v>104</v>
      </c>
      <c r="B1823" t="s">
        <v>2557</v>
      </c>
      <c r="C1823">
        <v>12</v>
      </c>
      <c r="D1823">
        <v>130</v>
      </c>
      <c r="E1823">
        <v>663</v>
      </c>
      <c r="F1823" t="s">
        <v>273</v>
      </c>
      <c r="G1823" s="2" t="s">
        <v>156</v>
      </c>
      <c r="H1823">
        <v>7</v>
      </c>
      <c r="I1823">
        <v>56.77</v>
      </c>
      <c r="J1823" s="2" t="s">
        <v>170</v>
      </c>
      <c r="K1823" s="2" t="s">
        <v>74</v>
      </c>
      <c r="M1823" t="s">
        <v>3150</v>
      </c>
      <c r="P1823" s="19" t="s">
        <v>2449</v>
      </c>
      <c r="Q1823" s="19" t="s">
        <v>25</v>
      </c>
      <c r="R1823" s="19" t="s">
        <v>138</v>
      </c>
      <c r="W1823" s="20">
        <v>24</v>
      </c>
      <c r="X1823" s="65" t="s">
        <v>2010</v>
      </c>
      <c r="Z1823" t="s">
        <v>307</v>
      </c>
      <c r="AB1823" t="s">
        <v>178</v>
      </c>
      <c r="AC1823" t="s">
        <v>2542</v>
      </c>
      <c r="AD1823" s="2" t="s">
        <v>180</v>
      </c>
    </row>
    <row r="1824" spans="1:30" x14ac:dyDescent="0.25">
      <c r="A1824" s="2">
        <v>105</v>
      </c>
      <c r="B1824" t="s">
        <v>2544</v>
      </c>
      <c r="C1824">
        <v>12</v>
      </c>
      <c r="D1824">
        <v>135</v>
      </c>
      <c r="E1824">
        <v>488</v>
      </c>
      <c r="F1824" t="s">
        <v>273</v>
      </c>
      <c r="G1824" s="2" t="s">
        <v>156</v>
      </c>
      <c r="H1824">
        <v>4</v>
      </c>
      <c r="I1824">
        <v>24.76</v>
      </c>
      <c r="J1824" s="2" t="s">
        <v>170</v>
      </c>
      <c r="K1824" s="2" t="s">
        <v>74</v>
      </c>
      <c r="M1824" t="s">
        <v>3150</v>
      </c>
      <c r="P1824" s="19" t="s">
        <v>2449</v>
      </c>
      <c r="Q1824" s="19" t="s">
        <v>25</v>
      </c>
      <c r="R1824" s="19" t="s">
        <v>138</v>
      </c>
      <c r="W1824" s="20">
        <v>24</v>
      </c>
      <c r="X1824" s="65" t="s">
        <v>2010</v>
      </c>
      <c r="Z1824" t="s">
        <v>307</v>
      </c>
      <c r="AB1824" t="s">
        <v>178</v>
      </c>
      <c r="AC1824" t="s">
        <v>2558</v>
      </c>
      <c r="AD1824" s="2" t="s">
        <v>180</v>
      </c>
    </row>
    <row r="1825" spans="1:30" x14ac:dyDescent="0.25">
      <c r="A1825" s="2">
        <v>106</v>
      </c>
      <c r="B1825" t="s">
        <v>2560</v>
      </c>
      <c r="C1825">
        <v>12</v>
      </c>
      <c r="D1825">
        <v>135</v>
      </c>
      <c r="E1825">
        <v>488</v>
      </c>
      <c r="F1825" t="s">
        <v>273</v>
      </c>
      <c r="G1825" s="2" t="s">
        <v>156</v>
      </c>
      <c r="H1825">
        <v>12</v>
      </c>
      <c r="I1825">
        <v>74.28</v>
      </c>
      <c r="J1825" s="2" t="s">
        <v>170</v>
      </c>
      <c r="K1825" s="2" t="s">
        <v>74</v>
      </c>
      <c r="M1825" t="s">
        <v>3150</v>
      </c>
      <c r="P1825" s="19" t="s">
        <v>2449</v>
      </c>
      <c r="Q1825" s="19" t="s">
        <v>25</v>
      </c>
      <c r="R1825" s="19" t="s">
        <v>138</v>
      </c>
      <c r="W1825" s="20">
        <v>24</v>
      </c>
      <c r="X1825" s="65" t="s">
        <v>2010</v>
      </c>
      <c r="Z1825" t="s">
        <v>307</v>
      </c>
      <c r="AB1825" t="s">
        <v>178</v>
      </c>
      <c r="AC1825" t="s">
        <v>2558</v>
      </c>
      <c r="AD1825" s="2" t="s">
        <v>180</v>
      </c>
    </row>
    <row r="1826" spans="1:30" x14ac:dyDescent="0.25">
      <c r="A1826" s="2">
        <v>107</v>
      </c>
      <c r="B1826" t="s">
        <v>2561</v>
      </c>
      <c r="C1826">
        <v>12</v>
      </c>
      <c r="D1826">
        <v>135</v>
      </c>
      <c r="E1826">
        <v>488</v>
      </c>
      <c r="F1826" t="s">
        <v>273</v>
      </c>
      <c r="G1826" s="2" t="s">
        <v>156</v>
      </c>
      <c r="H1826">
        <v>8</v>
      </c>
      <c r="I1826">
        <v>49.52</v>
      </c>
      <c r="J1826" s="2" t="s">
        <v>170</v>
      </c>
      <c r="K1826" s="2" t="s">
        <v>74</v>
      </c>
      <c r="M1826" t="s">
        <v>3150</v>
      </c>
      <c r="P1826" s="19" t="s">
        <v>2449</v>
      </c>
      <c r="Q1826" s="19" t="s">
        <v>25</v>
      </c>
      <c r="R1826" s="19" t="s">
        <v>138</v>
      </c>
      <c r="W1826" s="20">
        <v>24</v>
      </c>
      <c r="X1826" s="65" t="s">
        <v>2010</v>
      </c>
      <c r="Z1826" t="s">
        <v>307</v>
      </c>
      <c r="AB1826" t="s">
        <v>178</v>
      </c>
      <c r="AC1826" t="s">
        <v>2558</v>
      </c>
      <c r="AD1826" s="2" t="s">
        <v>180</v>
      </c>
    </row>
    <row r="1827" spans="1:30" x14ac:dyDescent="0.25">
      <c r="A1827" s="2">
        <v>108</v>
      </c>
      <c r="B1827" t="s">
        <v>2562</v>
      </c>
      <c r="C1827">
        <v>12</v>
      </c>
      <c r="D1827">
        <v>490</v>
      </c>
      <c r="E1827">
        <v>9980</v>
      </c>
      <c r="F1827" t="s">
        <v>273</v>
      </c>
      <c r="G1827" s="2" t="s">
        <v>156</v>
      </c>
      <c r="H1827">
        <v>1</v>
      </c>
      <c r="I1827">
        <v>460.46</v>
      </c>
      <c r="J1827" s="2" t="s">
        <v>170</v>
      </c>
      <c r="K1827" s="2" t="s">
        <v>74</v>
      </c>
      <c r="M1827" t="s">
        <v>3150</v>
      </c>
      <c r="P1827" s="19" t="s">
        <v>2449</v>
      </c>
      <c r="Q1827" s="19" t="s">
        <v>27</v>
      </c>
      <c r="R1827" s="19" t="s">
        <v>138</v>
      </c>
      <c r="W1827" s="20">
        <v>24</v>
      </c>
      <c r="X1827" s="65" t="s">
        <v>2010</v>
      </c>
      <c r="Z1827" t="s">
        <v>307</v>
      </c>
      <c r="AB1827" t="s">
        <v>178</v>
      </c>
      <c r="AC1827" t="s">
        <v>2558</v>
      </c>
      <c r="AD1827" s="2" t="s">
        <v>180</v>
      </c>
    </row>
    <row r="1828" spans="1:30" x14ac:dyDescent="0.25">
      <c r="A1828" s="2">
        <v>109</v>
      </c>
      <c r="B1828" t="s">
        <v>2523</v>
      </c>
      <c r="C1828">
        <v>12</v>
      </c>
      <c r="D1828">
        <v>100</v>
      </c>
      <c r="E1828">
        <v>150</v>
      </c>
      <c r="F1828" t="s">
        <v>273</v>
      </c>
      <c r="G1828" s="2" t="s">
        <v>156</v>
      </c>
      <c r="H1828">
        <v>1</v>
      </c>
      <c r="I1828">
        <v>1.41</v>
      </c>
      <c r="J1828" s="2" t="s">
        <v>170</v>
      </c>
      <c r="K1828" s="2" t="s">
        <v>74</v>
      </c>
      <c r="M1828" t="s">
        <v>3150</v>
      </c>
      <c r="P1828" s="19" t="s">
        <v>2449</v>
      </c>
      <c r="Q1828" s="19" t="s">
        <v>25</v>
      </c>
      <c r="R1828" s="19" t="s">
        <v>138</v>
      </c>
      <c r="W1828" s="20">
        <v>24</v>
      </c>
      <c r="X1828" s="65" t="s">
        <v>2010</v>
      </c>
      <c r="Z1828" t="s">
        <v>307</v>
      </c>
      <c r="AB1828" t="s">
        <v>178</v>
      </c>
      <c r="AC1828" t="s">
        <v>2558</v>
      </c>
      <c r="AD1828" s="2" t="s">
        <v>180</v>
      </c>
    </row>
    <row r="1829" spans="1:30" x14ac:dyDescent="0.25">
      <c r="A1829" s="2">
        <v>110</v>
      </c>
      <c r="B1829" t="s">
        <v>2563</v>
      </c>
      <c r="C1829">
        <v>12</v>
      </c>
      <c r="D1829">
        <v>490</v>
      </c>
      <c r="E1829">
        <v>9980</v>
      </c>
      <c r="F1829" t="s">
        <v>273</v>
      </c>
      <c r="G1829" s="2" t="s">
        <v>156</v>
      </c>
      <c r="H1829">
        <v>1</v>
      </c>
      <c r="I1829">
        <v>460.46</v>
      </c>
      <c r="J1829" s="2" t="s">
        <v>170</v>
      </c>
      <c r="K1829" s="2" t="s">
        <v>74</v>
      </c>
      <c r="M1829" t="s">
        <v>3150</v>
      </c>
      <c r="P1829" s="19" t="s">
        <v>2449</v>
      </c>
      <c r="Q1829" s="19" t="s">
        <v>27</v>
      </c>
      <c r="R1829" s="19" t="s">
        <v>138</v>
      </c>
      <c r="W1829" s="20">
        <v>24</v>
      </c>
      <c r="X1829" s="65" t="s">
        <v>2010</v>
      </c>
      <c r="Z1829" t="s">
        <v>307</v>
      </c>
      <c r="AB1829" t="s">
        <v>178</v>
      </c>
      <c r="AC1829" t="s">
        <v>2558</v>
      </c>
      <c r="AD1829" s="2" t="s">
        <v>180</v>
      </c>
    </row>
    <row r="1830" spans="1:30" x14ac:dyDescent="0.25">
      <c r="A1830" s="2">
        <v>111</v>
      </c>
      <c r="B1830" t="s">
        <v>2564</v>
      </c>
      <c r="C1830">
        <v>12</v>
      </c>
      <c r="D1830">
        <v>238</v>
      </c>
      <c r="E1830">
        <v>1280</v>
      </c>
      <c r="F1830" t="s">
        <v>273</v>
      </c>
      <c r="G1830" s="2" t="s">
        <v>156</v>
      </c>
      <c r="H1830">
        <v>1</v>
      </c>
      <c r="I1830">
        <v>28.7</v>
      </c>
      <c r="J1830" s="2" t="s">
        <v>170</v>
      </c>
      <c r="K1830" s="2" t="s">
        <v>74</v>
      </c>
      <c r="M1830" t="s">
        <v>3150</v>
      </c>
      <c r="P1830" s="19" t="s">
        <v>2449</v>
      </c>
      <c r="R1830" s="19" t="s">
        <v>138</v>
      </c>
      <c r="U1830" s="19" t="s">
        <v>138</v>
      </c>
      <c r="W1830" s="20">
        <v>24</v>
      </c>
      <c r="X1830" s="65" t="s">
        <v>2010</v>
      </c>
      <c r="Z1830" t="s">
        <v>307</v>
      </c>
      <c r="AB1830" t="s">
        <v>178</v>
      </c>
      <c r="AC1830" t="s">
        <v>2558</v>
      </c>
      <c r="AD1830" s="2" t="s">
        <v>180</v>
      </c>
    </row>
    <row r="1831" spans="1:30" x14ac:dyDescent="0.25">
      <c r="A1831" s="2">
        <v>112</v>
      </c>
      <c r="B1831" t="s">
        <v>2565</v>
      </c>
      <c r="C1831">
        <v>12</v>
      </c>
      <c r="D1831">
        <v>238</v>
      </c>
      <c r="E1831">
        <v>1280</v>
      </c>
      <c r="F1831" t="s">
        <v>273</v>
      </c>
      <c r="G1831" s="2" t="s">
        <v>156</v>
      </c>
      <c r="H1831">
        <v>1</v>
      </c>
      <c r="I1831">
        <v>28.7</v>
      </c>
      <c r="J1831" s="2" t="s">
        <v>170</v>
      </c>
      <c r="K1831" s="2" t="s">
        <v>74</v>
      </c>
      <c r="M1831" t="s">
        <v>3150</v>
      </c>
      <c r="P1831" s="19" t="s">
        <v>2449</v>
      </c>
      <c r="R1831" s="19" t="s">
        <v>138</v>
      </c>
      <c r="U1831" s="19" t="s">
        <v>138</v>
      </c>
      <c r="W1831" s="20">
        <v>24</v>
      </c>
      <c r="X1831" s="65" t="s">
        <v>2010</v>
      </c>
      <c r="Z1831" t="s">
        <v>307</v>
      </c>
      <c r="AB1831" t="s">
        <v>178</v>
      </c>
      <c r="AC1831" t="s">
        <v>2558</v>
      </c>
      <c r="AD1831" s="2" t="s">
        <v>180</v>
      </c>
    </row>
    <row r="1832" spans="1:30" x14ac:dyDescent="0.25">
      <c r="A1832" s="2">
        <v>113</v>
      </c>
      <c r="B1832" t="s">
        <v>2566</v>
      </c>
      <c r="C1832">
        <v>12</v>
      </c>
      <c r="D1832">
        <v>238</v>
      </c>
      <c r="E1832">
        <v>1280</v>
      </c>
      <c r="F1832" t="s">
        <v>273</v>
      </c>
      <c r="G1832" s="2" t="s">
        <v>156</v>
      </c>
      <c r="H1832">
        <v>1</v>
      </c>
      <c r="I1832">
        <v>28.7</v>
      </c>
      <c r="J1832" s="2" t="s">
        <v>170</v>
      </c>
      <c r="K1832" s="2" t="s">
        <v>74</v>
      </c>
      <c r="M1832" t="s">
        <v>3150</v>
      </c>
      <c r="P1832" s="19" t="s">
        <v>2449</v>
      </c>
      <c r="R1832" s="19" t="s">
        <v>138</v>
      </c>
      <c r="U1832" s="19" t="s">
        <v>138</v>
      </c>
      <c r="W1832" s="20">
        <v>24</v>
      </c>
      <c r="X1832" s="65" t="s">
        <v>2010</v>
      </c>
      <c r="Z1832" t="s">
        <v>307</v>
      </c>
      <c r="AB1832" t="s">
        <v>178</v>
      </c>
      <c r="AC1832" t="s">
        <v>2558</v>
      </c>
      <c r="AD1832" s="2" t="s">
        <v>180</v>
      </c>
    </row>
    <row r="1833" spans="1:30" x14ac:dyDescent="0.25">
      <c r="A1833" s="2">
        <v>114</v>
      </c>
      <c r="B1833" t="s">
        <v>2567</v>
      </c>
      <c r="C1833">
        <v>12</v>
      </c>
      <c r="D1833">
        <v>238</v>
      </c>
      <c r="E1833">
        <v>1280</v>
      </c>
      <c r="F1833" t="s">
        <v>273</v>
      </c>
      <c r="G1833" s="2" t="s">
        <v>156</v>
      </c>
      <c r="H1833">
        <v>1</v>
      </c>
      <c r="I1833">
        <v>28.7</v>
      </c>
      <c r="J1833" s="2" t="s">
        <v>170</v>
      </c>
      <c r="K1833" s="2" t="s">
        <v>74</v>
      </c>
      <c r="M1833" t="s">
        <v>3150</v>
      </c>
      <c r="P1833" s="19" t="s">
        <v>2449</v>
      </c>
      <c r="R1833" s="19" t="s">
        <v>138</v>
      </c>
      <c r="U1833" s="19" t="s">
        <v>138</v>
      </c>
      <c r="W1833" s="20">
        <v>24</v>
      </c>
      <c r="X1833" s="65" t="s">
        <v>2010</v>
      </c>
      <c r="Z1833" t="s">
        <v>307</v>
      </c>
      <c r="AB1833" t="s">
        <v>178</v>
      </c>
      <c r="AC1833" t="s">
        <v>2558</v>
      </c>
      <c r="AD1833" s="2" t="s">
        <v>180</v>
      </c>
    </row>
    <row r="1834" spans="1:30" x14ac:dyDescent="0.25">
      <c r="A1834" s="2">
        <v>115</v>
      </c>
      <c r="B1834" t="s">
        <v>2568</v>
      </c>
      <c r="C1834">
        <v>12</v>
      </c>
      <c r="D1834">
        <v>238</v>
      </c>
      <c r="E1834">
        <v>1280</v>
      </c>
      <c r="F1834" t="s">
        <v>273</v>
      </c>
      <c r="G1834" s="2" t="s">
        <v>156</v>
      </c>
      <c r="H1834">
        <v>1</v>
      </c>
      <c r="I1834">
        <v>28.7</v>
      </c>
      <c r="J1834" s="2" t="s">
        <v>170</v>
      </c>
      <c r="K1834" s="2" t="s">
        <v>74</v>
      </c>
      <c r="M1834" t="s">
        <v>3150</v>
      </c>
      <c r="P1834" s="19" t="s">
        <v>2449</v>
      </c>
      <c r="R1834" s="19" t="s">
        <v>138</v>
      </c>
      <c r="U1834" s="19" t="s">
        <v>138</v>
      </c>
      <c r="W1834" s="20">
        <v>24</v>
      </c>
      <c r="X1834" s="65" t="s">
        <v>2010</v>
      </c>
      <c r="Z1834" t="s">
        <v>307</v>
      </c>
      <c r="AB1834" t="s">
        <v>178</v>
      </c>
      <c r="AC1834" t="s">
        <v>2558</v>
      </c>
      <c r="AD1834" s="2" t="s">
        <v>180</v>
      </c>
    </row>
    <row r="1835" spans="1:30" x14ac:dyDescent="0.25">
      <c r="A1835" s="2">
        <v>116</v>
      </c>
      <c r="B1835" t="s">
        <v>2569</v>
      </c>
      <c r="C1835">
        <v>12</v>
      </c>
      <c r="D1835">
        <v>238</v>
      </c>
      <c r="E1835">
        <v>1280</v>
      </c>
      <c r="F1835" t="s">
        <v>273</v>
      </c>
      <c r="G1835" s="2" t="s">
        <v>156</v>
      </c>
      <c r="H1835">
        <v>1</v>
      </c>
      <c r="I1835">
        <v>28.7</v>
      </c>
      <c r="J1835" s="2" t="s">
        <v>170</v>
      </c>
      <c r="K1835" s="2" t="s">
        <v>74</v>
      </c>
      <c r="M1835" t="s">
        <v>3150</v>
      </c>
      <c r="P1835" s="19" t="s">
        <v>2449</v>
      </c>
      <c r="R1835" s="19" t="s">
        <v>138</v>
      </c>
      <c r="U1835" s="19" t="s">
        <v>138</v>
      </c>
      <c r="W1835" s="20">
        <v>24</v>
      </c>
      <c r="X1835" s="65" t="s">
        <v>2010</v>
      </c>
      <c r="Z1835" t="s">
        <v>307</v>
      </c>
      <c r="AB1835" t="s">
        <v>178</v>
      </c>
      <c r="AC1835" t="s">
        <v>2558</v>
      </c>
      <c r="AD1835" s="2" t="s">
        <v>180</v>
      </c>
    </row>
    <row r="1836" spans="1:30" x14ac:dyDescent="0.25">
      <c r="A1836" s="2">
        <v>117</v>
      </c>
      <c r="B1836" t="s">
        <v>2570</v>
      </c>
      <c r="C1836">
        <v>12</v>
      </c>
      <c r="D1836">
        <v>490</v>
      </c>
      <c r="E1836">
        <v>9980</v>
      </c>
      <c r="F1836" t="s">
        <v>273</v>
      </c>
      <c r="G1836" s="2" t="s">
        <v>156</v>
      </c>
      <c r="H1836">
        <v>1</v>
      </c>
      <c r="I1836">
        <v>460.46</v>
      </c>
      <c r="J1836" s="2" t="s">
        <v>170</v>
      </c>
      <c r="K1836" s="2" t="s">
        <v>74</v>
      </c>
      <c r="M1836" t="s">
        <v>3150</v>
      </c>
      <c r="P1836" s="19" t="s">
        <v>2449</v>
      </c>
      <c r="Q1836" s="19" t="s">
        <v>27</v>
      </c>
      <c r="R1836" s="19" t="s">
        <v>138</v>
      </c>
      <c r="W1836" s="20">
        <v>24</v>
      </c>
      <c r="X1836" s="65" t="s">
        <v>2010</v>
      </c>
      <c r="Z1836" t="s">
        <v>307</v>
      </c>
      <c r="AB1836" t="s">
        <v>178</v>
      </c>
      <c r="AC1836" t="s">
        <v>2558</v>
      </c>
      <c r="AD1836" s="2" t="s">
        <v>180</v>
      </c>
    </row>
    <row r="1837" spans="1:30" x14ac:dyDescent="0.25">
      <c r="A1837" s="2">
        <v>118</v>
      </c>
      <c r="B1837" t="s">
        <v>2571</v>
      </c>
      <c r="C1837">
        <v>12</v>
      </c>
      <c r="D1837">
        <v>490</v>
      </c>
      <c r="E1837">
        <v>9980</v>
      </c>
      <c r="F1837" t="s">
        <v>273</v>
      </c>
      <c r="G1837" s="2" t="s">
        <v>156</v>
      </c>
      <c r="H1837">
        <v>1</v>
      </c>
      <c r="I1837">
        <v>460.46</v>
      </c>
      <c r="J1837" s="2" t="s">
        <v>170</v>
      </c>
      <c r="K1837" s="2" t="s">
        <v>74</v>
      </c>
      <c r="M1837" t="s">
        <v>3150</v>
      </c>
      <c r="P1837" s="19" t="s">
        <v>2449</v>
      </c>
      <c r="Q1837" s="19" t="s">
        <v>27</v>
      </c>
      <c r="R1837" s="19" t="s">
        <v>138</v>
      </c>
      <c r="W1837" s="20">
        <v>24</v>
      </c>
      <c r="X1837" s="65" t="s">
        <v>2010</v>
      </c>
      <c r="Z1837" t="s">
        <v>307</v>
      </c>
      <c r="AB1837" t="s">
        <v>178</v>
      </c>
      <c r="AC1837" t="s">
        <v>2558</v>
      </c>
      <c r="AD1837" s="2" t="s">
        <v>180</v>
      </c>
    </row>
    <row r="1838" spans="1:30" x14ac:dyDescent="0.25">
      <c r="A1838" s="2">
        <v>119</v>
      </c>
      <c r="B1838" t="s">
        <v>2572</v>
      </c>
      <c r="C1838">
        <v>12</v>
      </c>
      <c r="D1838">
        <v>238</v>
      </c>
      <c r="E1838">
        <v>1280</v>
      </c>
      <c r="F1838" t="s">
        <v>273</v>
      </c>
      <c r="G1838" s="2" t="s">
        <v>156</v>
      </c>
      <c r="H1838">
        <v>1</v>
      </c>
      <c r="I1838">
        <v>28.7</v>
      </c>
      <c r="J1838" s="2" t="s">
        <v>170</v>
      </c>
      <c r="K1838" s="2" t="s">
        <v>74</v>
      </c>
      <c r="M1838" t="s">
        <v>3150</v>
      </c>
      <c r="P1838" s="19" t="s">
        <v>2449</v>
      </c>
      <c r="R1838" s="19" t="s">
        <v>138</v>
      </c>
      <c r="U1838" s="19" t="s">
        <v>138</v>
      </c>
      <c r="W1838" s="20">
        <v>24</v>
      </c>
      <c r="X1838" s="65" t="s">
        <v>2010</v>
      </c>
      <c r="Z1838" t="s">
        <v>307</v>
      </c>
      <c r="AB1838" t="s">
        <v>178</v>
      </c>
      <c r="AC1838" t="s">
        <v>2558</v>
      </c>
      <c r="AD1838" s="2" t="s">
        <v>180</v>
      </c>
    </row>
    <row r="1839" spans="1:30" x14ac:dyDescent="0.25">
      <c r="A1839" s="2">
        <v>120</v>
      </c>
      <c r="B1839" t="s">
        <v>2573</v>
      </c>
      <c r="C1839">
        <v>12</v>
      </c>
      <c r="D1839">
        <v>490</v>
      </c>
      <c r="E1839">
        <v>6464</v>
      </c>
      <c r="F1839" t="s">
        <v>273</v>
      </c>
      <c r="G1839" s="2" t="s">
        <v>156</v>
      </c>
      <c r="H1839">
        <v>1</v>
      </c>
      <c r="I1839">
        <v>298.26</v>
      </c>
      <c r="J1839" s="2" t="s">
        <v>170</v>
      </c>
      <c r="K1839" s="2" t="s">
        <v>74</v>
      </c>
      <c r="M1839" t="s">
        <v>3150</v>
      </c>
      <c r="P1839" s="19" t="s">
        <v>2449</v>
      </c>
      <c r="Q1839" s="19" t="s">
        <v>27</v>
      </c>
      <c r="R1839" s="19" t="s">
        <v>138</v>
      </c>
      <c r="W1839" s="20">
        <v>24</v>
      </c>
      <c r="X1839" s="65" t="s">
        <v>2010</v>
      </c>
      <c r="Z1839" t="s">
        <v>307</v>
      </c>
      <c r="AB1839" t="s">
        <v>178</v>
      </c>
      <c r="AC1839" t="s">
        <v>2574</v>
      </c>
      <c r="AD1839" s="2" t="s">
        <v>180</v>
      </c>
    </row>
    <row r="1840" spans="1:30" x14ac:dyDescent="0.25">
      <c r="A1840" s="2">
        <v>121</v>
      </c>
      <c r="B1840" t="s">
        <v>2561</v>
      </c>
      <c r="C1840">
        <v>12</v>
      </c>
      <c r="D1840">
        <v>135</v>
      </c>
      <c r="E1840">
        <v>488</v>
      </c>
      <c r="F1840" t="s">
        <v>273</v>
      </c>
      <c r="G1840" s="2" t="s">
        <v>156</v>
      </c>
      <c r="H1840">
        <v>4</v>
      </c>
      <c r="I1840">
        <v>24.76</v>
      </c>
      <c r="J1840" s="2" t="s">
        <v>170</v>
      </c>
      <c r="K1840" s="2" t="s">
        <v>74</v>
      </c>
      <c r="M1840" t="s">
        <v>3150</v>
      </c>
      <c r="P1840" s="19" t="s">
        <v>2449</v>
      </c>
      <c r="Q1840" s="19" t="s">
        <v>25</v>
      </c>
      <c r="R1840" s="19" t="s">
        <v>138</v>
      </c>
      <c r="W1840" s="20">
        <v>24</v>
      </c>
      <c r="X1840" s="65" t="s">
        <v>2010</v>
      </c>
      <c r="Z1840" t="s">
        <v>307</v>
      </c>
      <c r="AB1840" t="s">
        <v>178</v>
      </c>
      <c r="AC1840" t="s">
        <v>2574</v>
      </c>
      <c r="AD1840" s="2" t="s">
        <v>180</v>
      </c>
    </row>
    <row r="1841" spans="1:30" x14ac:dyDescent="0.25">
      <c r="A1841" s="2">
        <v>122</v>
      </c>
      <c r="B1841" t="s">
        <v>2576</v>
      </c>
      <c r="C1841">
        <v>12</v>
      </c>
      <c r="D1841">
        <v>135</v>
      </c>
      <c r="E1841">
        <v>488</v>
      </c>
      <c r="F1841" t="s">
        <v>273</v>
      </c>
      <c r="G1841" s="2" t="s">
        <v>156</v>
      </c>
      <c r="H1841">
        <v>12</v>
      </c>
      <c r="I1841">
        <v>74.28</v>
      </c>
      <c r="J1841" s="2" t="s">
        <v>170</v>
      </c>
      <c r="K1841" s="2" t="s">
        <v>74</v>
      </c>
      <c r="M1841" t="s">
        <v>3150</v>
      </c>
      <c r="P1841" s="19" t="s">
        <v>2449</v>
      </c>
      <c r="Q1841" s="19" t="s">
        <v>25</v>
      </c>
      <c r="R1841" s="19" t="s">
        <v>138</v>
      </c>
      <c r="W1841" s="20">
        <v>24</v>
      </c>
      <c r="X1841" s="65" t="s">
        <v>2010</v>
      </c>
      <c r="Z1841" t="s">
        <v>307</v>
      </c>
      <c r="AB1841" t="s">
        <v>178</v>
      </c>
      <c r="AC1841" t="s">
        <v>2574</v>
      </c>
      <c r="AD1841" s="2" t="s">
        <v>180</v>
      </c>
    </row>
    <row r="1842" spans="1:30" x14ac:dyDescent="0.25">
      <c r="A1842" s="2">
        <v>123</v>
      </c>
      <c r="B1842" t="s">
        <v>2577</v>
      </c>
      <c r="C1842">
        <v>12</v>
      </c>
      <c r="D1842">
        <v>135</v>
      </c>
      <c r="E1842">
        <v>488</v>
      </c>
      <c r="F1842" t="s">
        <v>273</v>
      </c>
      <c r="G1842" s="2" t="s">
        <v>156</v>
      </c>
      <c r="H1842">
        <v>9</v>
      </c>
      <c r="I1842">
        <v>55.71</v>
      </c>
      <c r="J1842" s="2" t="s">
        <v>170</v>
      </c>
      <c r="K1842" s="2" t="s">
        <v>74</v>
      </c>
      <c r="M1842" t="s">
        <v>3150</v>
      </c>
      <c r="P1842" s="19" t="s">
        <v>2449</v>
      </c>
      <c r="Q1842" s="19" t="s">
        <v>25</v>
      </c>
      <c r="R1842" s="19" t="s">
        <v>138</v>
      </c>
      <c r="W1842" s="20">
        <v>24</v>
      </c>
      <c r="X1842" s="65" t="s">
        <v>2010</v>
      </c>
      <c r="Z1842" t="s">
        <v>307</v>
      </c>
      <c r="AB1842" t="s">
        <v>178</v>
      </c>
      <c r="AC1842" t="s">
        <v>2574</v>
      </c>
      <c r="AD1842" s="2" t="s">
        <v>180</v>
      </c>
    </row>
    <row r="1843" spans="1:30" x14ac:dyDescent="0.25">
      <c r="A1843" s="2">
        <v>124</v>
      </c>
      <c r="B1843" t="s">
        <v>2578</v>
      </c>
      <c r="C1843">
        <v>12</v>
      </c>
      <c r="D1843">
        <v>100</v>
      </c>
      <c r="E1843">
        <v>150</v>
      </c>
      <c r="F1843" t="s">
        <v>273</v>
      </c>
      <c r="G1843" s="2" t="s">
        <v>156</v>
      </c>
      <c r="H1843">
        <v>1</v>
      </c>
      <c r="I1843">
        <v>1.41</v>
      </c>
      <c r="J1843" s="2" t="s">
        <v>170</v>
      </c>
      <c r="K1843" s="2" t="s">
        <v>74</v>
      </c>
      <c r="M1843" t="s">
        <v>3150</v>
      </c>
      <c r="P1843" s="19" t="s">
        <v>2449</v>
      </c>
      <c r="Q1843" s="19" t="s">
        <v>25</v>
      </c>
      <c r="R1843" s="19" t="s">
        <v>138</v>
      </c>
      <c r="W1843" s="20">
        <v>24</v>
      </c>
      <c r="X1843" s="65" t="s">
        <v>2010</v>
      </c>
      <c r="Z1843" t="s">
        <v>307</v>
      </c>
      <c r="AB1843" t="s">
        <v>178</v>
      </c>
      <c r="AC1843" t="s">
        <v>2574</v>
      </c>
      <c r="AD1843" s="2" t="s">
        <v>180</v>
      </c>
    </row>
    <row r="1844" spans="1:30" x14ac:dyDescent="0.25">
      <c r="A1844" s="2">
        <v>125</v>
      </c>
      <c r="B1844" t="s">
        <v>2579</v>
      </c>
      <c r="C1844">
        <v>12</v>
      </c>
      <c r="D1844">
        <v>100</v>
      </c>
      <c r="E1844">
        <v>150</v>
      </c>
      <c r="F1844" t="s">
        <v>273</v>
      </c>
      <c r="G1844" s="2" t="s">
        <v>156</v>
      </c>
      <c r="H1844">
        <v>1</v>
      </c>
      <c r="I1844">
        <v>1.41</v>
      </c>
      <c r="J1844" s="2" t="s">
        <v>170</v>
      </c>
      <c r="K1844" s="2" t="s">
        <v>74</v>
      </c>
      <c r="M1844" t="s">
        <v>3150</v>
      </c>
      <c r="P1844" s="19" t="s">
        <v>2449</v>
      </c>
      <c r="Q1844" s="19" t="s">
        <v>25</v>
      </c>
      <c r="R1844" s="19" t="s">
        <v>138</v>
      </c>
      <c r="W1844" s="20">
        <v>24</v>
      </c>
      <c r="X1844" s="65" t="s">
        <v>2010</v>
      </c>
      <c r="Z1844" t="s">
        <v>307</v>
      </c>
      <c r="AB1844" t="s">
        <v>178</v>
      </c>
      <c r="AC1844" t="s">
        <v>2574</v>
      </c>
      <c r="AD1844" s="2" t="s">
        <v>180</v>
      </c>
    </row>
    <row r="1845" spans="1:30" x14ac:dyDescent="0.25">
      <c r="A1845" s="2">
        <v>126</v>
      </c>
      <c r="B1845" t="s">
        <v>2580</v>
      </c>
      <c r="C1845">
        <v>12</v>
      </c>
      <c r="D1845">
        <v>100</v>
      </c>
      <c r="E1845">
        <v>150</v>
      </c>
      <c r="F1845" t="s">
        <v>273</v>
      </c>
      <c r="G1845" s="2" t="s">
        <v>156</v>
      </c>
      <c r="H1845">
        <v>1</v>
      </c>
      <c r="I1845">
        <v>1.41</v>
      </c>
      <c r="J1845" s="2" t="s">
        <v>170</v>
      </c>
      <c r="K1845" s="2" t="s">
        <v>74</v>
      </c>
      <c r="M1845" t="s">
        <v>3150</v>
      </c>
      <c r="P1845" s="19" t="s">
        <v>2449</v>
      </c>
      <c r="Q1845" s="19" t="s">
        <v>25</v>
      </c>
      <c r="R1845" s="19" t="s">
        <v>138</v>
      </c>
      <c r="W1845" s="20">
        <v>24</v>
      </c>
      <c r="X1845" s="65" t="s">
        <v>2010</v>
      </c>
      <c r="Z1845" t="s">
        <v>307</v>
      </c>
      <c r="AB1845" t="s">
        <v>178</v>
      </c>
      <c r="AC1845" t="s">
        <v>2574</v>
      </c>
      <c r="AD1845" s="2" t="s">
        <v>180</v>
      </c>
    </row>
    <row r="1846" spans="1:30" x14ac:dyDescent="0.25">
      <c r="A1846" s="2">
        <v>127</v>
      </c>
      <c r="B1846" t="s">
        <v>2581</v>
      </c>
      <c r="C1846">
        <v>12</v>
      </c>
      <c r="D1846">
        <v>100</v>
      </c>
      <c r="E1846">
        <v>150</v>
      </c>
      <c r="F1846" t="s">
        <v>273</v>
      </c>
      <c r="G1846" s="2" t="s">
        <v>156</v>
      </c>
      <c r="H1846">
        <v>1</v>
      </c>
      <c r="I1846">
        <v>1.41</v>
      </c>
      <c r="J1846" s="2" t="s">
        <v>170</v>
      </c>
      <c r="K1846" s="2" t="s">
        <v>74</v>
      </c>
      <c r="M1846" t="s">
        <v>3150</v>
      </c>
      <c r="P1846" s="19" t="s">
        <v>2449</v>
      </c>
      <c r="Q1846" s="19" t="s">
        <v>25</v>
      </c>
      <c r="R1846" s="19" t="s">
        <v>138</v>
      </c>
      <c r="W1846" s="20">
        <v>24</v>
      </c>
      <c r="X1846" s="65" t="s">
        <v>2010</v>
      </c>
      <c r="Z1846" t="s">
        <v>307</v>
      </c>
      <c r="AB1846" t="s">
        <v>178</v>
      </c>
      <c r="AC1846" t="s">
        <v>2574</v>
      </c>
      <c r="AD1846" s="2" t="s">
        <v>180</v>
      </c>
    </row>
    <row r="1847" spans="1:30" x14ac:dyDescent="0.25">
      <c r="A1847" s="2">
        <v>128</v>
      </c>
      <c r="B1847" t="s">
        <v>2582</v>
      </c>
      <c r="C1847">
        <v>12</v>
      </c>
      <c r="D1847">
        <v>100</v>
      </c>
      <c r="E1847">
        <v>150</v>
      </c>
      <c r="F1847" t="s">
        <v>273</v>
      </c>
      <c r="G1847" s="2" t="s">
        <v>156</v>
      </c>
      <c r="H1847">
        <v>1</v>
      </c>
      <c r="I1847">
        <v>1.41</v>
      </c>
      <c r="J1847" s="2" t="s">
        <v>170</v>
      </c>
      <c r="K1847" s="2" t="s">
        <v>74</v>
      </c>
      <c r="M1847" t="s">
        <v>3150</v>
      </c>
      <c r="P1847" s="19" t="s">
        <v>2449</v>
      </c>
      <c r="Q1847" s="19" t="s">
        <v>25</v>
      </c>
      <c r="R1847" s="19" t="s">
        <v>138</v>
      </c>
      <c r="W1847" s="20">
        <v>24</v>
      </c>
      <c r="X1847" s="65" t="s">
        <v>2010</v>
      </c>
      <c r="Z1847" t="s">
        <v>307</v>
      </c>
      <c r="AB1847" t="s">
        <v>178</v>
      </c>
      <c r="AC1847" t="s">
        <v>2574</v>
      </c>
      <c r="AD1847" s="2" t="s">
        <v>180</v>
      </c>
    </row>
    <row r="1848" spans="1:30" x14ac:dyDescent="0.25">
      <c r="A1848" s="2">
        <v>129</v>
      </c>
      <c r="B1848" t="s">
        <v>2583</v>
      </c>
      <c r="C1848">
        <v>12</v>
      </c>
      <c r="D1848">
        <v>100</v>
      </c>
      <c r="E1848">
        <v>150</v>
      </c>
      <c r="F1848" t="s">
        <v>273</v>
      </c>
      <c r="G1848" s="2" t="s">
        <v>156</v>
      </c>
      <c r="H1848">
        <v>1</v>
      </c>
      <c r="I1848">
        <v>1.41</v>
      </c>
      <c r="J1848" s="2" t="s">
        <v>170</v>
      </c>
      <c r="K1848" s="2" t="s">
        <v>74</v>
      </c>
      <c r="M1848" t="s">
        <v>3150</v>
      </c>
      <c r="P1848" s="19" t="s">
        <v>2449</v>
      </c>
      <c r="Q1848" s="19" t="s">
        <v>25</v>
      </c>
      <c r="R1848" s="19" t="s">
        <v>138</v>
      </c>
      <c r="W1848" s="20">
        <v>24</v>
      </c>
      <c r="X1848" s="65" t="s">
        <v>2010</v>
      </c>
      <c r="Z1848" t="s">
        <v>307</v>
      </c>
      <c r="AB1848" t="s">
        <v>178</v>
      </c>
      <c r="AC1848" t="s">
        <v>2574</v>
      </c>
      <c r="AD1848" s="2" t="s">
        <v>180</v>
      </c>
    </row>
    <row r="1849" spans="1:30" x14ac:dyDescent="0.25">
      <c r="A1849" s="2">
        <v>130</v>
      </c>
      <c r="B1849" t="s">
        <v>2584</v>
      </c>
      <c r="C1849">
        <v>12</v>
      </c>
      <c r="D1849">
        <v>1460</v>
      </c>
      <c r="E1849">
        <v>9068</v>
      </c>
      <c r="F1849" t="s">
        <v>273</v>
      </c>
      <c r="G1849" s="2" t="s">
        <v>156</v>
      </c>
      <c r="H1849">
        <v>1</v>
      </c>
      <c r="I1849">
        <v>1240.54</v>
      </c>
      <c r="J1849" s="2" t="s">
        <v>170</v>
      </c>
      <c r="K1849" s="2" t="s">
        <v>74</v>
      </c>
      <c r="M1849" t="s">
        <v>3150</v>
      </c>
      <c r="P1849" s="19" t="s">
        <v>2449</v>
      </c>
      <c r="Q1849" s="19" t="s">
        <v>27</v>
      </c>
      <c r="R1849" s="19" t="s">
        <v>138</v>
      </c>
      <c r="W1849" s="20">
        <v>24</v>
      </c>
      <c r="X1849" s="65" t="s">
        <v>2010</v>
      </c>
      <c r="Z1849" t="s">
        <v>307</v>
      </c>
      <c r="AB1849" t="s">
        <v>178</v>
      </c>
      <c r="AC1849" t="s">
        <v>2574</v>
      </c>
      <c r="AD1849" s="2" t="s">
        <v>180</v>
      </c>
    </row>
    <row r="1850" spans="1:30" x14ac:dyDescent="0.25">
      <c r="A1850" s="2">
        <v>131</v>
      </c>
      <c r="B1850" t="s">
        <v>2546</v>
      </c>
      <c r="C1850">
        <v>12</v>
      </c>
      <c r="D1850">
        <v>95</v>
      </c>
      <c r="E1850">
        <v>263</v>
      </c>
      <c r="F1850" t="s">
        <v>273</v>
      </c>
      <c r="G1850" s="2" t="s">
        <v>156</v>
      </c>
      <c r="H1850">
        <v>4</v>
      </c>
      <c r="I1850">
        <v>9.35</v>
      </c>
      <c r="J1850" s="2" t="s">
        <v>170</v>
      </c>
      <c r="K1850" s="2" t="s">
        <v>74</v>
      </c>
      <c r="M1850" t="s">
        <v>3150</v>
      </c>
      <c r="P1850" s="19" t="s">
        <v>2449</v>
      </c>
      <c r="Q1850" s="19" t="s">
        <v>25</v>
      </c>
      <c r="R1850" s="19" t="s">
        <v>138</v>
      </c>
      <c r="W1850" s="20">
        <v>24</v>
      </c>
      <c r="X1850" s="65" t="s">
        <v>2010</v>
      </c>
      <c r="Z1850" t="s">
        <v>307</v>
      </c>
      <c r="AB1850" t="s">
        <v>178</v>
      </c>
      <c r="AC1850" t="s">
        <v>2574</v>
      </c>
      <c r="AD1850" s="2" t="s">
        <v>180</v>
      </c>
    </row>
    <row r="1851" spans="1:30" x14ac:dyDescent="0.25">
      <c r="A1851" s="2">
        <v>132</v>
      </c>
      <c r="B1851" t="s">
        <v>2585</v>
      </c>
      <c r="C1851">
        <v>12</v>
      </c>
      <c r="D1851">
        <v>490</v>
      </c>
      <c r="E1851">
        <v>1388</v>
      </c>
      <c r="F1851" t="s">
        <v>273</v>
      </c>
      <c r="G1851" s="2" t="s">
        <v>156</v>
      </c>
      <c r="H1851">
        <v>1</v>
      </c>
      <c r="I1851">
        <v>63.63</v>
      </c>
      <c r="J1851" s="2" t="s">
        <v>170</v>
      </c>
      <c r="K1851" s="2" t="s">
        <v>74</v>
      </c>
      <c r="M1851" t="s">
        <v>3150</v>
      </c>
      <c r="P1851" s="19" t="s">
        <v>2449</v>
      </c>
      <c r="Q1851" s="19" t="s">
        <v>27</v>
      </c>
      <c r="R1851" s="19" t="s">
        <v>138</v>
      </c>
      <c r="W1851" s="20">
        <v>24</v>
      </c>
      <c r="X1851" s="65" t="s">
        <v>2010</v>
      </c>
      <c r="Z1851" t="s">
        <v>307</v>
      </c>
      <c r="AB1851" t="s">
        <v>178</v>
      </c>
      <c r="AC1851" t="s">
        <v>2574</v>
      </c>
      <c r="AD1851" s="2" t="s">
        <v>180</v>
      </c>
    </row>
    <row r="1852" spans="1:30" x14ac:dyDescent="0.25">
      <c r="A1852" s="2">
        <v>133</v>
      </c>
      <c r="B1852" t="s">
        <v>2481</v>
      </c>
      <c r="C1852">
        <v>12</v>
      </c>
      <c r="D1852">
        <v>128</v>
      </c>
      <c r="E1852">
        <v>145</v>
      </c>
      <c r="F1852" t="s">
        <v>273</v>
      </c>
      <c r="G1852" s="2" t="s">
        <v>156</v>
      </c>
      <c r="H1852">
        <v>2</v>
      </c>
      <c r="I1852">
        <v>3.34</v>
      </c>
      <c r="J1852" s="2" t="s">
        <v>170</v>
      </c>
      <c r="K1852" s="2" t="s">
        <v>74</v>
      </c>
      <c r="M1852" t="s">
        <v>3150</v>
      </c>
      <c r="P1852" s="19" t="s">
        <v>2449</v>
      </c>
      <c r="Q1852" s="19" t="s">
        <v>25</v>
      </c>
      <c r="R1852" s="19" t="s">
        <v>138</v>
      </c>
      <c r="W1852" s="20">
        <v>24</v>
      </c>
      <c r="X1852" s="65" t="s">
        <v>2010</v>
      </c>
      <c r="Z1852" t="s">
        <v>307</v>
      </c>
      <c r="AB1852" t="s">
        <v>178</v>
      </c>
      <c r="AC1852" t="s">
        <v>2574</v>
      </c>
      <c r="AD1852" s="2" t="s">
        <v>180</v>
      </c>
    </row>
    <row r="1853" spans="1:30" x14ac:dyDescent="0.25">
      <c r="A1853" s="2">
        <v>134</v>
      </c>
      <c r="B1853" t="s">
        <v>2586</v>
      </c>
      <c r="C1853">
        <v>12</v>
      </c>
      <c r="D1853">
        <v>490</v>
      </c>
      <c r="E1853">
        <v>1514</v>
      </c>
      <c r="F1853" t="s">
        <v>273</v>
      </c>
      <c r="G1853" s="2" t="s">
        <v>156</v>
      </c>
      <c r="H1853">
        <v>1</v>
      </c>
      <c r="I1853">
        <v>69.78</v>
      </c>
      <c r="J1853" s="2" t="s">
        <v>170</v>
      </c>
      <c r="K1853" s="2" t="s">
        <v>74</v>
      </c>
      <c r="M1853" t="s">
        <v>3150</v>
      </c>
      <c r="P1853" s="19" t="s">
        <v>2449</v>
      </c>
      <c r="Q1853" s="19" t="s">
        <v>27</v>
      </c>
      <c r="R1853" s="19" t="s">
        <v>138</v>
      </c>
      <c r="W1853" s="20">
        <v>24</v>
      </c>
      <c r="X1853" s="65" t="s">
        <v>2010</v>
      </c>
      <c r="Z1853" t="s">
        <v>307</v>
      </c>
      <c r="AB1853" t="s">
        <v>178</v>
      </c>
      <c r="AC1853" t="s">
        <v>2574</v>
      </c>
      <c r="AD1853" s="2" t="s">
        <v>180</v>
      </c>
    </row>
    <row r="1854" spans="1:30" x14ac:dyDescent="0.25">
      <c r="A1854" s="2">
        <v>135</v>
      </c>
      <c r="B1854" t="s">
        <v>2587</v>
      </c>
      <c r="C1854">
        <v>12</v>
      </c>
      <c r="D1854">
        <v>490</v>
      </c>
      <c r="E1854">
        <v>1388</v>
      </c>
      <c r="F1854" t="s">
        <v>273</v>
      </c>
      <c r="G1854" s="2" t="s">
        <v>156</v>
      </c>
      <c r="H1854">
        <v>1</v>
      </c>
      <c r="I1854">
        <v>63.63</v>
      </c>
      <c r="J1854" s="2" t="s">
        <v>170</v>
      </c>
      <c r="K1854" s="2" t="s">
        <v>74</v>
      </c>
      <c r="M1854" t="s">
        <v>3150</v>
      </c>
      <c r="P1854" s="19" t="s">
        <v>2449</v>
      </c>
      <c r="Q1854" s="19" t="s">
        <v>27</v>
      </c>
      <c r="R1854" s="19" t="s">
        <v>138</v>
      </c>
      <c r="W1854" s="20">
        <v>24</v>
      </c>
      <c r="X1854" s="65" t="s">
        <v>2010</v>
      </c>
      <c r="Z1854" t="s">
        <v>307</v>
      </c>
      <c r="AB1854" t="s">
        <v>178</v>
      </c>
      <c r="AC1854" t="s">
        <v>2574</v>
      </c>
      <c r="AD1854" s="2" t="s">
        <v>180</v>
      </c>
    </row>
    <row r="1855" spans="1:30" x14ac:dyDescent="0.25">
      <c r="A1855" s="2">
        <v>136</v>
      </c>
      <c r="B1855" t="s">
        <v>2588</v>
      </c>
      <c r="C1855">
        <v>12</v>
      </c>
      <c r="D1855">
        <v>490</v>
      </c>
      <c r="E1855">
        <v>1388</v>
      </c>
      <c r="F1855" t="s">
        <v>273</v>
      </c>
      <c r="G1855" s="2" t="s">
        <v>156</v>
      </c>
      <c r="H1855">
        <v>1</v>
      </c>
      <c r="I1855">
        <v>63.63</v>
      </c>
      <c r="J1855" s="2" t="s">
        <v>170</v>
      </c>
      <c r="K1855" s="2" t="s">
        <v>74</v>
      </c>
      <c r="M1855" t="s">
        <v>3150</v>
      </c>
      <c r="P1855" s="19" t="s">
        <v>2449</v>
      </c>
      <c r="Q1855" s="19" t="s">
        <v>27</v>
      </c>
      <c r="R1855" s="19" t="s">
        <v>138</v>
      </c>
      <c r="W1855" s="20">
        <v>24</v>
      </c>
      <c r="X1855" s="65" t="s">
        <v>2010</v>
      </c>
      <c r="Z1855" t="s">
        <v>307</v>
      </c>
      <c r="AB1855" t="s">
        <v>178</v>
      </c>
      <c r="AC1855" t="s">
        <v>2574</v>
      </c>
      <c r="AD1855" s="2" t="s">
        <v>180</v>
      </c>
    </row>
    <row r="1856" spans="1:30" x14ac:dyDescent="0.25">
      <c r="A1856" s="2">
        <v>137</v>
      </c>
      <c r="B1856" t="s">
        <v>2589</v>
      </c>
      <c r="C1856">
        <v>12</v>
      </c>
      <c r="D1856">
        <v>238</v>
      </c>
      <c r="E1856">
        <v>1280</v>
      </c>
      <c r="F1856" t="s">
        <v>273</v>
      </c>
      <c r="G1856" s="2" t="s">
        <v>156</v>
      </c>
      <c r="H1856">
        <v>1</v>
      </c>
      <c r="I1856">
        <v>28.7</v>
      </c>
      <c r="J1856" s="2" t="s">
        <v>170</v>
      </c>
      <c r="K1856" s="2" t="s">
        <v>74</v>
      </c>
      <c r="M1856" t="s">
        <v>3150</v>
      </c>
      <c r="P1856" s="19" t="s">
        <v>2449</v>
      </c>
      <c r="R1856" s="19" t="s">
        <v>138</v>
      </c>
      <c r="U1856" s="19" t="s">
        <v>138</v>
      </c>
      <c r="W1856" s="20">
        <v>24</v>
      </c>
      <c r="X1856" s="65" t="s">
        <v>2010</v>
      </c>
      <c r="Z1856" t="s">
        <v>307</v>
      </c>
      <c r="AB1856" t="s">
        <v>178</v>
      </c>
      <c r="AC1856" t="s">
        <v>2574</v>
      </c>
      <c r="AD1856" s="2" t="s">
        <v>180</v>
      </c>
    </row>
    <row r="1857" spans="1:30" x14ac:dyDescent="0.25">
      <c r="A1857" s="2">
        <v>138</v>
      </c>
      <c r="B1857" t="s">
        <v>2590</v>
      </c>
      <c r="C1857">
        <v>12</v>
      </c>
      <c r="D1857">
        <v>238</v>
      </c>
      <c r="E1857">
        <v>1280</v>
      </c>
      <c r="F1857" t="s">
        <v>273</v>
      </c>
      <c r="G1857" s="2" t="s">
        <v>156</v>
      </c>
      <c r="H1857">
        <v>1</v>
      </c>
      <c r="I1857">
        <v>28.7</v>
      </c>
      <c r="J1857" s="2" t="s">
        <v>170</v>
      </c>
      <c r="K1857" s="2" t="s">
        <v>74</v>
      </c>
      <c r="M1857" t="s">
        <v>3150</v>
      </c>
      <c r="P1857" s="19" t="s">
        <v>2449</v>
      </c>
      <c r="R1857" s="19" t="s">
        <v>138</v>
      </c>
      <c r="U1857" s="19" t="s">
        <v>138</v>
      </c>
      <c r="W1857" s="20">
        <v>24</v>
      </c>
      <c r="X1857" s="65" t="s">
        <v>2010</v>
      </c>
      <c r="Z1857" t="s">
        <v>307</v>
      </c>
      <c r="AB1857" t="s">
        <v>178</v>
      </c>
      <c r="AC1857" t="s">
        <v>2574</v>
      </c>
      <c r="AD1857" s="2" t="s">
        <v>180</v>
      </c>
    </row>
    <row r="1858" spans="1:30" x14ac:dyDescent="0.25">
      <c r="A1858" s="2">
        <v>139</v>
      </c>
      <c r="B1858" t="s">
        <v>2591</v>
      </c>
      <c r="C1858">
        <v>12</v>
      </c>
      <c r="D1858">
        <v>238</v>
      </c>
      <c r="E1858">
        <v>1280</v>
      </c>
      <c r="F1858" t="s">
        <v>273</v>
      </c>
      <c r="G1858" s="2" t="s">
        <v>156</v>
      </c>
      <c r="H1858">
        <v>1</v>
      </c>
      <c r="I1858">
        <v>28.7</v>
      </c>
      <c r="J1858" s="2" t="s">
        <v>170</v>
      </c>
      <c r="K1858" s="2" t="s">
        <v>74</v>
      </c>
      <c r="M1858" t="s">
        <v>3150</v>
      </c>
      <c r="P1858" s="19" t="s">
        <v>2449</v>
      </c>
      <c r="R1858" s="19" t="s">
        <v>138</v>
      </c>
      <c r="U1858" s="19" t="s">
        <v>138</v>
      </c>
      <c r="W1858" s="20">
        <v>24</v>
      </c>
      <c r="X1858" s="65" t="s">
        <v>2010</v>
      </c>
      <c r="Z1858" t="s">
        <v>307</v>
      </c>
      <c r="AB1858" t="s">
        <v>178</v>
      </c>
      <c r="AC1858" t="s">
        <v>2574</v>
      </c>
      <c r="AD1858" s="2" t="s">
        <v>180</v>
      </c>
    </row>
    <row r="1859" spans="1:30" x14ac:dyDescent="0.25">
      <c r="A1859" s="2">
        <v>140</v>
      </c>
      <c r="B1859" t="s">
        <v>2592</v>
      </c>
      <c r="C1859">
        <v>12</v>
      </c>
      <c r="D1859">
        <v>238</v>
      </c>
      <c r="E1859">
        <v>1280</v>
      </c>
      <c r="F1859" t="s">
        <v>273</v>
      </c>
      <c r="G1859" s="2" t="s">
        <v>156</v>
      </c>
      <c r="H1859">
        <v>1</v>
      </c>
      <c r="I1859">
        <v>28.7</v>
      </c>
      <c r="J1859" s="2" t="s">
        <v>170</v>
      </c>
      <c r="K1859" s="2" t="s">
        <v>74</v>
      </c>
      <c r="M1859" t="s">
        <v>3150</v>
      </c>
      <c r="P1859" s="19" t="s">
        <v>2449</v>
      </c>
      <c r="R1859" s="19" t="s">
        <v>138</v>
      </c>
      <c r="U1859" s="19" t="s">
        <v>138</v>
      </c>
      <c r="W1859" s="20">
        <v>24</v>
      </c>
      <c r="X1859" s="65" t="s">
        <v>2010</v>
      </c>
      <c r="Z1859" t="s">
        <v>307</v>
      </c>
      <c r="AB1859" t="s">
        <v>178</v>
      </c>
      <c r="AC1859" t="s">
        <v>2574</v>
      </c>
      <c r="AD1859" s="2" t="s">
        <v>180</v>
      </c>
    </row>
    <row r="1860" spans="1:30" x14ac:dyDescent="0.25">
      <c r="A1860" s="2">
        <v>141</v>
      </c>
      <c r="B1860" t="s">
        <v>2593</v>
      </c>
      <c r="C1860">
        <v>12</v>
      </c>
      <c r="D1860">
        <v>238</v>
      </c>
      <c r="E1860">
        <v>1280</v>
      </c>
      <c r="F1860" t="s">
        <v>273</v>
      </c>
      <c r="G1860" s="2" t="s">
        <v>156</v>
      </c>
      <c r="H1860">
        <v>1</v>
      </c>
      <c r="I1860">
        <v>28.7</v>
      </c>
      <c r="J1860" s="2" t="s">
        <v>170</v>
      </c>
      <c r="K1860" s="2" t="s">
        <v>74</v>
      </c>
      <c r="M1860" t="s">
        <v>3150</v>
      </c>
      <c r="P1860" s="19" t="s">
        <v>2449</v>
      </c>
      <c r="R1860" s="19" t="s">
        <v>138</v>
      </c>
      <c r="U1860" s="19" t="s">
        <v>138</v>
      </c>
      <c r="W1860" s="20">
        <v>24</v>
      </c>
      <c r="X1860" s="65" t="s">
        <v>2010</v>
      </c>
      <c r="Z1860" t="s">
        <v>307</v>
      </c>
      <c r="AB1860" t="s">
        <v>178</v>
      </c>
      <c r="AC1860" t="s">
        <v>2574</v>
      </c>
      <c r="AD1860" s="2" t="s">
        <v>180</v>
      </c>
    </row>
    <row r="1861" spans="1:30" x14ac:dyDescent="0.25">
      <c r="A1861" s="2">
        <v>142</v>
      </c>
      <c r="B1861" t="s">
        <v>2594</v>
      </c>
      <c r="C1861">
        <v>12</v>
      </c>
      <c r="D1861">
        <v>238</v>
      </c>
      <c r="E1861">
        <v>1280</v>
      </c>
      <c r="F1861" t="s">
        <v>273</v>
      </c>
      <c r="G1861" s="2" t="s">
        <v>156</v>
      </c>
      <c r="H1861">
        <v>1</v>
      </c>
      <c r="I1861">
        <v>28.7</v>
      </c>
      <c r="J1861" s="2" t="s">
        <v>170</v>
      </c>
      <c r="K1861" s="2" t="s">
        <v>74</v>
      </c>
      <c r="M1861" t="s">
        <v>3150</v>
      </c>
      <c r="P1861" s="19" t="s">
        <v>2449</v>
      </c>
      <c r="R1861" s="19" t="s">
        <v>138</v>
      </c>
      <c r="U1861" s="19" t="s">
        <v>138</v>
      </c>
      <c r="W1861" s="20">
        <v>24</v>
      </c>
      <c r="X1861" s="65" t="s">
        <v>2010</v>
      </c>
      <c r="Z1861" t="s">
        <v>307</v>
      </c>
      <c r="AB1861" t="s">
        <v>178</v>
      </c>
      <c r="AC1861" t="s">
        <v>2574</v>
      </c>
      <c r="AD1861" s="2" t="s">
        <v>180</v>
      </c>
    </row>
    <row r="1862" spans="1:30" x14ac:dyDescent="0.25">
      <c r="A1862" s="2">
        <v>143</v>
      </c>
      <c r="B1862" t="s">
        <v>2595</v>
      </c>
      <c r="C1862">
        <v>12</v>
      </c>
      <c r="D1862">
        <v>238</v>
      </c>
      <c r="E1862">
        <v>1280</v>
      </c>
      <c r="F1862" t="s">
        <v>273</v>
      </c>
      <c r="G1862" s="2" t="s">
        <v>156</v>
      </c>
      <c r="H1862">
        <v>1</v>
      </c>
      <c r="I1862">
        <v>28.7</v>
      </c>
      <c r="J1862" s="2" t="s">
        <v>170</v>
      </c>
      <c r="K1862" s="2" t="s">
        <v>74</v>
      </c>
      <c r="M1862" t="s">
        <v>3150</v>
      </c>
      <c r="P1862" s="19" t="s">
        <v>2449</v>
      </c>
      <c r="R1862" s="19" t="s">
        <v>138</v>
      </c>
      <c r="U1862" s="19" t="s">
        <v>138</v>
      </c>
      <c r="W1862" s="20">
        <v>24</v>
      </c>
      <c r="X1862" s="65" t="s">
        <v>2010</v>
      </c>
      <c r="Z1862" t="s">
        <v>307</v>
      </c>
      <c r="AB1862" t="s">
        <v>178</v>
      </c>
      <c r="AC1862" t="s">
        <v>2574</v>
      </c>
      <c r="AD1862" s="2" t="s">
        <v>180</v>
      </c>
    </row>
    <row r="1863" spans="1:30" x14ac:dyDescent="0.25">
      <c r="A1863" s="2">
        <v>144</v>
      </c>
      <c r="B1863" t="s">
        <v>2452</v>
      </c>
      <c r="C1863">
        <v>12</v>
      </c>
      <c r="D1863">
        <v>120</v>
      </c>
      <c r="E1863">
        <v>129</v>
      </c>
      <c r="F1863" t="s">
        <v>273</v>
      </c>
      <c r="G1863" s="2" t="s">
        <v>156</v>
      </c>
      <c r="H1863">
        <v>23</v>
      </c>
      <c r="I1863">
        <v>30.45</v>
      </c>
      <c r="J1863" s="2" t="s">
        <v>170</v>
      </c>
      <c r="K1863" s="2" t="s">
        <v>74</v>
      </c>
      <c r="M1863" t="s">
        <v>3150</v>
      </c>
      <c r="P1863" s="19" t="s">
        <v>2449</v>
      </c>
      <c r="Q1863" s="19" t="s">
        <v>25</v>
      </c>
      <c r="R1863" s="19" t="s">
        <v>138</v>
      </c>
      <c r="W1863" s="20">
        <v>24</v>
      </c>
      <c r="X1863" s="65" t="s">
        <v>2010</v>
      </c>
      <c r="Z1863" t="s">
        <v>307</v>
      </c>
      <c r="AB1863" t="s">
        <v>178</v>
      </c>
      <c r="AC1863" t="s">
        <v>2596</v>
      </c>
      <c r="AD1863" s="2" t="s">
        <v>180</v>
      </c>
    </row>
    <row r="1864" spans="1:30" x14ac:dyDescent="0.25">
      <c r="A1864" s="2">
        <v>145</v>
      </c>
      <c r="B1864" t="s">
        <v>2598</v>
      </c>
      <c r="C1864">
        <v>12</v>
      </c>
      <c r="D1864">
        <v>490</v>
      </c>
      <c r="E1864">
        <v>6464</v>
      </c>
      <c r="F1864" t="s">
        <v>273</v>
      </c>
      <c r="G1864" s="2" t="s">
        <v>156</v>
      </c>
      <c r="H1864">
        <v>1</v>
      </c>
      <c r="I1864">
        <v>298.26</v>
      </c>
      <c r="J1864" s="2" t="s">
        <v>170</v>
      </c>
      <c r="K1864" s="2" t="s">
        <v>74</v>
      </c>
      <c r="M1864" t="s">
        <v>3150</v>
      </c>
      <c r="P1864" s="19" t="s">
        <v>2449</v>
      </c>
      <c r="Q1864" s="19" t="s">
        <v>27</v>
      </c>
      <c r="R1864" s="19" t="s">
        <v>138</v>
      </c>
      <c r="W1864" s="20">
        <v>24</v>
      </c>
      <c r="X1864" s="65" t="s">
        <v>2010</v>
      </c>
      <c r="Z1864" t="s">
        <v>307</v>
      </c>
      <c r="AB1864" t="s">
        <v>178</v>
      </c>
      <c r="AC1864" t="s">
        <v>2596</v>
      </c>
      <c r="AD1864" s="2" t="s">
        <v>180</v>
      </c>
    </row>
    <row r="1865" spans="1:30" x14ac:dyDescent="0.25">
      <c r="A1865" s="2">
        <v>146</v>
      </c>
      <c r="B1865" t="s">
        <v>2599</v>
      </c>
      <c r="C1865">
        <v>12</v>
      </c>
      <c r="D1865">
        <v>120</v>
      </c>
      <c r="E1865">
        <v>129</v>
      </c>
      <c r="F1865" t="s">
        <v>273</v>
      </c>
      <c r="G1865" s="2" t="s">
        <v>156</v>
      </c>
      <c r="H1865">
        <v>24</v>
      </c>
      <c r="I1865">
        <v>31.78</v>
      </c>
      <c r="J1865" s="2" t="s">
        <v>170</v>
      </c>
      <c r="K1865" s="2" t="s">
        <v>74</v>
      </c>
      <c r="M1865" t="s">
        <v>3150</v>
      </c>
      <c r="P1865" s="19" t="s">
        <v>2449</v>
      </c>
      <c r="Q1865" s="19" t="s">
        <v>25</v>
      </c>
      <c r="R1865" s="19" t="s">
        <v>138</v>
      </c>
      <c r="W1865" s="20">
        <v>24</v>
      </c>
      <c r="X1865" s="65" t="s">
        <v>2010</v>
      </c>
      <c r="Z1865" t="s">
        <v>307</v>
      </c>
      <c r="AB1865" t="s">
        <v>178</v>
      </c>
      <c r="AC1865" t="s">
        <v>2596</v>
      </c>
      <c r="AD1865" s="2" t="s">
        <v>180</v>
      </c>
    </row>
    <row r="1866" spans="1:30" x14ac:dyDescent="0.25">
      <c r="A1866" s="2">
        <v>147</v>
      </c>
      <c r="B1866" t="s">
        <v>2600</v>
      </c>
      <c r="C1866">
        <v>12</v>
      </c>
      <c r="D1866">
        <v>120</v>
      </c>
      <c r="E1866">
        <v>129</v>
      </c>
      <c r="F1866" t="s">
        <v>273</v>
      </c>
      <c r="G1866" s="2" t="s">
        <v>156</v>
      </c>
      <c r="H1866">
        <v>24</v>
      </c>
      <c r="I1866">
        <v>31.78</v>
      </c>
      <c r="J1866" s="2" t="s">
        <v>170</v>
      </c>
      <c r="K1866" s="2" t="s">
        <v>74</v>
      </c>
      <c r="M1866" t="s">
        <v>3150</v>
      </c>
      <c r="P1866" s="19" t="s">
        <v>2449</v>
      </c>
      <c r="Q1866" s="19" t="s">
        <v>25</v>
      </c>
      <c r="R1866" s="19" t="s">
        <v>138</v>
      </c>
      <c r="W1866" s="20">
        <v>24</v>
      </c>
      <c r="X1866" s="65" t="s">
        <v>2010</v>
      </c>
      <c r="Z1866" t="s">
        <v>307</v>
      </c>
      <c r="AB1866" t="s">
        <v>178</v>
      </c>
      <c r="AC1866" t="s">
        <v>2596</v>
      </c>
      <c r="AD1866" s="2" t="s">
        <v>180</v>
      </c>
    </row>
    <row r="1867" spans="1:30" x14ac:dyDescent="0.25">
      <c r="A1867" s="2">
        <v>148</v>
      </c>
      <c r="B1867" t="s">
        <v>2601</v>
      </c>
      <c r="C1867">
        <v>12</v>
      </c>
      <c r="D1867">
        <v>120</v>
      </c>
      <c r="E1867">
        <v>129</v>
      </c>
      <c r="F1867" t="s">
        <v>273</v>
      </c>
      <c r="G1867" s="2" t="s">
        <v>156</v>
      </c>
      <c r="H1867">
        <v>24</v>
      </c>
      <c r="I1867">
        <v>31.78</v>
      </c>
      <c r="J1867" s="2" t="s">
        <v>170</v>
      </c>
      <c r="K1867" s="2" t="s">
        <v>74</v>
      </c>
      <c r="M1867" t="s">
        <v>3150</v>
      </c>
      <c r="P1867" s="19" t="s">
        <v>2449</v>
      </c>
      <c r="Q1867" s="19" t="s">
        <v>25</v>
      </c>
      <c r="R1867" s="19" t="s">
        <v>138</v>
      </c>
      <c r="W1867" s="20">
        <v>24</v>
      </c>
      <c r="X1867" s="65" t="s">
        <v>2010</v>
      </c>
      <c r="Z1867" t="s">
        <v>307</v>
      </c>
      <c r="AB1867" t="s">
        <v>178</v>
      </c>
      <c r="AC1867" t="s">
        <v>2596</v>
      </c>
      <c r="AD1867" s="2" t="s">
        <v>180</v>
      </c>
    </row>
    <row r="1868" spans="1:30" x14ac:dyDescent="0.25">
      <c r="A1868" s="2">
        <v>149</v>
      </c>
      <c r="B1868" t="s">
        <v>2577</v>
      </c>
      <c r="C1868">
        <v>12</v>
      </c>
      <c r="D1868">
        <v>135</v>
      </c>
      <c r="E1868">
        <v>488</v>
      </c>
      <c r="F1868" t="s">
        <v>273</v>
      </c>
      <c r="G1868" s="2" t="s">
        <v>156</v>
      </c>
      <c r="H1868">
        <v>3</v>
      </c>
      <c r="I1868">
        <v>18.57</v>
      </c>
      <c r="J1868" s="2" t="s">
        <v>170</v>
      </c>
      <c r="K1868" s="2" t="s">
        <v>74</v>
      </c>
      <c r="M1868" t="s">
        <v>3150</v>
      </c>
      <c r="P1868" s="19" t="s">
        <v>2449</v>
      </c>
      <c r="Q1868" s="19" t="s">
        <v>25</v>
      </c>
      <c r="R1868" s="19" t="s">
        <v>138</v>
      </c>
      <c r="W1868" s="20">
        <v>24</v>
      </c>
      <c r="X1868" s="65" t="s">
        <v>2010</v>
      </c>
      <c r="Z1868" t="s">
        <v>307</v>
      </c>
      <c r="AB1868" t="s">
        <v>178</v>
      </c>
      <c r="AC1868" t="s">
        <v>2596</v>
      </c>
      <c r="AD1868" s="2" t="s">
        <v>180</v>
      </c>
    </row>
    <row r="1869" spans="1:30" x14ac:dyDescent="0.25">
      <c r="A1869" s="2">
        <v>150</v>
      </c>
      <c r="B1869" t="s">
        <v>2602</v>
      </c>
      <c r="C1869">
        <v>12</v>
      </c>
      <c r="D1869">
        <v>120</v>
      </c>
      <c r="E1869">
        <v>129</v>
      </c>
      <c r="F1869" t="s">
        <v>273</v>
      </c>
      <c r="G1869" s="2" t="s">
        <v>156</v>
      </c>
      <c r="H1869">
        <v>7</v>
      </c>
      <c r="I1869">
        <v>9.27</v>
      </c>
      <c r="J1869" s="2" t="s">
        <v>170</v>
      </c>
      <c r="K1869" s="2" t="s">
        <v>74</v>
      </c>
      <c r="M1869" t="s">
        <v>3150</v>
      </c>
      <c r="P1869" s="19" t="s">
        <v>2449</v>
      </c>
      <c r="Q1869" s="19" t="s">
        <v>25</v>
      </c>
      <c r="R1869" s="19" t="s">
        <v>138</v>
      </c>
      <c r="W1869" s="20">
        <v>24</v>
      </c>
      <c r="X1869" s="65" t="s">
        <v>2010</v>
      </c>
      <c r="Z1869" t="s">
        <v>307</v>
      </c>
      <c r="AB1869" t="s">
        <v>178</v>
      </c>
      <c r="AC1869" t="s">
        <v>2596</v>
      </c>
      <c r="AD1869" s="2" t="s">
        <v>180</v>
      </c>
    </row>
    <row r="1870" spans="1:30" x14ac:dyDescent="0.25">
      <c r="A1870" s="2">
        <v>151</v>
      </c>
      <c r="B1870" t="s">
        <v>2603</v>
      </c>
      <c r="C1870">
        <v>12</v>
      </c>
      <c r="D1870">
        <v>135</v>
      </c>
      <c r="E1870">
        <v>488</v>
      </c>
      <c r="F1870" t="s">
        <v>273</v>
      </c>
      <c r="G1870" s="2" t="s">
        <v>156</v>
      </c>
      <c r="H1870">
        <v>8</v>
      </c>
      <c r="I1870">
        <v>49.52</v>
      </c>
      <c r="J1870" s="2" t="s">
        <v>170</v>
      </c>
      <c r="K1870" s="2" t="s">
        <v>74</v>
      </c>
      <c r="M1870" t="s">
        <v>3150</v>
      </c>
      <c r="P1870" s="19" t="s">
        <v>2449</v>
      </c>
      <c r="Q1870" s="19" t="s">
        <v>25</v>
      </c>
      <c r="R1870" s="19" t="s">
        <v>138</v>
      </c>
      <c r="W1870" s="20">
        <v>24</v>
      </c>
      <c r="X1870" s="65" t="s">
        <v>2010</v>
      </c>
      <c r="Z1870" t="s">
        <v>307</v>
      </c>
      <c r="AB1870" t="s">
        <v>178</v>
      </c>
      <c r="AC1870" t="s">
        <v>2596</v>
      </c>
      <c r="AD1870" s="2" t="s">
        <v>180</v>
      </c>
    </row>
    <row r="1871" spans="1:30" x14ac:dyDescent="0.25">
      <c r="A1871" s="2">
        <v>152</v>
      </c>
      <c r="B1871" t="s">
        <v>2604</v>
      </c>
      <c r="C1871">
        <v>12</v>
      </c>
      <c r="D1871">
        <v>100</v>
      </c>
      <c r="E1871">
        <v>150</v>
      </c>
      <c r="F1871" t="s">
        <v>273</v>
      </c>
      <c r="G1871" s="2" t="s">
        <v>156</v>
      </c>
      <c r="H1871">
        <v>1</v>
      </c>
      <c r="I1871">
        <v>1.41</v>
      </c>
      <c r="J1871" s="2" t="s">
        <v>170</v>
      </c>
      <c r="K1871" s="2" t="s">
        <v>74</v>
      </c>
      <c r="M1871" t="s">
        <v>3150</v>
      </c>
      <c r="P1871" s="19" t="s">
        <v>2449</v>
      </c>
      <c r="Q1871" s="19" t="s">
        <v>25</v>
      </c>
      <c r="R1871" s="19" t="s">
        <v>138</v>
      </c>
      <c r="W1871" s="20">
        <v>24</v>
      </c>
      <c r="X1871" s="65" t="s">
        <v>2010</v>
      </c>
      <c r="Z1871" t="s">
        <v>307</v>
      </c>
      <c r="AB1871" t="s">
        <v>178</v>
      </c>
      <c r="AC1871" t="s">
        <v>2596</v>
      </c>
      <c r="AD1871" s="2" t="s">
        <v>180</v>
      </c>
    </row>
    <row r="1872" spans="1:30" x14ac:dyDescent="0.25">
      <c r="A1872" s="2">
        <v>153</v>
      </c>
      <c r="B1872" t="s">
        <v>2546</v>
      </c>
      <c r="C1872">
        <v>12</v>
      </c>
      <c r="D1872">
        <v>95</v>
      </c>
      <c r="E1872">
        <v>263</v>
      </c>
      <c r="F1872" t="s">
        <v>273</v>
      </c>
      <c r="G1872" s="2" t="s">
        <v>156</v>
      </c>
      <c r="H1872">
        <v>2</v>
      </c>
      <c r="I1872">
        <v>4.68</v>
      </c>
      <c r="J1872" s="2" t="s">
        <v>170</v>
      </c>
      <c r="K1872" s="2" t="s">
        <v>74</v>
      </c>
      <c r="M1872" t="s">
        <v>3150</v>
      </c>
      <c r="P1872" s="19" t="s">
        <v>2449</v>
      </c>
      <c r="Q1872" s="19" t="s">
        <v>25</v>
      </c>
      <c r="R1872" s="19" t="s">
        <v>138</v>
      </c>
      <c r="W1872" s="20">
        <v>24</v>
      </c>
      <c r="X1872" s="65" t="s">
        <v>2010</v>
      </c>
      <c r="Z1872" t="s">
        <v>307</v>
      </c>
      <c r="AB1872" t="s">
        <v>178</v>
      </c>
      <c r="AC1872" t="s">
        <v>2596</v>
      </c>
      <c r="AD1872" s="2" t="s">
        <v>180</v>
      </c>
    </row>
    <row r="1873" spans="1:30" x14ac:dyDescent="0.25">
      <c r="A1873" s="2">
        <v>154</v>
      </c>
      <c r="B1873" t="s">
        <v>2605</v>
      </c>
      <c r="C1873">
        <v>12</v>
      </c>
      <c r="D1873">
        <v>1460</v>
      </c>
      <c r="E1873">
        <v>9068</v>
      </c>
      <c r="F1873" t="s">
        <v>273</v>
      </c>
      <c r="G1873" s="2" t="s">
        <v>156</v>
      </c>
      <c r="H1873">
        <v>1</v>
      </c>
      <c r="I1873">
        <v>1240.54</v>
      </c>
      <c r="J1873" s="2" t="s">
        <v>170</v>
      </c>
      <c r="K1873" s="2" t="s">
        <v>74</v>
      </c>
      <c r="M1873" t="s">
        <v>3150</v>
      </c>
      <c r="P1873" s="19" t="s">
        <v>2449</v>
      </c>
      <c r="Q1873" s="19" t="s">
        <v>27</v>
      </c>
      <c r="R1873" s="19" t="s">
        <v>138</v>
      </c>
      <c r="W1873" s="20">
        <v>24</v>
      </c>
      <c r="X1873" s="65" t="s">
        <v>2010</v>
      </c>
      <c r="Z1873" t="s">
        <v>307</v>
      </c>
      <c r="AB1873" t="s">
        <v>178</v>
      </c>
      <c r="AC1873" t="s">
        <v>2596</v>
      </c>
      <c r="AD1873" s="2" t="s">
        <v>180</v>
      </c>
    </row>
    <row r="1874" spans="1:30" x14ac:dyDescent="0.25">
      <c r="A1874" s="2">
        <v>155</v>
      </c>
      <c r="B1874" t="s">
        <v>2606</v>
      </c>
      <c r="C1874">
        <v>12</v>
      </c>
      <c r="D1874">
        <v>100</v>
      </c>
      <c r="E1874">
        <v>150</v>
      </c>
      <c r="F1874" t="s">
        <v>273</v>
      </c>
      <c r="G1874" s="2" t="s">
        <v>156</v>
      </c>
      <c r="H1874">
        <v>6</v>
      </c>
      <c r="I1874">
        <v>8.48</v>
      </c>
      <c r="J1874" s="2" t="s">
        <v>170</v>
      </c>
      <c r="K1874" s="2" t="s">
        <v>74</v>
      </c>
      <c r="M1874" t="s">
        <v>3150</v>
      </c>
      <c r="P1874" s="19" t="s">
        <v>2449</v>
      </c>
      <c r="Q1874" s="19" t="s">
        <v>25</v>
      </c>
      <c r="R1874" s="19" t="s">
        <v>138</v>
      </c>
      <c r="W1874" s="20">
        <v>24</v>
      </c>
      <c r="X1874" s="65" t="s">
        <v>2010</v>
      </c>
      <c r="Z1874" t="s">
        <v>307</v>
      </c>
      <c r="AB1874" t="s">
        <v>178</v>
      </c>
      <c r="AC1874" t="s">
        <v>2596</v>
      </c>
      <c r="AD1874" s="2" t="s">
        <v>180</v>
      </c>
    </row>
    <row r="1875" spans="1:30" x14ac:dyDescent="0.25">
      <c r="A1875" s="2">
        <v>156</v>
      </c>
      <c r="B1875" t="s">
        <v>2607</v>
      </c>
      <c r="C1875">
        <v>12</v>
      </c>
      <c r="D1875">
        <v>100</v>
      </c>
      <c r="E1875">
        <v>150</v>
      </c>
      <c r="F1875" t="s">
        <v>273</v>
      </c>
      <c r="G1875" s="2" t="s">
        <v>156</v>
      </c>
      <c r="H1875">
        <v>4</v>
      </c>
      <c r="I1875">
        <v>5.65</v>
      </c>
      <c r="J1875" s="2" t="s">
        <v>170</v>
      </c>
      <c r="K1875" s="2" t="s">
        <v>74</v>
      </c>
      <c r="M1875" t="s">
        <v>3150</v>
      </c>
      <c r="P1875" s="19" t="s">
        <v>2449</v>
      </c>
      <c r="Q1875" s="19" t="s">
        <v>25</v>
      </c>
      <c r="R1875" s="19" t="s">
        <v>138</v>
      </c>
      <c r="W1875" s="20">
        <v>24</v>
      </c>
      <c r="X1875" s="65" t="s">
        <v>2010</v>
      </c>
      <c r="Z1875" t="s">
        <v>307</v>
      </c>
      <c r="AB1875" t="s">
        <v>178</v>
      </c>
      <c r="AC1875" t="s">
        <v>2596</v>
      </c>
      <c r="AD1875" s="2" t="s">
        <v>180</v>
      </c>
    </row>
    <row r="1876" spans="1:30" x14ac:dyDescent="0.25">
      <c r="A1876" s="2">
        <v>157</v>
      </c>
      <c r="B1876" t="s">
        <v>2608</v>
      </c>
      <c r="C1876">
        <v>12</v>
      </c>
      <c r="D1876">
        <v>100</v>
      </c>
      <c r="E1876">
        <v>150</v>
      </c>
      <c r="F1876" t="s">
        <v>273</v>
      </c>
      <c r="G1876" s="2" t="s">
        <v>156</v>
      </c>
      <c r="H1876">
        <v>1</v>
      </c>
      <c r="I1876">
        <v>1.41</v>
      </c>
      <c r="J1876" s="2" t="s">
        <v>170</v>
      </c>
      <c r="K1876" s="2" t="s">
        <v>74</v>
      </c>
      <c r="M1876" t="s">
        <v>3150</v>
      </c>
      <c r="P1876" s="19" t="s">
        <v>2449</v>
      </c>
      <c r="Q1876" s="19" t="s">
        <v>25</v>
      </c>
      <c r="R1876" s="19" t="s">
        <v>138</v>
      </c>
      <c r="W1876" s="20">
        <v>24</v>
      </c>
      <c r="X1876" s="65" t="s">
        <v>2010</v>
      </c>
      <c r="Z1876" t="s">
        <v>307</v>
      </c>
      <c r="AB1876" t="s">
        <v>178</v>
      </c>
      <c r="AC1876" t="s">
        <v>2596</v>
      </c>
      <c r="AD1876" s="2" t="s">
        <v>180</v>
      </c>
    </row>
    <row r="1877" spans="1:30" x14ac:dyDescent="0.25">
      <c r="A1877" s="2">
        <v>158</v>
      </c>
      <c r="B1877" t="s">
        <v>2609</v>
      </c>
      <c r="C1877">
        <v>12</v>
      </c>
      <c r="D1877">
        <v>490</v>
      </c>
      <c r="E1877">
        <v>1514</v>
      </c>
      <c r="F1877" t="s">
        <v>273</v>
      </c>
      <c r="G1877" s="2" t="s">
        <v>156</v>
      </c>
      <c r="H1877">
        <v>1</v>
      </c>
      <c r="I1877">
        <v>69.78</v>
      </c>
      <c r="J1877" s="2" t="s">
        <v>170</v>
      </c>
      <c r="K1877" s="2" t="s">
        <v>74</v>
      </c>
      <c r="M1877" t="s">
        <v>3150</v>
      </c>
      <c r="P1877" s="19" t="s">
        <v>2449</v>
      </c>
      <c r="Q1877" s="19" t="s">
        <v>27</v>
      </c>
      <c r="R1877" s="19" t="s">
        <v>138</v>
      </c>
      <c r="W1877" s="20">
        <v>24</v>
      </c>
      <c r="X1877" s="65" t="s">
        <v>2010</v>
      </c>
      <c r="Z1877" t="s">
        <v>307</v>
      </c>
      <c r="AB1877" t="s">
        <v>178</v>
      </c>
      <c r="AC1877" t="s">
        <v>2596</v>
      </c>
      <c r="AD1877" s="2" t="s">
        <v>180</v>
      </c>
    </row>
    <row r="1878" spans="1:30" x14ac:dyDescent="0.25">
      <c r="A1878" s="2">
        <v>159</v>
      </c>
      <c r="B1878" t="s">
        <v>2610</v>
      </c>
      <c r="C1878">
        <v>12</v>
      </c>
      <c r="D1878">
        <v>95</v>
      </c>
      <c r="E1878">
        <v>263</v>
      </c>
      <c r="F1878" t="s">
        <v>273</v>
      </c>
      <c r="G1878" s="2" t="s">
        <v>156</v>
      </c>
      <c r="H1878">
        <v>2</v>
      </c>
      <c r="I1878">
        <v>4.68</v>
      </c>
      <c r="J1878" s="2" t="s">
        <v>170</v>
      </c>
      <c r="K1878" s="2" t="s">
        <v>74</v>
      </c>
      <c r="M1878" t="s">
        <v>3150</v>
      </c>
      <c r="P1878" s="19" t="s">
        <v>2449</v>
      </c>
      <c r="Q1878" s="19" t="s">
        <v>25</v>
      </c>
      <c r="R1878" s="19" t="s">
        <v>138</v>
      </c>
      <c r="W1878" s="20">
        <v>24</v>
      </c>
      <c r="X1878" s="65" t="s">
        <v>2010</v>
      </c>
      <c r="Z1878" t="s">
        <v>307</v>
      </c>
      <c r="AB1878" t="s">
        <v>178</v>
      </c>
      <c r="AC1878" t="s">
        <v>2596</v>
      </c>
      <c r="AD1878" s="2" t="s">
        <v>180</v>
      </c>
    </row>
    <row r="1879" spans="1:30" x14ac:dyDescent="0.25">
      <c r="A1879" s="2">
        <v>160</v>
      </c>
      <c r="B1879" t="s">
        <v>2611</v>
      </c>
      <c r="C1879">
        <v>12</v>
      </c>
      <c r="D1879">
        <v>95</v>
      </c>
      <c r="E1879">
        <v>263</v>
      </c>
      <c r="F1879" t="s">
        <v>273</v>
      </c>
      <c r="G1879" s="2" t="s">
        <v>156</v>
      </c>
      <c r="H1879">
        <v>2</v>
      </c>
      <c r="I1879">
        <v>4.68</v>
      </c>
      <c r="J1879" s="2" t="s">
        <v>170</v>
      </c>
      <c r="K1879" s="2" t="s">
        <v>74</v>
      </c>
      <c r="M1879" t="s">
        <v>3150</v>
      </c>
      <c r="P1879" s="19" t="s">
        <v>2449</v>
      </c>
      <c r="Q1879" s="19" t="s">
        <v>25</v>
      </c>
      <c r="R1879" s="19" t="s">
        <v>138</v>
      </c>
      <c r="W1879" s="20">
        <v>24</v>
      </c>
      <c r="X1879" s="65" t="s">
        <v>2010</v>
      </c>
      <c r="Z1879" t="s">
        <v>307</v>
      </c>
      <c r="AB1879" t="s">
        <v>178</v>
      </c>
      <c r="AC1879" t="s">
        <v>2596</v>
      </c>
      <c r="AD1879" s="2" t="s">
        <v>180</v>
      </c>
    </row>
    <row r="1880" spans="1:30" x14ac:dyDescent="0.25">
      <c r="A1880" s="2">
        <v>161</v>
      </c>
      <c r="B1880" t="s">
        <v>2612</v>
      </c>
      <c r="C1880">
        <v>12</v>
      </c>
      <c r="D1880">
        <v>95</v>
      </c>
      <c r="E1880">
        <v>263</v>
      </c>
      <c r="F1880" t="s">
        <v>273</v>
      </c>
      <c r="G1880" s="2" t="s">
        <v>156</v>
      </c>
      <c r="H1880">
        <v>8</v>
      </c>
      <c r="I1880">
        <v>18.7</v>
      </c>
      <c r="J1880" s="2" t="s">
        <v>170</v>
      </c>
      <c r="K1880" s="2" t="s">
        <v>74</v>
      </c>
      <c r="M1880" t="s">
        <v>3150</v>
      </c>
      <c r="P1880" s="19" t="s">
        <v>2449</v>
      </c>
      <c r="Q1880" s="19" t="s">
        <v>25</v>
      </c>
      <c r="R1880" s="19" t="s">
        <v>138</v>
      </c>
      <c r="W1880" s="20">
        <v>24</v>
      </c>
      <c r="X1880" s="65" t="s">
        <v>2010</v>
      </c>
      <c r="Z1880" t="s">
        <v>307</v>
      </c>
      <c r="AB1880" t="s">
        <v>178</v>
      </c>
      <c r="AC1880" t="s">
        <v>2596</v>
      </c>
      <c r="AD1880" s="2" t="s">
        <v>180</v>
      </c>
    </row>
    <row r="1881" spans="1:30" x14ac:dyDescent="0.25">
      <c r="A1881" s="2">
        <v>162</v>
      </c>
      <c r="B1881" t="s">
        <v>2613</v>
      </c>
      <c r="C1881">
        <v>12</v>
      </c>
      <c r="D1881">
        <v>95</v>
      </c>
      <c r="E1881">
        <v>263</v>
      </c>
      <c r="F1881" t="s">
        <v>273</v>
      </c>
      <c r="G1881" s="2" t="s">
        <v>156</v>
      </c>
      <c r="H1881">
        <v>8</v>
      </c>
      <c r="I1881">
        <v>18.7</v>
      </c>
      <c r="J1881" s="2" t="s">
        <v>170</v>
      </c>
      <c r="K1881" s="2" t="s">
        <v>74</v>
      </c>
      <c r="M1881" t="s">
        <v>3150</v>
      </c>
      <c r="P1881" s="19" t="s">
        <v>2449</v>
      </c>
      <c r="Q1881" s="19" t="s">
        <v>25</v>
      </c>
      <c r="R1881" s="19" t="s">
        <v>138</v>
      </c>
      <c r="W1881" s="20">
        <v>24</v>
      </c>
      <c r="X1881" s="65" t="s">
        <v>2010</v>
      </c>
      <c r="Z1881" t="s">
        <v>307</v>
      </c>
      <c r="AB1881" t="s">
        <v>178</v>
      </c>
      <c r="AC1881" t="s">
        <v>2596</v>
      </c>
      <c r="AD1881" s="2" t="s">
        <v>180</v>
      </c>
    </row>
    <row r="1882" spans="1:30" x14ac:dyDescent="0.25">
      <c r="A1882" s="2">
        <v>163</v>
      </c>
      <c r="B1882" t="s">
        <v>2614</v>
      </c>
      <c r="C1882">
        <v>12</v>
      </c>
      <c r="D1882">
        <v>490</v>
      </c>
      <c r="E1882">
        <v>1514</v>
      </c>
      <c r="F1882" t="s">
        <v>273</v>
      </c>
      <c r="G1882" s="2" t="s">
        <v>156</v>
      </c>
      <c r="H1882">
        <v>1</v>
      </c>
      <c r="I1882">
        <v>69.78</v>
      </c>
      <c r="J1882" s="2" t="s">
        <v>170</v>
      </c>
      <c r="K1882" s="2" t="s">
        <v>74</v>
      </c>
      <c r="M1882" t="s">
        <v>3150</v>
      </c>
      <c r="P1882" s="19" t="s">
        <v>2449</v>
      </c>
      <c r="Q1882" s="19" t="s">
        <v>27</v>
      </c>
      <c r="R1882" s="19" t="s">
        <v>138</v>
      </c>
      <c r="W1882" s="20">
        <v>24</v>
      </c>
      <c r="X1882" s="65" t="s">
        <v>2010</v>
      </c>
      <c r="Z1882" t="s">
        <v>307</v>
      </c>
      <c r="AB1882" t="s">
        <v>178</v>
      </c>
      <c r="AC1882" t="s">
        <v>2596</v>
      </c>
      <c r="AD1882" s="2" t="s">
        <v>180</v>
      </c>
    </row>
    <row r="1883" spans="1:30" x14ac:dyDescent="0.25">
      <c r="A1883" s="2">
        <v>164</v>
      </c>
      <c r="B1883" t="s">
        <v>2615</v>
      </c>
      <c r="C1883">
        <v>12</v>
      </c>
      <c r="D1883">
        <v>490</v>
      </c>
      <c r="E1883">
        <v>1514</v>
      </c>
      <c r="F1883" t="s">
        <v>273</v>
      </c>
      <c r="G1883" s="2" t="s">
        <v>156</v>
      </c>
      <c r="H1883">
        <v>1</v>
      </c>
      <c r="I1883">
        <v>69.78</v>
      </c>
      <c r="J1883" s="2" t="s">
        <v>170</v>
      </c>
      <c r="K1883" s="2" t="s">
        <v>74</v>
      </c>
      <c r="M1883" t="s">
        <v>3150</v>
      </c>
      <c r="P1883" s="19" t="s">
        <v>2449</v>
      </c>
      <c r="Q1883" s="19" t="s">
        <v>27</v>
      </c>
      <c r="R1883" s="19" t="s">
        <v>138</v>
      </c>
      <c r="W1883" s="20">
        <v>24</v>
      </c>
      <c r="X1883" s="65" t="s">
        <v>2010</v>
      </c>
      <c r="Z1883" t="s">
        <v>307</v>
      </c>
      <c r="AB1883" t="s">
        <v>178</v>
      </c>
      <c r="AC1883" t="s">
        <v>2596</v>
      </c>
      <c r="AD1883" s="2" t="s">
        <v>180</v>
      </c>
    </row>
    <row r="1884" spans="1:30" x14ac:dyDescent="0.25">
      <c r="A1884" s="2">
        <v>165</v>
      </c>
      <c r="B1884" t="s">
        <v>2616</v>
      </c>
      <c r="C1884">
        <v>12</v>
      </c>
      <c r="D1884">
        <v>95</v>
      </c>
      <c r="E1884">
        <v>263</v>
      </c>
      <c r="F1884" t="s">
        <v>273</v>
      </c>
      <c r="G1884" s="2" t="s">
        <v>156</v>
      </c>
      <c r="H1884">
        <v>8</v>
      </c>
      <c r="I1884">
        <v>18.7</v>
      </c>
      <c r="J1884" s="2" t="s">
        <v>170</v>
      </c>
      <c r="K1884" s="2" t="s">
        <v>74</v>
      </c>
      <c r="M1884" t="s">
        <v>3150</v>
      </c>
      <c r="P1884" s="19" t="s">
        <v>2449</v>
      </c>
      <c r="Q1884" s="19" t="s">
        <v>25</v>
      </c>
      <c r="R1884" s="19" t="s">
        <v>138</v>
      </c>
      <c r="W1884" s="20">
        <v>24</v>
      </c>
      <c r="X1884" s="65" t="s">
        <v>2010</v>
      </c>
      <c r="Z1884" t="s">
        <v>307</v>
      </c>
      <c r="AB1884" t="s">
        <v>178</v>
      </c>
      <c r="AC1884" t="s">
        <v>2596</v>
      </c>
      <c r="AD1884" s="2" t="s">
        <v>180</v>
      </c>
    </row>
    <row r="1885" spans="1:30" x14ac:dyDescent="0.25">
      <c r="A1885" s="2">
        <v>166</v>
      </c>
      <c r="B1885" t="s">
        <v>2617</v>
      </c>
      <c r="C1885">
        <v>12</v>
      </c>
      <c r="D1885">
        <v>95</v>
      </c>
      <c r="E1885">
        <v>263</v>
      </c>
      <c r="F1885" t="s">
        <v>273</v>
      </c>
      <c r="G1885" s="2" t="s">
        <v>156</v>
      </c>
      <c r="H1885">
        <v>3</v>
      </c>
      <c r="I1885">
        <v>7.01</v>
      </c>
      <c r="J1885" s="2" t="s">
        <v>170</v>
      </c>
      <c r="K1885" s="2" t="s">
        <v>74</v>
      </c>
      <c r="M1885" t="s">
        <v>3150</v>
      </c>
      <c r="P1885" s="19" t="s">
        <v>2449</v>
      </c>
      <c r="Q1885" s="19" t="s">
        <v>25</v>
      </c>
      <c r="R1885" s="19" t="s">
        <v>138</v>
      </c>
      <c r="W1885" s="20">
        <v>24</v>
      </c>
      <c r="X1885" s="65" t="s">
        <v>2010</v>
      </c>
      <c r="Z1885" t="s">
        <v>307</v>
      </c>
      <c r="AB1885" t="s">
        <v>178</v>
      </c>
      <c r="AC1885" t="s">
        <v>2596</v>
      </c>
      <c r="AD1885" s="2" t="s">
        <v>180</v>
      </c>
    </row>
    <row r="1886" spans="1:30" x14ac:dyDescent="0.25">
      <c r="A1886" s="2">
        <v>167</v>
      </c>
      <c r="B1886" t="s">
        <v>2618</v>
      </c>
      <c r="C1886">
        <v>12</v>
      </c>
      <c r="D1886">
        <v>238</v>
      </c>
      <c r="E1886">
        <v>1280</v>
      </c>
      <c r="F1886" t="s">
        <v>273</v>
      </c>
      <c r="G1886" s="2" t="s">
        <v>156</v>
      </c>
      <c r="H1886">
        <v>1</v>
      </c>
      <c r="I1886">
        <v>28.7</v>
      </c>
      <c r="J1886" s="2" t="s">
        <v>170</v>
      </c>
      <c r="K1886" s="2" t="s">
        <v>74</v>
      </c>
      <c r="M1886" t="s">
        <v>3150</v>
      </c>
      <c r="P1886" s="19" t="s">
        <v>2449</v>
      </c>
      <c r="R1886" s="19" t="s">
        <v>138</v>
      </c>
      <c r="U1886" s="19" t="s">
        <v>138</v>
      </c>
      <c r="W1886" s="20">
        <v>24</v>
      </c>
      <c r="X1886" s="65" t="s">
        <v>2010</v>
      </c>
      <c r="Z1886" t="s">
        <v>307</v>
      </c>
      <c r="AB1886" t="s">
        <v>178</v>
      </c>
      <c r="AC1886" t="s">
        <v>2596</v>
      </c>
      <c r="AD1886" s="2" t="s">
        <v>180</v>
      </c>
    </row>
    <row r="1887" spans="1:30" x14ac:dyDescent="0.25">
      <c r="A1887" s="2">
        <v>168</v>
      </c>
      <c r="B1887" t="s">
        <v>2619</v>
      </c>
      <c r="C1887">
        <v>12</v>
      </c>
      <c r="D1887">
        <v>238</v>
      </c>
      <c r="E1887">
        <v>1280</v>
      </c>
      <c r="F1887" t="s">
        <v>273</v>
      </c>
      <c r="G1887" s="2" t="s">
        <v>156</v>
      </c>
      <c r="H1887">
        <v>1</v>
      </c>
      <c r="I1887">
        <v>28.7</v>
      </c>
      <c r="J1887" s="2" t="s">
        <v>170</v>
      </c>
      <c r="K1887" s="2" t="s">
        <v>74</v>
      </c>
      <c r="M1887" t="s">
        <v>3150</v>
      </c>
      <c r="P1887" s="19" t="s">
        <v>2449</v>
      </c>
      <c r="R1887" s="19" t="s">
        <v>138</v>
      </c>
      <c r="U1887" s="19" t="s">
        <v>138</v>
      </c>
      <c r="W1887" s="20">
        <v>24</v>
      </c>
      <c r="X1887" s="65" t="s">
        <v>2010</v>
      </c>
      <c r="Z1887" t="s">
        <v>307</v>
      </c>
      <c r="AB1887" t="s">
        <v>178</v>
      </c>
      <c r="AC1887" t="s">
        <v>2596</v>
      </c>
      <c r="AD1887" s="2" t="s">
        <v>180</v>
      </c>
    </row>
    <row r="1888" spans="1:30" x14ac:dyDescent="0.25">
      <c r="A1888" s="2">
        <v>169</v>
      </c>
      <c r="B1888" t="s">
        <v>2620</v>
      </c>
      <c r="C1888">
        <v>12</v>
      </c>
      <c r="D1888">
        <v>238</v>
      </c>
      <c r="E1888">
        <v>1280</v>
      </c>
      <c r="F1888" t="s">
        <v>273</v>
      </c>
      <c r="G1888" s="2" t="s">
        <v>156</v>
      </c>
      <c r="H1888">
        <v>1</v>
      </c>
      <c r="I1888">
        <v>28.7</v>
      </c>
      <c r="J1888" s="2" t="s">
        <v>170</v>
      </c>
      <c r="K1888" s="2" t="s">
        <v>74</v>
      </c>
      <c r="M1888" t="s">
        <v>3150</v>
      </c>
      <c r="P1888" s="19" t="s">
        <v>2449</v>
      </c>
      <c r="R1888" s="19" t="s">
        <v>138</v>
      </c>
      <c r="U1888" s="19" t="s">
        <v>138</v>
      </c>
      <c r="W1888" s="20">
        <v>24</v>
      </c>
      <c r="X1888" s="65" t="s">
        <v>2010</v>
      </c>
      <c r="Z1888" t="s">
        <v>307</v>
      </c>
      <c r="AB1888" t="s">
        <v>178</v>
      </c>
      <c r="AC1888" t="s">
        <v>2596</v>
      </c>
      <c r="AD1888" s="2" t="s">
        <v>180</v>
      </c>
    </row>
    <row r="1889" spans="1:30" x14ac:dyDescent="0.25">
      <c r="A1889" s="2">
        <v>170</v>
      </c>
      <c r="B1889" t="s">
        <v>2621</v>
      </c>
      <c r="C1889">
        <v>12</v>
      </c>
      <c r="D1889">
        <v>238</v>
      </c>
      <c r="E1889">
        <v>1280</v>
      </c>
      <c r="F1889" t="s">
        <v>273</v>
      </c>
      <c r="G1889" s="2" t="s">
        <v>156</v>
      </c>
      <c r="H1889">
        <v>1</v>
      </c>
      <c r="I1889">
        <v>28.7</v>
      </c>
      <c r="J1889" s="2" t="s">
        <v>170</v>
      </c>
      <c r="K1889" s="2" t="s">
        <v>74</v>
      </c>
      <c r="M1889" t="s">
        <v>3150</v>
      </c>
      <c r="P1889" s="19" t="s">
        <v>2449</v>
      </c>
      <c r="R1889" s="19" t="s">
        <v>138</v>
      </c>
      <c r="U1889" s="19" t="s">
        <v>138</v>
      </c>
      <c r="W1889" s="20">
        <v>24</v>
      </c>
      <c r="X1889" s="65" t="s">
        <v>2010</v>
      </c>
      <c r="Z1889" t="s">
        <v>307</v>
      </c>
      <c r="AB1889" t="s">
        <v>178</v>
      </c>
      <c r="AC1889" t="s">
        <v>2596</v>
      </c>
      <c r="AD1889" s="2" t="s">
        <v>180</v>
      </c>
    </row>
    <row r="1890" spans="1:30" x14ac:dyDescent="0.25">
      <c r="A1890" s="2">
        <v>171</v>
      </c>
      <c r="B1890" t="s">
        <v>2622</v>
      </c>
      <c r="C1890">
        <v>12</v>
      </c>
      <c r="D1890">
        <v>238</v>
      </c>
      <c r="E1890">
        <v>1280</v>
      </c>
      <c r="F1890" t="s">
        <v>273</v>
      </c>
      <c r="G1890" s="2" t="s">
        <v>156</v>
      </c>
      <c r="H1890">
        <v>1</v>
      </c>
      <c r="I1890">
        <v>28.7</v>
      </c>
      <c r="J1890" s="2" t="s">
        <v>170</v>
      </c>
      <c r="K1890" s="2" t="s">
        <v>74</v>
      </c>
      <c r="M1890" t="s">
        <v>3150</v>
      </c>
      <c r="P1890" s="19" t="s">
        <v>2449</v>
      </c>
      <c r="R1890" s="19" t="s">
        <v>138</v>
      </c>
      <c r="U1890" s="19" t="s">
        <v>138</v>
      </c>
      <c r="W1890" s="20">
        <v>24</v>
      </c>
      <c r="X1890" s="65" t="s">
        <v>2010</v>
      </c>
      <c r="Z1890" t="s">
        <v>307</v>
      </c>
      <c r="AB1890" t="s">
        <v>178</v>
      </c>
      <c r="AC1890" t="s">
        <v>2596</v>
      </c>
      <c r="AD1890" s="2" t="s">
        <v>180</v>
      </c>
    </row>
    <row r="1891" spans="1:30" x14ac:dyDescent="0.25">
      <c r="A1891" s="2">
        <v>172</v>
      </c>
      <c r="B1891" t="s">
        <v>2623</v>
      </c>
      <c r="C1891">
        <v>12</v>
      </c>
      <c r="D1891">
        <v>238</v>
      </c>
      <c r="E1891">
        <v>1280</v>
      </c>
      <c r="F1891" t="s">
        <v>273</v>
      </c>
      <c r="G1891" s="2" t="s">
        <v>156</v>
      </c>
      <c r="H1891">
        <v>1</v>
      </c>
      <c r="I1891">
        <v>28.7</v>
      </c>
      <c r="J1891" s="2" t="s">
        <v>170</v>
      </c>
      <c r="K1891" s="2" t="s">
        <v>74</v>
      </c>
      <c r="M1891" t="s">
        <v>3150</v>
      </c>
      <c r="P1891" s="19" t="s">
        <v>2449</v>
      </c>
      <c r="R1891" s="19" t="s">
        <v>138</v>
      </c>
      <c r="U1891" s="19" t="s">
        <v>138</v>
      </c>
      <c r="W1891" s="20">
        <v>24</v>
      </c>
      <c r="X1891" s="65" t="s">
        <v>2010</v>
      </c>
      <c r="Z1891" t="s">
        <v>307</v>
      </c>
      <c r="AB1891" t="s">
        <v>178</v>
      </c>
      <c r="AC1891" t="s">
        <v>2596</v>
      </c>
      <c r="AD1891" s="2" t="s">
        <v>180</v>
      </c>
    </row>
    <row r="1892" spans="1:30" x14ac:dyDescent="0.25">
      <c r="A1892" s="2">
        <v>173</v>
      </c>
      <c r="B1892" t="s">
        <v>2602</v>
      </c>
      <c r="C1892">
        <v>12</v>
      </c>
      <c r="D1892">
        <v>120</v>
      </c>
      <c r="E1892">
        <v>129</v>
      </c>
      <c r="F1892" t="s">
        <v>273</v>
      </c>
      <c r="G1892" s="2" t="s">
        <v>156</v>
      </c>
      <c r="H1892">
        <v>12</v>
      </c>
      <c r="I1892">
        <v>15.89</v>
      </c>
      <c r="J1892" s="2" t="s">
        <v>170</v>
      </c>
      <c r="K1892" s="2" t="s">
        <v>74</v>
      </c>
      <c r="M1892" t="s">
        <v>3150</v>
      </c>
      <c r="P1892" s="19" t="s">
        <v>2449</v>
      </c>
      <c r="Q1892" s="19" t="s">
        <v>25</v>
      </c>
      <c r="R1892" s="19" t="s">
        <v>138</v>
      </c>
      <c r="W1892" s="20">
        <v>24</v>
      </c>
      <c r="X1892" s="65" t="s">
        <v>2010</v>
      </c>
      <c r="Z1892" t="s">
        <v>307</v>
      </c>
      <c r="AB1892" t="s">
        <v>178</v>
      </c>
      <c r="AC1892" t="s">
        <v>2624</v>
      </c>
      <c r="AD1892" s="2" t="s">
        <v>180</v>
      </c>
    </row>
    <row r="1893" spans="1:30" x14ac:dyDescent="0.25">
      <c r="A1893" s="2">
        <v>174</v>
      </c>
      <c r="B1893" t="s">
        <v>2603</v>
      </c>
      <c r="C1893">
        <v>12</v>
      </c>
      <c r="D1893">
        <v>135</v>
      </c>
      <c r="E1893">
        <v>488</v>
      </c>
      <c r="F1893" t="s">
        <v>273</v>
      </c>
      <c r="G1893" s="2" t="s">
        <v>156</v>
      </c>
      <c r="H1893">
        <v>4</v>
      </c>
      <c r="I1893">
        <v>24.76</v>
      </c>
      <c r="J1893" s="2" t="s">
        <v>170</v>
      </c>
      <c r="K1893" s="2" t="s">
        <v>74</v>
      </c>
      <c r="M1893" t="s">
        <v>3150</v>
      </c>
      <c r="P1893" s="19" t="s">
        <v>2449</v>
      </c>
      <c r="Q1893" s="19" t="s">
        <v>25</v>
      </c>
      <c r="R1893" s="19" t="s">
        <v>138</v>
      </c>
      <c r="W1893" s="20">
        <v>24</v>
      </c>
      <c r="X1893" s="65" t="s">
        <v>2010</v>
      </c>
      <c r="Z1893" t="s">
        <v>307</v>
      </c>
      <c r="AB1893" t="s">
        <v>178</v>
      </c>
      <c r="AC1893" t="s">
        <v>2624</v>
      </c>
      <c r="AD1893" s="2" t="s">
        <v>180</v>
      </c>
    </row>
    <row r="1894" spans="1:30" x14ac:dyDescent="0.25">
      <c r="A1894" s="2">
        <v>175</v>
      </c>
      <c r="B1894" t="s">
        <v>2626</v>
      </c>
      <c r="C1894">
        <v>12</v>
      </c>
      <c r="D1894">
        <v>135</v>
      </c>
      <c r="E1894">
        <v>488</v>
      </c>
      <c r="F1894" t="s">
        <v>273</v>
      </c>
      <c r="G1894" s="2" t="s">
        <v>156</v>
      </c>
      <c r="H1894">
        <v>12</v>
      </c>
      <c r="I1894">
        <v>74.28</v>
      </c>
      <c r="J1894" s="2" t="s">
        <v>170</v>
      </c>
      <c r="K1894" s="2" t="s">
        <v>74</v>
      </c>
      <c r="M1894" t="s">
        <v>3150</v>
      </c>
      <c r="P1894" s="19" t="s">
        <v>2449</v>
      </c>
      <c r="Q1894" s="19" t="s">
        <v>25</v>
      </c>
      <c r="R1894" s="19" t="s">
        <v>138</v>
      </c>
      <c r="W1894" s="20">
        <v>24</v>
      </c>
      <c r="X1894" s="65" t="s">
        <v>2010</v>
      </c>
      <c r="Z1894" t="s">
        <v>307</v>
      </c>
      <c r="AB1894" t="s">
        <v>178</v>
      </c>
      <c r="AC1894" t="s">
        <v>2624</v>
      </c>
      <c r="AD1894" s="2" t="s">
        <v>180</v>
      </c>
    </row>
    <row r="1895" spans="1:30" x14ac:dyDescent="0.25">
      <c r="A1895" s="2">
        <v>176</v>
      </c>
      <c r="B1895" t="s">
        <v>2627</v>
      </c>
      <c r="C1895">
        <v>12</v>
      </c>
      <c r="D1895">
        <v>135</v>
      </c>
      <c r="E1895">
        <v>488</v>
      </c>
      <c r="F1895" t="s">
        <v>273</v>
      </c>
      <c r="G1895" s="2" t="s">
        <v>156</v>
      </c>
      <c r="H1895">
        <v>12</v>
      </c>
      <c r="I1895">
        <v>74.28</v>
      </c>
      <c r="J1895" s="2" t="s">
        <v>170</v>
      </c>
      <c r="K1895" s="2" t="s">
        <v>74</v>
      </c>
      <c r="M1895" t="s">
        <v>3150</v>
      </c>
      <c r="P1895" s="19" t="s">
        <v>2449</v>
      </c>
      <c r="Q1895" s="19" t="s">
        <v>25</v>
      </c>
      <c r="R1895" s="19" t="s">
        <v>138</v>
      </c>
      <c r="W1895" s="20">
        <v>24</v>
      </c>
      <c r="X1895" s="65" t="s">
        <v>2010</v>
      </c>
      <c r="Z1895" t="s">
        <v>307</v>
      </c>
      <c r="AB1895" t="s">
        <v>178</v>
      </c>
      <c r="AC1895" t="s">
        <v>2624</v>
      </c>
      <c r="AD1895" s="2" t="s">
        <v>180</v>
      </c>
    </row>
    <row r="1896" spans="1:30" x14ac:dyDescent="0.25">
      <c r="A1896" s="2">
        <v>177</v>
      </c>
      <c r="B1896" t="s">
        <v>2628</v>
      </c>
      <c r="C1896">
        <v>12</v>
      </c>
      <c r="D1896">
        <v>135</v>
      </c>
      <c r="E1896">
        <v>488</v>
      </c>
      <c r="F1896" t="s">
        <v>273</v>
      </c>
      <c r="G1896" s="2" t="s">
        <v>156</v>
      </c>
      <c r="H1896">
        <v>12</v>
      </c>
      <c r="I1896">
        <v>74.28</v>
      </c>
      <c r="J1896" s="2" t="s">
        <v>170</v>
      </c>
      <c r="K1896" s="2" t="s">
        <v>74</v>
      </c>
      <c r="M1896" t="s">
        <v>3150</v>
      </c>
      <c r="P1896" s="19" t="s">
        <v>2449</v>
      </c>
      <c r="Q1896" s="19" t="s">
        <v>25</v>
      </c>
      <c r="R1896" s="19" t="s">
        <v>138</v>
      </c>
      <c r="W1896" s="20">
        <v>24</v>
      </c>
      <c r="X1896" s="65" t="s">
        <v>2010</v>
      </c>
      <c r="Z1896" t="s">
        <v>307</v>
      </c>
      <c r="AB1896" t="s">
        <v>178</v>
      </c>
      <c r="AC1896" t="s">
        <v>2624</v>
      </c>
      <c r="AD1896" s="2" t="s">
        <v>180</v>
      </c>
    </row>
    <row r="1897" spans="1:30" x14ac:dyDescent="0.25">
      <c r="A1897" s="2">
        <v>178</v>
      </c>
      <c r="B1897" t="s">
        <v>2629</v>
      </c>
      <c r="C1897">
        <v>12</v>
      </c>
      <c r="D1897">
        <v>135</v>
      </c>
      <c r="E1897">
        <v>488</v>
      </c>
      <c r="F1897" t="s">
        <v>273</v>
      </c>
      <c r="G1897" s="2" t="s">
        <v>156</v>
      </c>
      <c r="H1897">
        <v>2</v>
      </c>
      <c r="I1897">
        <v>12.38</v>
      </c>
      <c r="J1897" s="2" t="s">
        <v>170</v>
      </c>
      <c r="K1897" s="2" t="s">
        <v>74</v>
      </c>
      <c r="M1897" t="s">
        <v>3150</v>
      </c>
      <c r="P1897" s="19" t="s">
        <v>2449</v>
      </c>
      <c r="Q1897" s="19" t="s">
        <v>25</v>
      </c>
      <c r="R1897" s="19" t="s">
        <v>138</v>
      </c>
      <c r="W1897" s="20">
        <v>24</v>
      </c>
      <c r="X1897" s="65" t="s">
        <v>2010</v>
      </c>
      <c r="Z1897" t="s">
        <v>307</v>
      </c>
      <c r="AB1897" t="s">
        <v>178</v>
      </c>
      <c r="AC1897" t="s">
        <v>2624</v>
      </c>
      <c r="AD1897" s="2" t="s">
        <v>180</v>
      </c>
    </row>
    <row r="1898" spans="1:30" x14ac:dyDescent="0.25">
      <c r="A1898" s="2">
        <v>179</v>
      </c>
      <c r="B1898" t="s">
        <v>2481</v>
      </c>
      <c r="C1898">
        <v>12</v>
      </c>
      <c r="D1898">
        <v>128</v>
      </c>
      <c r="E1898">
        <v>145</v>
      </c>
      <c r="F1898" t="s">
        <v>273</v>
      </c>
      <c r="G1898" s="2" t="s">
        <v>156</v>
      </c>
      <c r="H1898">
        <v>1</v>
      </c>
      <c r="I1898">
        <v>1.67</v>
      </c>
      <c r="J1898" s="2" t="s">
        <v>170</v>
      </c>
      <c r="K1898" s="2" t="s">
        <v>74</v>
      </c>
      <c r="M1898" t="s">
        <v>3150</v>
      </c>
      <c r="P1898" s="19" t="s">
        <v>2449</v>
      </c>
      <c r="Q1898" s="19" t="s">
        <v>25</v>
      </c>
      <c r="R1898" s="19" t="s">
        <v>138</v>
      </c>
      <c r="W1898" s="20">
        <v>24</v>
      </c>
      <c r="X1898" s="65" t="s">
        <v>2010</v>
      </c>
      <c r="Z1898" t="s">
        <v>307</v>
      </c>
      <c r="AB1898" t="s">
        <v>178</v>
      </c>
      <c r="AC1898" t="s">
        <v>2624</v>
      </c>
      <c r="AD1898" s="2" t="s">
        <v>180</v>
      </c>
    </row>
    <row r="1899" spans="1:30" x14ac:dyDescent="0.25">
      <c r="A1899" s="2">
        <v>180</v>
      </c>
      <c r="B1899" t="s">
        <v>2630</v>
      </c>
      <c r="C1899">
        <v>12</v>
      </c>
      <c r="D1899">
        <v>135</v>
      </c>
      <c r="E1899">
        <v>488</v>
      </c>
      <c r="F1899" t="s">
        <v>273</v>
      </c>
      <c r="G1899" s="2" t="s">
        <v>156</v>
      </c>
      <c r="H1899">
        <v>18</v>
      </c>
      <c r="I1899">
        <v>111.42</v>
      </c>
      <c r="J1899" s="2" t="s">
        <v>170</v>
      </c>
      <c r="K1899" s="2" t="s">
        <v>74</v>
      </c>
      <c r="M1899" t="s">
        <v>3150</v>
      </c>
      <c r="P1899" s="19" t="s">
        <v>2449</v>
      </c>
      <c r="Q1899" s="19" t="s">
        <v>25</v>
      </c>
      <c r="R1899" s="19" t="s">
        <v>138</v>
      </c>
      <c r="W1899" s="20">
        <v>24</v>
      </c>
      <c r="X1899" s="65" t="s">
        <v>2010</v>
      </c>
      <c r="Z1899" t="s">
        <v>307</v>
      </c>
      <c r="AB1899" t="s">
        <v>178</v>
      </c>
      <c r="AC1899" t="s">
        <v>2624</v>
      </c>
      <c r="AD1899" s="2" t="s">
        <v>180</v>
      </c>
    </row>
    <row r="1900" spans="1:30" x14ac:dyDescent="0.25">
      <c r="A1900" s="2">
        <v>181</v>
      </c>
      <c r="B1900" t="s">
        <v>2608</v>
      </c>
      <c r="C1900">
        <v>12</v>
      </c>
      <c r="D1900">
        <v>100</v>
      </c>
      <c r="E1900">
        <v>150</v>
      </c>
      <c r="F1900" t="s">
        <v>273</v>
      </c>
      <c r="G1900" s="2" t="s">
        <v>156</v>
      </c>
      <c r="H1900">
        <v>1</v>
      </c>
      <c r="I1900">
        <v>1.41</v>
      </c>
      <c r="J1900" s="2" t="s">
        <v>170</v>
      </c>
      <c r="K1900" s="2" t="s">
        <v>74</v>
      </c>
      <c r="M1900" t="s">
        <v>3150</v>
      </c>
      <c r="P1900" s="19" t="s">
        <v>2449</v>
      </c>
      <c r="Q1900" s="19" t="s">
        <v>25</v>
      </c>
      <c r="R1900" s="19" t="s">
        <v>138</v>
      </c>
      <c r="W1900" s="20">
        <v>24</v>
      </c>
      <c r="X1900" s="65" t="s">
        <v>2010</v>
      </c>
      <c r="Z1900" t="s">
        <v>307</v>
      </c>
      <c r="AB1900" t="s">
        <v>178</v>
      </c>
      <c r="AC1900" t="s">
        <v>2624</v>
      </c>
      <c r="AD1900" s="2" t="s">
        <v>180</v>
      </c>
    </row>
    <row r="1901" spans="1:30" x14ac:dyDescent="0.25">
      <c r="A1901" s="2">
        <v>182</v>
      </c>
      <c r="B1901" t="s">
        <v>2631</v>
      </c>
      <c r="C1901">
        <v>12</v>
      </c>
      <c r="D1901">
        <v>490</v>
      </c>
      <c r="E1901">
        <v>6464</v>
      </c>
      <c r="F1901" t="s">
        <v>273</v>
      </c>
      <c r="G1901" s="2" t="s">
        <v>156</v>
      </c>
      <c r="H1901">
        <v>1</v>
      </c>
      <c r="I1901">
        <v>298.26</v>
      </c>
      <c r="J1901" s="2" t="s">
        <v>170</v>
      </c>
      <c r="K1901" s="2" t="s">
        <v>74</v>
      </c>
      <c r="M1901" t="s">
        <v>3150</v>
      </c>
      <c r="P1901" s="19" t="s">
        <v>2449</v>
      </c>
      <c r="Q1901" s="19" t="s">
        <v>27</v>
      </c>
      <c r="R1901" s="19" t="s">
        <v>138</v>
      </c>
      <c r="W1901" s="20">
        <v>24</v>
      </c>
      <c r="X1901" s="65" t="s">
        <v>2010</v>
      </c>
      <c r="Z1901" t="s">
        <v>307</v>
      </c>
      <c r="AB1901" t="s">
        <v>178</v>
      </c>
      <c r="AC1901" t="s">
        <v>2624</v>
      </c>
      <c r="AD1901" s="2" t="s">
        <v>180</v>
      </c>
    </row>
    <row r="1902" spans="1:30" x14ac:dyDescent="0.25">
      <c r="A1902" s="2">
        <v>183</v>
      </c>
      <c r="B1902" t="s">
        <v>2632</v>
      </c>
      <c r="C1902">
        <v>12</v>
      </c>
      <c r="D1902">
        <v>100</v>
      </c>
      <c r="E1902">
        <v>150</v>
      </c>
      <c r="F1902" t="s">
        <v>273</v>
      </c>
      <c r="G1902" s="2" t="s">
        <v>156</v>
      </c>
      <c r="H1902">
        <v>1</v>
      </c>
      <c r="I1902">
        <v>1.41</v>
      </c>
      <c r="J1902" s="2" t="s">
        <v>170</v>
      </c>
      <c r="K1902" s="2" t="s">
        <v>74</v>
      </c>
      <c r="M1902" t="s">
        <v>3150</v>
      </c>
      <c r="P1902" s="19" t="s">
        <v>2449</v>
      </c>
      <c r="Q1902" s="19" t="s">
        <v>25</v>
      </c>
      <c r="R1902" s="19" t="s">
        <v>138</v>
      </c>
      <c r="W1902" s="20">
        <v>24</v>
      </c>
      <c r="X1902" s="65" t="s">
        <v>2010</v>
      </c>
      <c r="Z1902" t="s">
        <v>307</v>
      </c>
      <c r="AB1902" t="s">
        <v>178</v>
      </c>
      <c r="AC1902" t="s">
        <v>2624</v>
      </c>
      <c r="AD1902" s="2" t="s">
        <v>180</v>
      </c>
    </row>
    <row r="1903" spans="1:30" x14ac:dyDescent="0.25">
      <c r="A1903" s="2">
        <v>184</v>
      </c>
      <c r="B1903" t="s">
        <v>2633</v>
      </c>
      <c r="C1903">
        <v>12</v>
      </c>
      <c r="D1903">
        <v>100</v>
      </c>
      <c r="E1903">
        <v>150</v>
      </c>
      <c r="F1903" t="s">
        <v>273</v>
      </c>
      <c r="G1903" s="2" t="s">
        <v>156</v>
      </c>
      <c r="H1903">
        <v>1</v>
      </c>
      <c r="I1903">
        <v>1.41</v>
      </c>
      <c r="J1903" s="2" t="s">
        <v>170</v>
      </c>
      <c r="K1903" s="2" t="s">
        <v>74</v>
      </c>
      <c r="M1903" t="s">
        <v>3150</v>
      </c>
      <c r="P1903" s="19" t="s">
        <v>2449</v>
      </c>
      <c r="Q1903" s="19" t="s">
        <v>25</v>
      </c>
      <c r="R1903" s="19" t="s">
        <v>138</v>
      </c>
      <c r="W1903" s="20">
        <v>24</v>
      </c>
      <c r="X1903" s="65" t="s">
        <v>2010</v>
      </c>
      <c r="Z1903" t="s">
        <v>307</v>
      </c>
      <c r="AB1903" t="s">
        <v>178</v>
      </c>
      <c r="AC1903" t="s">
        <v>2624</v>
      </c>
      <c r="AD1903" s="2" t="s">
        <v>180</v>
      </c>
    </row>
    <row r="1904" spans="1:30" x14ac:dyDescent="0.25">
      <c r="A1904" s="2">
        <v>185</v>
      </c>
      <c r="B1904" t="s">
        <v>2634</v>
      </c>
      <c r="C1904">
        <v>12</v>
      </c>
      <c r="D1904">
        <v>1460</v>
      </c>
      <c r="E1904">
        <v>9068</v>
      </c>
      <c r="F1904" t="s">
        <v>273</v>
      </c>
      <c r="G1904" s="2" t="s">
        <v>156</v>
      </c>
      <c r="H1904">
        <v>1</v>
      </c>
      <c r="I1904">
        <v>1240.54</v>
      </c>
      <c r="J1904" s="2" t="s">
        <v>170</v>
      </c>
      <c r="K1904" s="2" t="s">
        <v>74</v>
      </c>
      <c r="M1904" t="s">
        <v>3150</v>
      </c>
      <c r="P1904" s="19" t="s">
        <v>2449</v>
      </c>
      <c r="Q1904" s="19" t="s">
        <v>27</v>
      </c>
      <c r="R1904" s="19" t="s">
        <v>138</v>
      </c>
      <c r="W1904" s="20">
        <v>24</v>
      </c>
      <c r="X1904" s="65" t="s">
        <v>2010</v>
      </c>
      <c r="Z1904" t="s">
        <v>307</v>
      </c>
      <c r="AB1904" t="s">
        <v>178</v>
      </c>
      <c r="AC1904" t="s">
        <v>2624</v>
      </c>
      <c r="AD1904" s="2" t="s">
        <v>180</v>
      </c>
    </row>
    <row r="1905" spans="1:30" x14ac:dyDescent="0.25">
      <c r="A1905" s="2">
        <v>186</v>
      </c>
      <c r="B1905" t="s">
        <v>2635</v>
      </c>
      <c r="C1905">
        <v>12</v>
      </c>
      <c r="D1905">
        <v>490</v>
      </c>
      <c r="E1905">
        <v>1388</v>
      </c>
      <c r="F1905" t="s">
        <v>273</v>
      </c>
      <c r="G1905" s="2" t="s">
        <v>156</v>
      </c>
      <c r="H1905">
        <v>1</v>
      </c>
      <c r="I1905">
        <v>63.63</v>
      </c>
      <c r="J1905" s="2" t="s">
        <v>170</v>
      </c>
      <c r="K1905" s="2" t="s">
        <v>74</v>
      </c>
      <c r="M1905" t="s">
        <v>3150</v>
      </c>
      <c r="P1905" s="19" t="s">
        <v>2449</v>
      </c>
      <c r="Q1905" s="19" t="s">
        <v>27</v>
      </c>
      <c r="R1905" s="19" t="s">
        <v>138</v>
      </c>
      <c r="W1905" s="20">
        <v>24</v>
      </c>
      <c r="X1905" s="65" t="s">
        <v>2010</v>
      </c>
      <c r="Z1905" t="s">
        <v>307</v>
      </c>
      <c r="AB1905" t="s">
        <v>178</v>
      </c>
      <c r="AC1905" t="s">
        <v>2624</v>
      </c>
      <c r="AD1905" s="2" t="s">
        <v>180</v>
      </c>
    </row>
    <row r="1906" spans="1:30" x14ac:dyDescent="0.25">
      <c r="A1906" s="2">
        <v>187</v>
      </c>
      <c r="B1906" t="s">
        <v>2636</v>
      </c>
      <c r="C1906">
        <v>12</v>
      </c>
      <c r="D1906">
        <v>490</v>
      </c>
      <c r="E1906">
        <v>1514</v>
      </c>
      <c r="F1906" t="s">
        <v>273</v>
      </c>
      <c r="G1906" s="2" t="s">
        <v>156</v>
      </c>
      <c r="H1906">
        <v>1</v>
      </c>
      <c r="I1906">
        <v>69.78</v>
      </c>
      <c r="J1906" s="2" t="s">
        <v>170</v>
      </c>
      <c r="K1906" s="2" t="s">
        <v>74</v>
      </c>
      <c r="M1906" t="s">
        <v>3150</v>
      </c>
      <c r="P1906" s="19" t="s">
        <v>2449</v>
      </c>
      <c r="Q1906" s="19" t="s">
        <v>27</v>
      </c>
      <c r="R1906" s="19" t="s">
        <v>138</v>
      </c>
      <c r="W1906" s="20">
        <v>24</v>
      </c>
      <c r="X1906" s="65" t="s">
        <v>2010</v>
      </c>
      <c r="Z1906" t="s">
        <v>307</v>
      </c>
      <c r="AB1906" t="s">
        <v>178</v>
      </c>
      <c r="AC1906" t="s">
        <v>2624</v>
      </c>
      <c r="AD1906" s="2" t="s">
        <v>180</v>
      </c>
    </row>
    <row r="1907" spans="1:30" x14ac:dyDescent="0.25">
      <c r="A1907" s="2">
        <v>188</v>
      </c>
      <c r="B1907" t="s">
        <v>2637</v>
      </c>
      <c r="C1907">
        <v>12</v>
      </c>
      <c r="D1907">
        <v>490</v>
      </c>
      <c r="E1907">
        <v>1388</v>
      </c>
      <c r="F1907" t="s">
        <v>273</v>
      </c>
      <c r="G1907" s="2" t="s">
        <v>156</v>
      </c>
      <c r="H1907">
        <v>1</v>
      </c>
      <c r="I1907">
        <v>63.63</v>
      </c>
      <c r="J1907" s="2" t="s">
        <v>170</v>
      </c>
      <c r="K1907" s="2" t="s">
        <v>74</v>
      </c>
      <c r="M1907" t="s">
        <v>3150</v>
      </c>
      <c r="P1907" s="19" t="s">
        <v>2449</v>
      </c>
      <c r="Q1907" s="19" t="s">
        <v>27</v>
      </c>
      <c r="R1907" s="19" t="s">
        <v>138</v>
      </c>
      <c r="W1907" s="20">
        <v>24</v>
      </c>
      <c r="X1907" s="65" t="s">
        <v>2010</v>
      </c>
      <c r="Z1907" t="s">
        <v>307</v>
      </c>
      <c r="AB1907" t="s">
        <v>178</v>
      </c>
      <c r="AC1907" t="s">
        <v>2624</v>
      </c>
      <c r="AD1907" s="2" t="s">
        <v>180</v>
      </c>
    </row>
    <row r="1908" spans="1:30" x14ac:dyDescent="0.25">
      <c r="A1908" s="2">
        <v>189</v>
      </c>
      <c r="B1908" t="s">
        <v>2638</v>
      </c>
      <c r="C1908">
        <v>12</v>
      </c>
      <c r="D1908">
        <v>490</v>
      </c>
      <c r="E1908">
        <v>1388</v>
      </c>
      <c r="F1908" t="s">
        <v>273</v>
      </c>
      <c r="G1908" s="2" t="s">
        <v>156</v>
      </c>
      <c r="H1908">
        <v>1</v>
      </c>
      <c r="I1908">
        <v>63.63</v>
      </c>
      <c r="J1908" s="2" t="s">
        <v>170</v>
      </c>
      <c r="K1908" s="2" t="s">
        <v>74</v>
      </c>
      <c r="M1908" t="s">
        <v>3150</v>
      </c>
      <c r="P1908" s="19" t="s">
        <v>2449</v>
      </c>
      <c r="Q1908" s="19" t="s">
        <v>27</v>
      </c>
      <c r="R1908" s="19" t="s">
        <v>138</v>
      </c>
      <c r="W1908" s="20">
        <v>24</v>
      </c>
      <c r="X1908" s="65" t="s">
        <v>2010</v>
      </c>
      <c r="Z1908" t="s">
        <v>307</v>
      </c>
      <c r="AB1908" t="s">
        <v>178</v>
      </c>
      <c r="AC1908" t="s">
        <v>2624</v>
      </c>
      <c r="AD1908" s="2" t="s">
        <v>180</v>
      </c>
    </row>
    <row r="1909" spans="1:30" x14ac:dyDescent="0.25">
      <c r="A1909" s="2">
        <v>190</v>
      </c>
      <c r="B1909" t="s">
        <v>2602</v>
      </c>
      <c r="C1909">
        <v>12</v>
      </c>
      <c r="D1909">
        <v>120</v>
      </c>
      <c r="E1909">
        <v>129</v>
      </c>
      <c r="F1909" t="s">
        <v>273</v>
      </c>
      <c r="G1909" s="2" t="s">
        <v>156</v>
      </c>
      <c r="H1909">
        <v>5</v>
      </c>
      <c r="I1909">
        <v>6.62</v>
      </c>
      <c r="J1909" s="2" t="s">
        <v>170</v>
      </c>
      <c r="K1909" s="2" t="s">
        <v>74</v>
      </c>
      <c r="M1909" t="s">
        <v>3150</v>
      </c>
      <c r="P1909" s="19" t="s">
        <v>2449</v>
      </c>
      <c r="Q1909" s="19" t="s">
        <v>25</v>
      </c>
      <c r="R1909" s="19" t="s">
        <v>138</v>
      </c>
      <c r="W1909" s="20">
        <v>24</v>
      </c>
      <c r="X1909" s="65" t="s">
        <v>2010</v>
      </c>
      <c r="Z1909" t="s">
        <v>307</v>
      </c>
      <c r="AB1909" t="s">
        <v>178</v>
      </c>
      <c r="AC1909" t="s">
        <v>2639</v>
      </c>
      <c r="AD1909" s="2" t="s">
        <v>180</v>
      </c>
    </row>
    <row r="1910" spans="1:30" x14ac:dyDescent="0.25">
      <c r="A1910" s="2">
        <v>191</v>
      </c>
      <c r="B1910" t="s">
        <v>2641</v>
      </c>
      <c r="C1910">
        <v>12</v>
      </c>
      <c r="D1910">
        <v>120</v>
      </c>
      <c r="E1910">
        <v>129</v>
      </c>
      <c r="F1910" t="s">
        <v>273</v>
      </c>
      <c r="G1910" s="2" t="s">
        <v>156</v>
      </c>
      <c r="H1910">
        <v>7</v>
      </c>
      <c r="I1910">
        <v>9.27</v>
      </c>
      <c r="J1910" s="2" t="s">
        <v>170</v>
      </c>
      <c r="K1910" s="2" t="s">
        <v>74</v>
      </c>
      <c r="M1910" t="s">
        <v>3150</v>
      </c>
      <c r="P1910" s="19" t="s">
        <v>2449</v>
      </c>
      <c r="Q1910" s="19" t="s">
        <v>25</v>
      </c>
      <c r="R1910" s="19" t="s">
        <v>138</v>
      </c>
      <c r="W1910" s="20">
        <v>24</v>
      </c>
      <c r="X1910" s="65" t="s">
        <v>2010</v>
      </c>
      <c r="Z1910" t="s">
        <v>307</v>
      </c>
      <c r="AB1910" t="s">
        <v>178</v>
      </c>
      <c r="AC1910" t="s">
        <v>2639</v>
      </c>
      <c r="AD1910" s="2" t="s">
        <v>180</v>
      </c>
    </row>
    <row r="1911" spans="1:30" x14ac:dyDescent="0.25">
      <c r="A1911" s="2">
        <v>192</v>
      </c>
      <c r="B1911" t="s">
        <v>2642</v>
      </c>
      <c r="C1911">
        <v>12</v>
      </c>
      <c r="D1911">
        <v>135</v>
      </c>
      <c r="E1911">
        <v>488</v>
      </c>
      <c r="F1911" t="s">
        <v>273</v>
      </c>
      <c r="G1911" s="2" t="s">
        <v>156</v>
      </c>
      <c r="H1911">
        <v>16</v>
      </c>
      <c r="I1911">
        <v>99.04</v>
      </c>
      <c r="J1911" s="2" t="s">
        <v>170</v>
      </c>
      <c r="K1911" s="2" t="s">
        <v>74</v>
      </c>
      <c r="M1911" t="s">
        <v>3150</v>
      </c>
      <c r="P1911" s="19" t="s">
        <v>2449</v>
      </c>
      <c r="Q1911" s="19" t="s">
        <v>25</v>
      </c>
      <c r="R1911" s="19" t="s">
        <v>138</v>
      </c>
      <c r="W1911" s="20">
        <v>24</v>
      </c>
      <c r="X1911" s="65" t="s">
        <v>2010</v>
      </c>
      <c r="Z1911" t="s">
        <v>307</v>
      </c>
      <c r="AB1911" t="s">
        <v>178</v>
      </c>
      <c r="AC1911" t="s">
        <v>2639</v>
      </c>
      <c r="AD1911" s="2" t="s">
        <v>180</v>
      </c>
    </row>
    <row r="1912" spans="1:30" x14ac:dyDescent="0.25">
      <c r="A1912" s="2">
        <v>193</v>
      </c>
      <c r="B1912" t="s">
        <v>2643</v>
      </c>
      <c r="C1912">
        <v>12</v>
      </c>
      <c r="D1912">
        <v>135</v>
      </c>
      <c r="E1912">
        <v>488</v>
      </c>
      <c r="F1912" t="s">
        <v>273</v>
      </c>
      <c r="G1912" s="2" t="s">
        <v>156</v>
      </c>
      <c r="H1912">
        <v>4</v>
      </c>
      <c r="I1912">
        <v>24.76</v>
      </c>
      <c r="J1912" s="2" t="s">
        <v>170</v>
      </c>
      <c r="K1912" s="2" t="s">
        <v>74</v>
      </c>
      <c r="M1912" t="s">
        <v>3150</v>
      </c>
      <c r="P1912" s="19" t="s">
        <v>2449</v>
      </c>
      <c r="Q1912" s="19" t="s">
        <v>25</v>
      </c>
      <c r="R1912" s="19" t="s">
        <v>138</v>
      </c>
      <c r="W1912" s="20">
        <v>24</v>
      </c>
      <c r="X1912" s="65" t="s">
        <v>2010</v>
      </c>
      <c r="Z1912" t="s">
        <v>307</v>
      </c>
      <c r="AB1912" t="s">
        <v>178</v>
      </c>
      <c r="AC1912" t="s">
        <v>2639</v>
      </c>
      <c r="AD1912" s="2" t="s">
        <v>180</v>
      </c>
    </row>
    <row r="1913" spans="1:30" x14ac:dyDescent="0.25">
      <c r="A1913" s="2">
        <v>194</v>
      </c>
      <c r="B1913" t="s">
        <v>2644</v>
      </c>
      <c r="C1913">
        <v>12</v>
      </c>
      <c r="D1913">
        <v>135</v>
      </c>
      <c r="E1913">
        <v>488</v>
      </c>
      <c r="F1913" t="s">
        <v>273</v>
      </c>
      <c r="G1913" s="2" t="s">
        <v>156</v>
      </c>
      <c r="H1913">
        <v>4</v>
      </c>
      <c r="I1913">
        <v>24.76</v>
      </c>
      <c r="J1913" s="2" t="s">
        <v>170</v>
      </c>
      <c r="K1913" s="2" t="s">
        <v>74</v>
      </c>
      <c r="M1913" t="s">
        <v>3150</v>
      </c>
      <c r="P1913" s="19" t="s">
        <v>2449</v>
      </c>
      <c r="Q1913" s="19" t="s">
        <v>25</v>
      </c>
      <c r="R1913" s="19" t="s">
        <v>138</v>
      </c>
      <c r="W1913" s="20">
        <v>24</v>
      </c>
      <c r="X1913" s="65" t="s">
        <v>2010</v>
      </c>
      <c r="Z1913" t="s">
        <v>307</v>
      </c>
      <c r="AB1913" t="s">
        <v>178</v>
      </c>
      <c r="AC1913" t="s">
        <v>2639</v>
      </c>
      <c r="AD1913" s="2" t="s">
        <v>180</v>
      </c>
    </row>
    <row r="1914" spans="1:30" x14ac:dyDescent="0.25">
      <c r="A1914" s="2">
        <v>195</v>
      </c>
      <c r="B1914" t="s">
        <v>2645</v>
      </c>
      <c r="C1914">
        <v>12</v>
      </c>
      <c r="D1914">
        <v>135</v>
      </c>
      <c r="E1914">
        <v>488</v>
      </c>
      <c r="F1914" t="s">
        <v>273</v>
      </c>
      <c r="G1914" s="2" t="s">
        <v>156</v>
      </c>
      <c r="H1914">
        <v>4</v>
      </c>
      <c r="I1914">
        <v>24.76</v>
      </c>
      <c r="J1914" s="2" t="s">
        <v>170</v>
      </c>
      <c r="K1914" s="2" t="s">
        <v>74</v>
      </c>
      <c r="M1914" t="s">
        <v>3150</v>
      </c>
      <c r="P1914" s="19" t="s">
        <v>2449</v>
      </c>
      <c r="Q1914" s="19" t="s">
        <v>25</v>
      </c>
      <c r="R1914" s="19" t="s">
        <v>138</v>
      </c>
      <c r="W1914" s="20">
        <v>24</v>
      </c>
      <c r="X1914" s="65" t="s">
        <v>2010</v>
      </c>
      <c r="Z1914" t="s">
        <v>307</v>
      </c>
      <c r="AB1914" t="s">
        <v>178</v>
      </c>
      <c r="AC1914" t="s">
        <v>2639</v>
      </c>
      <c r="AD1914" s="2" t="s">
        <v>180</v>
      </c>
    </row>
    <row r="1915" spans="1:30" x14ac:dyDescent="0.25">
      <c r="A1915" s="2">
        <v>196</v>
      </c>
      <c r="B1915" t="s">
        <v>2646</v>
      </c>
      <c r="C1915">
        <v>12</v>
      </c>
      <c r="D1915">
        <v>135</v>
      </c>
      <c r="E1915">
        <v>488</v>
      </c>
      <c r="F1915" t="s">
        <v>273</v>
      </c>
      <c r="G1915" s="2" t="s">
        <v>156</v>
      </c>
      <c r="H1915">
        <v>4</v>
      </c>
      <c r="I1915">
        <v>24.76</v>
      </c>
      <c r="J1915" s="2" t="s">
        <v>170</v>
      </c>
      <c r="K1915" s="2" t="s">
        <v>74</v>
      </c>
      <c r="M1915" t="s">
        <v>3150</v>
      </c>
      <c r="P1915" s="19" t="s">
        <v>2449</v>
      </c>
      <c r="Q1915" s="19" t="s">
        <v>25</v>
      </c>
      <c r="R1915" s="19" t="s">
        <v>138</v>
      </c>
      <c r="W1915" s="20">
        <v>24</v>
      </c>
      <c r="X1915" s="65" t="s">
        <v>2010</v>
      </c>
      <c r="Z1915" t="s">
        <v>307</v>
      </c>
      <c r="AB1915" t="s">
        <v>178</v>
      </c>
      <c r="AC1915" t="s">
        <v>2639</v>
      </c>
      <c r="AD1915" s="2" t="s">
        <v>180</v>
      </c>
    </row>
    <row r="1916" spans="1:30" x14ac:dyDescent="0.25">
      <c r="A1916" s="2">
        <v>197</v>
      </c>
      <c r="B1916" t="s">
        <v>2647</v>
      </c>
      <c r="C1916">
        <v>12</v>
      </c>
      <c r="D1916">
        <v>135</v>
      </c>
      <c r="E1916">
        <v>488</v>
      </c>
      <c r="F1916" t="s">
        <v>273</v>
      </c>
      <c r="G1916" s="2" t="s">
        <v>156</v>
      </c>
      <c r="H1916">
        <v>4</v>
      </c>
      <c r="I1916">
        <v>24.76</v>
      </c>
      <c r="J1916" s="2" t="s">
        <v>170</v>
      </c>
      <c r="K1916" s="2" t="s">
        <v>74</v>
      </c>
      <c r="M1916" t="s">
        <v>3150</v>
      </c>
      <c r="P1916" s="19" t="s">
        <v>2449</v>
      </c>
      <c r="Q1916" s="19" t="s">
        <v>25</v>
      </c>
      <c r="R1916" s="19" t="s">
        <v>138</v>
      </c>
      <c r="W1916" s="20">
        <v>24</v>
      </c>
      <c r="X1916" s="65" t="s">
        <v>2010</v>
      </c>
      <c r="Z1916" t="s">
        <v>307</v>
      </c>
      <c r="AB1916" t="s">
        <v>178</v>
      </c>
      <c r="AC1916" t="s">
        <v>2639</v>
      </c>
      <c r="AD1916" s="2" t="s">
        <v>180</v>
      </c>
    </row>
    <row r="1917" spans="1:30" x14ac:dyDescent="0.25">
      <c r="A1917" s="2">
        <v>198</v>
      </c>
      <c r="B1917" t="s">
        <v>2648</v>
      </c>
      <c r="C1917">
        <v>12</v>
      </c>
      <c r="D1917">
        <v>135</v>
      </c>
      <c r="E1917">
        <v>488</v>
      </c>
      <c r="F1917" t="s">
        <v>273</v>
      </c>
      <c r="G1917" s="2" t="s">
        <v>156</v>
      </c>
      <c r="H1917">
        <v>4</v>
      </c>
      <c r="I1917">
        <v>24.76</v>
      </c>
      <c r="J1917" s="2" t="s">
        <v>170</v>
      </c>
      <c r="K1917" s="2" t="s">
        <v>74</v>
      </c>
      <c r="M1917" t="s">
        <v>3150</v>
      </c>
      <c r="P1917" s="19" t="s">
        <v>2449</v>
      </c>
      <c r="Q1917" s="19" t="s">
        <v>25</v>
      </c>
      <c r="R1917" s="19" t="s">
        <v>138</v>
      </c>
      <c r="W1917" s="20">
        <v>24</v>
      </c>
      <c r="X1917" s="65" t="s">
        <v>2010</v>
      </c>
      <c r="Z1917" t="s">
        <v>307</v>
      </c>
      <c r="AB1917" t="s">
        <v>178</v>
      </c>
      <c r="AC1917" t="s">
        <v>2639</v>
      </c>
      <c r="AD1917" s="2" t="s">
        <v>180</v>
      </c>
    </row>
    <row r="1918" spans="1:30" x14ac:dyDescent="0.25">
      <c r="A1918" s="2">
        <v>199</v>
      </c>
      <c r="B1918" t="s">
        <v>2649</v>
      </c>
      <c r="C1918">
        <v>12</v>
      </c>
      <c r="D1918">
        <v>135</v>
      </c>
      <c r="E1918">
        <v>488</v>
      </c>
      <c r="F1918" t="s">
        <v>273</v>
      </c>
      <c r="G1918" s="2" t="s">
        <v>156</v>
      </c>
      <c r="H1918">
        <v>4</v>
      </c>
      <c r="I1918">
        <v>24.76</v>
      </c>
      <c r="J1918" s="2" t="s">
        <v>170</v>
      </c>
      <c r="K1918" s="2" t="s">
        <v>74</v>
      </c>
      <c r="M1918" t="s">
        <v>3150</v>
      </c>
      <c r="P1918" s="19" t="s">
        <v>2449</v>
      </c>
      <c r="Q1918" s="19" t="s">
        <v>25</v>
      </c>
      <c r="R1918" s="19" t="s">
        <v>138</v>
      </c>
      <c r="W1918" s="20">
        <v>24</v>
      </c>
      <c r="X1918" s="65" t="s">
        <v>2010</v>
      </c>
      <c r="Z1918" t="s">
        <v>307</v>
      </c>
      <c r="AB1918" t="s">
        <v>178</v>
      </c>
      <c r="AC1918" t="s">
        <v>2639</v>
      </c>
      <c r="AD1918" s="2" t="s">
        <v>180</v>
      </c>
    </row>
    <row r="1919" spans="1:30" x14ac:dyDescent="0.25">
      <c r="A1919" s="2">
        <v>200</v>
      </c>
      <c r="B1919" t="s">
        <v>2650</v>
      </c>
      <c r="C1919">
        <v>12</v>
      </c>
      <c r="D1919">
        <v>135</v>
      </c>
      <c r="E1919">
        <v>488</v>
      </c>
      <c r="F1919" t="s">
        <v>273</v>
      </c>
      <c r="G1919" s="2" t="s">
        <v>156</v>
      </c>
      <c r="H1919">
        <v>4</v>
      </c>
      <c r="I1919">
        <v>24.76</v>
      </c>
      <c r="J1919" s="2" t="s">
        <v>170</v>
      </c>
      <c r="K1919" s="2" t="s">
        <v>74</v>
      </c>
      <c r="M1919" t="s">
        <v>3150</v>
      </c>
      <c r="P1919" s="19" t="s">
        <v>2449</v>
      </c>
      <c r="Q1919" s="19" t="s">
        <v>25</v>
      </c>
      <c r="R1919" s="19" t="s">
        <v>138</v>
      </c>
      <c r="W1919" s="20">
        <v>24</v>
      </c>
      <c r="X1919" s="65" t="s">
        <v>2010</v>
      </c>
      <c r="Z1919" t="s">
        <v>307</v>
      </c>
      <c r="AB1919" t="s">
        <v>178</v>
      </c>
      <c r="AC1919" t="s">
        <v>2639</v>
      </c>
      <c r="AD1919" s="2" t="s">
        <v>180</v>
      </c>
    </row>
    <row r="1920" spans="1:30" x14ac:dyDescent="0.25">
      <c r="A1920" s="2">
        <v>201</v>
      </c>
      <c r="B1920" t="s">
        <v>2651</v>
      </c>
      <c r="C1920">
        <v>12</v>
      </c>
      <c r="D1920">
        <v>490</v>
      </c>
      <c r="E1920">
        <v>1388</v>
      </c>
      <c r="F1920" t="s">
        <v>273</v>
      </c>
      <c r="G1920" s="2" t="s">
        <v>156</v>
      </c>
      <c r="H1920">
        <v>1</v>
      </c>
      <c r="I1920">
        <v>63.63</v>
      </c>
      <c r="J1920" s="2" t="s">
        <v>170</v>
      </c>
      <c r="K1920" s="2" t="s">
        <v>74</v>
      </c>
      <c r="M1920" t="s">
        <v>3150</v>
      </c>
      <c r="P1920" s="19" t="s">
        <v>2449</v>
      </c>
      <c r="Q1920" s="19" t="s">
        <v>27</v>
      </c>
      <c r="R1920" s="19" t="s">
        <v>138</v>
      </c>
      <c r="W1920" s="20">
        <v>24</v>
      </c>
      <c r="X1920" s="65" t="s">
        <v>2010</v>
      </c>
      <c r="Z1920" t="s">
        <v>307</v>
      </c>
      <c r="AB1920" t="s">
        <v>178</v>
      </c>
      <c r="AC1920" t="s">
        <v>2639</v>
      </c>
      <c r="AD1920" s="2" t="s">
        <v>180</v>
      </c>
    </row>
    <row r="1921" spans="1:30" x14ac:dyDescent="0.25">
      <c r="A1921" s="2">
        <v>202</v>
      </c>
      <c r="B1921" t="s">
        <v>2652</v>
      </c>
      <c r="C1921">
        <v>12</v>
      </c>
      <c r="D1921">
        <v>135</v>
      </c>
      <c r="E1921">
        <v>488</v>
      </c>
      <c r="F1921" t="s">
        <v>273</v>
      </c>
      <c r="G1921" s="2" t="s">
        <v>156</v>
      </c>
      <c r="H1921">
        <v>4</v>
      </c>
      <c r="I1921">
        <v>24.76</v>
      </c>
      <c r="J1921" s="2" t="s">
        <v>170</v>
      </c>
      <c r="K1921" s="2" t="s">
        <v>74</v>
      </c>
      <c r="M1921" t="s">
        <v>3150</v>
      </c>
      <c r="P1921" s="19" t="s">
        <v>2449</v>
      </c>
      <c r="Q1921" s="19" t="s">
        <v>25</v>
      </c>
      <c r="R1921" s="19" t="s">
        <v>138</v>
      </c>
      <c r="W1921" s="20">
        <v>24</v>
      </c>
      <c r="X1921" s="65" t="s">
        <v>2010</v>
      </c>
      <c r="Z1921" t="s">
        <v>307</v>
      </c>
      <c r="AB1921" t="s">
        <v>178</v>
      </c>
      <c r="AC1921" t="s">
        <v>2639</v>
      </c>
      <c r="AD1921" s="2" t="s">
        <v>180</v>
      </c>
    </row>
    <row r="1922" spans="1:30" x14ac:dyDescent="0.25">
      <c r="A1922" s="2">
        <v>203</v>
      </c>
      <c r="B1922" t="s">
        <v>2629</v>
      </c>
      <c r="C1922">
        <v>12</v>
      </c>
      <c r="D1922">
        <v>135</v>
      </c>
      <c r="E1922">
        <v>488</v>
      </c>
      <c r="F1922" t="s">
        <v>273</v>
      </c>
      <c r="G1922" s="2" t="s">
        <v>156</v>
      </c>
      <c r="H1922">
        <v>10</v>
      </c>
      <c r="I1922">
        <v>61.9</v>
      </c>
      <c r="J1922" s="2" t="s">
        <v>170</v>
      </c>
      <c r="K1922" s="2" t="s">
        <v>74</v>
      </c>
      <c r="M1922" t="s">
        <v>3150</v>
      </c>
      <c r="P1922" s="19" t="s">
        <v>2449</v>
      </c>
      <c r="Q1922" s="19" t="s">
        <v>25</v>
      </c>
      <c r="R1922" s="19" t="s">
        <v>138</v>
      </c>
      <c r="W1922" s="20">
        <v>24</v>
      </c>
      <c r="X1922" s="65" t="s">
        <v>2010</v>
      </c>
      <c r="Z1922" t="s">
        <v>307</v>
      </c>
      <c r="AB1922" t="s">
        <v>178</v>
      </c>
      <c r="AC1922" t="s">
        <v>2639</v>
      </c>
      <c r="AD1922" s="2" t="s">
        <v>180</v>
      </c>
    </row>
    <row r="1923" spans="1:30" x14ac:dyDescent="0.25">
      <c r="A1923" s="2">
        <v>204</v>
      </c>
      <c r="B1923" t="s">
        <v>2481</v>
      </c>
      <c r="C1923">
        <v>12</v>
      </c>
      <c r="D1923">
        <v>128</v>
      </c>
      <c r="E1923">
        <v>145</v>
      </c>
      <c r="F1923" t="s">
        <v>273</v>
      </c>
      <c r="G1923" s="2" t="s">
        <v>156</v>
      </c>
      <c r="H1923">
        <v>1</v>
      </c>
      <c r="I1923">
        <v>1.67</v>
      </c>
      <c r="J1923" s="2" t="s">
        <v>170</v>
      </c>
      <c r="K1923" s="2" t="s">
        <v>74</v>
      </c>
      <c r="M1923" t="s">
        <v>3150</v>
      </c>
      <c r="P1923" s="19" t="s">
        <v>2449</v>
      </c>
      <c r="Q1923" s="19" t="s">
        <v>25</v>
      </c>
      <c r="R1923" s="19" t="s">
        <v>138</v>
      </c>
      <c r="W1923" s="20">
        <v>24</v>
      </c>
      <c r="X1923" s="65" t="s">
        <v>2010</v>
      </c>
      <c r="Z1923" t="s">
        <v>307</v>
      </c>
      <c r="AB1923" t="s">
        <v>178</v>
      </c>
      <c r="AC1923" t="s">
        <v>2639</v>
      </c>
      <c r="AD1923" s="2" t="s">
        <v>180</v>
      </c>
    </row>
    <row r="1924" spans="1:30" x14ac:dyDescent="0.25">
      <c r="A1924" s="2">
        <v>205</v>
      </c>
      <c r="B1924" t="s">
        <v>2653</v>
      </c>
      <c r="C1924">
        <v>12</v>
      </c>
      <c r="D1924">
        <v>490</v>
      </c>
      <c r="E1924">
        <v>6464</v>
      </c>
      <c r="F1924" t="s">
        <v>273</v>
      </c>
      <c r="G1924" s="2" t="s">
        <v>156</v>
      </c>
      <c r="H1924">
        <v>1</v>
      </c>
      <c r="I1924">
        <v>298.26</v>
      </c>
      <c r="J1924" s="2" t="s">
        <v>170</v>
      </c>
      <c r="K1924" s="2" t="s">
        <v>74</v>
      </c>
      <c r="M1924" t="s">
        <v>3150</v>
      </c>
      <c r="P1924" s="19" t="s">
        <v>2449</v>
      </c>
      <c r="Q1924" s="19" t="s">
        <v>27</v>
      </c>
      <c r="R1924" s="19" t="s">
        <v>138</v>
      </c>
      <c r="W1924" s="20">
        <v>24</v>
      </c>
      <c r="X1924" s="65" t="s">
        <v>2010</v>
      </c>
      <c r="Z1924" t="s">
        <v>307</v>
      </c>
      <c r="AB1924" t="s">
        <v>178</v>
      </c>
      <c r="AC1924" t="s">
        <v>2639</v>
      </c>
      <c r="AD1924" s="2" t="s">
        <v>180</v>
      </c>
    </row>
    <row r="1925" spans="1:30" x14ac:dyDescent="0.25">
      <c r="A1925" s="2">
        <v>206</v>
      </c>
      <c r="B1925" t="s">
        <v>2654</v>
      </c>
      <c r="C1925">
        <v>12</v>
      </c>
      <c r="D1925">
        <v>1460</v>
      </c>
      <c r="E1925">
        <v>9068</v>
      </c>
      <c r="F1925" t="s">
        <v>273</v>
      </c>
      <c r="G1925" s="2" t="s">
        <v>156</v>
      </c>
      <c r="H1925">
        <v>1</v>
      </c>
      <c r="I1925">
        <v>1240.54</v>
      </c>
      <c r="J1925" s="2" t="s">
        <v>170</v>
      </c>
      <c r="K1925" s="2" t="s">
        <v>74</v>
      </c>
      <c r="M1925" t="s">
        <v>3150</v>
      </c>
      <c r="P1925" s="19" t="s">
        <v>2449</v>
      </c>
      <c r="Q1925" s="19" t="s">
        <v>27</v>
      </c>
      <c r="R1925" s="19" t="s">
        <v>138</v>
      </c>
      <c r="W1925" s="20">
        <v>24</v>
      </c>
      <c r="X1925" s="65" t="s">
        <v>2010</v>
      </c>
      <c r="Z1925" t="s">
        <v>307</v>
      </c>
      <c r="AB1925" t="s">
        <v>178</v>
      </c>
      <c r="AC1925" t="s">
        <v>2639</v>
      </c>
      <c r="AD1925" s="2" t="s">
        <v>180</v>
      </c>
    </row>
    <row r="1926" spans="1:30" x14ac:dyDescent="0.25">
      <c r="A1926" s="2">
        <v>207</v>
      </c>
      <c r="B1926" t="s">
        <v>2655</v>
      </c>
      <c r="C1926">
        <v>12</v>
      </c>
      <c r="D1926">
        <v>490</v>
      </c>
      <c r="E1926">
        <v>1388</v>
      </c>
      <c r="F1926" t="s">
        <v>273</v>
      </c>
      <c r="G1926" s="2" t="s">
        <v>156</v>
      </c>
      <c r="H1926">
        <v>1</v>
      </c>
      <c r="I1926">
        <v>63.63</v>
      </c>
      <c r="J1926" s="2" t="s">
        <v>170</v>
      </c>
      <c r="K1926" s="2" t="s">
        <v>74</v>
      </c>
      <c r="M1926" t="s">
        <v>3150</v>
      </c>
      <c r="P1926" s="19" t="s">
        <v>2449</v>
      </c>
      <c r="Q1926" s="19" t="s">
        <v>27</v>
      </c>
      <c r="R1926" s="19" t="s">
        <v>138</v>
      </c>
      <c r="W1926" s="20">
        <v>24</v>
      </c>
      <c r="X1926" s="65" t="s">
        <v>2010</v>
      </c>
      <c r="Z1926" t="s">
        <v>307</v>
      </c>
      <c r="AB1926" t="s">
        <v>178</v>
      </c>
      <c r="AC1926" t="s">
        <v>2639</v>
      </c>
      <c r="AD1926" s="2" t="s">
        <v>180</v>
      </c>
    </row>
    <row r="1927" spans="1:30" x14ac:dyDescent="0.25">
      <c r="A1927" s="2">
        <v>208</v>
      </c>
      <c r="B1927" t="s">
        <v>2656</v>
      </c>
      <c r="C1927">
        <v>12</v>
      </c>
      <c r="D1927">
        <v>490</v>
      </c>
      <c r="E1927">
        <v>1388</v>
      </c>
      <c r="F1927" t="s">
        <v>273</v>
      </c>
      <c r="G1927" s="2" t="s">
        <v>156</v>
      </c>
      <c r="H1927">
        <v>1</v>
      </c>
      <c r="I1927">
        <v>63.63</v>
      </c>
      <c r="J1927" s="2" t="s">
        <v>170</v>
      </c>
      <c r="K1927" s="2" t="s">
        <v>74</v>
      </c>
      <c r="M1927" t="s">
        <v>3150</v>
      </c>
      <c r="P1927" s="19" t="s">
        <v>2449</v>
      </c>
      <c r="Q1927" s="19" t="s">
        <v>27</v>
      </c>
      <c r="R1927" s="19" t="s">
        <v>138</v>
      </c>
      <c r="W1927" s="20">
        <v>24</v>
      </c>
      <c r="X1927" s="65" t="s">
        <v>2010</v>
      </c>
      <c r="Z1927" t="s">
        <v>307</v>
      </c>
      <c r="AB1927" t="s">
        <v>178</v>
      </c>
      <c r="AC1927" t="s">
        <v>2639</v>
      </c>
      <c r="AD1927" s="2" t="s">
        <v>180</v>
      </c>
    </row>
    <row r="1928" spans="1:30" x14ac:dyDescent="0.25">
      <c r="A1928" s="2">
        <v>209</v>
      </c>
      <c r="B1928" t="s">
        <v>2657</v>
      </c>
      <c r="C1928">
        <v>12</v>
      </c>
      <c r="D1928">
        <v>490</v>
      </c>
      <c r="E1928">
        <v>1388</v>
      </c>
      <c r="F1928" t="s">
        <v>273</v>
      </c>
      <c r="G1928" s="2" t="s">
        <v>156</v>
      </c>
      <c r="H1928">
        <v>1</v>
      </c>
      <c r="I1928">
        <v>63.63</v>
      </c>
      <c r="J1928" s="2" t="s">
        <v>170</v>
      </c>
      <c r="K1928" s="2" t="s">
        <v>74</v>
      </c>
      <c r="M1928" t="s">
        <v>3150</v>
      </c>
      <c r="P1928" s="19" t="s">
        <v>2449</v>
      </c>
      <c r="Q1928" s="19" t="s">
        <v>27</v>
      </c>
      <c r="R1928" s="19" t="s">
        <v>138</v>
      </c>
      <c r="W1928" s="20">
        <v>24</v>
      </c>
      <c r="X1928" s="65" t="s">
        <v>2010</v>
      </c>
      <c r="Z1928" t="s">
        <v>307</v>
      </c>
      <c r="AB1928" t="s">
        <v>178</v>
      </c>
      <c r="AC1928" t="s">
        <v>2639</v>
      </c>
      <c r="AD1928" s="2" t="s">
        <v>180</v>
      </c>
    </row>
    <row r="1929" spans="1:30" x14ac:dyDescent="0.25">
      <c r="A1929" s="2">
        <v>210</v>
      </c>
      <c r="B1929" t="s">
        <v>2658</v>
      </c>
      <c r="C1929">
        <v>12</v>
      </c>
      <c r="D1929">
        <v>135</v>
      </c>
      <c r="E1929">
        <v>488</v>
      </c>
      <c r="F1929" t="s">
        <v>273</v>
      </c>
      <c r="G1929" s="2" t="s">
        <v>156</v>
      </c>
      <c r="H1929">
        <v>17</v>
      </c>
      <c r="I1929">
        <v>105.23</v>
      </c>
      <c r="J1929" s="2" t="s">
        <v>170</v>
      </c>
      <c r="K1929" s="2" t="s">
        <v>74</v>
      </c>
      <c r="M1929" t="s">
        <v>3150</v>
      </c>
      <c r="P1929" s="19" t="s">
        <v>2449</v>
      </c>
      <c r="Q1929" s="19" t="s">
        <v>25</v>
      </c>
      <c r="R1929" s="19" t="s">
        <v>138</v>
      </c>
      <c r="W1929" s="20">
        <v>24</v>
      </c>
      <c r="X1929" s="65" t="s">
        <v>2010</v>
      </c>
      <c r="Z1929" t="s">
        <v>307</v>
      </c>
      <c r="AB1929" t="s">
        <v>178</v>
      </c>
      <c r="AC1929" t="s">
        <v>2659</v>
      </c>
      <c r="AD1929" s="2" t="s">
        <v>180</v>
      </c>
    </row>
    <row r="1930" spans="1:30" x14ac:dyDescent="0.25">
      <c r="A1930" s="2">
        <v>211</v>
      </c>
      <c r="B1930" t="s">
        <v>2661</v>
      </c>
      <c r="C1930">
        <v>12</v>
      </c>
      <c r="D1930">
        <v>135</v>
      </c>
      <c r="E1930">
        <v>488</v>
      </c>
      <c r="F1930" t="s">
        <v>273</v>
      </c>
      <c r="G1930" s="2" t="s">
        <v>156</v>
      </c>
      <c r="H1930">
        <v>17</v>
      </c>
      <c r="I1930">
        <v>105.23</v>
      </c>
      <c r="J1930" s="2" t="s">
        <v>170</v>
      </c>
      <c r="K1930" s="2" t="s">
        <v>74</v>
      </c>
      <c r="M1930" t="s">
        <v>3150</v>
      </c>
      <c r="P1930" s="19" t="s">
        <v>2449</v>
      </c>
      <c r="Q1930" s="19" t="s">
        <v>25</v>
      </c>
      <c r="R1930" s="19" t="s">
        <v>138</v>
      </c>
      <c r="W1930" s="20">
        <v>24</v>
      </c>
      <c r="X1930" s="65" t="s">
        <v>2010</v>
      </c>
      <c r="Z1930" t="s">
        <v>307</v>
      </c>
      <c r="AB1930" t="s">
        <v>178</v>
      </c>
      <c r="AC1930" t="s">
        <v>2659</v>
      </c>
      <c r="AD1930" s="2" t="s">
        <v>180</v>
      </c>
    </row>
    <row r="1931" spans="1:30" x14ac:dyDescent="0.25">
      <c r="A1931" s="2">
        <v>212</v>
      </c>
      <c r="B1931" t="s">
        <v>2662</v>
      </c>
      <c r="C1931">
        <v>12</v>
      </c>
      <c r="D1931">
        <v>135</v>
      </c>
      <c r="E1931">
        <v>488</v>
      </c>
      <c r="F1931" t="s">
        <v>273</v>
      </c>
      <c r="G1931" s="2" t="s">
        <v>156</v>
      </c>
      <c r="H1931">
        <v>16</v>
      </c>
      <c r="I1931">
        <v>99.04</v>
      </c>
      <c r="J1931" s="2" t="s">
        <v>170</v>
      </c>
      <c r="K1931" s="2" t="s">
        <v>74</v>
      </c>
      <c r="M1931" t="s">
        <v>3150</v>
      </c>
      <c r="P1931" s="19" t="s">
        <v>2449</v>
      </c>
      <c r="Q1931" s="19" t="s">
        <v>25</v>
      </c>
      <c r="R1931" s="19" t="s">
        <v>138</v>
      </c>
      <c r="W1931" s="20">
        <v>24</v>
      </c>
      <c r="X1931" s="65" t="s">
        <v>2010</v>
      </c>
      <c r="Z1931" t="s">
        <v>307</v>
      </c>
      <c r="AB1931" t="s">
        <v>178</v>
      </c>
      <c r="AC1931" t="s">
        <v>2659</v>
      </c>
      <c r="AD1931" s="2" t="s">
        <v>180</v>
      </c>
    </row>
    <row r="1932" spans="1:30" x14ac:dyDescent="0.25">
      <c r="A1932" s="2">
        <v>213</v>
      </c>
      <c r="B1932" t="s">
        <v>2663</v>
      </c>
      <c r="C1932">
        <v>12</v>
      </c>
      <c r="D1932">
        <v>135</v>
      </c>
      <c r="E1932">
        <v>488</v>
      </c>
      <c r="F1932" t="s">
        <v>273</v>
      </c>
      <c r="G1932" s="2" t="s">
        <v>156</v>
      </c>
      <c r="H1932">
        <v>16</v>
      </c>
      <c r="I1932">
        <v>99.04</v>
      </c>
      <c r="J1932" s="2" t="s">
        <v>170</v>
      </c>
      <c r="K1932" s="2" t="s">
        <v>74</v>
      </c>
      <c r="M1932" t="s">
        <v>3150</v>
      </c>
      <c r="P1932" s="19" t="s">
        <v>2449</v>
      </c>
      <c r="Q1932" s="19" t="s">
        <v>25</v>
      </c>
      <c r="R1932" s="19" t="s">
        <v>138</v>
      </c>
      <c r="W1932" s="20">
        <v>24</v>
      </c>
      <c r="X1932" s="65" t="s">
        <v>2010</v>
      </c>
      <c r="Z1932" t="s">
        <v>307</v>
      </c>
      <c r="AB1932" t="s">
        <v>178</v>
      </c>
      <c r="AC1932" t="s">
        <v>2659</v>
      </c>
      <c r="AD1932" s="2" t="s">
        <v>180</v>
      </c>
    </row>
    <row r="1933" spans="1:30" x14ac:dyDescent="0.25">
      <c r="A1933" s="2">
        <v>214</v>
      </c>
      <c r="B1933" t="s">
        <v>2664</v>
      </c>
      <c r="C1933">
        <v>12</v>
      </c>
      <c r="D1933">
        <v>490</v>
      </c>
      <c r="E1933">
        <v>1388</v>
      </c>
      <c r="F1933" t="s">
        <v>273</v>
      </c>
      <c r="G1933" s="2" t="s">
        <v>156</v>
      </c>
      <c r="H1933">
        <v>1</v>
      </c>
      <c r="I1933">
        <v>63.63</v>
      </c>
      <c r="J1933" s="2" t="s">
        <v>170</v>
      </c>
      <c r="K1933" s="2" t="s">
        <v>74</v>
      </c>
      <c r="M1933" t="s">
        <v>3150</v>
      </c>
      <c r="P1933" s="19" t="s">
        <v>2449</v>
      </c>
      <c r="Q1933" s="19" t="s">
        <v>27</v>
      </c>
      <c r="R1933" s="19" t="s">
        <v>138</v>
      </c>
      <c r="W1933" s="20">
        <v>24</v>
      </c>
      <c r="X1933" s="65" t="s">
        <v>2010</v>
      </c>
      <c r="Z1933" t="s">
        <v>307</v>
      </c>
      <c r="AB1933" t="s">
        <v>178</v>
      </c>
      <c r="AC1933" t="s">
        <v>2659</v>
      </c>
      <c r="AD1933" s="2" t="s">
        <v>180</v>
      </c>
    </row>
    <row r="1934" spans="1:30" x14ac:dyDescent="0.25">
      <c r="A1934" s="2">
        <v>215</v>
      </c>
      <c r="B1934" t="s">
        <v>2665</v>
      </c>
      <c r="C1934">
        <v>12</v>
      </c>
      <c r="D1934">
        <v>135</v>
      </c>
      <c r="E1934">
        <v>488</v>
      </c>
      <c r="F1934" t="s">
        <v>273</v>
      </c>
      <c r="G1934" s="2" t="s">
        <v>156</v>
      </c>
      <c r="H1934">
        <v>7</v>
      </c>
      <c r="I1934">
        <v>43.33</v>
      </c>
      <c r="J1934" s="2" t="s">
        <v>170</v>
      </c>
      <c r="K1934" s="2" t="s">
        <v>74</v>
      </c>
      <c r="M1934" t="s">
        <v>3150</v>
      </c>
      <c r="P1934" s="19" t="s">
        <v>2449</v>
      </c>
      <c r="Q1934" s="19" t="s">
        <v>25</v>
      </c>
      <c r="R1934" s="19" t="s">
        <v>138</v>
      </c>
      <c r="W1934" s="20">
        <v>24</v>
      </c>
      <c r="X1934" s="65" t="s">
        <v>2010</v>
      </c>
      <c r="Z1934" t="s">
        <v>307</v>
      </c>
      <c r="AB1934" t="s">
        <v>178</v>
      </c>
      <c r="AC1934" t="s">
        <v>2659</v>
      </c>
      <c r="AD1934" s="2" t="s">
        <v>180</v>
      </c>
    </row>
    <row r="1935" spans="1:30" x14ac:dyDescent="0.25">
      <c r="A1935" s="2">
        <v>216</v>
      </c>
      <c r="B1935" t="s">
        <v>2666</v>
      </c>
      <c r="C1935">
        <v>12</v>
      </c>
      <c r="D1935">
        <v>135</v>
      </c>
      <c r="E1935">
        <v>488</v>
      </c>
      <c r="F1935" t="s">
        <v>273</v>
      </c>
      <c r="G1935" s="2" t="s">
        <v>156</v>
      </c>
      <c r="H1935">
        <v>12</v>
      </c>
      <c r="I1935">
        <v>74.28</v>
      </c>
      <c r="J1935" s="2" t="s">
        <v>170</v>
      </c>
      <c r="K1935" s="2" t="s">
        <v>74</v>
      </c>
      <c r="M1935" t="s">
        <v>3150</v>
      </c>
      <c r="P1935" s="19" t="s">
        <v>2449</v>
      </c>
      <c r="Q1935" s="19" t="s">
        <v>25</v>
      </c>
      <c r="R1935" s="19" t="s">
        <v>138</v>
      </c>
      <c r="W1935" s="20">
        <v>24</v>
      </c>
      <c r="X1935" s="65" t="s">
        <v>2010</v>
      </c>
      <c r="Z1935" t="s">
        <v>307</v>
      </c>
      <c r="AB1935" t="s">
        <v>178</v>
      </c>
      <c r="AC1935" t="s">
        <v>2659</v>
      </c>
      <c r="AD1935" s="2" t="s">
        <v>180</v>
      </c>
    </row>
    <row r="1936" spans="1:30" x14ac:dyDescent="0.25">
      <c r="A1936" s="2">
        <v>217</v>
      </c>
      <c r="B1936" t="s">
        <v>2667</v>
      </c>
      <c r="C1936">
        <v>12</v>
      </c>
      <c r="D1936">
        <v>135</v>
      </c>
      <c r="E1936">
        <v>488</v>
      </c>
      <c r="F1936" t="s">
        <v>273</v>
      </c>
      <c r="G1936" s="2" t="s">
        <v>156</v>
      </c>
      <c r="H1936">
        <v>12</v>
      </c>
      <c r="I1936">
        <v>74.28</v>
      </c>
      <c r="J1936" s="2" t="s">
        <v>170</v>
      </c>
      <c r="K1936" s="2" t="s">
        <v>74</v>
      </c>
      <c r="M1936" t="s">
        <v>3150</v>
      </c>
      <c r="P1936" s="19" t="s">
        <v>2449</v>
      </c>
      <c r="Q1936" s="19" t="s">
        <v>25</v>
      </c>
      <c r="R1936" s="19" t="s">
        <v>138</v>
      </c>
      <c r="W1936" s="20">
        <v>24</v>
      </c>
      <c r="X1936" s="65" t="s">
        <v>2010</v>
      </c>
      <c r="Z1936" t="s">
        <v>307</v>
      </c>
      <c r="AB1936" t="s">
        <v>178</v>
      </c>
      <c r="AC1936" t="s">
        <v>2659</v>
      </c>
      <c r="AD1936" s="2" t="s">
        <v>180</v>
      </c>
    </row>
    <row r="1937" spans="1:30" x14ac:dyDescent="0.25">
      <c r="A1937" s="2">
        <v>218</v>
      </c>
      <c r="B1937" t="s">
        <v>2668</v>
      </c>
      <c r="C1937">
        <v>12</v>
      </c>
      <c r="D1937">
        <v>135</v>
      </c>
      <c r="E1937">
        <v>488</v>
      </c>
      <c r="F1937" t="s">
        <v>273</v>
      </c>
      <c r="G1937" s="2" t="s">
        <v>156</v>
      </c>
      <c r="H1937">
        <v>12</v>
      </c>
      <c r="I1937">
        <v>74.28</v>
      </c>
      <c r="J1937" s="2" t="s">
        <v>170</v>
      </c>
      <c r="K1937" s="2" t="s">
        <v>74</v>
      </c>
      <c r="M1937" t="s">
        <v>3150</v>
      </c>
      <c r="P1937" s="19" t="s">
        <v>2449</v>
      </c>
      <c r="Q1937" s="19" t="s">
        <v>25</v>
      </c>
      <c r="R1937" s="19" t="s">
        <v>138</v>
      </c>
      <c r="W1937" s="20">
        <v>24</v>
      </c>
      <c r="X1937" s="65" t="s">
        <v>2010</v>
      </c>
      <c r="Z1937" t="s">
        <v>307</v>
      </c>
      <c r="AB1937" t="s">
        <v>178</v>
      </c>
      <c r="AC1937" t="s">
        <v>2659</v>
      </c>
      <c r="AD1937" s="2" t="s">
        <v>180</v>
      </c>
    </row>
    <row r="1938" spans="1:30" x14ac:dyDescent="0.25">
      <c r="A1938" s="2">
        <v>219</v>
      </c>
      <c r="B1938" t="s">
        <v>2669</v>
      </c>
      <c r="C1938">
        <v>12</v>
      </c>
      <c r="D1938">
        <v>135</v>
      </c>
      <c r="E1938">
        <v>488</v>
      </c>
      <c r="F1938" t="s">
        <v>273</v>
      </c>
      <c r="G1938" s="2" t="s">
        <v>156</v>
      </c>
      <c r="H1938">
        <v>12</v>
      </c>
      <c r="I1938">
        <v>74.28</v>
      </c>
      <c r="J1938" s="2" t="s">
        <v>170</v>
      </c>
      <c r="K1938" s="2" t="s">
        <v>74</v>
      </c>
      <c r="M1938" t="s">
        <v>3150</v>
      </c>
      <c r="P1938" s="19" t="s">
        <v>2449</v>
      </c>
      <c r="Q1938" s="19" t="s">
        <v>25</v>
      </c>
      <c r="R1938" s="19" t="s">
        <v>138</v>
      </c>
      <c r="W1938" s="20">
        <v>24</v>
      </c>
      <c r="X1938" s="65" t="s">
        <v>2010</v>
      </c>
      <c r="Z1938" t="s">
        <v>307</v>
      </c>
      <c r="AB1938" t="s">
        <v>178</v>
      </c>
      <c r="AC1938" t="s">
        <v>2659</v>
      </c>
      <c r="AD1938" s="2" t="s">
        <v>180</v>
      </c>
    </row>
    <row r="1939" spans="1:30" x14ac:dyDescent="0.25">
      <c r="A1939" s="2">
        <v>220</v>
      </c>
      <c r="B1939" t="s">
        <v>2670</v>
      </c>
      <c r="C1939">
        <v>12</v>
      </c>
      <c r="D1939">
        <v>135</v>
      </c>
      <c r="E1939">
        <v>488</v>
      </c>
      <c r="F1939" t="s">
        <v>273</v>
      </c>
      <c r="G1939" s="2" t="s">
        <v>156</v>
      </c>
      <c r="H1939">
        <v>12</v>
      </c>
      <c r="I1939">
        <v>74.28</v>
      </c>
      <c r="J1939" s="2" t="s">
        <v>170</v>
      </c>
      <c r="K1939" s="2" t="s">
        <v>74</v>
      </c>
      <c r="M1939" t="s">
        <v>3150</v>
      </c>
      <c r="P1939" s="19" t="s">
        <v>2449</v>
      </c>
      <c r="Q1939" s="19" t="s">
        <v>25</v>
      </c>
      <c r="R1939" s="19" t="s">
        <v>138</v>
      </c>
      <c r="W1939" s="20">
        <v>24</v>
      </c>
      <c r="X1939" s="65" t="s">
        <v>2010</v>
      </c>
      <c r="Z1939" t="s">
        <v>307</v>
      </c>
      <c r="AB1939" t="s">
        <v>178</v>
      </c>
      <c r="AC1939" t="s">
        <v>2659</v>
      </c>
      <c r="AD1939" s="2" t="s">
        <v>180</v>
      </c>
    </row>
    <row r="1940" spans="1:30" x14ac:dyDescent="0.25">
      <c r="A1940" s="2">
        <v>221</v>
      </c>
      <c r="B1940" t="s">
        <v>2671</v>
      </c>
      <c r="C1940">
        <v>12</v>
      </c>
      <c r="D1940">
        <v>135</v>
      </c>
      <c r="E1940">
        <v>488</v>
      </c>
      <c r="F1940" t="s">
        <v>273</v>
      </c>
      <c r="G1940" s="2" t="s">
        <v>156</v>
      </c>
      <c r="H1940">
        <v>17</v>
      </c>
      <c r="I1940">
        <v>105.23</v>
      </c>
      <c r="J1940" s="2" t="s">
        <v>170</v>
      </c>
      <c r="K1940" s="2" t="s">
        <v>74</v>
      </c>
      <c r="M1940" t="s">
        <v>3150</v>
      </c>
      <c r="P1940" s="19" t="s">
        <v>2449</v>
      </c>
      <c r="Q1940" s="19" t="s">
        <v>25</v>
      </c>
      <c r="R1940" s="19" t="s">
        <v>138</v>
      </c>
      <c r="W1940" s="20">
        <v>24</v>
      </c>
      <c r="X1940" s="65" t="s">
        <v>2010</v>
      </c>
      <c r="Z1940" t="s">
        <v>307</v>
      </c>
      <c r="AB1940" t="s">
        <v>178</v>
      </c>
      <c r="AC1940" t="s">
        <v>2659</v>
      </c>
      <c r="AD1940" s="2" t="s">
        <v>180</v>
      </c>
    </row>
    <row r="1941" spans="1:30" x14ac:dyDescent="0.25">
      <c r="A1941" s="2">
        <v>222</v>
      </c>
      <c r="B1941" t="s">
        <v>2672</v>
      </c>
      <c r="C1941">
        <v>12</v>
      </c>
      <c r="D1941">
        <v>100</v>
      </c>
      <c r="E1941">
        <v>150</v>
      </c>
      <c r="F1941" t="s">
        <v>273</v>
      </c>
      <c r="G1941" s="2" t="s">
        <v>156</v>
      </c>
      <c r="H1941">
        <v>1</v>
      </c>
      <c r="I1941">
        <v>1.41</v>
      </c>
      <c r="J1941" s="2" t="s">
        <v>170</v>
      </c>
      <c r="K1941" s="2" t="s">
        <v>74</v>
      </c>
      <c r="M1941" t="s">
        <v>3150</v>
      </c>
      <c r="P1941" s="19" t="s">
        <v>2449</v>
      </c>
      <c r="Q1941" s="19" t="s">
        <v>25</v>
      </c>
      <c r="R1941" s="19" t="s">
        <v>138</v>
      </c>
      <c r="W1941" s="20">
        <v>24</v>
      </c>
      <c r="X1941" s="65" t="s">
        <v>2010</v>
      </c>
      <c r="Z1941" t="s">
        <v>307</v>
      </c>
      <c r="AB1941" t="s">
        <v>178</v>
      </c>
      <c r="AC1941" t="s">
        <v>2659</v>
      </c>
      <c r="AD1941" s="2" t="s">
        <v>180</v>
      </c>
    </row>
    <row r="1942" spans="1:30" x14ac:dyDescent="0.25">
      <c r="A1942" s="2">
        <v>223</v>
      </c>
      <c r="B1942" t="s">
        <v>2673</v>
      </c>
      <c r="C1942">
        <v>12</v>
      </c>
      <c r="D1942">
        <v>100</v>
      </c>
      <c r="E1942">
        <v>150</v>
      </c>
      <c r="F1942" t="s">
        <v>273</v>
      </c>
      <c r="G1942" s="2" t="s">
        <v>156</v>
      </c>
      <c r="H1942">
        <v>1</v>
      </c>
      <c r="I1942">
        <v>1.41</v>
      </c>
      <c r="J1942" s="2" t="s">
        <v>170</v>
      </c>
      <c r="K1942" s="2" t="s">
        <v>74</v>
      </c>
      <c r="M1942" t="s">
        <v>3150</v>
      </c>
      <c r="P1942" s="19" t="s">
        <v>2449</v>
      </c>
      <c r="Q1942" s="19" t="s">
        <v>25</v>
      </c>
      <c r="R1942" s="19" t="s">
        <v>138</v>
      </c>
      <c r="W1942" s="20">
        <v>24</v>
      </c>
      <c r="X1942" s="65" t="s">
        <v>2010</v>
      </c>
      <c r="Z1942" t="s">
        <v>307</v>
      </c>
      <c r="AB1942" t="s">
        <v>178</v>
      </c>
      <c r="AC1942" t="s">
        <v>2659</v>
      </c>
      <c r="AD1942" s="2" t="s">
        <v>180</v>
      </c>
    </row>
    <row r="1943" spans="1:30" x14ac:dyDescent="0.25">
      <c r="A1943" s="2">
        <v>224</v>
      </c>
      <c r="B1943" t="s">
        <v>2674</v>
      </c>
      <c r="C1943">
        <v>12</v>
      </c>
      <c r="D1943">
        <v>490</v>
      </c>
      <c r="E1943">
        <v>6464</v>
      </c>
      <c r="F1943" t="s">
        <v>273</v>
      </c>
      <c r="G1943" s="2" t="s">
        <v>156</v>
      </c>
      <c r="H1943">
        <v>1</v>
      </c>
      <c r="I1943">
        <v>298.16000000000003</v>
      </c>
      <c r="J1943" s="2" t="s">
        <v>170</v>
      </c>
      <c r="K1943" s="2" t="s">
        <v>74</v>
      </c>
      <c r="M1943" t="s">
        <v>3150</v>
      </c>
      <c r="P1943" s="19" t="s">
        <v>2449</v>
      </c>
      <c r="Q1943" s="19" t="s">
        <v>27</v>
      </c>
      <c r="R1943" s="19" t="s">
        <v>138</v>
      </c>
      <c r="W1943" s="20">
        <v>24</v>
      </c>
      <c r="X1943" s="65" t="s">
        <v>2010</v>
      </c>
      <c r="Z1943" t="s">
        <v>307</v>
      </c>
      <c r="AB1943" t="s">
        <v>178</v>
      </c>
      <c r="AC1943" t="s">
        <v>2659</v>
      </c>
      <c r="AD1943" s="2" t="s">
        <v>180</v>
      </c>
    </row>
    <row r="1944" spans="1:30" x14ac:dyDescent="0.25">
      <c r="A1944" s="2">
        <v>225</v>
      </c>
      <c r="B1944" t="s">
        <v>2675</v>
      </c>
      <c r="C1944">
        <v>12</v>
      </c>
      <c r="D1944">
        <v>490</v>
      </c>
      <c r="E1944">
        <v>6464</v>
      </c>
      <c r="F1944" t="s">
        <v>273</v>
      </c>
      <c r="G1944" s="2" t="s">
        <v>156</v>
      </c>
      <c r="H1944">
        <v>1</v>
      </c>
      <c r="I1944">
        <v>298.16000000000003</v>
      </c>
      <c r="J1944" s="2" t="s">
        <v>170</v>
      </c>
      <c r="K1944" s="2" t="s">
        <v>74</v>
      </c>
      <c r="M1944" t="s">
        <v>3150</v>
      </c>
      <c r="P1944" s="19" t="s">
        <v>2449</v>
      </c>
      <c r="Q1944" s="19" t="s">
        <v>27</v>
      </c>
      <c r="R1944" s="19" t="s">
        <v>138</v>
      </c>
      <c r="W1944" s="20">
        <v>24</v>
      </c>
      <c r="X1944" s="65" t="s">
        <v>2010</v>
      </c>
      <c r="Z1944" t="s">
        <v>307</v>
      </c>
      <c r="AB1944" t="s">
        <v>178</v>
      </c>
      <c r="AC1944" t="s">
        <v>2659</v>
      </c>
      <c r="AD1944" s="2" t="s">
        <v>180</v>
      </c>
    </row>
    <row r="1945" spans="1:30" x14ac:dyDescent="0.25">
      <c r="A1945" s="2">
        <v>226</v>
      </c>
      <c r="B1945" t="s">
        <v>2676</v>
      </c>
      <c r="C1945">
        <v>12</v>
      </c>
      <c r="D1945">
        <v>490</v>
      </c>
      <c r="E1945">
        <v>6464</v>
      </c>
      <c r="F1945" t="s">
        <v>273</v>
      </c>
      <c r="G1945" s="2" t="s">
        <v>156</v>
      </c>
      <c r="H1945">
        <v>1</v>
      </c>
      <c r="I1945">
        <v>298.16000000000003</v>
      </c>
      <c r="J1945" s="2" t="s">
        <v>170</v>
      </c>
      <c r="K1945" s="2" t="s">
        <v>74</v>
      </c>
      <c r="M1945" t="s">
        <v>3150</v>
      </c>
      <c r="P1945" s="19" t="s">
        <v>2449</v>
      </c>
      <c r="Q1945" s="19" t="s">
        <v>27</v>
      </c>
      <c r="R1945" s="19" t="s">
        <v>138</v>
      </c>
      <c r="W1945" s="20">
        <v>24</v>
      </c>
      <c r="X1945" s="65" t="s">
        <v>2010</v>
      </c>
      <c r="Z1945" t="s">
        <v>307</v>
      </c>
      <c r="AB1945" t="s">
        <v>178</v>
      </c>
      <c r="AC1945" t="s">
        <v>2659</v>
      </c>
      <c r="AD1945" s="2" t="s">
        <v>180</v>
      </c>
    </row>
    <row r="1946" spans="1:30" x14ac:dyDescent="0.25">
      <c r="A1946" s="2">
        <v>227</v>
      </c>
      <c r="B1946" t="s">
        <v>2677</v>
      </c>
      <c r="C1946">
        <v>12</v>
      </c>
      <c r="D1946">
        <v>490</v>
      </c>
      <c r="E1946">
        <v>6464</v>
      </c>
      <c r="F1946" t="s">
        <v>273</v>
      </c>
      <c r="G1946" s="2" t="s">
        <v>156</v>
      </c>
      <c r="H1946">
        <v>1</v>
      </c>
      <c r="I1946">
        <v>298.16000000000003</v>
      </c>
      <c r="J1946" s="2" t="s">
        <v>170</v>
      </c>
      <c r="K1946" s="2" t="s">
        <v>74</v>
      </c>
      <c r="M1946" t="s">
        <v>3150</v>
      </c>
      <c r="P1946" s="19" t="s">
        <v>2449</v>
      </c>
      <c r="Q1946" s="19" t="s">
        <v>27</v>
      </c>
      <c r="R1946" s="19" t="s">
        <v>138</v>
      </c>
      <c r="W1946" s="20">
        <v>24</v>
      </c>
      <c r="X1946" s="65" t="s">
        <v>2010</v>
      </c>
      <c r="Z1946" t="s">
        <v>307</v>
      </c>
      <c r="AB1946" t="s">
        <v>178</v>
      </c>
      <c r="AC1946" t="s">
        <v>2659</v>
      </c>
      <c r="AD1946" s="2" t="s">
        <v>180</v>
      </c>
    </row>
    <row r="1947" spans="1:30" x14ac:dyDescent="0.25">
      <c r="A1947" s="2">
        <v>228</v>
      </c>
      <c r="B1947" t="s">
        <v>2678</v>
      </c>
      <c r="C1947">
        <v>12</v>
      </c>
      <c r="D1947">
        <v>490</v>
      </c>
      <c r="E1947">
        <v>6464</v>
      </c>
      <c r="F1947" t="s">
        <v>273</v>
      </c>
      <c r="G1947" s="2" t="s">
        <v>156</v>
      </c>
      <c r="H1947">
        <v>1</v>
      </c>
      <c r="I1947">
        <v>298.16000000000003</v>
      </c>
      <c r="J1947" s="2" t="s">
        <v>170</v>
      </c>
      <c r="K1947" s="2" t="s">
        <v>74</v>
      </c>
      <c r="M1947" t="s">
        <v>3150</v>
      </c>
      <c r="P1947" s="19" t="s">
        <v>2449</v>
      </c>
      <c r="Q1947" s="19" t="s">
        <v>27</v>
      </c>
      <c r="R1947" s="19" t="s">
        <v>138</v>
      </c>
      <c r="W1947" s="20">
        <v>24</v>
      </c>
      <c r="X1947" s="65" t="s">
        <v>2010</v>
      </c>
      <c r="Z1947" t="s">
        <v>307</v>
      </c>
      <c r="AB1947" t="s">
        <v>178</v>
      </c>
      <c r="AC1947" t="s">
        <v>2679</v>
      </c>
      <c r="AD1947" s="2" t="s">
        <v>180</v>
      </c>
    </row>
    <row r="1948" spans="1:30" x14ac:dyDescent="0.25">
      <c r="A1948" s="2">
        <v>229</v>
      </c>
      <c r="B1948" t="s">
        <v>2681</v>
      </c>
      <c r="C1948">
        <v>12</v>
      </c>
      <c r="D1948">
        <v>490</v>
      </c>
      <c r="E1948">
        <v>6464</v>
      </c>
      <c r="F1948" t="s">
        <v>273</v>
      </c>
      <c r="G1948" s="2" t="s">
        <v>156</v>
      </c>
      <c r="H1948">
        <v>1</v>
      </c>
      <c r="I1948">
        <v>298.16000000000003</v>
      </c>
      <c r="J1948" s="2" t="s">
        <v>170</v>
      </c>
      <c r="K1948" s="2" t="s">
        <v>74</v>
      </c>
      <c r="M1948" t="s">
        <v>3150</v>
      </c>
      <c r="P1948" s="19" t="s">
        <v>2449</v>
      </c>
      <c r="Q1948" s="19" t="s">
        <v>27</v>
      </c>
      <c r="R1948" s="19" t="s">
        <v>138</v>
      </c>
      <c r="W1948" s="20">
        <v>24</v>
      </c>
      <c r="X1948" s="65" t="s">
        <v>2010</v>
      </c>
      <c r="Z1948" t="s">
        <v>307</v>
      </c>
      <c r="AB1948" t="s">
        <v>178</v>
      </c>
      <c r="AC1948" t="s">
        <v>2679</v>
      </c>
      <c r="AD1948" s="2" t="s">
        <v>180</v>
      </c>
    </row>
    <row r="1949" spans="1:30" x14ac:dyDescent="0.25">
      <c r="A1949" s="2">
        <v>230</v>
      </c>
      <c r="B1949" t="s">
        <v>2682</v>
      </c>
      <c r="C1949">
        <v>12</v>
      </c>
      <c r="D1949">
        <v>490</v>
      </c>
      <c r="E1949">
        <v>6464</v>
      </c>
      <c r="F1949" t="s">
        <v>273</v>
      </c>
      <c r="G1949" s="2" t="s">
        <v>156</v>
      </c>
      <c r="H1949">
        <v>1</v>
      </c>
      <c r="I1949">
        <v>298.16000000000003</v>
      </c>
      <c r="J1949" s="2" t="s">
        <v>170</v>
      </c>
      <c r="K1949" s="2" t="s">
        <v>74</v>
      </c>
      <c r="M1949" t="s">
        <v>3150</v>
      </c>
      <c r="P1949" s="19" t="s">
        <v>2449</v>
      </c>
      <c r="Q1949" s="19" t="s">
        <v>27</v>
      </c>
      <c r="R1949" s="19" t="s">
        <v>138</v>
      </c>
      <c r="W1949" s="20">
        <v>24</v>
      </c>
      <c r="X1949" s="65" t="s">
        <v>2010</v>
      </c>
      <c r="Z1949" t="s">
        <v>307</v>
      </c>
      <c r="AB1949" t="s">
        <v>178</v>
      </c>
      <c r="AC1949" t="s">
        <v>2679</v>
      </c>
      <c r="AD1949" s="2" t="s">
        <v>180</v>
      </c>
    </row>
    <row r="1950" spans="1:30" x14ac:dyDescent="0.25">
      <c r="A1950" s="2">
        <v>231</v>
      </c>
      <c r="B1950" t="s">
        <v>2683</v>
      </c>
      <c r="C1950">
        <v>12</v>
      </c>
      <c r="D1950">
        <v>490</v>
      </c>
      <c r="E1950">
        <v>6464</v>
      </c>
      <c r="F1950" t="s">
        <v>273</v>
      </c>
      <c r="G1950" s="2" t="s">
        <v>156</v>
      </c>
      <c r="H1950">
        <v>1</v>
      </c>
      <c r="I1950">
        <v>298.16000000000003</v>
      </c>
      <c r="J1950" s="2" t="s">
        <v>170</v>
      </c>
      <c r="K1950" s="2" t="s">
        <v>74</v>
      </c>
      <c r="M1950" t="s">
        <v>3150</v>
      </c>
      <c r="P1950" s="19" t="s">
        <v>2449</v>
      </c>
      <c r="Q1950" s="19" t="s">
        <v>27</v>
      </c>
      <c r="R1950" s="19" t="s">
        <v>138</v>
      </c>
      <c r="W1950" s="20">
        <v>24</v>
      </c>
      <c r="X1950" s="65" t="s">
        <v>2010</v>
      </c>
      <c r="Z1950" t="s">
        <v>307</v>
      </c>
      <c r="AB1950" t="s">
        <v>178</v>
      </c>
      <c r="AC1950" t="s">
        <v>2679</v>
      </c>
      <c r="AD1950" s="2" t="s">
        <v>180</v>
      </c>
    </row>
    <row r="1951" spans="1:30" x14ac:dyDescent="0.25">
      <c r="A1951" s="2">
        <v>232</v>
      </c>
      <c r="B1951" t="s">
        <v>2684</v>
      </c>
      <c r="C1951">
        <v>12</v>
      </c>
      <c r="D1951">
        <v>135</v>
      </c>
      <c r="E1951">
        <v>488</v>
      </c>
      <c r="F1951" t="s">
        <v>273</v>
      </c>
      <c r="G1951" s="2" t="s">
        <v>156</v>
      </c>
      <c r="H1951">
        <v>12</v>
      </c>
      <c r="I1951">
        <v>74.28</v>
      </c>
      <c r="J1951" s="2" t="s">
        <v>170</v>
      </c>
      <c r="K1951" s="2" t="s">
        <v>74</v>
      </c>
      <c r="M1951" t="s">
        <v>3150</v>
      </c>
      <c r="P1951" s="19" t="s">
        <v>2449</v>
      </c>
      <c r="Q1951" s="19" t="s">
        <v>25</v>
      </c>
      <c r="R1951" s="19" t="s">
        <v>138</v>
      </c>
      <c r="W1951" s="20">
        <v>24</v>
      </c>
      <c r="X1951" s="65" t="s">
        <v>2010</v>
      </c>
      <c r="Z1951" t="s">
        <v>307</v>
      </c>
      <c r="AB1951" t="s">
        <v>178</v>
      </c>
      <c r="AC1951" t="s">
        <v>2679</v>
      </c>
      <c r="AD1951" s="2" t="s">
        <v>180</v>
      </c>
    </row>
    <row r="1952" spans="1:30" x14ac:dyDescent="0.25">
      <c r="A1952" s="2">
        <v>233</v>
      </c>
      <c r="B1952" t="s">
        <v>2685</v>
      </c>
      <c r="C1952">
        <v>12</v>
      </c>
      <c r="D1952">
        <v>135</v>
      </c>
      <c r="E1952">
        <v>488</v>
      </c>
      <c r="F1952" t="s">
        <v>273</v>
      </c>
      <c r="G1952" s="2" t="s">
        <v>156</v>
      </c>
      <c r="H1952">
        <v>4</v>
      </c>
      <c r="I1952">
        <v>24.76</v>
      </c>
      <c r="J1952" s="2" t="s">
        <v>170</v>
      </c>
      <c r="K1952" s="2" t="s">
        <v>74</v>
      </c>
      <c r="M1952" t="s">
        <v>3150</v>
      </c>
      <c r="P1952" s="19" t="s">
        <v>2449</v>
      </c>
      <c r="Q1952" s="19" t="s">
        <v>25</v>
      </c>
      <c r="R1952" s="19" t="s">
        <v>138</v>
      </c>
      <c r="W1952" s="20">
        <v>24</v>
      </c>
      <c r="X1952" s="65" t="s">
        <v>2010</v>
      </c>
      <c r="Z1952" t="s">
        <v>307</v>
      </c>
      <c r="AB1952" t="s">
        <v>178</v>
      </c>
      <c r="AC1952" t="s">
        <v>2679</v>
      </c>
      <c r="AD1952" s="2" t="s">
        <v>180</v>
      </c>
    </row>
    <row r="1953" spans="1:30" x14ac:dyDescent="0.25">
      <c r="A1953" s="2">
        <v>234</v>
      </c>
      <c r="B1953" t="s">
        <v>2686</v>
      </c>
      <c r="C1953">
        <v>12</v>
      </c>
      <c r="D1953">
        <v>135</v>
      </c>
      <c r="E1953">
        <v>488</v>
      </c>
      <c r="F1953" t="s">
        <v>273</v>
      </c>
      <c r="G1953" s="2" t="s">
        <v>156</v>
      </c>
      <c r="H1953">
        <v>12</v>
      </c>
      <c r="I1953">
        <v>74.28</v>
      </c>
      <c r="J1953" s="2" t="s">
        <v>170</v>
      </c>
      <c r="K1953" s="2" t="s">
        <v>74</v>
      </c>
      <c r="M1953" t="s">
        <v>3150</v>
      </c>
      <c r="P1953" s="19" t="s">
        <v>2449</v>
      </c>
      <c r="Q1953" s="19" t="s">
        <v>25</v>
      </c>
      <c r="R1953" s="19" t="s">
        <v>138</v>
      </c>
      <c r="W1953" s="20">
        <v>24</v>
      </c>
      <c r="X1953" s="65" t="s">
        <v>2010</v>
      </c>
      <c r="Z1953" t="s">
        <v>307</v>
      </c>
      <c r="AB1953" t="s">
        <v>178</v>
      </c>
      <c r="AC1953" t="s">
        <v>2679</v>
      </c>
      <c r="AD1953" s="2" t="s">
        <v>180</v>
      </c>
    </row>
    <row r="1954" spans="1:30" x14ac:dyDescent="0.25">
      <c r="A1954" s="2">
        <v>235</v>
      </c>
      <c r="B1954" t="s">
        <v>2687</v>
      </c>
      <c r="C1954">
        <v>12</v>
      </c>
      <c r="D1954">
        <v>135</v>
      </c>
      <c r="E1954">
        <v>488</v>
      </c>
      <c r="F1954" t="s">
        <v>273</v>
      </c>
      <c r="G1954" s="2" t="s">
        <v>156</v>
      </c>
      <c r="H1954">
        <v>12</v>
      </c>
      <c r="I1954">
        <v>74.28</v>
      </c>
      <c r="J1954" s="2" t="s">
        <v>170</v>
      </c>
      <c r="K1954" s="2" t="s">
        <v>74</v>
      </c>
      <c r="M1954" t="s">
        <v>3150</v>
      </c>
      <c r="P1954" s="19" t="s">
        <v>2449</v>
      </c>
      <c r="Q1954" s="19" t="s">
        <v>25</v>
      </c>
      <c r="R1954" s="19" t="s">
        <v>138</v>
      </c>
      <c r="W1954" s="20">
        <v>24</v>
      </c>
      <c r="X1954" s="65" t="s">
        <v>2010</v>
      </c>
      <c r="Z1954" t="s">
        <v>307</v>
      </c>
      <c r="AB1954" t="s">
        <v>178</v>
      </c>
      <c r="AC1954" t="s">
        <v>2679</v>
      </c>
      <c r="AD1954" s="2" t="s">
        <v>180</v>
      </c>
    </row>
    <row r="1955" spans="1:30" x14ac:dyDescent="0.25">
      <c r="A1955" s="2">
        <v>236</v>
      </c>
      <c r="B1955" t="s">
        <v>2688</v>
      </c>
      <c r="C1955">
        <v>12</v>
      </c>
      <c r="D1955">
        <v>135</v>
      </c>
      <c r="E1955">
        <v>488</v>
      </c>
      <c r="F1955" t="s">
        <v>273</v>
      </c>
      <c r="G1955" s="2" t="s">
        <v>156</v>
      </c>
      <c r="H1955">
        <v>12</v>
      </c>
      <c r="I1955">
        <v>74.28</v>
      </c>
      <c r="J1955" s="2" t="s">
        <v>170</v>
      </c>
      <c r="K1955" s="2" t="s">
        <v>74</v>
      </c>
      <c r="M1955" t="s">
        <v>3150</v>
      </c>
      <c r="P1955" s="19" t="s">
        <v>2449</v>
      </c>
      <c r="Q1955" s="19" t="s">
        <v>25</v>
      </c>
      <c r="R1955" s="19" t="s">
        <v>138</v>
      </c>
      <c r="W1955" s="20">
        <v>24</v>
      </c>
      <c r="X1955" s="65" t="s">
        <v>2010</v>
      </c>
      <c r="Z1955" t="s">
        <v>307</v>
      </c>
      <c r="AB1955" t="s">
        <v>178</v>
      </c>
      <c r="AC1955" t="s">
        <v>2679</v>
      </c>
      <c r="AD1955" s="2" t="s">
        <v>180</v>
      </c>
    </row>
    <row r="1956" spans="1:30" x14ac:dyDescent="0.25">
      <c r="A1956" s="2">
        <v>237</v>
      </c>
      <c r="B1956" t="s">
        <v>2689</v>
      </c>
      <c r="C1956">
        <v>12</v>
      </c>
      <c r="D1956">
        <v>135</v>
      </c>
      <c r="E1956">
        <v>488</v>
      </c>
      <c r="F1956" t="s">
        <v>273</v>
      </c>
      <c r="G1956" s="2" t="s">
        <v>156</v>
      </c>
      <c r="H1956">
        <v>12</v>
      </c>
      <c r="I1956">
        <v>74.28</v>
      </c>
      <c r="J1956" s="2" t="s">
        <v>170</v>
      </c>
      <c r="K1956" s="2" t="s">
        <v>74</v>
      </c>
      <c r="M1956" t="s">
        <v>3150</v>
      </c>
      <c r="P1956" s="19" t="s">
        <v>2449</v>
      </c>
      <c r="Q1956" s="19" t="s">
        <v>25</v>
      </c>
      <c r="R1956" s="19" t="s">
        <v>138</v>
      </c>
      <c r="W1956" s="20">
        <v>24</v>
      </c>
      <c r="X1956" s="65" t="s">
        <v>2010</v>
      </c>
      <c r="Z1956" t="s">
        <v>307</v>
      </c>
      <c r="AB1956" t="s">
        <v>178</v>
      </c>
      <c r="AC1956" t="s">
        <v>2679</v>
      </c>
      <c r="AD1956" s="2" t="s">
        <v>180</v>
      </c>
    </row>
    <row r="1957" spans="1:30" x14ac:dyDescent="0.25">
      <c r="A1957" s="2">
        <v>238</v>
      </c>
      <c r="B1957" t="s">
        <v>2665</v>
      </c>
      <c r="C1957">
        <v>12</v>
      </c>
      <c r="D1957">
        <v>135</v>
      </c>
      <c r="E1957">
        <v>488</v>
      </c>
      <c r="F1957" t="s">
        <v>273</v>
      </c>
      <c r="G1957" s="2" t="s">
        <v>156</v>
      </c>
      <c r="H1957">
        <v>5</v>
      </c>
      <c r="I1957">
        <v>30.95</v>
      </c>
      <c r="J1957" s="2" t="s">
        <v>170</v>
      </c>
      <c r="K1957" s="2" t="s">
        <v>74</v>
      </c>
      <c r="M1957" t="s">
        <v>3150</v>
      </c>
      <c r="P1957" s="19" t="s">
        <v>2449</v>
      </c>
      <c r="Q1957" s="19" t="s">
        <v>25</v>
      </c>
      <c r="R1957" s="19" t="s">
        <v>138</v>
      </c>
      <c r="W1957" s="20">
        <v>24</v>
      </c>
      <c r="X1957" s="65" t="s">
        <v>2010</v>
      </c>
      <c r="Z1957" t="s">
        <v>307</v>
      </c>
      <c r="AB1957" t="s">
        <v>178</v>
      </c>
      <c r="AC1957" t="s">
        <v>2679</v>
      </c>
      <c r="AD1957" s="2" t="s">
        <v>180</v>
      </c>
    </row>
    <row r="1958" spans="1:30" x14ac:dyDescent="0.25">
      <c r="A1958" s="2">
        <v>239</v>
      </c>
      <c r="B1958" t="s">
        <v>2690</v>
      </c>
      <c r="C1958">
        <v>12</v>
      </c>
      <c r="D1958">
        <v>135</v>
      </c>
      <c r="E1958">
        <v>488</v>
      </c>
      <c r="F1958" t="s">
        <v>273</v>
      </c>
      <c r="G1958" s="2" t="s">
        <v>156</v>
      </c>
      <c r="H1958">
        <v>3</v>
      </c>
      <c r="I1958">
        <v>18.57</v>
      </c>
      <c r="J1958" s="2" t="s">
        <v>170</v>
      </c>
      <c r="K1958" s="2" t="s">
        <v>74</v>
      </c>
      <c r="M1958" t="s">
        <v>3150</v>
      </c>
      <c r="P1958" s="19" t="s">
        <v>2449</v>
      </c>
      <c r="Q1958" s="19" t="s">
        <v>25</v>
      </c>
      <c r="R1958" s="19" t="s">
        <v>138</v>
      </c>
      <c r="W1958" s="20">
        <v>24</v>
      </c>
      <c r="X1958" s="65" t="s">
        <v>2010</v>
      </c>
      <c r="Z1958" t="s">
        <v>307</v>
      </c>
      <c r="AB1958" t="s">
        <v>178</v>
      </c>
      <c r="AC1958" t="s">
        <v>2679</v>
      </c>
      <c r="AD1958" s="2" t="s">
        <v>180</v>
      </c>
    </row>
    <row r="1959" spans="1:30" x14ac:dyDescent="0.25">
      <c r="A1959" s="2">
        <v>240</v>
      </c>
      <c r="B1959" t="s">
        <v>2691</v>
      </c>
      <c r="C1959">
        <v>12</v>
      </c>
      <c r="D1959">
        <v>135</v>
      </c>
      <c r="E1959">
        <v>488</v>
      </c>
      <c r="F1959" t="s">
        <v>273</v>
      </c>
      <c r="G1959" s="2" t="s">
        <v>156</v>
      </c>
      <c r="H1959">
        <v>4</v>
      </c>
      <c r="I1959">
        <v>24.76</v>
      </c>
      <c r="J1959" s="2" t="s">
        <v>170</v>
      </c>
      <c r="K1959" s="2" t="s">
        <v>74</v>
      </c>
      <c r="M1959" t="s">
        <v>3150</v>
      </c>
      <c r="P1959" s="19" t="s">
        <v>2449</v>
      </c>
      <c r="Q1959" s="19" t="s">
        <v>25</v>
      </c>
      <c r="R1959" s="19" t="s">
        <v>138</v>
      </c>
      <c r="W1959" s="20">
        <v>24</v>
      </c>
      <c r="X1959" s="65" t="s">
        <v>2010</v>
      </c>
      <c r="Z1959" t="s">
        <v>307</v>
      </c>
      <c r="AB1959" t="s">
        <v>178</v>
      </c>
      <c r="AC1959" t="s">
        <v>2679</v>
      </c>
      <c r="AD1959" s="2" t="s">
        <v>180</v>
      </c>
    </row>
    <row r="1960" spans="1:30" x14ac:dyDescent="0.25">
      <c r="A1960" s="2">
        <v>241</v>
      </c>
      <c r="B1960" t="s">
        <v>2692</v>
      </c>
      <c r="C1960">
        <v>12</v>
      </c>
      <c r="D1960">
        <v>100</v>
      </c>
      <c r="E1960">
        <v>150</v>
      </c>
      <c r="F1960" t="s">
        <v>273</v>
      </c>
      <c r="G1960" s="2" t="s">
        <v>156</v>
      </c>
      <c r="H1960">
        <v>1</v>
      </c>
      <c r="I1960">
        <v>1.41</v>
      </c>
      <c r="J1960" s="2" t="s">
        <v>170</v>
      </c>
      <c r="K1960" s="2" t="s">
        <v>74</v>
      </c>
      <c r="M1960" t="s">
        <v>3150</v>
      </c>
      <c r="P1960" s="19" t="s">
        <v>2449</v>
      </c>
      <c r="Q1960" s="19" t="s">
        <v>25</v>
      </c>
      <c r="R1960" s="19" t="s">
        <v>138</v>
      </c>
      <c r="W1960" s="20">
        <v>24</v>
      </c>
      <c r="X1960" s="65" t="s">
        <v>2010</v>
      </c>
      <c r="Z1960" t="s">
        <v>307</v>
      </c>
      <c r="AB1960" t="s">
        <v>178</v>
      </c>
      <c r="AC1960" t="s">
        <v>2679</v>
      </c>
      <c r="AD1960" s="2" t="s">
        <v>180</v>
      </c>
    </row>
    <row r="1961" spans="1:30" x14ac:dyDescent="0.25">
      <c r="A1961" s="2">
        <v>242</v>
      </c>
      <c r="B1961" t="s">
        <v>2693</v>
      </c>
      <c r="C1961">
        <v>12</v>
      </c>
      <c r="D1961">
        <v>135</v>
      </c>
      <c r="E1961">
        <v>488</v>
      </c>
      <c r="F1961" t="s">
        <v>273</v>
      </c>
      <c r="G1961" s="2" t="s">
        <v>156</v>
      </c>
      <c r="H1961">
        <v>4</v>
      </c>
      <c r="I1961">
        <v>24.76</v>
      </c>
      <c r="J1961" s="2" t="s">
        <v>170</v>
      </c>
      <c r="K1961" s="2" t="s">
        <v>74</v>
      </c>
      <c r="M1961" t="s">
        <v>3150</v>
      </c>
      <c r="P1961" s="19" t="s">
        <v>2449</v>
      </c>
      <c r="Q1961" s="19" t="s">
        <v>25</v>
      </c>
      <c r="R1961" s="19" t="s">
        <v>138</v>
      </c>
      <c r="W1961" s="20">
        <v>24</v>
      </c>
      <c r="X1961" s="65" t="s">
        <v>2010</v>
      </c>
      <c r="Z1961" t="s">
        <v>307</v>
      </c>
      <c r="AB1961" t="s">
        <v>178</v>
      </c>
      <c r="AC1961" t="s">
        <v>2679</v>
      </c>
      <c r="AD1961" s="2" t="s">
        <v>180</v>
      </c>
    </row>
    <row r="1962" spans="1:30" x14ac:dyDescent="0.25">
      <c r="A1962" s="2">
        <v>243</v>
      </c>
      <c r="B1962" t="s">
        <v>2694</v>
      </c>
      <c r="C1962">
        <v>12</v>
      </c>
      <c r="D1962">
        <v>100</v>
      </c>
      <c r="E1962">
        <v>150</v>
      </c>
      <c r="F1962" t="s">
        <v>273</v>
      </c>
      <c r="G1962" s="2" t="s">
        <v>156</v>
      </c>
      <c r="H1962">
        <v>1</v>
      </c>
      <c r="I1962">
        <v>1.41</v>
      </c>
      <c r="J1962" s="2" t="s">
        <v>170</v>
      </c>
      <c r="K1962" s="2" t="s">
        <v>74</v>
      </c>
      <c r="M1962" t="s">
        <v>3150</v>
      </c>
      <c r="P1962" s="19" t="s">
        <v>2449</v>
      </c>
      <c r="Q1962" s="19" t="s">
        <v>25</v>
      </c>
      <c r="R1962" s="19" t="s">
        <v>138</v>
      </c>
      <c r="W1962" s="20">
        <v>24</v>
      </c>
      <c r="X1962" s="65" t="s">
        <v>2010</v>
      </c>
      <c r="Z1962" t="s">
        <v>307</v>
      </c>
      <c r="AB1962" t="s">
        <v>178</v>
      </c>
      <c r="AC1962" t="s">
        <v>2679</v>
      </c>
      <c r="AD1962" s="2" t="s">
        <v>180</v>
      </c>
    </row>
    <row r="1963" spans="1:30" x14ac:dyDescent="0.25">
      <c r="A1963" s="2">
        <v>244</v>
      </c>
      <c r="B1963" t="s">
        <v>2695</v>
      </c>
      <c r="C1963">
        <v>12</v>
      </c>
      <c r="D1963">
        <v>135</v>
      </c>
      <c r="E1963">
        <v>488</v>
      </c>
      <c r="F1963" t="s">
        <v>273</v>
      </c>
      <c r="G1963" s="2" t="s">
        <v>156</v>
      </c>
      <c r="H1963">
        <v>4</v>
      </c>
      <c r="I1963">
        <v>24.76</v>
      </c>
      <c r="J1963" s="2" t="s">
        <v>170</v>
      </c>
      <c r="K1963" s="2" t="s">
        <v>74</v>
      </c>
      <c r="M1963" t="s">
        <v>3150</v>
      </c>
      <c r="P1963" s="19" t="s">
        <v>2449</v>
      </c>
      <c r="Q1963" s="19" t="s">
        <v>25</v>
      </c>
      <c r="R1963" s="19" t="s">
        <v>138</v>
      </c>
      <c r="W1963" s="20">
        <v>24</v>
      </c>
      <c r="X1963" s="65" t="s">
        <v>2010</v>
      </c>
      <c r="Z1963" t="s">
        <v>307</v>
      </c>
      <c r="AB1963" t="s">
        <v>178</v>
      </c>
      <c r="AC1963" t="s">
        <v>2679</v>
      </c>
      <c r="AD1963" s="2" t="s">
        <v>180</v>
      </c>
    </row>
    <row r="1964" spans="1:30" x14ac:dyDescent="0.25">
      <c r="A1964" s="2">
        <v>245</v>
      </c>
      <c r="B1964" t="s">
        <v>2696</v>
      </c>
      <c r="C1964">
        <v>12</v>
      </c>
      <c r="D1964">
        <v>135</v>
      </c>
      <c r="E1964">
        <v>488</v>
      </c>
      <c r="F1964" t="s">
        <v>273</v>
      </c>
      <c r="G1964" s="2" t="s">
        <v>156</v>
      </c>
      <c r="H1964">
        <v>4</v>
      </c>
      <c r="I1964">
        <v>24.76</v>
      </c>
      <c r="J1964" s="2" t="s">
        <v>170</v>
      </c>
      <c r="K1964" s="2" t="s">
        <v>74</v>
      </c>
      <c r="M1964" t="s">
        <v>3150</v>
      </c>
      <c r="P1964" s="19" t="s">
        <v>2449</v>
      </c>
      <c r="Q1964" s="19" t="s">
        <v>25</v>
      </c>
      <c r="R1964" s="19" t="s">
        <v>138</v>
      </c>
      <c r="W1964" s="20">
        <v>24</v>
      </c>
      <c r="X1964" s="65" t="s">
        <v>2010</v>
      </c>
      <c r="Z1964" t="s">
        <v>307</v>
      </c>
      <c r="AB1964" t="s">
        <v>178</v>
      </c>
      <c r="AC1964" t="s">
        <v>2679</v>
      </c>
      <c r="AD1964" s="2" t="s">
        <v>180</v>
      </c>
    </row>
    <row r="1965" spans="1:30" x14ac:dyDescent="0.25">
      <c r="A1965" s="2">
        <v>246</v>
      </c>
      <c r="B1965" t="s">
        <v>2697</v>
      </c>
      <c r="C1965">
        <v>12</v>
      </c>
      <c r="D1965">
        <v>135</v>
      </c>
      <c r="E1965">
        <v>488</v>
      </c>
      <c r="F1965" t="s">
        <v>273</v>
      </c>
      <c r="G1965" s="2" t="s">
        <v>156</v>
      </c>
      <c r="H1965">
        <v>12</v>
      </c>
      <c r="I1965">
        <v>74.28</v>
      </c>
      <c r="J1965" s="2" t="s">
        <v>170</v>
      </c>
      <c r="K1965" s="2" t="s">
        <v>74</v>
      </c>
      <c r="M1965" t="s">
        <v>3150</v>
      </c>
      <c r="P1965" s="19" t="s">
        <v>2449</v>
      </c>
      <c r="Q1965" s="19" t="s">
        <v>25</v>
      </c>
      <c r="R1965" s="19" t="s">
        <v>138</v>
      </c>
      <c r="W1965" s="20">
        <v>24</v>
      </c>
      <c r="X1965" s="65" t="s">
        <v>2010</v>
      </c>
      <c r="Z1965" t="s">
        <v>307</v>
      </c>
      <c r="AB1965" t="s">
        <v>178</v>
      </c>
      <c r="AC1965" t="s">
        <v>2679</v>
      </c>
      <c r="AD1965" s="2" t="s">
        <v>180</v>
      </c>
    </row>
    <row r="1966" spans="1:30" x14ac:dyDescent="0.25">
      <c r="A1966" s="2">
        <v>247</v>
      </c>
      <c r="B1966" t="s">
        <v>2698</v>
      </c>
      <c r="C1966">
        <v>12</v>
      </c>
      <c r="D1966">
        <v>135</v>
      </c>
      <c r="E1966">
        <v>488</v>
      </c>
      <c r="F1966" t="s">
        <v>273</v>
      </c>
      <c r="G1966" s="2" t="s">
        <v>156</v>
      </c>
      <c r="H1966">
        <v>12</v>
      </c>
      <c r="I1966">
        <v>74.28</v>
      </c>
      <c r="J1966" s="2" t="s">
        <v>170</v>
      </c>
      <c r="K1966" s="2" t="s">
        <v>74</v>
      </c>
      <c r="M1966" t="s">
        <v>3150</v>
      </c>
      <c r="P1966" s="19" t="s">
        <v>2449</v>
      </c>
      <c r="Q1966" s="19" t="s">
        <v>25</v>
      </c>
      <c r="R1966" s="19" t="s">
        <v>138</v>
      </c>
      <c r="W1966" s="20">
        <v>24</v>
      </c>
      <c r="X1966" s="65" t="s">
        <v>2010</v>
      </c>
      <c r="Z1966" t="s">
        <v>307</v>
      </c>
      <c r="AB1966" t="s">
        <v>178</v>
      </c>
      <c r="AC1966" t="s">
        <v>2679</v>
      </c>
      <c r="AD1966" s="2" t="s">
        <v>180</v>
      </c>
    </row>
    <row r="1967" spans="1:30" x14ac:dyDescent="0.25">
      <c r="A1967" s="2">
        <v>248</v>
      </c>
      <c r="B1967" t="s">
        <v>2699</v>
      </c>
      <c r="C1967">
        <v>12</v>
      </c>
      <c r="D1967">
        <v>135</v>
      </c>
      <c r="E1967">
        <v>488</v>
      </c>
      <c r="F1967" t="s">
        <v>273</v>
      </c>
      <c r="G1967" s="2" t="s">
        <v>156</v>
      </c>
      <c r="H1967">
        <v>12</v>
      </c>
      <c r="I1967">
        <v>74.28</v>
      </c>
      <c r="J1967" s="2" t="s">
        <v>170</v>
      </c>
      <c r="K1967" s="2" t="s">
        <v>74</v>
      </c>
      <c r="M1967" t="s">
        <v>3150</v>
      </c>
      <c r="P1967" s="19" t="s">
        <v>2449</v>
      </c>
      <c r="Q1967" s="19" t="s">
        <v>25</v>
      </c>
      <c r="R1967" s="19" t="s">
        <v>138</v>
      </c>
      <c r="W1967" s="20">
        <v>24</v>
      </c>
      <c r="X1967" s="65" t="s">
        <v>2010</v>
      </c>
      <c r="Z1967" t="s">
        <v>307</v>
      </c>
      <c r="AB1967" t="s">
        <v>178</v>
      </c>
      <c r="AC1967" t="s">
        <v>2679</v>
      </c>
      <c r="AD1967" s="2" t="s">
        <v>180</v>
      </c>
    </row>
    <row r="1968" spans="1:30" x14ac:dyDescent="0.25">
      <c r="A1968" s="2">
        <v>249</v>
      </c>
      <c r="B1968" t="s">
        <v>2700</v>
      </c>
      <c r="C1968">
        <v>12</v>
      </c>
      <c r="D1968">
        <v>135</v>
      </c>
      <c r="E1968">
        <v>488</v>
      </c>
      <c r="F1968" t="s">
        <v>273</v>
      </c>
      <c r="G1968" s="2" t="s">
        <v>156</v>
      </c>
      <c r="H1968">
        <v>12</v>
      </c>
      <c r="I1968">
        <v>74.28</v>
      </c>
      <c r="J1968" s="2" t="s">
        <v>170</v>
      </c>
      <c r="K1968" s="2" t="s">
        <v>74</v>
      </c>
      <c r="M1968" t="s">
        <v>3150</v>
      </c>
      <c r="P1968" s="19" t="s">
        <v>2449</v>
      </c>
      <c r="Q1968" s="19" t="s">
        <v>25</v>
      </c>
      <c r="R1968" s="19" t="s">
        <v>138</v>
      </c>
      <c r="W1968" s="20">
        <v>24</v>
      </c>
      <c r="X1968" s="65" t="s">
        <v>2010</v>
      </c>
      <c r="Z1968" t="s">
        <v>307</v>
      </c>
      <c r="AB1968" t="s">
        <v>178</v>
      </c>
      <c r="AC1968" t="s">
        <v>2679</v>
      </c>
      <c r="AD1968" s="2" t="s">
        <v>180</v>
      </c>
    </row>
    <row r="1969" spans="1:30" x14ac:dyDescent="0.25">
      <c r="A1969" s="2">
        <v>250</v>
      </c>
      <c r="B1969" t="s">
        <v>2701</v>
      </c>
      <c r="C1969">
        <v>12</v>
      </c>
      <c r="D1969">
        <v>135</v>
      </c>
      <c r="E1969">
        <v>488</v>
      </c>
      <c r="F1969" t="s">
        <v>273</v>
      </c>
      <c r="G1969" s="2" t="s">
        <v>156</v>
      </c>
      <c r="H1969">
        <v>12</v>
      </c>
      <c r="I1969">
        <v>74.28</v>
      </c>
      <c r="J1969" s="2" t="s">
        <v>170</v>
      </c>
      <c r="K1969" s="2" t="s">
        <v>74</v>
      </c>
      <c r="M1969" t="s">
        <v>3150</v>
      </c>
      <c r="P1969" s="19" t="s">
        <v>2449</v>
      </c>
      <c r="Q1969" s="19" t="s">
        <v>25</v>
      </c>
      <c r="R1969" s="19" t="s">
        <v>138</v>
      </c>
      <c r="W1969" s="20">
        <v>24</v>
      </c>
      <c r="X1969" s="65" t="s">
        <v>2010</v>
      </c>
      <c r="Z1969" t="s">
        <v>307</v>
      </c>
      <c r="AB1969" t="s">
        <v>178</v>
      </c>
      <c r="AC1969" t="s">
        <v>2679</v>
      </c>
      <c r="AD1969" s="2" t="s">
        <v>180</v>
      </c>
    </row>
    <row r="1970" spans="1:30" x14ac:dyDescent="0.25">
      <c r="A1970" s="2">
        <v>251</v>
      </c>
      <c r="B1970" t="s">
        <v>2702</v>
      </c>
      <c r="C1970">
        <v>12</v>
      </c>
      <c r="D1970">
        <v>135</v>
      </c>
      <c r="E1970">
        <v>488</v>
      </c>
      <c r="F1970" t="s">
        <v>273</v>
      </c>
      <c r="G1970" s="2" t="s">
        <v>156</v>
      </c>
      <c r="H1970">
        <v>12</v>
      </c>
      <c r="I1970">
        <v>74.28</v>
      </c>
      <c r="J1970" s="2" t="s">
        <v>170</v>
      </c>
      <c r="K1970" s="2" t="s">
        <v>74</v>
      </c>
      <c r="M1970" t="s">
        <v>3150</v>
      </c>
      <c r="P1970" s="19" t="s">
        <v>2449</v>
      </c>
      <c r="Q1970" s="19" t="s">
        <v>25</v>
      </c>
      <c r="R1970" s="19" t="s">
        <v>138</v>
      </c>
      <c r="W1970" s="20">
        <v>24</v>
      </c>
      <c r="X1970" s="65" t="s">
        <v>2010</v>
      </c>
      <c r="Z1970" t="s">
        <v>307</v>
      </c>
      <c r="AB1970" t="s">
        <v>178</v>
      </c>
      <c r="AC1970" t="s">
        <v>2679</v>
      </c>
      <c r="AD1970" s="2" t="s">
        <v>180</v>
      </c>
    </row>
    <row r="1971" spans="1:30" x14ac:dyDescent="0.25">
      <c r="A1971" s="2">
        <v>252</v>
      </c>
      <c r="B1971" t="s">
        <v>2703</v>
      </c>
      <c r="C1971">
        <v>12</v>
      </c>
      <c r="D1971">
        <v>490</v>
      </c>
      <c r="E1971">
        <v>6464</v>
      </c>
      <c r="F1971" t="s">
        <v>273</v>
      </c>
      <c r="G1971" s="2" t="s">
        <v>156</v>
      </c>
      <c r="H1971">
        <v>1</v>
      </c>
      <c r="I1971">
        <v>298.16000000000003</v>
      </c>
      <c r="J1971" s="2" t="s">
        <v>170</v>
      </c>
      <c r="K1971" s="2" t="s">
        <v>74</v>
      </c>
      <c r="M1971" t="s">
        <v>3150</v>
      </c>
      <c r="P1971" s="19" t="s">
        <v>2449</v>
      </c>
      <c r="Q1971" s="19" t="s">
        <v>27</v>
      </c>
      <c r="R1971" s="19" t="s">
        <v>138</v>
      </c>
      <c r="W1971" s="20">
        <v>24</v>
      </c>
      <c r="X1971" s="65" t="s">
        <v>2010</v>
      </c>
      <c r="Z1971" t="s">
        <v>307</v>
      </c>
      <c r="AB1971" t="s">
        <v>178</v>
      </c>
      <c r="AC1971" t="s">
        <v>2704</v>
      </c>
      <c r="AD1971" s="2" t="s">
        <v>180</v>
      </c>
    </row>
    <row r="1972" spans="1:30" x14ac:dyDescent="0.25">
      <c r="A1972" s="2">
        <v>253</v>
      </c>
      <c r="B1972" t="s">
        <v>2706</v>
      </c>
      <c r="C1972">
        <v>12</v>
      </c>
      <c r="D1972">
        <v>490</v>
      </c>
      <c r="E1972">
        <v>6464</v>
      </c>
      <c r="F1972" t="s">
        <v>273</v>
      </c>
      <c r="G1972" s="2" t="s">
        <v>156</v>
      </c>
      <c r="H1972">
        <v>1</v>
      </c>
      <c r="I1972">
        <v>298.16000000000003</v>
      </c>
      <c r="J1972" s="2" t="s">
        <v>170</v>
      </c>
      <c r="K1972" s="2" t="s">
        <v>74</v>
      </c>
      <c r="M1972" t="s">
        <v>3150</v>
      </c>
      <c r="P1972" s="19" t="s">
        <v>2449</v>
      </c>
      <c r="Q1972" s="19" t="s">
        <v>27</v>
      </c>
      <c r="R1972" s="19" t="s">
        <v>138</v>
      </c>
      <c r="W1972" s="20">
        <v>24</v>
      </c>
      <c r="X1972" s="65" t="s">
        <v>2010</v>
      </c>
      <c r="Z1972" t="s">
        <v>307</v>
      </c>
      <c r="AB1972" t="s">
        <v>178</v>
      </c>
      <c r="AC1972" t="s">
        <v>2704</v>
      </c>
      <c r="AD1972" s="2" t="s">
        <v>180</v>
      </c>
    </row>
    <row r="1973" spans="1:30" x14ac:dyDescent="0.25">
      <c r="A1973" s="2">
        <v>254</v>
      </c>
      <c r="B1973" t="s">
        <v>2707</v>
      </c>
      <c r="C1973">
        <v>12</v>
      </c>
      <c r="D1973">
        <v>490</v>
      </c>
      <c r="E1973">
        <v>6464</v>
      </c>
      <c r="F1973" t="s">
        <v>273</v>
      </c>
      <c r="G1973" s="2" t="s">
        <v>156</v>
      </c>
      <c r="H1973">
        <v>1</v>
      </c>
      <c r="I1973">
        <v>298.16000000000003</v>
      </c>
      <c r="J1973" s="2" t="s">
        <v>170</v>
      </c>
      <c r="K1973" s="2" t="s">
        <v>74</v>
      </c>
      <c r="M1973" t="s">
        <v>3150</v>
      </c>
      <c r="P1973" s="19" t="s">
        <v>2449</v>
      </c>
      <c r="Q1973" s="19" t="s">
        <v>27</v>
      </c>
      <c r="R1973" s="19" t="s">
        <v>138</v>
      </c>
      <c r="W1973" s="20">
        <v>24</v>
      </c>
      <c r="X1973" s="65" t="s">
        <v>2010</v>
      </c>
      <c r="Z1973" t="s">
        <v>307</v>
      </c>
      <c r="AB1973" t="s">
        <v>178</v>
      </c>
      <c r="AC1973" t="s">
        <v>2704</v>
      </c>
      <c r="AD1973" s="2" t="s">
        <v>180</v>
      </c>
    </row>
    <row r="1974" spans="1:30" x14ac:dyDescent="0.25">
      <c r="A1974" s="2">
        <v>255</v>
      </c>
      <c r="B1974" t="s">
        <v>2708</v>
      </c>
      <c r="C1974">
        <v>12</v>
      </c>
      <c r="D1974">
        <v>490</v>
      </c>
      <c r="E1974">
        <v>6464</v>
      </c>
      <c r="F1974" t="s">
        <v>273</v>
      </c>
      <c r="G1974" s="2" t="s">
        <v>156</v>
      </c>
      <c r="H1974">
        <v>1</v>
      </c>
      <c r="I1974">
        <v>298.16000000000003</v>
      </c>
      <c r="J1974" s="2" t="s">
        <v>170</v>
      </c>
      <c r="K1974" s="2" t="s">
        <v>74</v>
      </c>
      <c r="M1974" t="s">
        <v>3150</v>
      </c>
      <c r="P1974" s="19" t="s">
        <v>2449</v>
      </c>
      <c r="Q1974" s="19" t="s">
        <v>27</v>
      </c>
      <c r="R1974" s="19" t="s">
        <v>138</v>
      </c>
      <c r="W1974" s="20">
        <v>24</v>
      </c>
      <c r="X1974" s="65" t="s">
        <v>2010</v>
      </c>
      <c r="Z1974" t="s">
        <v>307</v>
      </c>
      <c r="AB1974" t="s">
        <v>178</v>
      </c>
      <c r="AC1974" t="s">
        <v>2704</v>
      </c>
      <c r="AD1974" s="2" t="s">
        <v>180</v>
      </c>
    </row>
    <row r="1975" spans="1:30" x14ac:dyDescent="0.25">
      <c r="A1975" s="2">
        <v>256</v>
      </c>
      <c r="B1975" t="s">
        <v>2709</v>
      </c>
      <c r="C1975">
        <v>12</v>
      </c>
      <c r="D1975">
        <v>135</v>
      </c>
      <c r="E1975">
        <v>488</v>
      </c>
      <c r="F1975" t="s">
        <v>273</v>
      </c>
      <c r="G1975" s="2" t="s">
        <v>156</v>
      </c>
      <c r="H1975">
        <v>17</v>
      </c>
      <c r="I1975">
        <v>105.23</v>
      </c>
      <c r="J1975" s="2" t="s">
        <v>170</v>
      </c>
      <c r="K1975" s="2" t="s">
        <v>74</v>
      </c>
      <c r="M1975" t="s">
        <v>3150</v>
      </c>
      <c r="P1975" s="19" t="s">
        <v>2449</v>
      </c>
      <c r="Q1975" s="19" t="s">
        <v>25</v>
      </c>
      <c r="R1975" s="19" t="s">
        <v>138</v>
      </c>
      <c r="W1975" s="20">
        <v>24</v>
      </c>
      <c r="X1975" s="65" t="s">
        <v>2010</v>
      </c>
      <c r="Z1975" t="s">
        <v>307</v>
      </c>
      <c r="AB1975" t="s">
        <v>178</v>
      </c>
      <c r="AC1975" t="s">
        <v>2704</v>
      </c>
      <c r="AD1975" s="2" t="s">
        <v>180</v>
      </c>
    </row>
    <row r="1976" spans="1:30" x14ac:dyDescent="0.25">
      <c r="A1976" s="2">
        <v>257</v>
      </c>
      <c r="B1976" t="s">
        <v>2710</v>
      </c>
      <c r="C1976">
        <v>12</v>
      </c>
      <c r="D1976">
        <v>135</v>
      </c>
      <c r="E1976">
        <v>488</v>
      </c>
      <c r="F1976" t="s">
        <v>273</v>
      </c>
      <c r="G1976" s="2" t="s">
        <v>156</v>
      </c>
      <c r="H1976">
        <v>16</v>
      </c>
      <c r="I1976">
        <v>99.04</v>
      </c>
      <c r="J1976" s="2" t="s">
        <v>170</v>
      </c>
      <c r="K1976" s="2" t="s">
        <v>74</v>
      </c>
      <c r="M1976" t="s">
        <v>3150</v>
      </c>
      <c r="P1976" s="19" t="s">
        <v>2449</v>
      </c>
      <c r="Q1976" s="19" t="s">
        <v>25</v>
      </c>
      <c r="R1976" s="19" t="s">
        <v>138</v>
      </c>
      <c r="W1976" s="20">
        <v>24</v>
      </c>
      <c r="X1976" s="65" t="s">
        <v>2010</v>
      </c>
      <c r="Z1976" t="s">
        <v>307</v>
      </c>
      <c r="AB1976" t="s">
        <v>178</v>
      </c>
      <c r="AC1976" t="s">
        <v>2704</v>
      </c>
      <c r="AD1976" s="2" t="s">
        <v>180</v>
      </c>
    </row>
    <row r="1977" spans="1:30" x14ac:dyDescent="0.25">
      <c r="A1977" s="2">
        <v>258</v>
      </c>
      <c r="B1977" t="s">
        <v>2711</v>
      </c>
      <c r="C1977">
        <v>12</v>
      </c>
      <c r="D1977">
        <v>135</v>
      </c>
      <c r="E1977">
        <v>488</v>
      </c>
      <c r="F1977" t="s">
        <v>273</v>
      </c>
      <c r="G1977" s="2" t="s">
        <v>156</v>
      </c>
      <c r="H1977">
        <v>16</v>
      </c>
      <c r="I1977">
        <v>99.04</v>
      </c>
      <c r="J1977" s="2" t="s">
        <v>170</v>
      </c>
      <c r="K1977" s="2" t="s">
        <v>74</v>
      </c>
      <c r="M1977" t="s">
        <v>3150</v>
      </c>
      <c r="P1977" s="19" t="s">
        <v>2449</v>
      </c>
      <c r="Q1977" s="19" t="s">
        <v>25</v>
      </c>
      <c r="R1977" s="19" t="s">
        <v>138</v>
      </c>
      <c r="W1977" s="20">
        <v>24</v>
      </c>
      <c r="X1977" s="65" t="s">
        <v>2010</v>
      </c>
      <c r="Z1977" t="s">
        <v>307</v>
      </c>
      <c r="AB1977" t="s">
        <v>178</v>
      </c>
      <c r="AC1977" t="s">
        <v>2704</v>
      </c>
      <c r="AD1977" s="2" t="s">
        <v>180</v>
      </c>
    </row>
    <row r="1978" spans="1:30" x14ac:dyDescent="0.25">
      <c r="A1978" s="2">
        <v>259</v>
      </c>
      <c r="B1978" t="s">
        <v>2712</v>
      </c>
      <c r="C1978">
        <v>12</v>
      </c>
      <c r="D1978">
        <v>135</v>
      </c>
      <c r="E1978">
        <v>488</v>
      </c>
      <c r="F1978" t="s">
        <v>273</v>
      </c>
      <c r="G1978" s="2" t="s">
        <v>156</v>
      </c>
      <c r="H1978">
        <v>16</v>
      </c>
      <c r="I1978">
        <v>99.04</v>
      </c>
      <c r="J1978" s="2" t="s">
        <v>170</v>
      </c>
      <c r="K1978" s="2" t="s">
        <v>74</v>
      </c>
      <c r="M1978" t="s">
        <v>3150</v>
      </c>
      <c r="P1978" s="19" t="s">
        <v>2449</v>
      </c>
      <c r="Q1978" s="19" t="s">
        <v>25</v>
      </c>
      <c r="R1978" s="19" t="s">
        <v>138</v>
      </c>
      <c r="W1978" s="20">
        <v>24</v>
      </c>
      <c r="X1978" s="65" t="s">
        <v>2010</v>
      </c>
      <c r="Z1978" t="s">
        <v>307</v>
      </c>
      <c r="AB1978" t="s">
        <v>178</v>
      </c>
      <c r="AC1978" t="s">
        <v>2704</v>
      </c>
      <c r="AD1978" s="2" t="s">
        <v>180</v>
      </c>
    </row>
    <row r="1979" spans="1:30" x14ac:dyDescent="0.25">
      <c r="A1979" s="2">
        <v>260</v>
      </c>
      <c r="B1979" t="s">
        <v>2713</v>
      </c>
      <c r="C1979">
        <v>12</v>
      </c>
      <c r="D1979">
        <v>135</v>
      </c>
      <c r="E1979">
        <v>488</v>
      </c>
      <c r="F1979" t="s">
        <v>273</v>
      </c>
      <c r="G1979" s="2" t="s">
        <v>156</v>
      </c>
      <c r="H1979">
        <v>4</v>
      </c>
      <c r="I1979">
        <v>24.76</v>
      </c>
      <c r="J1979" s="2" t="s">
        <v>170</v>
      </c>
      <c r="K1979" s="2" t="s">
        <v>74</v>
      </c>
      <c r="M1979" t="s">
        <v>3150</v>
      </c>
      <c r="P1979" s="19" t="s">
        <v>2449</v>
      </c>
      <c r="Q1979" s="19" t="s">
        <v>25</v>
      </c>
      <c r="R1979" s="19" t="s">
        <v>138</v>
      </c>
      <c r="W1979" s="20">
        <v>24</v>
      </c>
      <c r="X1979" s="65" t="s">
        <v>2010</v>
      </c>
      <c r="Z1979" t="s">
        <v>307</v>
      </c>
      <c r="AB1979" t="s">
        <v>178</v>
      </c>
      <c r="AC1979" t="s">
        <v>2704</v>
      </c>
      <c r="AD1979" s="2" t="s">
        <v>180</v>
      </c>
    </row>
    <row r="1980" spans="1:30" x14ac:dyDescent="0.25">
      <c r="A1980" s="2">
        <v>261</v>
      </c>
      <c r="B1980" t="s">
        <v>2714</v>
      </c>
      <c r="C1980">
        <v>12</v>
      </c>
      <c r="D1980">
        <v>135</v>
      </c>
      <c r="E1980">
        <v>488</v>
      </c>
      <c r="F1980" t="s">
        <v>273</v>
      </c>
      <c r="G1980" s="2" t="s">
        <v>156</v>
      </c>
      <c r="H1980">
        <v>4</v>
      </c>
      <c r="I1980">
        <v>24.76</v>
      </c>
      <c r="J1980" s="2" t="s">
        <v>170</v>
      </c>
      <c r="K1980" s="2" t="s">
        <v>74</v>
      </c>
      <c r="M1980" t="s">
        <v>3150</v>
      </c>
      <c r="P1980" s="19" t="s">
        <v>2449</v>
      </c>
      <c r="Q1980" s="19" t="s">
        <v>25</v>
      </c>
      <c r="R1980" s="19" t="s">
        <v>138</v>
      </c>
      <c r="W1980" s="20">
        <v>24</v>
      </c>
      <c r="X1980" s="65" t="s">
        <v>2010</v>
      </c>
      <c r="Z1980" t="s">
        <v>307</v>
      </c>
      <c r="AB1980" t="s">
        <v>178</v>
      </c>
      <c r="AC1980" t="s">
        <v>2704</v>
      </c>
      <c r="AD1980" s="2" t="s">
        <v>180</v>
      </c>
    </row>
    <row r="1981" spans="1:30" x14ac:dyDescent="0.25">
      <c r="A1981" s="2">
        <v>262</v>
      </c>
      <c r="B1981" t="s">
        <v>2715</v>
      </c>
      <c r="C1981">
        <v>12</v>
      </c>
      <c r="D1981">
        <v>135</v>
      </c>
      <c r="E1981">
        <v>488</v>
      </c>
      <c r="F1981" t="s">
        <v>273</v>
      </c>
      <c r="G1981" s="2" t="s">
        <v>156</v>
      </c>
      <c r="H1981">
        <v>4</v>
      </c>
      <c r="I1981">
        <v>24.76</v>
      </c>
      <c r="J1981" s="2" t="s">
        <v>170</v>
      </c>
      <c r="K1981" s="2" t="s">
        <v>74</v>
      </c>
      <c r="M1981" t="s">
        <v>3150</v>
      </c>
      <c r="P1981" s="19" t="s">
        <v>2449</v>
      </c>
      <c r="Q1981" s="19" t="s">
        <v>25</v>
      </c>
      <c r="R1981" s="19" t="s">
        <v>138</v>
      </c>
      <c r="W1981" s="20">
        <v>24</v>
      </c>
      <c r="X1981" s="65" t="s">
        <v>2010</v>
      </c>
      <c r="Z1981" t="s">
        <v>307</v>
      </c>
      <c r="AB1981" t="s">
        <v>178</v>
      </c>
      <c r="AC1981" t="s">
        <v>2704</v>
      </c>
      <c r="AD1981" s="2" t="s">
        <v>180</v>
      </c>
    </row>
    <row r="1982" spans="1:30" x14ac:dyDescent="0.25">
      <c r="A1982" s="2">
        <v>263</v>
      </c>
      <c r="B1982" t="s">
        <v>2690</v>
      </c>
      <c r="C1982">
        <v>12</v>
      </c>
      <c r="D1982">
        <v>135</v>
      </c>
      <c r="E1982">
        <v>488</v>
      </c>
      <c r="F1982" t="s">
        <v>273</v>
      </c>
      <c r="G1982" s="2" t="s">
        <v>156</v>
      </c>
      <c r="H1982">
        <v>1</v>
      </c>
      <c r="I1982">
        <v>6.19</v>
      </c>
      <c r="J1982" s="2" t="s">
        <v>170</v>
      </c>
      <c r="K1982" s="2" t="s">
        <v>74</v>
      </c>
      <c r="M1982" t="s">
        <v>3150</v>
      </c>
      <c r="P1982" s="19" t="s">
        <v>2449</v>
      </c>
      <c r="Q1982" s="19" t="s">
        <v>25</v>
      </c>
      <c r="R1982" s="19" t="s">
        <v>138</v>
      </c>
      <c r="W1982" s="20">
        <v>24</v>
      </c>
      <c r="X1982" s="65" t="s">
        <v>2010</v>
      </c>
      <c r="Z1982" t="s">
        <v>307</v>
      </c>
      <c r="AB1982" t="s">
        <v>178</v>
      </c>
      <c r="AC1982" t="s">
        <v>2704</v>
      </c>
      <c r="AD1982" s="2" t="s">
        <v>180</v>
      </c>
    </row>
    <row r="1983" spans="1:30" x14ac:dyDescent="0.25">
      <c r="A1983" s="2">
        <v>264</v>
      </c>
      <c r="B1983" t="s">
        <v>2716</v>
      </c>
      <c r="C1983">
        <v>12</v>
      </c>
      <c r="D1983">
        <v>100</v>
      </c>
      <c r="E1983">
        <v>150</v>
      </c>
      <c r="F1983" t="s">
        <v>273</v>
      </c>
      <c r="G1983" s="2" t="s">
        <v>156</v>
      </c>
      <c r="H1983">
        <v>1</v>
      </c>
      <c r="I1983">
        <v>1.41</v>
      </c>
      <c r="J1983" s="2" t="s">
        <v>170</v>
      </c>
      <c r="K1983" s="2" t="s">
        <v>74</v>
      </c>
      <c r="M1983" t="s">
        <v>3150</v>
      </c>
      <c r="P1983" s="19" t="s">
        <v>2449</v>
      </c>
      <c r="Q1983" s="19" t="s">
        <v>25</v>
      </c>
      <c r="R1983" s="19" t="s">
        <v>138</v>
      </c>
      <c r="W1983" s="20">
        <v>24</v>
      </c>
      <c r="X1983" s="65" t="s">
        <v>2010</v>
      </c>
      <c r="Z1983" t="s">
        <v>307</v>
      </c>
      <c r="AB1983" t="s">
        <v>178</v>
      </c>
      <c r="AC1983" t="s">
        <v>2704</v>
      </c>
      <c r="AD1983" s="2" t="s">
        <v>180</v>
      </c>
    </row>
    <row r="1984" spans="1:30" x14ac:dyDescent="0.25">
      <c r="A1984" s="2">
        <v>265</v>
      </c>
      <c r="B1984" t="s">
        <v>2717</v>
      </c>
      <c r="C1984">
        <v>12</v>
      </c>
      <c r="D1984">
        <v>100</v>
      </c>
      <c r="E1984">
        <v>150</v>
      </c>
      <c r="F1984" t="s">
        <v>273</v>
      </c>
      <c r="G1984" s="2" t="s">
        <v>156</v>
      </c>
      <c r="H1984">
        <v>1</v>
      </c>
      <c r="I1984">
        <v>1.41</v>
      </c>
      <c r="J1984" s="2" t="s">
        <v>170</v>
      </c>
      <c r="K1984" s="2" t="s">
        <v>74</v>
      </c>
      <c r="M1984" t="s">
        <v>3150</v>
      </c>
      <c r="P1984" s="19" t="s">
        <v>2449</v>
      </c>
      <c r="Q1984" s="19" t="s">
        <v>25</v>
      </c>
      <c r="R1984" s="19" t="s">
        <v>138</v>
      </c>
      <c r="W1984" s="20">
        <v>24</v>
      </c>
      <c r="X1984" s="65" t="s">
        <v>2010</v>
      </c>
      <c r="Z1984" t="s">
        <v>307</v>
      </c>
      <c r="AB1984" t="s">
        <v>178</v>
      </c>
      <c r="AC1984" t="s">
        <v>2704</v>
      </c>
      <c r="AD1984" s="2" t="s">
        <v>180</v>
      </c>
    </row>
    <row r="1985" spans="1:30" x14ac:dyDescent="0.25">
      <c r="A1985" s="2">
        <v>266</v>
      </c>
      <c r="B1985" t="s">
        <v>2718</v>
      </c>
      <c r="C1985">
        <v>12</v>
      </c>
      <c r="D1985">
        <v>135</v>
      </c>
      <c r="E1985">
        <v>488</v>
      </c>
      <c r="F1985" t="s">
        <v>273</v>
      </c>
      <c r="G1985" s="2" t="s">
        <v>156</v>
      </c>
      <c r="H1985">
        <v>12</v>
      </c>
      <c r="I1985">
        <v>74.28</v>
      </c>
      <c r="J1985" s="2" t="s">
        <v>170</v>
      </c>
      <c r="K1985" s="2" t="s">
        <v>74</v>
      </c>
      <c r="M1985" t="s">
        <v>3150</v>
      </c>
      <c r="P1985" s="19" t="s">
        <v>2449</v>
      </c>
      <c r="Q1985" s="19" t="s">
        <v>25</v>
      </c>
      <c r="R1985" s="19" t="s">
        <v>138</v>
      </c>
      <c r="W1985" s="20">
        <v>24</v>
      </c>
      <c r="X1985" s="65" t="s">
        <v>2010</v>
      </c>
      <c r="Z1985" t="s">
        <v>307</v>
      </c>
      <c r="AB1985" t="s">
        <v>178</v>
      </c>
      <c r="AC1985" t="s">
        <v>2704</v>
      </c>
      <c r="AD1985" s="2" t="s">
        <v>180</v>
      </c>
    </row>
    <row r="1986" spans="1:30" x14ac:dyDescent="0.25">
      <c r="A1986" s="2">
        <v>267</v>
      </c>
      <c r="B1986" t="s">
        <v>2719</v>
      </c>
      <c r="C1986">
        <v>12</v>
      </c>
      <c r="D1986">
        <v>135</v>
      </c>
      <c r="E1986">
        <v>488</v>
      </c>
      <c r="F1986" t="s">
        <v>273</v>
      </c>
      <c r="G1986" s="2" t="s">
        <v>156</v>
      </c>
      <c r="H1986">
        <v>12</v>
      </c>
      <c r="I1986">
        <v>74.28</v>
      </c>
      <c r="J1986" s="2" t="s">
        <v>170</v>
      </c>
      <c r="K1986" s="2" t="s">
        <v>74</v>
      </c>
      <c r="M1986" t="s">
        <v>3150</v>
      </c>
      <c r="P1986" s="19" t="s">
        <v>2449</v>
      </c>
      <c r="Q1986" s="19" t="s">
        <v>25</v>
      </c>
      <c r="R1986" s="19" t="s">
        <v>138</v>
      </c>
      <c r="W1986" s="20">
        <v>24</v>
      </c>
      <c r="X1986" s="65" t="s">
        <v>2010</v>
      </c>
      <c r="Z1986" t="s">
        <v>307</v>
      </c>
      <c r="AB1986" t="s">
        <v>178</v>
      </c>
      <c r="AC1986" t="s">
        <v>2704</v>
      </c>
      <c r="AD1986" s="2" t="s">
        <v>180</v>
      </c>
    </row>
    <row r="1987" spans="1:30" x14ac:dyDescent="0.25">
      <c r="A1987" s="2">
        <v>268</v>
      </c>
      <c r="B1987" t="s">
        <v>2720</v>
      </c>
      <c r="C1987">
        <v>12</v>
      </c>
      <c r="D1987">
        <v>135</v>
      </c>
      <c r="E1987">
        <v>488</v>
      </c>
      <c r="F1987" t="s">
        <v>273</v>
      </c>
      <c r="G1987" s="2" t="s">
        <v>156</v>
      </c>
      <c r="H1987">
        <v>12</v>
      </c>
      <c r="I1987">
        <v>74.28</v>
      </c>
      <c r="J1987" s="2" t="s">
        <v>170</v>
      </c>
      <c r="K1987" s="2" t="s">
        <v>74</v>
      </c>
      <c r="M1987" t="s">
        <v>3150</v>
      </c>
      <c r="P1987" s="19" t="s">
        <v>2449</v>
      </c>
      <c r="Q1987" s="19" t="s">
        <v>25</v>
      </c>
      <c r="R1987" s="19" t="s">
        <v>138</v>
      </c>
      <c r="W1987" s="20">
        <v>24</v>
      </c>
      <c r="X1987" s="65" t="s">
        <v>2010</v>
      </c>
      <c r="Z1987" t="s">
        <v>307</v>
      </c>
      <c r="AB1987" t="s">
        <v>178</v>
      </c>
      <c r="AC1987" t="s">
        <v>2704</v>
      </c>
      <c r="AD1987" s="2" t="s">
        <v>180</v>
      </c>
    </row>
    <row r="1988" spans="1:30" x14ac:dyDescent="0.25">
      <c r="A1988" s="2">
        <v>269</v>
      </c>
      <c r="B1988" t="s">
        <v>2721</v>
      </c>
      <c r="C1988">
        <v>12</v>
      </c>
      <c r="D1988">
        <v>135</v>
      </c>
      <c r="E1988">
        <v>488</v>
      </c>
      <c r="F1988" t="s">
        <v>273</v>
      </c>
      <c r="G1988" s="2" t="s">
        <v>156</v>
      </c>
      <c r="H1988">
        <v>12</v>
      </c>
      <c r="I1988">
        <v>74.28</v>
      </c>
      <c r="J1988" s="2" t="s">
        <v>170</v>
      </c>
      <c r="K1988" s="2" t="s">
        <v>74</v>
      </c>
      <c r="M1988" t="s">
        <v>3150</v>
      </c>
      <c r="P1988" s="19" t="s">
        <v>2449</v>
      </c>
      <c r="Q1988" s="19" t="s">
        <v>25</v>
      </c>
      <c r="R1988" s="19" t="s">
        <v>138</v>
      </c>
      <c r="W1988" s="20">
        <v>24</v>
      </c>
      <c r="X1988" s="65" t="s">
        <v>2010</v>
      </c>
      <c r="Z1988" t="s">
        <v>307</v>
      </c>
      <c r="AB1988" t="s">
        <v>178</v>
      </c>
      <c r="AC1988" t="s">
        <v>2704</v>
      </c>
      <c r="AD1988" s="2" t="s">
        <v>180</v>
      </c>
    </row>
    <row r="1989" spans="1:30" x14ac:dyDescent="0.25">
      <c r="A1989" s="2">
        <v>270</v>
      </c>
      <c r="B1989" t="s">
        <v>2722</v>
      </c>
      <c r="C1989">
        <v>12</v>
      </c>
      <c r="D1989">
        <v>135</v>
      </c>
      <c r="E1989">
        <v>488</v>
      </c>
      <c r="F1989" t="s">
        <v>273</v>
      </c>
      <c r="G1989" s="2" t="s">
        <v>156</v>
      </c>
      <c r="H1989">
        <v>17</v>
      </c>
      <c r="I1989">
        <v>105.23</v>
      </c>
      <c r="J1989" s="2" t="s">
        <v>170</v>
      </c>
      <c r="K1989" s="2" t="s">
        <v>74</v>
      </c>
      <c r="M1989" t="s">
        <v>3150</v>
      </c>
      <c r="P1989" s="19" t="s">
        <v>2449</v>
      </c>
      <c r="Q1989" s="19" t="s">
        <v>25</v>
      </c>
      <c r="R1989" s="19" t="s">
        <v>138</v>
      </c>
      <c r="W1989" s="20">
        <v>24</v>
      </c>
      <c r="X1989" s="65" t="s">
        <v>2010</v>
      </c>
      <c r="Z1989" t="s">
        <v>307</v>
      </c>
      <c r="AB1989" t="s">
        <v>178</v>
      </c>
      <c r="AC1989" t="s">
        <v>2704</v>
      </c>
      <c r="AD1989" s="2" t="s">
        <v>180</v>
      </c>
    </row>
    <row r="1990" spans="1:30" x14ac:dyDescent="0.25">
      <c r="A1990" s="2">
        <v>271</v>
      </c>
      <c r="B1990" t="s">
        <v>2723</v>
      </c>
      <c r="C1990">
        <v>12</v>
      </c>
      <c r="D1990">
        <v>135</v>
      </c>
      <c r="E1990">
        <v>488</v>
      </c>
      <c r="F1990" t="s">
        <v>273</v>
      </c>
      <c r="G1990" s="2" t="s">
        <v>156</v>
      </c>
      <c r="H1990">
        <v>17</v>
      </c>
      <c r="I1990">
        <v>105.23</v>
      </c>
      <c r="J1990" s="2" t="s">
        <v>170</v>
      </c>
      <c r="K1990" s="2" t="s">
        <v>74</v>
      </c>
      <c r="M1990" t="s">
        <v>3150</v>
      </c>
      <c r="P1990" s="19" t="s">
        <v>2449</v>
      </c>
      <c r="Q1990" s="19" t="s">
        <v>25</v>
      </c>
      <c r="R1990" s="19" t="s">
        <v>138</v>
      </c>
      <c r="W1990" s="20">
        <v>24</v>
      </c>
      <c r="X1990" s="65" t="s">
        <v>2010</v>
      </c>
      <c r="Z1990" t="s">
        <v>307</v>
      </c>
      <c r="AB1990" t="s">
        <v>178</v>
      </c>
      <c r="AC1990" t="s">
        <v>2704</v>
      </c>
      <c r="AD1990" s="2" t="s">
        <v>180</v>
      </c>
    </row>
    <row r="1991" spans="1:30" x14ac:dyDescent="0.25">
      <c r="A1991" s="2">
        <v>272</v>
      </c>
      <c r="B1991" t="s">
        <v>2641</v>
      </c>
      <c r="C1991">
        <v>12</v>
      </c>
      <c r="D1991">
        <v>120</v>
      </c>
      <c r="E1991">
        <v>129</v>
      </c>
      <c r="F1991" t="s">
        <v>273</v>
      </c>
      <c r="G1991" s="2" t="s">
        <v>156</v>
      </c>
      <c r="H1991">
        <v>17</v>
      </c>
      <c r="I1991">
        <v>22.51</v>
      </c>
      <c r="J1991" s="2" t="s">
        <v>170</v>
      </c>
      <c r="K1991" s="2" t="s">
        <v>74</v>
      </c>
      <c r="M1991" t="s">
        <v>3150</v>
      </c>
      <c r="P1991" s="19" t="s">
        <v>2449</v>
      </c>
      <c r="Q1991" s="19" t="s">
        <v>25</v>
      </c>
      <c r="R1991" s="19" t="s">
        <v>138</v>
      </c>
      <c r="W1991" s="20">
        <v>24</v>
      </c>
      <c r="X1991" s="65" t="s">
        <v>2010</v>
      </c>
      <c r="Z1991" t="s">
        <v>307</v>
      </c>
      <c r="AB1991" t="s">
        <v>178</v>
      </c>
      <c r="AC1991" t="s">
        <v>2724</v>
      </c>
      <c r="AD1991" s="2" t="s">
        <v>180</v>
      </c>
    </row>
    <row r="1992" spans="1:30" x14ac:dyDescent="0.25">
      <c r="A1992" s="2">
        <v>273</v>
      </c>
      <c r="B1992" t="s">
        <v>2726</v>
      </c>
      <c r="C1992">
        <v>12</v>
      </c>
      <c r="D1992">
        <v>490</v>
      </c>
      <c r="E1992">
        <v>6464</v>
      </c>
      <c r="F1992" t="s">
        <v>273</v>
      </c>
      <c r="G1992" s="2" t="s">
        <v>156</v>
      </c>
      <c r="H1992">
        <v>1</v>
      </c>
      <c r="I1992">
        <v>298.16000000000003</v>
      </c>
      <c r="J1992" s="2" t="s">
        <v>170</v>
      </c>
      <c r="K1992" s="2" t="s">
        <v>74</v>
      </c>
      <c r="M1992" t="s">
        <v>3150</v>
      </c>
      <c r="P1992" s="19" t="s">
        <v>2449</v>
      </c>
      <c r="Q1992" s="19" t="s">
        <v>27</v>
      </c>
      <c r="R1992" s="19" t="s">
        <v>138</v>
      </c>
      <c r="W1992" s="20">
        <v>24</v>
      </c>
      <c r="X1992" s="65" t="s">
        <v>2010</v>
      </c>
      <c r="Z1992" t="s">
        <v>307</v>
      </c>
      <c r="AB1992" t="s">
        <v>178</v>
      </c>
      <c r="AC1992" t="s">
        <v>2724</v>
      </c>
      <c r="AD1992" s="2" t="s">
        <v>180</v>
      </c>
    </row>
    <row r="1993" spans="1:30" x14ac:dyDescent="0.25">
      <c r="A1993" s="2">
        <v>274</v>
      </c>
      <c r="B1993" t="s">
        <v>2727</v>
      </c>
      <c r="C1993">
        <v>12</v>
      </c>
      <c r="D1993">
        <v>120</v>
      </c>
      <c r="E1993">
        <v>129</v>
      </c>
      <c r="F1993" t="s">
        <v>273</v>
      </c>
      <c r="G1993" s="2" t="s">
        <v>156</v>
      </c>
      <c r="H1993">
        <v>24</v>
      </c>
      <c r="I1993">
        <v>31.78</v>
      </c>
      <c r="J1993" s="2" t="s">
        <v>170</v>
      </c>
      <c r="K1993" s="2" t="s">
        <v>74</v>
      </c>
      <c r="M1993" t="s">
        <v>3150</v>
      </c>
      <c r="P1993" s="19" t="s">
        <v>2449</v>
      </c>
      <c r="Q1993" s="19" t="s">
        <v>25</v>
      </c>
      <c r="R1993" s="19" t="s">
        <v>138</v>
      </c>
      <c r="W1993" s="20">
        <v>24</v>
      </c>
      <c r="X1993" s="65" t="s">
        <v>2010</v>
      </c>
      <c r="Z1993" t="s">
        <v>307</v>
      </c>
      <c r="AB1993" t="s">
        <v>178</v>
      </c>
      <c r="AC1993" t="s">
        <v>2724</v>
      </c>
      <c r="AD1993" s="2" t="s">
        <v>180</v>
      </c>
    </row>
    <row r="1994" spans="1:30" x14ac:dyDescent="0.25">
      <c r="A1994" s="2">
        <v>275</v>
      </c>
      <c r="B1994" t="s">
        <v>2728</v>
      </c>
      <c r="C1994">
        <v>12</v>
      </c>
      <c r="D1994">
        <v>120</v>
      </c>
      <c r="E1994">
        <v>129</v>
      </c>
      <c r="F1994" t="s">
        <v>273</v>
      </c>
      <c r="G1994" s="2" t="s">
        <v>156</v>
      </c>
      <c r="H1994">
        <v>18</v>
      </c>
      <c r="I1994">
        <v>23.83</v>
      </c>
      <c r="J1994" s="2" t="s">
        <v>170</v>
      </c>
      <c r="K1994" s="2" t="s">
        <v>74</v>
      </c>
      <c r="M1994" t="s">
        <v>3150</v>
      </c>
      <c r="P1994" s="19" t="s">
        <v>2449</v>
      </c>
      <c r="Q1994" s="19" t="s">
        <v>25</v>
      </c>
      <c r="R1994" s="19" t="s">
        <v>138</v>
      </c>
      <c r="W1994" s="20">
        <v>24</v>
      </c>
      <c r="X1994" s="65" t="s">
        <v>2010</v>
      </c>
      <c r="Z1994" t="s">
        <v>307</v>
      </c>
      <c r="AB1994" t="s">
        <v>178</v>
      </c>
      <c r="AC1994" t="s">
        <v>2724</v>
      </c>
      <c r="AD1994" s="2" t="s">
        <v>180</v>
      </c>
    </row>
    <row r="1995" spans="1:30" x14ac:dyDescent="0.25">
      <c r="A1995" s="2">
        <v>276</v>
      </c>
      <c r="B1995" t="s">
        <v>2729</v>
      </c>
      <c r="C1995">
        <v>12</v>
      </c>
      <c r="D1995">
        <v>120</v>
      </c>
      <c r="E1995">
        <v>129</v>
      </c>
      <c r="F1995" t="s">
        <v>273</v>
      </c>
      <c r="G1995" s="2" t="s">
        <v>156</v>
      </c>
      <c r="H1995">
        <v>18</v>
      </c>
      <c r="I1995">
        <v>23.83</v>
      </c>
      <c r="J1995" s="2" t="s">
        <v>170</v>
      </c>
      <c r="K1995" s="2" t="s">
        <v>74</v>
      </c>
      <c r="M1995" t="s">
        <v>3150</v>
      </c>
      <c r="P1995" s="19" t="s">
        <v>2449</v>
      </c>
      <c r="Q1995" s="19" t="s">
        <v>25</v>
      </c>
      <c r="R1995" s="19" t="s">
        <v>138</v>
      </c>
      <c r="W1995" s="20">
        <v>24</v>
      </c>
      <c r="X1995" s="65" t="s">
        <v>2010</v>
      </c>
      <c r="Z1995" t="s">
        <v>307</v>
      </c>
      <c r="AB1995" t="s">
        <v>178</v>
      </c>
      <c r="AC1995" t="s">
        <v>2724</v>
      </c>
      <c r="AD1995" s="2" t="s">
        <v>180</v>
      </c>
    </row>
    <row r="1996" spans="1:30" x14ac:dyDescent="0.25">
      <c r="A1996" s="2">
        <v>277</v>
      </c>
      <c r="B1996" t="s">
        <v>2730</v>
      </c>
      <c r="C1996">
        <v>12</v>
      </c>
      <c r="D1996">
        <v>120</v>
      </c>
      <c r="E1996">
        <v>129</v>
      </c>
      <c r="F1996" t="s">
        <v>273</v>
      </c>
      <c r="G1996" s="2" t="s">
        <v>156</v>
      </c>
      <c r="H1996">
        <v>18</v>
      </c>
      <c r="I1996">
        <v>23.83</v>
      </c>
      <c r="J1996" s="2" t="s">
        <v>170</v>
      </c>
      <c r="K1996" s="2" t="s">
        <v>74</v>
      </c>
      <c r="M1996" t="s">
        <v>3150</v>
      </c>
      <c r="P1996" s="19" t="s">
        <v>2449</v>
      </c>
      <c r="Q1996" s="19" t="s">
        <v>25</v>
      </c>
      <c r="R1996" s="19" t="s">
        <v>138</v>
      </c>
      <c r="W1996" s="20">
        <v>24</v>
      </c>
      <c r="X1996" s="65" t="s">
        <v>2010</v>
      </c>
      <c r="Z1996" t="s">
        <v>307</v>
      </c>
      <c r="AB1996" t="s">
        <v>178</v>
      </c>
      <c r="AC1996" t="s">
        <v>2724</v>
      </c>
      <c r="AD1996" s="2" t="s">
        <v>180</v>
      </c>
    </row>
    <row r="1997" spans="1:30" x14ac:dyDescent="0.25">
      <c r="A1997" s="2">
        <v>278</v>
      </c>
      <c r="B1997" t="s">
        <v>2731</v>
      </c>
      <c r="C1997">
        <v>12</v>
      </c>
      <c r="D1997">
        <v>120</v>
      </c>
      <c r="E1997">
        <v>129</v>
      </c>
      <c r="F1997" t="s">
        <v>273</v>
      </c>
      <c r="G1997" s="2" t="s">
        <v>156</v>
      </c>
      <c r="H1997">
        <v>18</v>
      </c>
      <c r="I1997">
        <v>23.83</v>
      </c>
      <c r="J1997" s="2" t="s">
        <v>170</v>
      </c>
      <c r="K1997" s="2" t="s">
        <v>74</v>
      </c>
      <c r="M1997" t="s">
        <v>3150</v>
      </c>
      <c r="P1997" s="19" t="s">
        <v>2449</v>
      </c>
      <c r="Q1997" s="19" t="s">
        <v>25</v>
      </c>
      <c r="R1997" s="19" t="s">
        <v>138</v>
      </c>
      <c r="W1997" s="20">
        <v>24</v>
      </c>
      <c r="X1997" s="65" t="s">
        <v>2010</v>
      </c>
      <c r="Z1997" t="s">
        <v>307</v>
      </c>
      <c r="AB1997" t="s">
        <v>178</v>
      </c>
      <c r="AC1997" t="s">
        <v>2724</v>
      </c>
      <c r="AD1997" s="2" t="s">
        <v>180</v>
      </c>
    </row>
    <row r="1998" spans="1:30" x14ac:dyDescent="0.25">
      <c r="A1998" s="2">
        <v>279</v>
      </c>
      <c r="B1998" t="s">
        <v>2732</v>
      </c>
      <c r="C1998">
        <v>12</v>
      </c>
      <c r="D1998">
        <v>120</v>
      </c>
      <c r="E1998">
        <v>129</v>
      </c>
      <c r="F1998" t="s">
        <v>273</v>
      </c>
      <c r="G1998" s="2" t="s">
        <v>156</v>
      </c>
      <c r="H1998">
        <v>18</v>
      </c>
      <c r="I1998">
        <v>23.83</v>
      </c>
      <c r="J1998" s="2" t="s">
        <v>170</v>
      </c>
      <c r="K1998" s="2" t="s">
        <v>74</v>
      </c>
      <c r="M1998" t="s">
        <v>3150</v>
      </c>
      <c r="P1998" s="19" t="s">
        <v>2449</v>
      </c>
      <c r="Q1998" s="19" t="s">
        <v>25</v>
      </c>
      <c r="R1998" s="19" t="s">
        <v>138</v>
      </c>
      <c r="W1998" s="20">
        <v>24</v>
      </c>
      <c r="X1998" s="65" t="s">
        <v>2010</v>
      </c>
      <c r="Z1998" t="s">
        <v>307</v>
      </c>
      <c r="AB1998" t="s">
        <v>178</v>
      </c>
      <c r="AC1998" t="s">
        <v>2724</v>
      </c>
      <c r="AD1998" s="2" t="s">
        <v>180</v>
      </c>
    </row>
    <row r="1999" spans="1:30" x14ac:dyDescent="0.25">
      <c r="A1999" s="2">
        <v>280</v>
      </c>
      <c r="B1999" t="s">
        <v>2733</v>
      </c>
      <c r="C1999">
        <v>12</v>
      </c>
      <c r="D1999">
        <v>120</v>
      </c>
      <c r="E1999">
        <v>129</v>
      </c>
      <c r="F1999" t="s">
        <v>273</v>
      </c>
      <c r="G1999" s="2" t="s">
        <v>156</v>
      </c>
      <c r="H1999">
        <v>4</v>
      </c>
      <c r="I1999">
        <v>5.3</v>
      </c>
      <c r="J1999" s="2" t="s">
        <v>170</v>
      </c>
      <c r="K1999" s="2" t="s">
        <v>74</v>
      </c>
      <c r="M1999" t="s">
        <v>3150</v>
      </c>
      <c r="P1999" s="19" t="s">
        <v>2449</v>
      </c>
      <c r="Q1999" s="19" t="s">
        <v>25</v>
      </c>
      <c r="R1999" s="19" t="s">
        <v>138</v>
      </c>
      <c r="W1999" s="20">
        <v>24</v>
      </c>
      <c r="X1999" s="65" t="s">
        <v>2010</v>
      </c>
      <c r="Z1999" t="s">
        <v>307</v>
      </c>
      <c r="AB1999" t="s">
        <v>178</v>
      </c>
      <c r="AC1999" t="s">
        <v>2724</v>
      </c>
      <c r="AD1999" s="2" t="s">
        <v>180</v>
      </c>
    </row>
    <row r="2000" spans="1:30" x14ac:dyDescent="0.25">
      <c r="A2000" s="2">
        <v>281</v>
      </c>
      <c r="B2000" t="s">
        <v>2734</v>
      </c>
      <c r="C2000">
        <v>12</v>
      </c>
      <c r="D2000">
        <v>120</v>
      </c>
      <c r="E2000">
        <v>129</v>
      </c>
      <c r="F2000" t="s">
        <v>273</v>
      </c>
      <c r="G2000" s="2" t="s">
        <v>156</v>
      </c>
      <c r="H2000">
        <v>4</v>
      </c>
      <c r="I2000">
        <v>5.3</v>
      </c>
      <c r="J2000" s="2" t="s">
        <v>170</v>
      </c>
      <c r="K2000" s="2" t="s">
        <v>74</v>
      </c>
      <c r="M2000" t="s">
        <v>3150</v>
      </c>
      <c r="P2000" s="19" t="s">
        <v>2449</v>
      </c>
      <c r="Q2000" s="19" t="s">
        <v>25</v>
      </c>
      <c r="R2000" s="19" t="s">
        <v>138</v>
      </c>
      <c r="W2000" s="20">
        <v>24</v>
      </c>
      <c r="X2000" s="65" t="s">
        <v>2010</v>
      </c>
      <c r="Z2000" t="s">
        <v>307</v>
      </c>
      <c r="AB2000" t="s">
        <v>178</v>
      </c>
      <c r="AC2000" t="s">
        <v>2724</v>
      </c>
      <c r="AD2000" s="2" t="s">
        <v>180</v>
      </c>
    </row>
    <row r="2001" spans="1:30" x14ac:dyDescent="0.25">
      <c r="A2001" s="2">
        <v>282</v>
      </c>
      <c r="B2001" t="s">
        <v>2735</v>
      </c>
      <c r="C2001">
        <v>12</v>
      </c>
      <c r="D2001">
        <v>120</v>
      </c>
      <c r="E2001">
        <v>129</v>
      </c>
      <c r="F2001" t="s">
        <v>273</v>
      </c>
      <c r="G2001" s="2" t="s">
        <v>156</v>
      </c>
      <c r="H2001">
        <v>4</v>
      </c>
      <c r="I2001">
        <v>5.3</v>
      </c>
      <c r="J2001" s="2" t="s">
        <v>170</v>
      </c>
      <c r="K2001" s="2" t="s">
        <v>74</v>
      </c>
      <c r="M2001" t="s">
        <v>3150</v>
      </c>
      <c r="P2001" s="19" t="s">
        <v>2449</v>
      </c>
      <c r="Q2001" s="19" t="s">
        <v>25</v>
      </c>
      <c r="R2001" s="19" t="s">
        <v>138</v>
      </c>
      <c r="W2001" s="20">
        <v>24</v>
      </c>
      <c r="X2001" s="65" t="s">
        <v>2010</v>
      </c>
      <c r="Z2001" t="s">
        <v>307</v>
      </c>
      <c r="AB2001" t="s">
        <v>178</v>
      </c>
      <c r="AC2001" t="s">
        <v>2724</v>
      </c>
      <c r="AD2001" s="2" t="s">
        <v>180</v>
      </c>
    </row>
    <row r="2002" spans="1:30" x14ac:dyDescent="0.25">
      <c r="A2002" s="2">
        <v>283</v>
      </c>
      <c r="B2002" t="s">
        <v>2736</v>
      </c>
      <c r="C2002">
        <v>12</v>
      </c>
      <c r="D2002">
        <v>120</v>
      </c>
      <c r="E2002">
        <v>129</v>
      </c>
      <c r="F2002" t="s">
        <v>273</v>
      </c>
      <c r="G2002" s="2" t="s">
        <v>156</v>
      </c>
      <c r="H2002">
        <v>4</v>
      </c>
      <c r="I2002">
        <v>5.3</v>
      </c>
      <c r="J2002" s="2" t="s">
        <v>170</v>
      </c>
      <c r="K2002" s="2" t="s">
        <v>74</v>
      </c>
      <c r="M2002" t="s">
        <v>3150</v>
      </c>
      <c r="P2002" s="19" t="s">
        <v>2449</v>
      </c>
      <c r="Q2002" s="19" t="s">
        <v>25</v>
      </c>
      <c r="R2002" s="19" t="s">
        <v>138</v>
      </c>
      <c r="W2002" s="20">
        <v>24</v>
      </c>
      <c r="X2002" s="65" t="s">
        <v>2010</v>
      </c>
      <c r="Z2002" t="s">
        <v>307</v>
      </c>
      <c r="AB2002" t="s">
        <v>178</v>
      </c>
      <c r="AC2002" t="s">
        <v>2724</v>
      </c>
      <c r="AD2002" s="2" t="s">
        <v>180</v>
      </c>
    </row>
    <row r="2003" spans="1:30" x14ac:dyDescent="0.25">
      <c r="A2003" s="2">
        <v>284</v>
      </c>
      <c r="B2003" t="s">
        <v>2737</v>
      </c>
      <c r="C2003">
        <v>12</v>
      </c>
      <c r="D2003">
        <v>120</v>
      </c>
      <c r="E2003">
        <v>129</v>
      </c>
      <c r="F2003" t="s">
        <v>273</v>
      </c>
      <c r="G2003" s="2" t="s">
        <v>156</v>
      </c>
      <c r="H2003">
        <v>4</v>
      </c>
      <c r="I2003">
        <v>5.3</v>
      </c>
      <c r="J2003" s="2" t="s">
        <v>170</v>
      </c>
      <c r="K2003" s="2" t="s">
        <v>74</v>
      </c>
      <c r="M2003" t="s">
        <v>3150</v>
      </c>
      <c r="P2003" s="19" t="s">
        <v>2449</v>
      </c>
      <c r="Q2003" s="19" t="s">
        <v>25</v>
      </c>
      <c r="R2003" s="19" t="s">
        <v>138</v>
      </c>
      <c r="W2003" s="20">
        <v>24</v>
      </c>
      <c r="X2003" s="65" t="s">
        <v>2010</v>
      </c>
      <c r="Z2003" t="s">
        <v>307</v>
      </c>
      <c r="AB2003" t="s">
        <v>178</v>
      </c>
      <c r="AC2003" t="s">
        <v>2724</v>
      </c>
      <c r="AD2003" s="2" t="s">
        <v>180</v>
      </c>
    </row>
    <row r="2004" spans="1:30" x14ac:dyDescent="0.25">
      <c r="A2004" s="2">
        <v>285</v>
      </c>
      <c r="B2004" t="s">
        <v>2738</v>
      </c>
      <c r="C2004">
        <v>12</v>
      </c>
      <c r="D2004">
        <v>120</v>
      </c>
      <c r="E2004">
        <v>129</v>
      </c>
      <c r="F2004" t="s">
        <v>273</v>
      </c>
      <c r="G2004" s="2" t="s">
        <v>156</v>
      </c>
      <c r="H2004">
        <v>4</v>
      </c>
      <c r="I2004">
        <v>5.3</v>
      </c>
      <c r="J2004" s="2" t="s">
        <v>170</v>
      </c>
      <c r="K2004" s="2" t="s">
        <v>74</v>
      </c>
      <c r="M2004" t="s">
        <v>3150</v>
      </c>
      <c r="P2004" s="19" t="s">
        <v>2449</v>
      </c>
      <c r="Q2004" s="19" t="s">
        <v>25</v>
      </c>
      <c r="R2004" s="19" t="s">
        <v>138</v>
      </c>
      <c r="W2004" s="20">
        <v>24</v>
      </c>
      <c r="X2004" s="65" t="s">
        <v>2010</v>
      </c>
      <c r="Z2004" t="s">
        <v>307</v>
      </c>
      <c r="AB2004" t="s">
        <v>178</v>
      </c>
      <c r="AC2004" t="s">
        <v>2724</v>
      </c>
      <c r="AD2004" s="2" t="s">
        <v>180</v>
      </c>
    </row>
    <row r="2005" spans="1:30" x14ac:dyDescent="0.25">
      <c r="A2005" s="2">
        <v>286</v>
      </c>
      <c r="B2005" t="s">
        <v>2739</v>
      </c>
      <c r="C2005">
        <v>12</v>
      </c>
      <c r="D2005">
        <v>128</v>
      </c>
      <c r="E2005">
        <v>145</v>
      </c>
      <c r="F2005" t="s">
        <v>273</v>
      </c>
      <c r="G2005" s="2" t="s">
        <v>156</v>
      </c>
      <c r="H2005">
        <v>4</v>
      </c>
      <c r="I2005">
        <v>6.69</v>
      </c>
      <c r="J2005" s="2" t="s">
        <v>170</v>
      </c>
      <c r="K2005" s="2" t="s">
        <v>74</v>
      </c>
      <c r="M2005" t="s">
        <v>3150</v>
      </c>
      <c r="P2005" s="19" t="s">
        <v>2449</v>
      </c>
      <c r="Q2005" s="19" t="s">
        <v>25</v>
      </c>
      <c r="R2005" s="19" t="s">
        <v>138</v>
      </c>
      <c r="W2005" s="20">
        <v>24</v>
      </c>
      <c r="X2005" s="65" t="s">
        <v>2010</v>
      </c>
      <c r="Z2005" t="s">
        <v>307</v>
      </c>
      <c r="AB2005" t="s">
        <v>178</v>
      </c>
      <c r="AC2005" t="s">
        <v>2724</v>
      </c>
      <c r="AD2005" s="2" t="s">
        <v>180</v>
      </c>
    </row>
    <row r="2006" spans="1:30" x14ac:dyDescent="0.25">
      <c r="A2006" s="2">
        <v>287</v>
      </c>
      <c r="B2006" t="s">
        <v>2481</v>
      </c>
      <c r="C2006">
        <v>12</v>
      </c>
      <c r="D2006">
        <v>128</v>
      </c>
      <c r="E2006">
        <v>145</v>
      </c>
      <c r="F2006" t="s">
        <v>273</v>
      </c>
      <c r="G2006" s="2" t="s">
        <v>156</v>
      </c>
      <c r="H2006">
        <v>7</v>
      </c>
      <c r="I2006">
        <v>11.71</v>
      </c>
      <c r="J2006" s="2" t="s">
        <v>170</v>
      </c>
      <c r="K2006" s="2" t="s">
        <v>74</v>
      </c>
      <c r="M2006" t="s">
        <v>3150</v>
      </c>
      <c r="P2006" s="19" t="s">
        <v>2449</v>
      </c>
      <c r="Q2006" s="19" t="s">
        <v>25</v>
      </c>
      <c r="R2006" s="19" t="s">
        <v>138</v>
      </c>
      <c r="W2006" s="20">
        <v>24</v>
      </c>
      <c r="X2006" s="65" t="s">
        <v>2010</v>
      </c>
      <c r="Z2006" t="s">
        <v>307</v>
      </c>
      <c r="AB2006" t="s">
        <v>178</v>
      </c>
      <c r="AC2006" t="s">
        <v>2724</v>
      </c>
      <c r="AD2006" s="2" t="s">
        <v>180</v>
      </c>
    </row>
    <row r="2007" spans="1:30" x14ac:dyDescent="0.25">
      <c r="A2007" s="2">
        <v>288</v>
      </c>
      <c r="B2007" t="s">
        <v>2740</v>
      </c>
      <c r="C2007">
        <v>12</v>
      </c>
      <c r="D2007">
        <v>128</v>
      </c>
      <c r="E2007">
        <v>145</v>
      </c>
      <c r="F2007" t="s">
        <v>273</v>
      </c>
      <c r="G2007" s="2" t="s">
        <v>156</v>
      </c>
      <c r="H2007">
        <v>18</v>
      </c>
      <c r="I2007">
        <v>30.1</v>
      </c>
      <c r="J2007" s="2" t="s">
        <v>170</v>
      </c>
      <c r="K2007" s="2" t="s">
        <v>74</v>
      </c>
      <c r="M2007" t="s">
        <v>3150</v>
      </c>
      <c r="P2007" s="19" t="s">
        <v>2449</v>
      </c>
      <c r="Q2007" s="19" t="s">
        <v>25</v>
      </c>
      <c r="R2007" s="19" t="s">
        <v>138</v>
      </c>
      <c r="W2007" s="20">
        <v>24</v>
      </c>
      <c r="X2007" s="65" t="s">
        <v>2010</v>
      </c>
      <c r="Z2007" t="s">
        <v>307</v>
      </c>
      <c r="AB2007" t="s">
        <v>178</v>
      </c>
      <c r="AC2007" t="s">
        <v>2724</v>
      </c>
      <c r="AD2007" s="2" t="s">
        <v>180</v>
      </c>
    </row>
    <row r="2008" spans="1:30" x14ac:dyDescent="0.25">
      <c r="A2008" s="2">
        <v>289</v>
      </c>
      <c r="B2008" t="s">
        <v>2741</v>
      </c>
      <c r="C2008">
        <v>12</v>
      </c>
      <c r="D2008">
        <v>128</v>
      </c>
      <c r="E2008">
        <v>145</v>
      </c>
      <c r="F2008" t="s">
        <v>273</v>
      </c>
      <c r="G2008" s="2" t="s">
        <v>156</v>
      </c>
      <c r="H2008">
        <v>12</v>
      </c>
      <c r="I2008">
        <v>20.07</v>
      </c>
      <c r="J2008" s="2" t="s">
        <v>170</v>
      </c>
      <c r="K2008" s="2" t="s">
        <v>74</v>
      </c>
      <c r="M2008" t="s">
        <v>3150</v>
      </c>
      <c r="P2008" s="19" t="s">
        <v>2449</v>
      </c>
      <c r="Q2008" s="19" t="s">
        <v>25</v>
      </c>
      <c r="R2008" s="19" t="s">
        <v>138</v>
      </c>
      <c r="W2008" s="20">
        <v>24</v>
      </c>
      <c r="X2008" s="65" t="s">
        <v>2010</v>
      </c>
      <c r="Z2008" t="s">
        <v>307</v>
      </c>
      <c r="AB2008" t="s">
        <v>178</v>
      </c>
      <c r="AC2008" t="s">
        <v>2724</v>
      </c>
      <c r="AD2008" s="2" t="s">
        <v>180</v>
      </c>
    </row>
    <row r="2009" spans="1:30" x14ac:dyDescent="0.25">
      <c r="A2009" s="2">
        <v>290</v>
      </c>
      <c r="B2009" t="s">
        <v>2742</v>
      </c>
      <c r="C2009">
        <v>12</v>
      </c>
      <c r="D2009">
        <v>120</v>
      </c>
      <c r="E2009">
        <v>129</v>
      </c>
      <c r="F2009" t="s">
        <v>273</v>
      </c>
      <c r="G2009" s="2" t="s">
        <v>156</v>
      </c>
      <c r="H2009">
        <v>24</v>
      </c>
      <c r="I2009">
        <v>31.78</v>
      </c>
      <c r="J2009" s="2" t="s">
        <v>170</v>
      </c>
      <c r="K2009" s="2" t="s">
        <v>74</v>
      </c>
      <c r="M2009" t="s">
        <v>3150</v>
      </c>
      <c r="P2009" s="19" t="s">
        <v>2449</v>
      </c>
      <c r="Q2009" s="19" t="s">
        <v>25</v>
      </c>
      <c r="R2009" s="19" t="s">
        <v>138</v>
      </c>
      <c r="W2009" s="20">
        <v>24</v>
      </c>
      <c r="X2009" s="65" t="s">
        <v>2010</v>
      </c>
      <c r="Z2009" t="s">
        <v>307</v>
      </c>
      <c r="AB2009" t="s">
        <v>178</v>
      </c>
      <c r="AC2009" t="s">
        <v>2724</v>
      </c>
      <c r="AD2009" s="2" t="s">
        <v>180</v>
      </c>
    </row>
    <row r="2010" spans="1:30" x14ac:dyDescent="0.25">
      <c r="A2010" s="2">
        <v>291</v>
      </c>
      <c r="B2010" t="s">
        <v>2743</v>
      </c>
      <c r="C2010">
        <v>12</v>
      </c>
      <c r="D2010">
        <v>120</v>
      </c>
      <c r="E2010">
        <v>129</v>
      </c>
      <c r="F2010" t="s">
        <v>273</v>
      </c>
      <c r="G2010" s="2" t="s">
        <v>156</v>
      </c>
      <c r="H2010">
        <v>24</v>
      </c>
      <c r="I2010">
        <v>31.78</v>
      </c>
      <c r="J2010" s="2" t="s">
        <v>170</v>
      </c>
      <c r="K2010" s="2" t="s">
        <v>74</v>
      </c>
      <c r="M2010" t="s">
        <v>3150</v>
      </c>
      <c r="P2010" s="19" t="s">
        <v>2449</v>
      </c>
      <c r="Q2010" s="19" t="s">
        <v>25</v>
      </c>
      <c r="R2010" s="19" t="s">
        <v>138</v>
      </c>
      <c r="W2010" s="20">
        <v>24</v>
      </c>
      <c r="X2010" s="65" t="s">
        <v>2010</v>
      </c>
      <c r="Z2010" t="s">
        <v>307</v>
      </c>
      <c r="AB2010" t="s">
        <v>178</v>
      </c>
      <c r="AC2010" t="s">
        <v>2724</v>
      </c>
      <c r="AD2010" s="2" t="s">
        <v>180</v>
      </c>
    </row>
    <row r="2011" spans="1:30" x14ac:dyDescent="0.25">
      <c r="A2011" s="2">
        <v>292</v>
      </c>
      <c r="B2011" t="s">
        <v>2744</v>
      </c>
      <c r="C2011">
        <v>12</v>
      </c>
      <c r="D2011">
        <v>120</v>
      </c>
      <c r="E2011">
        <v>129</v>
      </c>
      <c r="F2011" t="s">
        <v>273</v>
      </c>
      <c r="G2011" s="2" t="s">
        <v>156</v>
      </c>
      <c r="H2011">
        <v>24</v>
      </c>
      <c r="I2011">
        <v>31.78</v>
      </c>
      <c r="J2011" s="2" t="s">
        <v>170</v>
      </c>
      <c r="K2011" s="2" t="s">
        <v>74</v>
      </c>
      <c r="M2011" t="s">
        <v>3150</v>
      </c>
      <c r="P2011" s="19" t="s">
        <v>2449</v>
      </c>
      <c r="Q2011" s="19" t="s">
        <v>25</v>
      </c>
      <c r="R2011" s="19" t="s">
        <v>138</v>
      </c>
      <c r="W2011" s="20">
        <v>24</v>
      </c>
      <c r="X2011" s="65" t="s">
        <v>2010</v>
      </c>
      <c r="Z2011" t="s">
        <v>307</v>
      </c>
      <c r="AB2011" t="s">
        <v>178</v>
      </c>
      <c r="AC2011" t="s">
        <v>2724</v>
      </c>
      <c r="AD2011" s="2" t="s">
        <v>180</v>
      </c>
    </row>
    <row r="2012" spans="1:30" x14ac:dyDescent="0.25">
      <c r="A2012" s="2">
        <v>293</v>
      </c>
      <c r="B2012" t="s">
        <v>2745</v>
      </c>
      <c r="C2012">
        <v>12</v>
      </c>
      <c r="D2012">
        <v>120</v>
      </c>
      <c r="E2012">
        <v>129</v>
      </c>
      <c r="F2012" t="s">
        <v>273</v>
      </c>
      <c r="G2012" s="2" t="s">
        <v>156</v>
      </c>
      <c r="H2012">
        <v>12</v>
      </c>
      <c r="I2012">
        <v>15.89</v>
      </c>
      <c r="J2012" s="2" t="s">
        <v>170</v>
      </c>
      <c r="K2012" s="2" t="s">
        <v>74</v>
      </c>
      <c r="M2012" t="s">
        <v>3150</v>
      </c>
      <c r="P2012" s="19" t="s">
        <v>2449</v>
      </c>
      <c r="Q2012" s="19" t="s">
        <v>25</v>
      </c>
      <c r="R2012" s="19" t="s">
        <v>138</v>
      </c>
      <c r="W2012" s="20">
        <v>24</v>
      </c>
      <c r="X2012" s="65" t="s">
        <v>2010</v>
      </c>
      <c r="Z2012" t="s">
        <v>307</v>
      </c>
      <c r="AB2012" t="s">
        <v>178</v>
      </c>
      <c r="AC2012" t="s">
        <v>2724</v>
      </c>
      <c r="AD2012" s="2" t="s">
        <v>180</v>
      </c>
    </row>
    <row r="2013" spans="1:30" x14ac:dyDescent="0.25">
      <c r="A2013" s="2">
        <v>294</v>
      </c>
      <c r="B2013" t="s">
        <v>2746</v>
      </c>
      <c r="C2013">
        <v>12</v>
      </c>
      <c r="D2013">
        <v>135</v>
      </c>
      <c r="E2013">
        <v>488</v>
      </c>
      <c r="F2013" t="s">
        <v>273</v>
      </c>
      <c r="G2013" s="2" t="s">
        <v>156</v>
      </c>
      <c r="H2013">
        <v>16</v>
      </c>
      <c r="I2013">
        <v>99.04</v>
      </c>
      <c r="J2013" s="2" t="s">
        <v>170</v>
      </c>
      <c r="K2013" s="2" t="s">
        <v>74</v>
      </c>
      <c r="M2013" t="s">
        <v>3150</v>
      </c>
      <c r="P2013" s="19" t="s">
        <v>2449</v>
      </c>
      <c r="Q2013" s="19" t="s">
        <v>25</v>
      </c>
      <c r="R2013" s="19" t="s">
        <v>138</v>
      </c>
      <c r="W2013" s="20">
        <v>24</v>
      </c>
      <c r="X2013" s="65" t="s">
        <v>2010</v>
      </c>
      <c r="Z2013" t="s">
        <v>307</v>
      </c>
      <c r="AB2013" t="s">
        <v>178</v>
      </c>
      <c r="AC2013" t="s">
        <v>2724</v>
      </c>
      <c r="AD2013" s="2" t="s">
        <v>180</v>
      </c>
    </row>
    <row r="2014" spans="1:30" x14ac:dyDescent="0.25">
      <c r="A2014" s="2">
        <v>295</v>
      </c>
      <c r="B2014" t="s">
        <v>2747</v>
      </c>
      <c r="C2014">
        <v>12</v>
      </c>
      <c r="D2014">
        <v>135</v>
      </c>
      <c r="E2014">
        <v>488</v>
      </c>
      <c r="F2014" t="s">
        <v>273</v>
      </c>
      <c r="G2014" s="2" t="s">
        <v>156</v>
      </c>
      <c r="H2014">
        <v>16</v>
      </c>
      <c r="I2014">
        <v>99.04</v>
      </c>
      <c r="J2014" s="2" t="s">
        <v>170</v>
      </c>
      <c r="K2014" s="2" t="s">
        <v>74</v>
      </c>
      <c r="M2014" t="s">
        <v>3150</v>
      </c>
      <c r="P2014" s="19" t="s">
        <v>2449</v>
      </c>
      <c r="Q2014" s="19" t="s">
        <v>25</v>
      </c>
      <c r="R2014" s="19" t="s">
        <v>138</v>
      </c>
      <c r="W2014" s="20">
        <v>24</v>
      </c>
      <c r="X2014" s="65" t="s">
        <v>2010</v>
      </c>
      <c r="Z2014" t="s">
        <v>307</v>
      </c>
      <c r="AB2014" t="s">
        <v>178</v>
      </c>
      <c r="AC2014" t="s">
        <v>2724</v>
      </c>
      <c r="AD2014" s="2" t="s">
        <v>180</v>
      </c>
    </row>
    <row r="2015" spans="1:30" x14ac:dyDescent="0.25">
      <c r="A2015" s="2">
        <v>296</v>
      </c>
      <c r="B2015" t="s">
        <v>2748</v>
      </c>
      <c r="C2015">
        <v>12</v>
      </c>
      <c r="D2015">
        <v>135</v>
      </c>
      <c r="E2015">
        <v>488</v>
      </c>
      <c r="F2015" t="s">
        <v>273</v>
      </c>
      <c r="G2015" s="2" t="s">
        <v>156</v>
      </c>
      <c r="H2015">
        <v>16</v>
      </c>
      <c r="I2015">
        <v>99.04</v>
      </c>
      <c r="J2015" s="2" t="s">
        <v>170</v>
      </c>
      <c r="K2015" s="2" t="s">
        <v>74</v>
      </c>
      <c r="M2015" t="s">
        <v>3150</v>
      </c>
      <c r="P2015" s="19" t="s">
        <v>2449</v>
      </c>
      <c r="Q2015" s="19" t="s">
        <v>25</v>
      </c>
      <c r="R2015" s="19" t="s">
        <v>138</v>
      </c>
      <c r="W2015" s="20">
        <v>24</v>
      </c>
      <c r="X2015" s="65" t="s">
        <v>2010</v>
      </c>
      <c r="Z2015" t="s">
        <v>307</v>
      </c>
      <c r="AB2015" t="s">
        <v>178</v>
      </c>
      <c r="AC2015" t="s">
        <v>2724</v>
      </c>
      <c r="AD2015" s="2" t="s">
        <v>180</v>
      </c>
    </row>
    <row r="2016" spans="1:30" x14ac:dyDescent="0.25">
      <c r="A2016" s="2">
        <v>297</v>
      </c>
      <c r="B2016" t="s">
        <v>2749</v>
      </c>
      <c r="C2016">
        <v>12</v>
      </c>
      <c r="D2016">
        <v>135</v>
      </c>
      <c r="E2016">
        <v>488</v>
      </c>
      <c r="F2016" t="s">
        <v>273</v>
      </c>
      <c r="G2016" s="2" t="s">
        <v>156</v>
      </c>
      <c r="H2016">
        <v>4</v>
      </c>
      <c r="I2016">
        <v>24.76</v>
      </c>
      <c r="J2016" s="2" t="s">
        <v>170</v>
      </c>
      <c r="K2016" s="2" t="s">
        <v>74</v>
      </c>
      <c r="M2016" t="s">
        <v>3150</v>
      </c>
      <c r="P2016" s="19" t="s">
        <v>2449</v>
      </c>
      <c r="Q2016" s="19" t="s">
        <v>25</v>
      </c>
      <c r="R2016" s="19" t="s">
        <v>138</v>
      </c>
      <c r="W2016" s="20">
        <v>24</v>
      </c>
      <c r="X2016" s="65" t="s">
        <v>2010</v>
      </c>
      <c r="Z2016" t="s">
        <v>307</v>
      </c>
      <c r="AB2016" t="s">
        <v>178</v>
      </c>
      <c r="AC2016" t="s">
        <v>2724</v>
      </c>
      <c r="AD2016" s="2" t="s">
        <v>180</v>
      </c>
    </row>
    <row r="2017" spans="1:30" x14ac:dyDescent="0.25">
      <c r="A2017" s="2">
        <v>298</v>
      </c>
      <c r="B2017" t="s">
        <v>2750</v>
      </c>
      <c r="C2017">
        <v>12</v>
      </c>
      <c r="D2017">
        <v>100</v>
      </c>
      <c r="E2017">
        <v>150</v>
      </c>
      <c r="F2017" t="s">
        <v>273</v>
      </c>
      <c r="G2017" s="2" t="s">
        <v>156</v>
      </c>
      <c r="H2017">
        <v>1</v>
      </c>
      <c r="I2017">
        <v>1.41</v>
      </c>
      <c r="J2017" s="2" t="s">
        <v>170</v>
      </c>
      <c r="K2017" s="2" t="s">
        <v>74</v>
      </c>
      <c r="M2017" t="s">
        <v>3150</v>
      </c>
      <c r="P2017" s="19" t="s">
        <v>2449</v>
      </c>
      <c r="Q2017" s="19" t="s">
        <v>25</v>
      </c>
      <c r="R2017" s="19" t="s">
        <v>138</v>
      </c>
      <c r="W2017" s="20">
        <v>24</v>
      </c>
      <c r="X2017" s="65" t="s">
        <v>2010</v>
      </c>
      <c r="Z2017" t="s">
        <v>307</v>
      </c>
      <c r="AB2017" t="s">
        <v>178</v>
      </c>
      <c r="AC2017" t="s">
        <v>2724</v>
      </c>
      <c r="AD2017" s="2" t="s">
        <v>180</v>
      </c>
    </row>
    <row r="2018" spans="1:30" x14ac:dyDescent="0.25">
      <c r="A2018" s="2">
        <v>299</v>
      </c>
      <c r="B2018" t="s">
        <v>2751</v>
      </c>
      <c r="C2018">
        <v>12</v>
      </c>
      <c r="D2018">
        <v>135</v>
      </c>
      <c r="E2018">
        <v>488</v>
      </c>
      <c r="F2018" t="s">
        <v>273</v>
      </c>
      <c r="G2018" s="2" t="s">
        <v>156</v>
      </c>
      <c r="H2018">
        <v>4</v>
      </c>
      <c r="I2018">
        <v>24.76</v>
      </c>
      <c r="J2018" s="2" t="s">
        <v>170</v>
      </c>
      <c r="K2018" s="2" t="s">
        <v>74</v>
      </c>
      <c r="M2018" t="s">
        <v>3150</v>
      </c>
      <c r="P2018" s="19" t="s">
        <v>2449</v>
      </c>
      <c r="Q2018" s="19" t="s">
        <v>25</v>
      </c>
      <c r="R2018" s="19" t="s">
        <v>138</v>
      </c>
      <c r="W2018" s="20">
        <v>24</v>
      </c>
      <c r="X2018" s="65" t="s">
        <v>2010</v>
      </c>
      <c r="Z2018" t="s">
        <v>307</v>
      </c>
      <c r="AB2018" t="s">
        <v>178</v>
      </c>
      <c r="AC2018" t="s">
        <v>2724</v>
      </c>
      <c r="AD2018" s="2" t="s">
        <v>180</v>
      </c>
    </row>
    <row r="2019" spans="1:30" x14ac:dyDescent="0.25">
      <c r="A2019" s="2">
        <v>300</v>
      </c>
      <c r="B2019" t="s">
        <v>2752</v>
      </c>
      <c r="C2019">
        <v>12</v>
      </c>
      <c r="D2019">
        <v>100</v>
      </c>
      <c r="E2019">
        <v>150</v>
      </c>
      <c r="F2019" t="s">
        <v>273</v>
      </c>
      <c r="G2019" s="2" t="s">
        <v>156</v>
      </c>
      <c r="H2019">
        <v>1</v>
      </c>
      <c r="I2019">
        <v>1.41</v>
      </c>
      <c r="J2019" s="2" t="s">
        <v>170</v>
      </c>
      <c r="K2019" s="2" t="s">
        <v>74</v>
      </c>
      <c r="M2019" t="s">
        <v>3150</v>
      </c>
      <c r="P2019" s="19" t="s">
        <v>2449</v>
      </c>
      <c r="Q2019" s="19" t="s">
        <v>25</v>
      </c>
      <c r="R2019" s="19" t="s">
        <v>138</v>
      </c>
      <c r="W2019" s="20">
        <v>24</v>
      </c>
      <c r="X2019" s="65" t="s">
        <v>2010</v>
      </c>
      <c r="Z2019" t="s">
        <v>307</v>
      </c>
      <c r="AB2019" t="s">
        <v>178</v>
      </c>
      <c r="AC2019" t="s">
        <v>2724</v>
      </c>
      <c r="AD2019" s="2" t="s">
        <v>180</v>
      </c>
    </row>
    <row r="2020" spans="1:30" x14ac:dyDescent="0.25">
      <c r="A2020" s="2">
        <v>301</v>
      </c>
      <c r="B2020" t="s">
        <v>2753</v>
      </c>
      <c r="C2020">
        <v>12</v>
      </c>
      <c r="D2020">
        <v>135</v>
      </c>
      <c r="E2020">
        <v>488</v>
      </c>
      <c r="F2020" t="s">
        <v>273</v>
      </c>
      <c r="G2020" s="2" t="s">
        <v>156</v>
      </c>
      <c r="H2020">
        <v>4</v>
      </c>
      <c r="I2020">
        <v>24.76</v>
      </c>
      <c r="J2020" s="2" t="s">
        <v>170</v>
      </c>
      <c r="K2020" s="2" t="s">
        <v>74</v>
      </c>
      <c r="M2020" t="s">
        <v>3150</v>
      </c>
      <c r="P2020" s="19" t="s">
        <v>2449</v>
      </c>
      <c r="Q2020" s="19" t="s">
        <v>25</v>
      </c>
      <c r="R2020" s="19" t="s">
        <v>138</v>
      </c>
      <c r="W2020" s="20">
        <v>24</v>
      </c>
      <c r="X2020" s="65" t="s">
        <v>2010</v>
      </c>
      <c r="Z2020" t="s">
        <v>307</v>
      </c>
      <c r="AB2020" t="s">
        <v>178</v>
      </c>
      <c r="AC2020" t="s">
        <v>2724</v>
      </c>
      <c r="AD2020" s="2" t="s">
        <v>180</v>
      </c>
    </row>
    <row r="2021" spans="1:30" x14ac:dyDescent="0.25">
      <c r="A2021" s="2">
        <v>302</v>
      </c>
      <c r="B2021" t="s">
        <v>2754</v>
      </c>
      <c r="C2021">
        <v>12</v>
      </c>
      <c r="D2021">
        <v>100</v>
      </c>
      <c r="E2021">
        <v>150</v>
      </c>
      <c r="F2021" t="s">
        <v>273</v>
      </c>
      <c r="G2021" s="2" t="s">
        <v>156</v>
      </c>
      <c r="H2021">
        <v>1</v>
      </c>
      <c r="I2021">
        <v>1.41</v>
      </c>
      <c r="J2021" s="2" t="s">
        <v>170</v>
      </c>
      <c r="K2021" s="2" t="s">
        <v>74</v>
      </c>
      <c r="M2021" t="s">
        <v>3150</v>
      </c>
      <c r="P2021" s="19" t="s">
        <v>2449</v>
      </c>
      <c r="Q2021" s="19" t="s">
        <v>25</v>
      </c>
      <c r="R2021" s="19" t="s">
        <v>138</v>
      </c>
      <c r="W2021" s="20">
        <v>24</v>
      </c>
      <c r="X2021" s="65" t="s">
        <v>2010</v>
      </c>
      <c r="Z2021" t="s">
        <v>307</v>
      </c>
      <c r="AB2021" t="s">
        <v>178</v>
      </c>
      <c r="AC2021" t="s">
        <v>2724</v>
      </c>
      <c r="AD2021" s="2" t="s">
        <v>180</v>
      </c>
    </row>
    <row r="2022" spans="1:30" x14ac:dyDescent="0.25">
      <c r="A2022" s="2">
        <v>303</v>
      </c>
      <c r="B2022" t="s">
        <v>2755</v>
      </c>
      <c r="C2022">
        <v>12</v>
      </c>
      <c r="D2022">
        <v>135</v>
      </c>
      <c r="E2022">
        <v>488</v>
      </c>
      <c r="F2022" t="s">
        <v>273</v>
      </c>
      <c r="G2022" s="2" t="s">
        <v>156</v>
      </c>
      <c r="H2022">
        <v>4</v>
      </c>
      <c r="I2022">
        <v>24.76</v>
      </c>
      <c r="J2022" s="2" t="s">
        <v>170</v>
      </c>
      <c r="K2022" s="2" t="s">
        <v>74</v>
      </c>
      <c r="M2022" t="s">
        <v>3150</v>
      </c>
      <c r="P2022" s="19" t="s">
        <v>2449</v>
      </c>
      <c r="Q2022" s="19" t="s">
        <v>25</v>
      </c>
      <c r="R2022" s="19" t="s">
        <v>138</v>
      </c>
      <c r="W2022" s="20">
        <v>24</v>
      </c>
      <c r="X2022" s="65" t="s">
        <v>2010</v>
      </c>
      <c r="Z2022" t="s">
        <v>307</v>
      </c>
      <c r="AB2022" t="s">
        <v>178</v>
      </c>
      <c r="AC2022" t="s">
        <v>2724</v>
      </c>
      <c r="AD2022" s="2" t="s">
        <v>180</v>
      </c>
    </row>
    <row r="2023" spans="1:30" x14ac:dyDescent="0.25">
      <c r="A2023" s="2">
        <v>304</v>
      </c>
      <c r="B2023" t="s">
        <v>2756</v>
      </c>
      <c r="C2023">
        <v>12</v>
      </c>
      <c r="D2023">
        <v>100</v>
      </c>
      <c r="E2023">
        <v>150</v>
      </c>
      <c r="F2023" t="s">
        <v>273</v>
      </c>
      <c r="G2023" s="2" t="s">
        <v>156</v>
      </c>
      <c r="H2023">
        <v>1</v>
      </c>
      <c r="I2023">
        <v>1.41</v>
      </c>
      <c r="J2023" s="2" t="s">
        <v>170</v>
      </c>
      <c r="K2023" s="2" t="s">
        <v>74</v>
      </c>
      <c r="M2023" t="s">
        <v>3150</v>
      </c>
      <c r="P2023" s="19" t="s">
        <v>2449</v>
      </c>
      <c r="Q2023" s="19" t="s">
        <v>25</v>
      </c>
      <c r="R2023" s="19" t="s">
        <v>138</v>
      </c>
      <c r="W2023" s="20">
        <v>24</v>
      </c>
      <c r="X2023" s="65" t="s">
        <v>2010</v>
      </c>
      <c r="Z2023" t="s">
        <v>307</v>
      </c>
      <c r="AB2023" t="s">
        <v>178</v>
      </c>
      <c r="AC2023" t="s">
        <v>2724</v>
      </c>
      <c r="AD2023" s="2" t="s">
        <v>180</v>
      </c>
    </row>
    <row r="2024" spans="1:30" x14ac:dyDescent="0.25">
      <c r="A2024" s="2">
        <v>305</v>
      </c>
      <c r="B2024" t="s">
        <v>2757</v>
      </c>
      <c r="C2024">
        <v>12</v>
      </c>
      <c r="D2024">
        <v>135</v>
      </c>
      <c r="E2024">
        <v>488</v>
      </c>
      <c r="F2024" t="s">
        <v>273</v>
      </c>
      <c r="G2024" s="2" t="s">
        <v>156</v>
      </c>
      <c r="H2024">
        <v>4</v>
      </c>
      <c r="I2024">
        <v>24.76</v>
      </c>
      <c r="J2024" s="2" t="s">
        <v>170</v>
      </c>
      <c r="K2024" s="2" t="s">
        <v>74</v>
      </c>
      <c r="M2024" t="s">
        <v>3150</v>
      </c>
      <c r="P2024" s="19" t="s">
        <v>2449</v>
      </c>
      <c r="Q2024" s="19" t="s">
        <v>25</v>
      </c>
      <c r="R2024" s="19" t="s">
        <v>138</v>
      </c>
      <c r="W2024" s="20">
        <v>24</v>
      </c>
      <c r="X2024" s="65" t="s">
        <v>2010</v>
      </c>
      <c r="Z2024" t="s">
        <v>307</v>
      </c>
      <c r="AB2024" t="s">
        <v>178</v>
      </c>
      <c r="AC2024" t="s">
        <v>2724</v>
      </c>
      <c r="AD2024" s="2" t="s">
        <v>180</v>
      </c>
    </row>
    <row r="2025" spans="1:30" x14ac:dyDescent="0.25">
      <c r="A2025" s="2">
        <v>306</v>
      </c>
      <c r="B2025" t="s">
        <v>2758</v>
      </c>
      <c r="C2025">
        <v>12</v>
      </c>
      <c r="D2025">
        <v>100</v>
      </c>
      <c r="E2025">
        <v>150</v>
      </c>
      <c r="F2025" t="s">
        <v>273</v>
      </c>
      <c r="G2025" s="2" t="s">
        <v>156</v>
      </c>
      <c r="H2025">
        <v>1</v>
      </c>
      <c r="I2025">
        <v>1.41</v>
      </c>
      <c r="J2025" s="2" t="s">
        <v>170</v>
      </c>
      <c r="K2025" s="2" t="s">
        <v>74</v>
      </c>
      <c r="M2025" t="s">
        <v>3150</v>
      </c>
      <c r="P2025" s="19" t="s">
        <v>2449</v>
      </c>
      <c r="Q2025" s="19" t="s">
        <v>25</v>
      </c>
      <c r="R2025" s="19" t="s">
        <v>138</v>
      </c>
      <c r="W2025" s="20">
        <v>24</v>
      </c>
      <c r="X2025" s="65" t="s">
        <v>2010</v>
      </c>
      <c r="Z2025" t="s">
        <v>307</v>
      </c>
      <c r="AB2025" t="s">
        <v>178</v>
      </c>
      <c r="AC2025" t="s">
        <v>2724</v>
      </c>
      <c r="AD2025" s="2" t="s">
        <v>180</v>
      </c>
    </row>
    <row r="2026" spans="1:30" x14ac:dyDescent="0.25">
      <c r="A2026" s="2">
        <v>307</v>
      </c>
      <c r="B2026" t="s">
        <v>2759</v>
      </c>
      <c r="C2026">
        <v>12</v>
      </c>
      <c r="D2026">
        <v>135</v>
      </c>
      <c r="E2026">
        <v>488</v>
      </c>
      <c r="F2026" t="s">
        <v>273</v>
      </c>
      <c r="G2026" s="2" t="s">
        <v>156</v>
      </c>
      <c r="H2026">
        <v>4</v>
      </c>
      <c r="I2026">
        <v>24.76</v>
      </c>
      <c r="J2026" s="2" t="s">
        <v>170</v>
      </c>
      <c r="K2026" s="2" t="s">
        <v>74</v>
      </c>
      <c r="M2026" t="s">
        <v>3150</v>
      </c>
      <c r="P2026" s="19" t="s">
        <v>2449</v>
      </c>
      <c r="Q2026" s="19" t="s">
        <v>25</v>
      </c>
      <c r="R2026" s="19" t="s">
        <v>138</v>
      </c>
      <c r="W2026" s="20">
        <v>24</v>
      </c>
      <c r="X2026" s="65" t="s">
        <v>2010</v>
      </c>
      <c r="Z2026" t="s">
        <v>307</v>
      </c>
      <c r="AB2026" t="s">
        <v>178</v>
      </c>
      <c r="AC2026" t="s">
        <v>2724</v>
      </c>
      <c r="AD2026" s="2" t="s">
        <v>180</v>
      </c>
    </row>
    <row r="2027" spans="1:30" x14ac:dyDescent="0.25">
      <c r="A2027" s="2">
        <v>308</v>
      </c>
      <c r="B2027" t="s">
        <v>2760</v>
      </c>
      <c r="C2027">
        <v>12</v>
      </c>
      <c r="D2027">
        <v>100</v>
      </c>
      <c r="E2027">
        <v>150</v>
      </c>
      <c r="F2027" t="s">
        <v>273</v>
      </c>
      <c r="G2027" s="2" t="s">
        <v>156</v>
      </c>
      <c r="H2027">
        <v>1</v>
      </c>
      <c r="I2027">
        <v>1.41</v>
      </c>
      <c r="J2027" s="2" t="s">
        <v>170</v>
      </c>
      <c r="K2027" s="2" t="s">
        <v>74</v>
      </c>
      <c r="M2027" t="s">
        <v>3150</v>
      </c>
      <c r="P2027" s="19" t="s">
        <v>2449</v>
      </c>
      <c r="Q2027" s="19" t="s">
        <v>25</v>
      </c>
      <c r="R2027" s="19" t="s">
        <v>138</v>
      </c>
      <c r="W2027" s="20">
        <v>24</v>
      </c>
      <c r="X2027" s="65" t="s">
        <v>2010</v>
      </c>
      <c r="Z2027" t="s">
        <v>307</v>
      </c>
      <c r="AB2027" t="s">
        <v>178</v>
      </c>
      <c r="AC2027" t="s">
        <v>2724</v>
      </c>
      <c r="AD2027" s="2" t="s">
        <v>180</v>
      </c>
    </row>
    <row r="2028" spans="1:30" x14ac:dyDescent="0.25">
      <c r="A2028" s="2">
        <v>309</v>
      </c>
      <c r="B2028" t="s">
        <v>2761</v>
      </c>
      <c r="C2028">
        <v>12</v>
      </c>
      <c r="D2028">
        <v>135</v>
      </c>
      <c r="E2028">
        <v>488</v>
      </c>
      <c r="F2028" t="s">
        <v>273</v>
      </c>
      <c r="G2028" s="2" t="s">
        <v>156</v>
      </c>
      <c r="H2028">
        <v>4</v>
      </c>
      <c r="I2028">
        <v>24.76</v>
      </c>
      <c r="J2028" s="2" t="s">
        <v>170</v>
      </c>
      <c r="K2028" s="2" t="s">
        <v>74</v>
      </c>
      <c r="M2028" t="s">
        <v>3150</v>
      </c>
      <c r="P2028" s="19" t="s">
        <v>2449</v>
      </c>
      <c r="Q2028" s="19" t="s">
        <v>25</v>
      </c>
      <c r="R2028" s="19" t="s">
        <v>138</v>
      </c>
      <c r="W2028" s="20">
        <v>24</v>
      </c>
      <c r="X2028" s="65" t="s">
        <v>2010</v>
      </c>
      <c r="Z2028" t="s">
        <v>307</v>
      </c>
      <c r="AB2028" t="s">
        <v>178</v>
      </c>
      <c r="AC2028" t="s">
        <v>2724</v>
      </c>
      <c r="AD2028" s="2" t="s">
        <v>180</v>
      </c>
    </row>
    <row r="2029" spans="1:30" x14ac:dyDescent="0.25">
      <c r="A2029" s="2">
        <v>310</v>
      </c>
      <c r="B2029" t="s">
        <v>2762</v>
      </c>
      <c r="C2029">
        <v>12</v>
      </c>
      <c r="D2029">
        <v>100</v>
      </c>
      <c r="E2029">
        <v>150</v>
      </c>
      <c r="F2029" t="s">
        <v>273</v>
      </c>
      <c r="G2029" s="2" t="s">
        <v>156</v>
      </c>
      <c r="H2029">
        <v>1</v>
      </c>
      <c r="I2029">
        <v>1.41</v>
      </c>
      <c r="J2029" s="2" t="s">
        <v>170</v>
      </c>
      <c r="K2029" s="2" t="s">
        <v>74</v>
      </c>
      <c r="M2029" t="s">
        <v>3150</v>
      </c>
      <c r="P2029" s="19" t="s">
        <v>2449</v>
      </c>
      <c r="Q2029" s="19" t="s">
        <v>25</v>
      </c>
      <c r="R2029" s="19" t="s">
        <v>138</v>
      </c>
      <c r="W2029" s="20">
        <v>24</v>
      </c>
      <c r="X2029" s="65" t="s">
        <v>2010</v>
      </c>
      <c r="Z2029" t="s">
        <v>307</v>
      </c>
      <c r="AB2029" t="s">
        <v>178</v>
      </c>
      <c r="AC2029" t="s">
        <v>2724</v>
      </c>
      <c r="AD2029" s="2" t="s">
        <v>180</v>
      </c>
    </row>
    <row r="2030" spans="1:30" x14ac:dyDescent="0.25">
      <c r="A2030" s="2">
        <v>311</v>
      </c>
      <c r="B2030" t="s">
        <v>2763</v>
      </c>
      <c r="C2030">
        <v>12</v>
      </c>
      <c r="D2030">
        <v>135</v>
      </c>
      <c r="E2030">
        <v>488</v>
      </c>
      <c r="F2030" t="s">
        <v>273</v>
      </c>
      <c r="G2030" s="2" t="s">
        <v>156</v>
      </c>
      <c r="H2030">
        <v>4</v>
      </c>
      <c r="I2030">
        <v>24.76</v>
      </c>
      <c r="J2030" s="2" t="s">
        <v>170</v>
      </c>
      <c r="K2030" s="2" t="s">
        <v>74</v>
      </c>
      <c r="M2030" t="s">
        <v>3150</v>
      </c>
      <c r="P2030" s="19" t="s">
        <v>2449</v>
      </c>
      <c r="Q2030" s="19" t="s">
        <v>25</v>
      </c>
      <c r="R2030" s="19" t="s">
        <v>138</v>
      </c>
      <c r="W2030" s="20">
        <v>24</v>
      </c>
      <c r="X2030" s="65" t="s">
        <v>2010</v>
      </c>
      <c r="Z2030" t="s">
        <v>307</v>
      </c>
      <c r="AB2030" t="s">
        <v>178</v>
      </c>
      <c r="AC2030" t="s">
        <v>2724</v>
      </c>
      <c r="AD2030" s="2" t="s">
        <v>180</v>
      </c>
    </row>
    <row r="2031" spans="1:30" x14ac:dyDescent="0.25">
      <c r="A2031" s="2">
        <v>312</v>
      </c>
      <c r="B2031" t="s">
        <v>2764</v>
      </c>
      <c r="C2031">
        <v>12</v>
      </c>
      <c r="D2031">
        <v>100</v>
      </c>
      <c r="E2031">
        <v>150</v>
      </c>
      <c r="F2031" t="s">
        <v>273</v>
      </c>
      <c r="G2031" s="2" t="s">
        <v>156</v>
      </c>
      <c r="H2031">
        <v>1</v>
      </c>
      <c r="I2031">
        <v>1.41</v>
      </c>
      <c r="J2031" s="2" t="s">
        <v>170</v>
      </c>
      <c r="K2031" s="2" t="s">
        <v>74</v>
      </c>
      <c r="M2031" t="s">
        <v>3150</v>
      </c>
      <c r="P2031" s="19" t="s">
        <v>2449</v>
      </c>
      <c r="Q2031" s="19" t="s">
        <v>25</v>
      </c>
      <c r="R2031" s="19" t="s">
        <v>138</v>
      </c>
      <c r="W2031" s="20">
        <v>24</v>
      </c>
      <c r="X2031" s="65" t="s">
        <v>2010</v>
      </c>
      <c r="Z2031" t="s">
        <v>307</v>
      </c>
      <c r="AB2031" t="s">
        <v>178</v>
      </c>
      <c r="AC2031" t="s">
        <v>2724</v>
      </c>
      <c r="AD2031" s="2" t="s">
        <v>180</v>
      </c>
    </row>
    <row r="2032" spans="1:30" x14ac:dyDescent="0.25">
      <c r="A2032" s="2">
        <v>313</v>
      </c>
      <c r="B2032" t="s">
        <v>2765</v>
      </c>
      <c r="C2032">
        <v>12</v>
      </c>
      <c r="D2032">
        <v>1460</v>
      </c>
      <c r="E2032">
        <v>6688</v>
      </c>
      <c r="F2032" t="s">
        <v>273</v>
      </c>
      <c r="G2032" s="2" t="s">
        <v>156</v>
      </c>
      <c r="H2032">
        <v>1</v>
      </c>
      <c r="I2032">
        <v>917.29</v>
      </c>
      <c r="J2032" s="2" t="s">
        <v>170</v>
      </c>
      <c r="K2032" s="2" t="s">
        <v>74</v>
      </c>
      <c r="M2032" t="s">
        <v>3150</v>
      </c>
      <c r="P2032" s="19" t="s">
        <v>2449</v>
      </c>
      <c r="Q2032" s="19" t="s">
        <v>27</v>
      </c>
      <c r="R2032" s="19" t="s">
        <v>138</v>
      </c>
      <c r="V2032" s="19" t="s">
        <v>138</v>
      </c>
      <c r="W2032" s="20">
        <v>24</v>
      </c>
      <c r="X2032" s="65" t="s">
        <v>2010</v>
      </c>
      <c r="Z2032" t="s">
        <v>307</v>
      </c>
      <c r="AB2032" t="s">
        <v>178</v>
      </c>
      <c r="AC2032" t="s">
        <v>2724</v>
      </c>
      <c r="AD2032" s="2" t="s">
        <v>180</v>
      </c>
    </row>
    <row r="2033" spans="1:30" x14ac:dyDescent="0.25">
      <c r="A2033" s="2">
        <v>314</v>
      </c>
      <c r="B2033" t="s">
        <v>2557</v>
      </c>
      <c r="C2033">
        <v>12</v>
      </c>
      <c r="D2033">
        <v>130</v>
      </c>
      <c r="E2033">
        <v>663</v>
      </c>
      <c r="F2033" t="s">
        <v>273</v>
      </c>
      <c r="G2033" s="2" t="s">
        <v>156</v>
      </c>
      <c r="H2033">
        <v>2</v>
      </c>
      <c r="I2033">
        <v>16.22</v>
      </c>
      <c r="J2033" s="2" t="s">
        <v>170</v>
      </c>
      <c r="K2033" s="2" t="s">
        <v>74</v>
      </c>
      <c r="M2033" t="s">
        <v>3150</v>
      </c>
      <c r="P2033" s="19" t="s">
        <v>2449</v>
      </c>
      <c r="Q2033" s="19" t="s">
        <v>25</v>
      </c>
      <c r="R2033" s="19" t="s">
        <v>138</v>
      </c>
      <c r="W2033" s="20">
        <v>24</v>
      </c>
      <c r="X2033" s="65" t="s">
        <v>2010</v>
      </c>
      <c r="Z2033" t="s">
        <v>307</v>
      </c>
      <c r="AB2033" t="s">
        <v>178</v>
      </c>
      <c r="AC2033" t="s">
        <v>2724</v>
      </c>
      <c r="AD2033" s="2" t="s">
        <v>180</v>
      </c>
    </row>
    <row r="2034" spans="1:30" x14ac:dyDescent="0.25">
      <c r="A2034" s="2">
        <v>315</v>
      </c>
      <c r="B2034" t="s">
        <v>2766</v>
      </c>
      <c r="C2034">
        <v>12</v>
      </c>
      <c r="D2034">
        <v>238</v>
      </c>
      <c r="E2034">
        <v>1280</v>
      </c>
      <c r="F2034" t="s">
        <v>273</v>
      </c>
      <c r="G2034" s="2" t="s">
        <v>156</v>
      </c>
      <c r="H2034">
        <v>1</v>
      </c>
      <c r="I2034">
        <v>28.7</v>
      </c>
      <c r="J2034" s="2" t="s">
        <v>170</v>
      </c>
      <c r="K2034" s="2" t="s">
        <v>74</v>
      </c>
      <c r="M2034" t="s">
        <v>3150</v>
      </c>
      <c r="P2034" s="19" t="s">
        <v>2449</v>
      </c>
      <c r="R2034" s="19" t="s">
        <v>138</v>
      </c>
      <c r="U2034" s="19" t="s">
        <v>138</v>
      </c>
      <c r="W2034" s="20">
        <v>24</v>
      </c>
      <c r="X2034" s="65" t="s">
        <v>2010</v>
      </c>
      <c r="Z2034" t="s">
        <v>307</v>
      </c>
      <c r="AB2034" t="s">
        <v>178</v>
      </c>
      <c r="AC2034" t="s">
        <v>2724</v>
      </c>
      <c r="AD2034" s="2" t="s">
        <v>180</v>
      </c>
    </row>
    <row r="2035" spans="1:30" x14ac:dyDescent="0.25">
      <c r="A2035" s="2">
        <v>316</v>
      </c>
      <c r="B2035" t="s">
        <v>2767</v>
      </c>
      <c r="C2035">
        <v>12</v>
      </c>
      <c r="D2035">
        <v>238</v>
      </c>
      <c r="E2035">
        <v>1280</v>
      </c>
      <c r="F2035" t="s">
        <v>273</v>
      </c>
      <c r="G2035" s="2" t="s">
        <v>156</v>
      </c>
      <c r="H2035">
        <v>1</v>
      </c>
      <c r="I2035">
        <v>28.7</v>
      </c>
      <c r="J2035" s="2" t="s">
        <v>170</v>
      </c>
      <c r="K2035" s="2" t="s">
        <v>74</v>
      </c>
      <c r="M2035" t="s">
        <v>3150</v>
      </c>
      <c r="P2035" s="19" t="s">
        <v>2449</v>
      </c>
      <c r="R2035" s="19" t="s">
        <v>138</v>
      </c>
      <c r="U2035" s="19" t="s">
        <v>138</v>
      </c>
      <c r="W2035" s="20">
        <v>24</v>
      </c>
      <c r="X2035" s="65" t="s">
        <v>2010</v>
      </c>
      <c r="Z2035" t="s">
        <v>307</v>
      </c>
      <c r="AB2035" t="s">
        <v>178</v>
      </c>
      <c r="AC2035" t="s">
        <v>2724</v>
      </c>
      <c r="AD2035" s="2" t="s">
        <v>180</v>
      </c>
    </row>
    <row r="2036" spans="1:30" x14ac:dyDescent="0.25">
      <c r="A2036" s="2">
        <v>317</v>
      </c>
      <c r="B2036" t="s">
        <v>2768</v>
      </c>
      <c r="C2036">
        <v>12</v>
      </c>
      <c r="D2036">
        <v>120</v>
      </c>
      <c r="E2036">
        <v>129</v>
      </c>
      <c r="F2036" t="s">
        <v>273</v>
      </c>
      <c r="G2036" s="2" t="s">
        <v>156</v>
      </c>
      <c r="H2036">
        <v>24</v>
      </c>
      <c r="I2036">
        <v>31.78</v>
      </c>
      <c r="J2036" s="2" t="s">
        <v>170</v>
      </c>
      <c r="K2036" s="2" t="s">
        <v>74</v>
      </c>
      <c r="M2036" t="s">
        <v>3150</v>
      </c>
      <c r="P2036" s="19" t="s">
        <v>2449</v>
      </c>
      <c r="Q2036" s="19" t="s">
        <v>25</v>
      </c>
      <c r="R2036" s="19" t="s">
        <v>138</v>
      </c>
      <c r="W2036" s="20">
        <v>24</v>
      </c>
      <c r="X2036" s="65" t="s">
        <v>2010</v>
      </c>
      <c r="Z2036" t="s">
        <v>307</v>
      </c>
      <c r="AB2036" t="s">
        <v>178</v>
      </c>
      <c r="AC2036" t="s">
        <v>2769</v>
      </c>
      <c r="AD2036" s="2" t="s">
        <v>180</v>
      </c>
    </row>
    <row r="2037" spans="1:30" x14ac:dyDescent="0.25">
      <c r="A2037" s="2">
        <v>318</v>
      </c>
      <c r="B2037" t="s">
        <v>2771</v>
      </c>
      <c r="C2037">
        <v>12</v>
      </c>
      <c r="D2037">
        <v>120</v>
      </c>
      <c r="E2037">
        <v>129</v>
      </c>
      <c r="F2037" t="s">
        <v>273</v>
      </c>
      <c r="G2037" s="2" t="s">
        <v>156</v>
      </c>
      <c r="H2037">
        <v>24</v>
      </c>
      <c r="I2037">
        <v>31.78</v>
      </c>
      <c r="J2037" s="2" t="s">
        <v>170</v>
      </c>
      <c r="K2037" s="2" t="s">
        <v>74</v>
      </c>
      <c r="M2037" t="s">
        <v>3150</v>
      </c>
      <c r="P2037" s="19" t="s">
        <v>2449</v>
      </c>
      <c r="Q2037" s="19" t="s">
        <v>25</v>
      </c>
      <c r="R2037" s="19" t="s">
        <v>138</v>
      </c>
      <c r="W2037" s="20">
        <v>24</v>
      </c>
      <c r="X2037" s="65" t="s">
        <v>2010</v>
      </c>
      <c r="Z2037" t="s">
        <v>307</v>
      </c>
      <c r="AB2037" t="s">
        <v>178</v>
      </c>
      <c r="AC2037" t="s">
        <v>2769</v>
      </c>
      <c r="AD2037" s="2" t="s">
        <v>180</v>
      </c>
    </row>
    <row r="2038" spans="1:30" x14ac:dyDescent="0.25">
      <c r="A2038" s="2">
        <v>319</v>
      </c>
      <c r="B2038" t="s">
        <v>2772</v>
      </c>
      <c r="C2038">
        <v>12</v>
      </c>
      <c r="D2038">
        <v>120</v>
      </c>
      <c r="E2038">
        <v>129</v>
      </c>
      <c r="F2038" t="s">
        <v>273</v>
      </c>
      <c r="G2038" s="2" t="s">
        <v>156</v>
      </c>
      <c r="H2038">
        <v>12</v>
      </c>
      <c r="I2038">
        <v>15.89</v>
      </c>
      <c r="J2038" s="2" t="s">
        <v>170</v>
      </c>
      <c r="K2038" s="2" t="s">
        <v>74</v>
      </c>
      <c r="M2038" t="s">
        <v>3150</v>
      </c>
      <c r="P2038" s="19" t="s">
        <v>2449</v>
      </c>
      <c r="Q2038" s="19" t="s">
        <v>25</v>
      </c>
      <c r="R2038" s="19" t="s">
        <v>138</v>
      </c>
      <c r="W2038" s="20">
        <v>24</v>
      </c>
      <c r="X2038" s="65" t="s">
        <v>2010</v>
      </c>
      <c r="Z2038" t="s">
        <v>307</v>
      </c>
      <c r="AB2038" t="s">
        <v>178</v>
      </c>
      <c r="AC2038" t="s">
        <v>2769</v>
      </c>
      <c r="AD2038" s="2" t="s">
        <v>180</v>
      </c>
    </row>
    <row r="2039" spans="1:30" x14ac:dyDescent="0.25">
      <c r="A2039" s="2">
        <v>320</v>
      </c>
      <c r="B2039" t="s">
        <v>2773</v>
      </c>
      <c r="C2039">
        <v>12</v>
      </c>
      <c r="D2039">
        <v>490</v>
      </c>
      <c r="E2039">
        <v>6464</v>
      </c>
      <c r="F2039" t="s">
        <v>273</v>
      </c>
      <c r="G2039" s="2" t="s">
        <v>156</v>
      </c>
      <c r="H2039">
        <v>1</v>
      </c>
      <c r="I2039">
        <v>298.16000000000003</v>
      </c>
      <c r="J2039" s="2" t="s">
        <v>170</v>
      </c>
      <c r="K2039" s="2" t="s">
        <v>74</v>
      </c>
      <c r="M2039" t="s">
        <v>3150</v>
      </c>
      <c r="P2039" s="19" t="s">
        <v>2449</v>
      </c>
      <c r="Q2039" s="19" t="s">
        <v>27</v>
      </c>
      <c r="R2039" s="19" t="s">
        <v>138</v>
      </c>
      <c r="W2039" s="20">
        <v>24</v>
      </c>
      <c r="X2039" s="65" t="s">
        <v>2010</v>
      </c>
      <c r="Z2039" t="s">
        <v>307</v>
      </c>
      <c r="AB2039" t="s">
        <v>178</v>
      </c>
      <c r="AC2039" t="s">
        <v>2769</v>
      </c>
      <c r="AD2039" s="2" t="s">
        <v>180</v>
      </c>
    </row>
    <row r="2040" spans="1:30" x14ac:dyDescent="0.25">
      <c r="A2040" s="2">
        <v>321</v>
      </c>
      <c r="B2040" t="s">
        <v>2774</v>
      </c>
      <c r="C2040">
        <v>12</v>
      </c>
      <c r="D2040">
        <v>128</v>
      </c>
      <c r="E2040">
        <v>145</v>
      </c>
      <c r="F2040" t="s">
        <v>273</v>
      </c>
      <c r="G2040" s="2" t="s">
        <v>156</v>
      </c>
      <c r="H2040">
        <v>4</v>
      </c>
      <c r="I2040">
        <v>6.69</v>
      </c>
      <c r="J2040" s="2" t="s">
        <v>170</v>
      </c>
      <c r="K2040" s="2" t="s">
        <v>74</v>
      </c>
      <c r="M2040" t="s">
        <v>3150</v>
      </c>
      <c r="P2040" s="19" t="s">
        <v>2449</v>
      </c>
      <c r="Q2040" s="19" t="s">
        <v>25</v>
      </c>
      <c r="R2040" s="19" t="s">
        <v>138</v>
      </c>
      <c r="W2040" s="20">
        <v>24</v>
      </c>
      <c r="X2040" s="65" t="s">
        <v>2010</v>
      </c>
      <c r="Z2040" t="s">
        <v>307</v>
      </c>
      <c r="AB2040" t="s">
        <v>178</v>
      </c>
      <c r="AC2040" t="s">
        <v>2769</v>
      </c>
      <c r="AD2040" s="2" t="s">
        <v>180</v>
      </c>
    </row>
    <row r="2041" spans="1:30" x14ac:dyDescent="0.25">
      <c r="A2041" s="2">
        <v>322</v>
      </c>
      <c r="B2041" t="s">
        <v>2745</v>
      </c>
      <c r="C2041">
        <v>12</v>
      </c>
      <c r="D2041">
        <v>120</v>
      </c>
      <c r="E2041">
        <v>129</v>
      </c>
      <c r="F2041" t="s">
        <v>273</v>
      </c>
      <c r="G2041" s="2" t="s">
        <v>156</v>
      </c>
      <c r="H2041">
        <v>12</v>
      </c>
      <c r="I2041">
        <v>15.89</v>
      </c>
      <c r="J2041" s="2" t="s">
        <v>170</v>
      </c>
      <c r="K2041" s="2" t="s">
        <v>74</v>
      </c>
      <c r="M2041" t="s">
        <v>3150</v>
      </c>
      <c r="P2041" s="19" t="s">
        <v>2449</v>
      </c>
      <c r="Q2041" s="19" t="s">
        <v>25</v>
      </c>
      <c r="R2041" s="19" t="s">
        <v>138</v>
      </c>
      <c r="W2041" s="20">
        <v>24</v>
      </c>
      <c r="X2041" s="65" t="s">
        <v>2010</v>
      </c>
      <c r="Z2041" t="s">
        <v>307</v>
      </c>
      <c r="AB2041" t="s">
        <v>178</v>
      </c>
      <c r="AC2041" t="s">
        <v>2769</v>
      </c>
      <c r="AD2041" s="2" t="s">
        <v>180</v>
      </c>
    </row>
    <row r="2042" spans="1:30" x14ac:dyDescent="0.25">
      <c r="A2042" s="2">
        <v>323</v>
      </c>
      <c r="B2042" t="s">
        <v>2775</v>
      </c>
      <c r="C2042">
        <v>12</v>
      </c>
      <c r="D2042">
        <v>120</v>
      </c>
      <c r="E2042">
        <v>129</v>
      </c>
      <c r="F2042" t="s">
        <v>273</v>
      </c>
      <c r="G2042" s="2" t="s">
        <v>156</v>
      </c>
      <c r="H2042">
        <v>24</v>
      </c>
      <c r="I2042">
        <v>31.78</v>
      </c>
      <c r="J2042" s="2" t="s">
        <v>170</v>
      </c>
      <c r="K2042" s="2" t="s">
        <v>74</v>
      </c>
      <c r="M2042" t="s">
        <v>3150</v>
      </c>
      <c r="P2042" s="19" t="s">
        <v>2449</v>
      </c>
      <c r="Q2042" s="19" t="s">
        <v>25</v>
      </c>
      <c r="R2042" s="19" t="s">
        <v>138</v>
      </c>
      <c r="W2042" s="20">
        <v>24</v>
      </c>
      <c r="X2042" s="65" t="s">
        <v>2010</v>
      </c>
      <c r="Z2042" t="s">
        <v>307</v>
      </c>
      <c r="AB2042" t="s">
        <v>178</v>
      </c>
      <c r="AC2042" t="s">
        <v>2769</v>
      </c>
      <c r="AD2042" s="2" t="s">
        <v>180</v>
      </c>
    </row>
    <row r="2043" spans="1:30" x14ac:dyDescent="0.25">
      <c r="A2043" s="2">
        <v>324</v>
      </c>
      <c r="B2043" t="s">
        <v>2776</v>
      </c>
      <c r="C2043">
        <v>12</v>
      </c>
      <c r="D2043">
        <v>120</v>
      </c>
      <c r="E2043">
        <v>129</v>
      </c>
      <c r="F2043" t="s">
        <v>273</v>
      </c>
      <c r="G2043" s="2" t="s">
        <v>156</v>
      </c>
      <c r="H2043">
        <v>24</v>
      </c>
      <c r="I2043">
        <v>31.78</v>
      </c>
      <c r="J2043" s="2" t="s">
        <v>170</v>
      </c>
      <c r="K2043" s="2" t="s">
        <v>74</v>
      </c>
      <c r="M2043" t="s">
        <v>3150</v>
      </c>
      <c r="P2043" s="19" t="s">
        <v>2449</v>
      </c>
      <c r="Q2043" s="19" t="s">
        <v>25</v>
      </c>
      <c r="R2043" s="19" t="s">
        <v>138</v>
      </c>
      <c r="W2043" s="20">
        <v>24</v>
      </c>
      <c r="X2043" s="65" t="s">
        <v>2010</v>
      </c>
      <c r="Z2043" t="s">
        <v>307</v>
      </c>
      <c r="AB2043" t="s">
        <v>178</v>
      </c>
      <c r="AC2043" t="s">
        <v>2769</v>
      </c>
      <c r="AD2043" s="2" t="s">
        <v>180</v>
      </c>
    </row>
    <row r="2044" spans="1:30" x14ac:dyDescent="0.25">
      <c r="A2044" s="2">
        <v>325</v>
      </c>
      <c r="B2044" t="s">
        <v>2777</v>
      </c>
      <c r="C2044">
        <v>12</v>
      </c>
      <c r="D2044">
        <v>120</v>
      </c>
      <c r="E2044">
        <v>129</v>
      </c>
      <c r="F2044" t="s">
        <v>273</v>
      </c>
      <c r="G2044" s="2" t="s">
        <v>156</v>
      </c>
      <c r="H2044">
        <v>24</v>
      </c>
      <c r="I2044">
        <v>31.78</v>
      </c>
      <c r="J2044" s="2" t="s">
        <v>170</v>
      </c>
      <c r="K2044" s="2" t="s">
        <v>74</v>
      </c>
      <c r="M2044" t="s">
        <v>3150</v>
      </c>
      <c r="P2044" s="19" t="s">
        <v>2449</v>
      </c>
      <c r="Q2044" s="19" t="s">
        <v>25</v>
      </c>
      <c r="R2044" s="19" t="s">
        <v>138</v>
      </c>
      <c r="W2044" s="20">
        <v>24</v>
      </c>
      <c r="X2044" s="65" t="s">
        <v>2010</v>
      </c>
      <c r="Z2044" t="s">
        <v>307</v>
      </c>
      <c r="AB2044" t="s">
        <v>178</v>
      </c>
      <c r="AC2044" t="s">
        <v>2769</v>
      </c>
      <c r="AD2044" s="2" t="s">
        <v>180</v>
      </c>
    </row>
    <row r="2045" spans="1:30" x14ac:dyDescent="0.25">
      <c r="A2045" s="2">
        <v>326</v>
      </c>
      <c r="B2045" t="s">
        <v>2778</v>
      </c>
      <c r="C2045">
        <v>12</v>
      </c>
      <c r="D2045">
        <v>120</v>
      </c>
      <c r="E2045">
        <v>129</v>
      </c>
      <c r="F2045" t="s">
        <v>273</v>
      </c>
      <c r="G2045" s="2" t="s">
        <v>156</v>
      </c>
      <c r="H2045">
        <v>24</v>
      </c>
      <c r="I2045">
        <v>31.78</v>
      </c>
      <c r="J2045" s="2" t="s">
        <v>170</v>
      </c>
      <c r="K2045" s="2" t="s">
        <v>74</v>
      </c>
      <c r="M2045" t="s">
        <v>3150</v>
      </c>
      <c r="P2045" s="19" t="s">
        <v>2449</v>
      </c>
      <c r="Q2045" s="19" t="s">
        <v>25</v>
      </c>
      <c r="R2045" s="19" t="s">
        <v>138</v>
      </c>
      <c r="W2045" s="20">
        <v>24</v>
      </c>
      <c r="X2045" s="65" t="s">
        <v>2010</v>
      </c>
      <c r="Z2045" t="s">
        <v>307</v>
      </c>
      <c r="AB2045" t="s">
        <v>178</v>
      </c>
      <c r="AC2045" t="s">
        <v>2769</v>
      </c>
      <c r="AD2045" s="2" t="s">
        <v>180</v>
      </c>
    </row>
    <row r="2046" spans="1:30" x14ac:dyDescent="0.25">
      <c r="A2046" s="2">
        <v>327</v>
      </c>
      <c r="B2046" t="s">
        <v>2779</v>
      </c>
      <c r="C2046">
        <v>12</v>
      </c>
      <c r="D2046">
        <v>120</v>
      </c>
      <c r="E2046">
        <v>129</v>
      </c>
      <c r="F2046" t="s">
        <v>273</v>
      </c>
      <c r="G2046" s="2" t="s">
        <v>156</v>
      </c>
      <c r="H2046">
        <v>24</v>
      </c>
      <c r="I2046">
        <v>31.78</v>
      </c>
      <c r="J2046" s="2" t="s">
        <v>170</v>
      </c>
      <c r="K2046" s="2" t="s">
        <v>74</v>
      </c>
      <c r="M2046" t="s">
        <v>3150</v>
      </c>
      <c r="P2046" s="19" t="s">
        <v>2449</v>
      </c>
      <c r="Q2046" s="19" t="s">
        <v>25</v>
      </c>
      <c r="R2046" s="19" t="s">
        <v>138</v>
      </c>
      <c r="W2046" s="20">
        <v>24</v>
      </c>
      <c r="X2046" s="65" t="s">
        <v>2010</v>
      </c>
      <c r="Z2046" t="s">
        <v>307</v>
      </c>
      <c r="AB2046" t="s">
        <v>178</v>
      </c>
      <c r="AC2046" t="s">
        <v>2769</v>
      </c>
      <c r="AD2046" s="2" t="s">
        <v>180</v>
      </c>
    </row>
    <row r="2047" spans="1:30" x14ac:dyDescent="0.25">
      <c r="A2047" s="2">
        <v>328</v>
      </c>
      <c r="B2047" t="s">
        <v>2780</v>
      </c>
      <c r="C2047">
        <v>12</v>
      </c>
      <c r="D2047">
        <v>120</v>
      </c>
      <c r="E2047">
        <v>129</v>
      </c>
      <c r="F2047" t="s">
        <v>273</v>
      </c>
      <c r="G2047" s="2" t="s">
        <v>156</v>
      </c>
      <c r="H2047">
        <v>24</v>
      </c>
      <c r="I2047">
        <v>31.78</v>
      </c>
      <c r="J2047" s="2" t="s">
        <v>170</v>
      </c>
      <c r="K2047" s="2" t="s">
        <v>74</v>
      </c>
      <c r="M2047" t="s">
        <v>3150</v>
      </c>
      <c r="P2047" s="19" t="s">
        <v>2449</v>
      </c>
      <c r="Q2047" s="19" t="s">
        <v>25</v>
      </c>
      <c r="R2047" s="19" t="s">
        <v>138</v>
      </c>
      <c r="W2047" s="20">
        <v>24</v>
      </c>
      <c r="X2047" s="65" t="s">
        <v>2010</v>
      </c>
      <c r="Z2047" t="s">
        <v>307</v>
      </c>
      <c r="AB2047" t="s">
        <v>178</v>
      </c>
      <c r="AC2047" t="s">
        <v>2769</v>
      </c>
      <c r="AD2047" s="2" t="s">
        <v>180</v>
      </c>
    </row>
    <row r="2048" spans="1:30" x14ac:dyDescent="0.25">
      <c r="A2048" s="2">
        <v>329</v>
      </c>
      <c r="B2048" t="s">
        <v>2781</v>
      </c>
      <c r="C2048">
        <v>12</v>
      </c>
      <c r="D2048">
        <v>120</v>
      </c>
      <c r="E2048">
        <v>129</v>
      </c>
      <c r="F2048" t="s">
        <v>273</v>
      </c>
      <c r="G2048" s="2" t="s">
        <v>156</v>
      </c>
      <c r="H2048">
        <v>18</v>
      </c>
      <c r="I2048">
        <v>23.83</v>
      </c>
      <c r="J2048" s="2" t="s">
        <v>170</v>
      </c>
      <c r="K2048" s="2" t="s">
        <v>74</v>
      </c>
      <c r="M2048" t="s">
        <v>3150</v>
      </c>
      <c r="P2048" s="19" t="s">
        <v>2449</v>
      </c>
      <c r="Q2048" s="19" t="s">
        <v>25</v>
      </c>
      <c r="R2048" s="19" t="s">
        <v>138</v>
      </c>
      <c r="W2048" s="20">
        <v>24</v>
      </c>
      <c r="X2048" s="65" t="s">
        <v>2010</v>
      </c>
      <c r="Z2048" t="s">
        <v>307</v>
      </c>
      <c r="AB2048" t="s">
        <v>178</v>
      </c>
      <c r="AC2048" t="s">
        <v>2769</v>
      </c>
      <c r="AD2048" s="2" t="s">
        <v>180</v>
      </c>
    </row>
    <row r="2049" spans="1:30" x14ac:dyDescent="0.25">
      <c r="A2049" s="2">
        <v>330</v>
      </c>
      <c r="B2049" t="s">
        <v>2782</v>
      </c>
      <c r="C2049">
        <v>12</v>
      </c>
      <c r="D2049">
        <v>120</v>
      </c>
      <c r="E2049">
        <v>129</v>
      </c>
      <c r="F2049" t="s">
        <v>273</v>
      </c>
      <c r="G2049" s="2" t="s">
        <v>156</v>
      </c>
      <c r="H2049">
        <v>18</v>
      </c>
      <c r="I2049">
        <v>23.83</v>
      </c>
      <c r="J2049" s="2" t="s">
        <v>170</v>
      </c>
      <c r="K2049" s="2" t="s">
        <v>74</v>
      </c>
      <c r="M2049" t="s">
        <v>3150</v>
      </c>
      <c r="P2049" s="19" t="s">
        <v>2449</v>
      </c>
      <c r="Q2049" s="19" t="s">
        <v>25</v>
      </c>
      <c r="R2049" s="19" t="s">
        <v>138</v>
      </c>
      <c r="W2049" s="20">
        <v>24</v>
      </c>
      <c r="X2049" s="65" t="s">
        <v>2010</v>
      </c>
      <c r="Z2049" t="s">
        <v>307</v>
      </c>
      <c r="AB2049" t="s">
        <v>178</v>
      </c>
      <c r="AC2049" t="s">
        <v>2769</v>
      </c>
      <c r="AD2049" s="2" t="s">
        <v>180</v>
      </c>
    </row>
    <row r="2050" spans="1:30" x14ac:dyDescent="0.25">
      <c r="A2050" s="2">
        <v>331</v>
      </c>
      <c r="B2050" t="s">
        <v>2783</v>
      </c>
      <c r="C2050">
        <v>12</v>
      </c>
      <c r="D2050">
        <v>120</v>
      </c>
      <c r="E2050">
        <v>129</v>
      </c>
      <c r="F2050" t="s">
        <v>273</v>
      </c>
      <c r="G2050" s="2" t="s">
        <v>156</v>
      </c>
      <c r="H2050">
        <v>18</v>
      </c>
      <c r="I2050">
        <v>23.83</v>
      </c>
      <c r="J2050" s="2" t="s">
        <v>170</v>
      </c>
      <c r="K2050" s="2" t="s">
        <v>74</v>
      </c>
      <c r="M2050" t="s">
        <v>3150</v>
      </c>
      <c r="P2050" s="19" t="s">
        <v>2449</v>
      </c>
      <c r="Q2050" s="19" t="s">
        <v>25</v>
      </c>
      <c r="R2050" s="19" t="s">
        <v>138</v>
      </c>
      <c r="W2050" s="20">
        <v>24</v>
      </c>
      <c r="X2050" s="65" t="s">
        <v>2010</v>
      </c>
      <c r="Z2050" t="s">
        <v>307</v>
      </c>
      <c r="AB2050" t="s">
        <v>178</v>
      </c>
      <c r="AC2050" t="s">
        <v>2769</v>
      </c>
      <c r="AD2050" s="2" t="s">
        <v>180</v>
      </c>
    </row>
    <row r="2051" spans="1:30" x14ac:dyDescent="0.25">
      <c r="A2051" s="2">
        <v>332</v>
      </c>
      <c r="B2051" t="s">
        <v>2784</v>
      </c>
      <c r="C2051">
        <v>12</v>
      </c>
      <c r="D2051">
        <v>120</v>
      </c>
      <c r="E2051">
        <v>129</v>
      </c>
      <c r="F2051" t="s">
        <v>273</v>
      </c>
      <c r="G2051" s="2" t="s">
        <v>156</v>
      </c>
      <c r="H2051">
        <v>18</v>
      </c>
      <c r="I2051">
        <v>23.83</v>
      </c>
      <c r="J2051" s="2" t="s">
        <v>170</v>
      </c>
      <c r="K2051" s="2" t="s">
        <v>74</v>
      </c>
      <c r="M2051" t="s">
        <v>3150</v>
      </c>
      <c r="P2051" s="19" t="s">
        <v>2449</v>
      </c>
      <c r="Q2051" s="19" t="s">
        <v>25</v>
      </c>
      <c r="R2051" s="19" t="s">
        <v>138</v>
      </c>
      <c r="W2051" s="20">
        <v>24</v>
      </c>
      <c r="X2051" s="65" t="s">
        <v>2010</v>
      </c>
      <c r="Z2051" t="s">
        <v>307</v>
      </c>
      <c r="AB2051" t="s">
        <v>178</v>
      </c>
      <c r="AC2051" t="s">
        <v>2769</v>
      </c>
      <c r="AD2051" s="2" t="s">
        <v>180</v>
      </c>
    </row>
    <row r="2052" spans="1:30" x14ac:dyDescent="0.25">
      <c r="A2052" s="2">
        <v>333</v>
      </c>
      <c r="B2052" t="s">
        <v>2785</v>
      </c>
      <c r="C2052">
        <v>12</v>
      </c>
      <c r="D2052">
        <v>120</v>
      </c>
      <c r="E2052">
        <v>129</v>
      </c>
      <c r="F2052" t="s">
        <v>273</v>
      </c>
      <c r="G2052" s="2" t="s">
        <v>156</v>
      </c>
      <c r="H2052">
        <v>18</v>
      </c>
      <c r="I2052">
        <v>23.83</v>
      </c>
      <c r="J2052" s="2" t="s">
        <v>170</v>
      </c>
      <c r="K2052" s="2" t="s">
        <v>74</v>
      </c>
      <c r="M2052" t="s">
        <v>3150</v>
      </c>
      <c r="P2052" s="19" t="s">
        <v>2449</v>
      </c>
      <c r="Q2052" s="19" t="s">
        <v>25</v>
      </c>
      <c r="R2052" s="19" t="s">
        <v>138</v>
      </c>
      <c r="W2052" s="20">
        <v>24</v>
      </c>
      <c r="X2052" s="65" t="s">
        <v>2010</v>
      </c>
      <c r="Z2052" t="s">
        <v>307</v>
      </c>
      <c r="AB2052" t="s">
        <v>178</v>
      </c>
      <c r="AC2052" t="s">
        <v>2769</v>
      </c>
      <c r="AD2052" s="2" t="s">
        <v>180</v>
      </c>
    </row>
    <row r="2053" spans="1:30" x14ac:dyDescent="0.25">
      <c r="A2053" s="2">
        <v>334</v>
      </c>
      <c r="B2053" t="s">
        <v>2786</v>
      </c>
      <c r="C2053">
        <v>12</v>
      </c>
      <c r="D2053">
        <v>120</v>
      </c>
      <c r="E2053">
        <v>129</v>
      </c>
      <c r="F2053" t="s">
        <v>273</v>
      </c>
      <c r="G2053" s="2" t="s">
        <v>156</v>
      </c>
      <c r="H2053">
        <v>4</v>
      </c>
      <c r="I2053">
        <v>5.3</v>
      </c>
      <c r="J2053" s="2" t="s">
        <v>170</v>
      </c>
      <c r="K2053" s="2" t="s">
        <v>74</v>
      </c>
      <c r="M2053" t="s">
        <v>3150</v>
      </c>
      <c r="P2053" s="19" t="s">
        <v>2449</v>
      </c>
      <c r="Q2053" s="19" t="s">
        <v>25</v>
      </c>
      <c r="R2053" s="19" t="s">
        <v>138</v>
      </c>
      <c r="W2053" s="20">
        <v>24</v>
      </c>
      <c r="X2053" s="65" t="s">
        <v>2010</v>
      </c>
      <c r="Z2053" t="s">
        <v>307</v>
      </c>
      <c r="AB2053" t="s">
        <v>178</v>
      </c>
      <c r="AC2053" t="s">
        <v>2769</v>
      </c>
      <c r="AD2053" s="2" t="s">
        <v>180</v>
      </c>
    </row>
    <row r="2054" spans="1:30" x14ac:dyDescent="0.25">
      <c r="A2054" s="2">
        <v>335</v>
      </c>
      <c r="B2054" t="s">
        <v>2787</v>
      </c>
      <c r="C2054">
        <v>12</v>
      </c>
      <c r="D2054">
        <v>120</v>
      </c>
      <c r="E2054">
        <v>129</v>
      </c>
      <c r="F2054" t="s">
        <v>273</v>
      </c>
      <c r="G2054" s="2" t="s">
        <v>156</v>
      </c>
      <c r="H2054">
        <v>4</v>
      </c>
      <c r="I2054">
        <v>5.3</v>
      </c>
      <c r="J2054" s="2" t="s">
        <v>170</v>
      </c>
      <c r="K2054" s="2" t="s">
        <v>74</v>
      </c>
      <c r="M2054" t="s">
        <v>3150</v>
      </c>
      <c r="P2054" s="19" t="s">
        <v>2449</v>
      </c>
      <c r="Q2054" s="19" t="s">
        <v>25</v>
      </c>
      <c r="R2054" s="19" t="s">
        <v>138</v>
      </c>
      <c r="W2054" s="20">
        <v>24</v>
      </c>
      <c r="X2054" s="65" t="s">
        <v>2010</v>
      </c>
      <c r="Z2054" t="s">
        <v>307</v>
      </c>
      <c r="AB2054" t="s">
        <v>178</v>
      </c>
      <c r="AC2054" t="s">
        <v>2769</v>
      </c>
      <c r="AD2054" s="2" t="s">
        <v>180</v>
      </c>
    </row>
    <row r="2055" spans="1:30" x14ac:dyDescent="0.25">
      <c r="A2055" s="2">
        <v>336</v>
      </c>
      <c r="B2055" t="s">
        <v>2788</v>
      </c>
      <c r="C2055">
        <v>12</v>
      </c>
      <c r="D2055">
        <v>120</v>
      </c>
      <c r="E2055">
        <v>129</v>
      </c>
      <c r="F2055" t="s">
        <v>273</v>
      </c>
      <c r="G2055" s="2" t="s">
        <v>156</v>
      </c>
      <c r="H2055">
        <v>4</v>
      </c>
      <c r="I2055">
        <v>5.3</v>
      </c>
      <c r="J2055" s="2" t="s">
        <v>170</v>
      </c>
      <c r="K2055" s="2" t="s">
        <v>74</v>
      </c>
      <c r="M2055" t="s">
        <v>3150</v>
      </c>
      <c r="P2055" s="19" t="s">
        <v>2449</v>
      </c>
      <c r="Q2055" s="19" t="s">
        <v>25</v>
      </c>
      <c r="R2055" s="19" t="s">
        <v>138</v>
      </c>
      <c r="W2055" s="20">
        <v>24</v>
      </c>
      <c r="X2055" s="65" t="s">
        <v>2010</v>
      </c>
      <c r="Z2055" t="s">
        <v>307</v>
      </c>
      <c r="AB2055" t="s">
        <v>178</v>
      </c>
      <c r="AC2055" t="s">
        <v>2769</v>
      </c>
      <c r="AD2055" s="2" t="s">
        <v>180</v>
      </c>
    </row>
    <row r="2056" spans="1:30" x14ac:dyDescent="0.25">
      <c r="A2056" s="2">
        <v>337</v>
      </c>
      <c r="B2056" t="s">
        <v>2789</v>
      </c>
      <c r="C2056">
        <v>12</v>
      </c>
      <c r="D2056">
        <v>120</v>
      </c>
      <c r="E2056">
        <v>129</v>
      </c>
      <c r="F2056" t="s">
        <v>273</v>
      </c>
      <c r="G2056" s="2" t="s">
        <v>156</v>
      </c>
      <c r="H2056">
        <v>4</v>
      </c>
      <c r="I2056">
        <v>5.3</v>
      </c>
      <c r="J2056" s="2" t="s">
        <v>170</v>
      </c>
      <c r="K2056" s="2" t="s">
        <v>74</v>
      </c>
      <c r="M2056" t="s">
        <v>3150</v>
      </c>
      <c r="P2056" s="19" t="s">
        <v>2449</v>
      </c>
      <c r="Q2056" s="19" t="s">
        <v>25</v>
      </c>
      <c r="R2056" s="19" t="s">
        <v>138</v>
      </c>
      <c r="W2056" s="20">
        <v>24</v>
      </c>
      <c r="X2056" s="65" t="s">
        <v>2010</v>
      </c>
      <c r="Z2056" t="s">
        <v>307</v>
      </c>
      <c r="AB2056" t="s">
        <v>178</v>
      </c>
      <c r="AC2056" t="s">
        <v>2769</v>
      </c>
      <c r="AD2056" s="2" t="s">
        <v>180</v>
      </c>
    </row>
    <row r="2057" spans="1:30" x14ac:dyDescent="0.25">
      <c r="A2057" s="2">
        <v>338</v>
      </c>
      <c r="B2057" t="s">
        <v>2790</v>
      </c>
      <c r="C2057">
        <v>12</v>
      </c>
      <c r="D2057">
        <v>120</v>
      </c>
      <c r="E2057">
        <v>129</v>
      </c>
      <c r="F2057" t="s">
        <v>273</v>
      </c>
      <c r="G2057" s="2" t="s">
        <v>156</v>
      </c>
      <c r="H2057">
        <v>4</v>
      </c>
      <c r="I2057">
        <v>5.3</v>
      </c>
      <c r="J2057" s="2" t="s">
        <v>170</v>
      </c>
      <c r="K2057" s="2" t="s">
        <v>74</v>
      </c>
      <c r="M2057" t="s">
        <v>3150</v>
      </c>
      <c r="P2057" s="19" t="s">
        <v>2449</v>
      </c>
      <c r="Q2057" s="19" t="s">
        <v>25</v>
      </c>
      <c r="R2057" s="19" t="s">
        <v>138</v>
      </c>
      <c r="W2057" s="20">
        <v>24</v>
      </c>
      <c r="X2057" s="65" t="s">
        <v>2010</v>
      </c>
      <c r="Z2057" t="s">
        <v>307</v>
      </c>
      <c r="AB2057" t="s">
        <v>178</v>
      </c>
      <c r="AC2057" t="s">
        <v>2769</v>
      </c>
      <c r="AD2057" s="2" t="s">
        <v>180</v>
      </c>
    </row>
    <row r="2058" spans="1:30" x14ac:dyDescent="0.25">
      <c r="A2058" s="2">
        <v>339</v>
      </c>
      <c r="B2058" t="s">
        <v>2791</v>
      </c>
      <c r="C2058">
        <v>12</v>
      </c>
      <c r="D2058">
        <v>120</v>
      </c>
      <c r="E2058">
        <v>129</v>
      </c>
      <c r="F2058" t="s">
        <v>273</v>
      </c>
      <c r="G2058" s="2" t="s">
        <v>156</v>
      </c>
      <c r="H2058">
        <v>4</v>
      </c>
      <c r="I2058">
        <v>5.3</v>
      </c>
      <c r="J2058" s="2" t="s">
        <v>170</v>
      </c>
      <c r="K2058" s="2" t="s">
        <v>74</v>
      </c>
      <c r="M2058" t="s">
        <v>3150</v>
      </c>
      <c r="P2058" s="19" t="s">
        <v>2449</v>
      </c>
      <c r="Q2058" s="19" t="s">
        <v>25</v>
      </c>
      <c r="R2058" s="19" t="s">
        <v>138</v>
      </c>
      <c r="W2058" s="20">
        <v>24</v>
      </c>
      <c r="X2058" s="65" t="s">
        <v>2010</v>
      </c>
      <c r="Z2058" t="s">
        <v>307</v>
      </c>
      <c r="AB2058" t="s">
        <v>178</v>
      </c>
      <c r="AC2058" t="s">
        <v>2769</v>
      </c>
      <c r="AD2058" s="2" t="s">
        <v>180</v>
      </c>
    </row>
    <row r="2059" spans="1:30" x14ac:dyDescent="0.25">
      <c r="A2059" s="2">
        <v>340</v>
      </c>
      <c r="B2059" t="s">
        <v>2792</v>
      </c>
      <c r="C2059">
        <v>12</v>
      </c>
      <c r="D2059">
        <v>120</v>
      </c>
      <c r="E2059">
        <v>129</v>
      </c>
      <c r="F2059" t="s">
        <v>273</v>
      </c>
      <c r="G2059" s="2" t="s">
        <v>156</v>
      </c>
      <c r="H2059">
        <v>24</v>
      </c>
      <c r="I2059">
        <v>31.78</v>
      </c>
      <c r="J2059" s="2" t="s">
        <v>170</v>
      </c>
      <c r="K2059" s="2" t="s">
        <v>74</v>
      </c>
      <c r="M2059" t="s">
        <v>3150</v>
      </c>
      <c r="P2059" s="19" t="s">
        <v>2449</v>
      </c>
      <c r="Q2059" s="19" t="s">
        <v>25</v>
      </c>
      <c r="R2059" s="19" t="s">
        <v>138</v>
      </c>
      <c r="W2059" s="20">
        <v>24</v>
      </c>
      <c r="X2059" s="65" t="s">
        <v>2010</v>
      </c>
      <c r="Z2059" t="s">
        <v>307</v>
      </c>
      <c r="AB2059" t="s">
        <v>178</v>
      </c>
      <c r="AC2059" t="s">
        <v>2769</v>
      </c>
      <c r="AD2059" s="2" t="s">
        <v>180</v>
      </c>
    </row>
    <row r="2060" spans="1:30" x14ac:dyDescent="0.25">
      <c r="A2060" s="2">
        <v>341</v>
      </c>
      <c r="B2060" t="s">
        <v>2793</v>
      </c>
      <c r="C2060">
        <v>12</v>
      </c>
      <c r="D2060">
        <v>120</v>
      </c>
      <c r="E2060">
        <v>129</v>
      </c>
      <c r="F2060" t="s">
        <v>273</v>
      </c>
      <c r="G2060" s="2" t="s">
        <v>156</v>
      </c>
      <c r="H2060">
        <v>24</v>
      </c>
      <c r="I2060">
        <v>31.78</v>
      </c>
      <c r="J2060" s="2" t="s">
        <v>170</v>
      </c>
      <c r="K2060" s="2" t="s">
        <v>74</v>
      </c>
      <c r="M2060" t="s">
        <v>3150</v>
      </c>
      <c r="P2060" s="19" t="s">
        <v>2449</v>
      </c>
      <c r="Q2060" s="19" t="s">
        <v>25</v>
      </c>
      <c r="R2060" s="19" t="s">
        <v>138</v>
      </c>
      <c r="W2060" s="20">
        <v>24</v>
      </c>
      <c r="X2060" s="65" t="s">
        <v>2010</v>
      </c>
      <c r="Z2060" t="s">
        <v>307</v>
      </c>
      <c r="AB2060" t="s">
        <v>178</v>
      </c>
      <c r="AC2060" t="s">
        <v>2769</v>
      </c>
      <c r="AD2060" s="2" t="s">
        <v>180</v>
      </c>
    </row>
    <row r="2061" spans="1:30" x14ac:dyDescent="0.25">
      <c r="A2061" s="2">
        <v>342</v>
      </c>
      <c r="B2061" t="s">
        <v>2794</v>
      </c>
      <c r="C2061">
        <v>12</v>
      </c>
      <c r="D2061">
        <v>120</v>
      </c>
      <c r="E2061">
        <v>129</v>
      </c>
      <c r="F2061" t="s">
        <v>273</v>
      </c>
      <c r="G2061" s="2" t="s">
        <v>156</v>
      </c>
      <c r="H2061">
        <v>24</v>
      </c>
      <c r="I2061">
        <v>31.78</v>
      </c>
      <c r="J2061" s="2" t="s">
        <v>170</v>
      </c>
      <c r="K2061" s="2" t="s">
        <v>74</v>
      </c>
      <c r="M2061" t="s">
        <v>3150</v>
      </c>
      <c r="P2061" s="19" t="s">
        <v>2449</v>
      </c>
      <c r="Q2061" s="19" t="s">
        <v>25</v>
      </c>
      <c r="R2061" s="19" t="s">
        <v>138</v>
      </c>
      <c r="W2061" s="20">
        <v>24</v>
      </c>
      <c r="X2061" s="65" t="s">
        <v>2010</v>
      </c>
      <c r="Z2061" t="s">
        <v>307</v>
      </c>
      <c r="AB2061" t="s">
        <v>178</v>
      </c>
      <c r="AC2061" t="s">
        <v>2769</v>
      </c>
      <c r="AD2061" s="2" t="s">
        <v>180</v>
      </c>
    </row>
    <row r="2062" spans="1:30" x14ac:dyDescent="0.25">
      <c r="A2062" s="2">
        <v>343</v>
      </c>
      <c r="B2062" t="s">
        <v>2795</v>
      </c>
      <c r="C2062">
        <v>12</v>
      </c>
      <c r="D2062">
        <v>120</v>
      </c>
      <c r="E2062">
        <v>129</v>
      </c>
      <c r="F2062" t="s">
        <v>273</v>
      </c>
      <c r="G2062" s="2" t="s">
        <v>156</v>
      </c>
      <c r="H2062">
        <v>24</v>
      </c>
      <c r="I2062">
        <v>31.78</v>
      </c>
      <c r="J2062" s="2" t="s">
        <v>170</v>
      </c>
      <c r="K2062" s="2" t="s">
        <v>74</v>
      </c>
      <c r="M2062" t="s">
        <v>3150</v>
      </c>
      <c r="P2062" s="19" t="s">
        <v>2449</v>
      </c>
      <c r="Q2062" s="19" t="s">
        <v>25</v>
      </c>
      <c r="R2062" s="19" t="s">
        <v>138</v>
      </c>
      <c r="W2062" s="20">
        <v>24</v>
      </c>
      <c r="X2062" s="65" t="s">
        <v>2010</v>
      </c>
      <c r="Z2062" t="s">
        <v>307</v>
      </c>
      <c r="AB2062" t="s">
        <v>178</v>
      </c>
      <c r="AC2062" t="s">
        <v>2769</v>
      </c>
      <c r="AD2062" s="2" t="s">
        <v>180</v>
      </c>
    </row>
    <row r="2063" spans="1:30" x14ac:dyDescent="0.25">
      <c r="A2063" s="2">
        <v>344</v>
      </c>
      <c r="B2063" t="s">
        <v>2796</v>
      </c>
      <c r="C2063">
        <v>12</v>
      </c>
      <c r="D2063">
        <v>120</v>
      </c>
      <c r="E2063">
        <v>129</v>
      </c>
      <c r="F2063" t="s">
        <v>273</v>
      </c>
      <c r="G2063" s="2" t="s">
        <v>156</v>
      </c>
      <c r="H2063">
        <v>24</v>
      </c>
      <c r="I2063">
        <v>31.78</v>
      </c>
      <c r="J2063" s="2" t="s">
        <v>170</v>
      </c>
      <c r="K2063" s="2" t="s">
        <v>74</v>
      </c>
      <c r="M2063" t="s">
        <v>3150</v>
      </c>
      <c r="P2063" s="19" t="s">
        <v>2449</v>
      </c>
      <c r="Q2063" s="19" t="s">
        <v>25</v>
      </c>
      <c r="R2063" s="19" t="s">
        <v>138</v>
      </c>
      <c r="W2063" s="20">
        <v>24</v>
      </c>
      <c r="X2063" s="65" t="s">
        <v>2010</v>
      </c>
      <c r="Z2063" t="s">
        <v>307</v>
      </c>
      <c r="AB2063" t="s">
        <v>178</v>
      </c>
      <c r="AC2063" t="s">
        <v>2769</v>
      </c>
      <c r="AD2063" s="2" t="s">
        <v>180</v>
      </c>
    </row>
    <row r="2064" spans="1:30" x14ac:dyDescent="0.25">
      <c r="A2064" s="2">
        <v>345</v>
      </c>
      <c r="B2064" t="s">
        <v>2797</v>
      </c>
      <c r="C2064">
        <v>12</v>
      </c>
      <c r="D2064">
        <v>120</v>
      </c>
      <c r="E2064">
        <v>129</v>
      </c>
      <c r="F2064" t="s">
        <v>273</v>
      </c>
      <c r="G2064" s="2" t="s">
        <v>156</v>
      </c>
      <c r="H2064">
        <v>24</v>
      </c>
      <c r="I2064">
        <v>31.78</v>
      </c>
      <c r="J2064" s="2" t="s">
        <v>170</v>
      </c>
      <c r="K2064" s="2" t="s">
        <v>74</v>
      </c>
      <c r="M2064" t="s">
        <v>3150</v>
      </c>
      <c r="P2064" s="19" t="s">
        <v>2449</v>
      </c>
      <c r="Q2064" s="19" t="s">
        <v>25</v>
      </c>
      <c r="R2064" s="19" t="s">
        <v>138</v>
      </c>
      <c r="W2064" s="20">
        <v>24</v>
      </c>
      <c r="X2064" s="65" t="s">
        <v>2010</v>
      </c>
      <c r="Z2064" t="s">
        <v>307</v>
      </c>
      <c r="AB2064" t="s">
        <v>178</v>
      </c>
      <c r="AC2064" t="s">
        <v>2769</v>
      </c>
      <c r="AD2064" s="2" t="s">
        <v>180</v>
      </c>
    </row>
    <row r="2065" spans="1:30" x14ac:dyDescent="0.25">
      <c r="A2065" s="2">
        <v>346</v>
      </c>
      <c r="B2065" t="s">
        <v>2798</v>
      </c>
      <c r="C2065">
        <v>12</v>
      </c>
      <c r="D2065">
        <v>120</v>
      </c>
      <c r="E2065">
        <v>129</v>
      </c>
      <c r="F2065" t="s">
        <v>273</v>
      </c>
      <c r="G2065" s="2" t="s">
        <v>156</v>
      </c>
      <c r="H2065">
        <v>24</v>
      </c>
      <c r="I2065">
        <v>31.78</v>
      </c>
      <c r="J2065" s="2" t="s">
        <v>170</v>
      </c>
      <c r="K2065" s="2" t="s">
        <v>74</v>
      </c>
      <c r="M2065" t="s">
        <v>3150</v>
      </c>
      <c r="P2065" s="19" t="s">
        <v>2449</v>
      </c>
      <c r="Q2065" s="19" t="s">
        <v>25</v>
      </c>
      <c r="R2065" s="19" t="s">
        <v>138</v>
      </c>
      <c r="W2065" s="20">
        <v>24</v>
      </c>
      <c r="X2065" s="65" t="s">
        <v>2010</v>
      </c>
      <c r="Z2065" t="s">
        <v>307</v>
      </c>
      <c r="AB2065" t="s">
        <v>178</v>
      </c>
      <c r="AC2065" t="s">
        <v>2769</v>
      </c>
      <c r="AD2065" s="2" t="s">
        <v>180</v>
      </c>
    </row>
    <row r="2066" spans="1:30" x14ac:dyDescent="0.25">
      <c r="A2066" s="2">
        <v>347</v>
      </c>
      <c r="B2066" t="s">
        <v>2799</v>
      </c>
      <c r="C2066">
        <v>12</v>
      </c>
      <c r="D2066">
        <v>120</v>
      </c>
      <c r="E2066">
        <v>129</v>
      </c>
      <c r="F2066" t="s">
        <v>273</v>
      </c>
      <c r="G2066" s="2" t="s">
        <v>156</v>
      </c>
      <c r="H2066">
        <v>24</v>
      </c>
      <c r="I2066">
        <v>31.78</v>
      </c>
      <c r="J2066" s="2" t="s">
        <v>170</v>
      </c>
      <c r="K2066" s="2" t="s">
        <v>74</v>
      </c>
      <c r="M2066" t="s">
        <v>3150</v>
      </c>
      <c r="P2066" s="19" t="s">
        <v>2449</v>
      </c>
      <c r="Q2066" s="19" t="s">
        <v>25</v>
      </c>
      <c r="R2066" s="19" t="s">
        <v>138</v>
      </c>
      <c r="W2066" s="20">
        <v>24</v>
      </c>
      <c r="X2066" s="65" t="s">
        <v>2010</v>
      </c>
      <c r="Z2066" t="s">
        <v>307</v>
      </c>
      <c r="AB2066" t="s">
        <v>178</v>
      </c>
      <c r="AC2066" t="s">
        <v>2769</v>
      </c>
      <c r="AD2066" s="2" t="s">
        <v>180</v>
      </c>
    </row>
    <row r="2067" spans="1:30" x14ac:dyDescent="0.25">
      <c r="A2067" s="2">
        <v>348</v>
      </c>
      <c r="B2067" t="s">
        <v>2800</v>
      </c>
      <c r="C2067">
        <v>12</v>
      </c>
      <c r="D2067">
        <v>120</v>
      </c>
      <c r="E2067">
        <v>129</v>
      </c>
      <c r="F2067" t="s">
        <v>273</v>
      </c>
      <c r="G2067" s="2" t="s">
        <v>156</v>
      </c>
      <c r="H2067">
        <v>24</v>
      </c>
      <c r="I2067">
        <v>31.78</v>
      </c>
      <c r="J2067" s="2" t="s">
        <v>170</v>
      </c>
      <c r="K2067" s="2" t="s">
        <v>74</v>
      </c>
      <c r="M2067" t="s">
        <v>3150</v>
      </c>
      <c r="P2067" s="19" t="s">
        <v>2449</v>
      </c>
      <c r="Q2067" s="19" t="s">
        <v>25</v>
      </c>
      <c r="R2067" s="19" t="s">
        <v>138</v>
      </c>
      <c r="W2067" s="20">
        <v>24</v>
      </c>
      <c r="X2067" s="65" t="s">
        <v>2010</v>
      </c>
      <c r="Z2067" t="s">
        <v>307</v>
      </c>
      <c r="AB2067" t="s">
        <v>178</v>
      </c>
      <c r="AC2067" t="s">
        <v>2769</v>
      </c>
      <c r="AD2067" s="2" t="s">
        <v>180</v>
      </c>
    </row>
    <row r="2068" spans="1:30" x14ac:dyDescent="0.25">
      <c r="A2068" s="2">
        <v>349</v>
      </c>
      <c r="B2068" t="s">
        <v>2801</v>
      </c>
      <c r="C2068">
        <v>12</v>
      </c>
      <c r="D2068">
        <v>120</v>
      </c>
      <c r="E2068">
        <v>129</v>
      </c>
      <c r="F2068" t="s">
        <v>273</v>
      </c>
      <c r="G2068" s="2" t="s">
        <v>156</v>
      </c>
      <c r="H2068">
        <v>24</v>
      </c>
      <c r="I2068">
        <v>31.78</v>
      </c>
      <c r="J2068" s="2" t="s">
        <v>170</v>
      </c>
      <c r="K2068" s="2" t="s">
        <v>74</v>
      </c>
      <c r="M2068" t="s">
        <v>3150</v>
      </c>
      <c r="P2068" s="19" t="s">
        <v>2449</v>
      </c>
      <c r="Q2068" s="19" t="s">
        <v>25</v>
      </c>
      <c r="R2068" s="19" t="s">
        <v>138</v>
      </c>
      <c r="W2068" s="20">
        <v>24</v>
      </c>
      <c r="X2068" s="65" t="s">
        <v>2010</v>
      </c>
      <c r="Z2068" t="s">
        <v>307</v>
      </c>
      <c r="AB2068" t="s">
        <v>178</v>
      </c>
      <c r="AC2068" t="s">
        <v>2769</v>
      </c>
      <c r="AD2068" s="2" t="s">
        <v>180</v>
      </c>
    </row>
    <row r="2069" spans="1:30" x14ac:dyDescent="0.25">
      <c r="A2069" s="2">
        <v>350</v>
      </c>
      <c r="B2069" t="s">
        <v>2802</v>
      </c>
      <c r="C2069">
        <v>12</v>
      </c>
      <c r="D2069">
        <v>120</v>
      </c>
      <c r="E2069">
        <v>129</v>
      </c>
      <c r="F2069" t="s">
        <v>273</v>
      </c>
      <c r="G2069" s="2" t="s">
        <v>156</v>
      </c>
      <c r="H2069">
        <v>18</v>
      </c>
      <c r="I2069">
        <v>23.83</v>
      </c>
      <c r="J2069" s="2" t="s">
        <v>170</v>
      </c>
      <c r="K2069" s="2" t="s">
        <v>74</v>
      </c>
      <c r="M2069" t="s">
        <v>3150</v>
      </c>
      <c r="P2069" s="19" t="s">
        <v>2449</v>
      </c>
      <c r="Q2069" s="19" t="s">
        <v>25</v>
      </c>
      <c r="R2069" s="19" t="s">
        <v>138</v>
      </c>
      <c r="W2069" s="20">
        <v>24</v>
      </c>
      <c r="X2069" s="65" t="s">
        <v>2010</v>
      </c>
      <c r="Z2069" t="s">
        <v>307</v>
      </c>
      <c r="AB2069" t="s">
        <v>178</v>
      </c>
      <c r="AC2069" t="s">
        <v>2769</v>
      </c>
      <c r="AD2069" s="2" t="s">
        <v>180</v>
      </c>
    </row>
    <row r="2070" spans="1:30" x14ac:dyDescent="0.25">
      <c r="A2070" s="2">
        <v>351</v>
      </c>
      <c r="B2070" t="s">
        <v>2803</v>
      </c>
      <c r="C2070">
        <v>12</v>
      </c>
      <c r="D2070">
        <v>120</v>
      </c>
      <c r="E2070">
        <v>129</v>
      </c>
      <c r="F2070" t="s">
        <v>273</v>
      </c>
      <c r="G2070" s="2" t="s">
        <v>156</v>
      </c>
      <c r="H2070">
        <v>18</v>
      </c>
      <c r="I2070">
        <v>23.83</v>
      </c>
      <c r="J2070" s="2" t="s">
        <v>170</v>
      </c>
      <c r="K2070" s="2" t="s">
        <v>74</v>
      </c>
      <c r="M2070" t="s">
        <v>3150</v>
      </c>
      <c r="P2070" s="19" t="s">
        <v>2449</v>
      </c>
      <c r="Q2070" s="19" t="s">
        <v>25</v>
      </c>
      <c r="R2070" s="19" t="s">
        <v>138</v>
      </c>
      <c r="W2070" s="20">
        <v>24</v>
      </c>
      <c r="X2070" s="65" t="s">
        <v>2010</v>
      </c>
      <c r="Z2070" t="s">
        <v>307</v>
      </c>
      <c r="AB2070" t="s">
        <v>178</v>
      </c>
      <c r="AC2070" t="s">
        <v>2769</v>
      </c>
      <c r="AD2070" s="2" t="s">
        <v>180</v>
      </c>
    </row>
    <row r="2071" spans="1:30" x14ac:dyDescent="0.25">
      <c r="A2071" s="2">
        <v>352</v>
      </c>
      <c r="B2071" t="s">
        <v>2804</v>
      </c>
      <c r="C2071">
        <v>12</v>
      </c>
      <c r="D2071">
        <v>120</v>
      </c>
      <c r="E2071">
        <v>129</v>
      </c>
      <c r="F2071" t="s">
        <v>273</v>
      </c>
      <c r="G2071" s="2" t="s">
        <v>156</v>
      </c>
      <c r="H2071">
        <v>18</v>
      </c>
      <c r="I2071">
        <v>23.83</v>
      </c>
      <c r="J2071" s="2" t="s">
        <v>170</v>
      </c>
      <c r="K2071" s="2" t="s">
        <v>74</v>
      </c>
      <c r="M2071" t="s">
        <v>3150</v>
      </c>
      <c r="P2071" s="19" t="s">
        <v>2449</v>
      </c>
      <c r="Q2071" s="19" t="s">
        <v>25</v>
      </c>
      <c r="R2071" s="19" t="s">
        <v>138</v>
      </c>
      <c r="W2071" s="20">
        <v>24</v>
      </c>
      <c r="X2071" s="65" t="s">
        <v>2010</v>
      </c>
      <c r="Z2071" t="s">
        <v>307</v>
      </c>
      <c r="AB2071" t="s">
        <v>178</v>
      </c>
      <c r="AC2071" t="s">
        <v>2769</v>
      </c>
      <c r="AD2071" s="2" t="s">
        <v>180</v>
      </c>
    </row>
    <row r="2072" spans="1:30" x14ac:dyDescent="0.25">
      <c r="A2072" s="2">
        <v>353</v>
      </c>
      <c r="B2072" t="s">
        <v>2805</v>
      </c>
      <c r="C2072">
        <v>12</v>
      </c>
      <c r="D2072">
        <v>120</v>
      </c>
      <c r="E2072">
        <v>129</v>
      </c>
      <c r="F2072" t="s">
        <v>273</v>
      </c>
      <c r="G2072" s="2" t="s">
        <v>156</v>
      </c>
      <c r="H2072">
        <v>18</v>
      </c>
      <c r="I2072">
        <v>23.83</v>
      </c>
      <c r="J2072" s="2" t="s">
        <v>170</v>
      </c>
      <c r="K2072" s="2" t="s">
        <v>74</v>
      </c>
      <c r="M2072" t="s">
        <v>3150</v>
      </c>
      <c r="P2072" s="19" t="s">
        <v>2449</v>
      </c>
      <c r="Q2072" s="19" t="s">
        <v>25</v>
      </c>
      <c r="R2072" s="19" t="s">
        <v>138</v>
      </c>
      <c r="W2072" s="20">
        <v>24</v>
      </c>
      <c r="X2072" s="65" t="s">
        <v>2010</v>
      </c>
      <c r="Z2072" t="s">
        <v>307</v>
      </c>
      <c r="AB2072" t="s">
        <v>178</v>
      </c>
      <c r="AC2072" t="s">
        <v>2769</v>
      </c>
      <c r="AD2072" s="2" t="s">
        <v>180</v>
      </c>
    </row>
    <row r="2073" spans="1:30" x14ac:dyDescent="0.25">
      <c r="A2073" s="2">
        <v>354</v>
      </c>
      <c r="B2073" t="s">
        <v>2806</v>
      </c>
      <c r="C2073">
        <v>12</v>
      </c>
      <c r="D2073">
        <v>120</v>
      </c>
      <c r="E2073">
        <v>129</v>
      </c>
      <c r="F2073" t="s">
        <v>273</v>
      </c>
      <c r="G2073" s="2" t="s">
        <v>156</v>
      </c>
      <c r="H2073">
        <v>18</v>
      </c>
      <c r="I2073">
        <v>23.83</v>
      </c>
      <c r="J2073" s="2" t="s">
        <v>170</v>
      </c>
      <c r="K2073" s="2" t="s">
        <v>74</v>
      </c>
      <c r="M2073" t="s">
        <v>3150</v>
      </c>
      <c r="P2073" s="19" t="s">
        <v>2449</v>
      </c>
      <c r="Q2073" s="19" t="s">
        <v>25</v>
      </c>
      <c r="R2073" s="19" t="s">
        <v>138</v>
      </c>
      <c r="W2073" s="20">
        <v>24</v>
      </c>
      <c r="X2073" s="65" t="s">
        <v>2010</v>
      </c>
      <c r="Z2073" t="s">
        <v>307</v>
      </c>
      <c r="AB2073" t="s">
        <v>178</v>
      </c>
      <c r="AC2073" t="s">
        <v>2769</v>
      </c>
      <c r="AD2073" s="2" t="s">
        <v>180</v>
      </c>
    </row>
    <row r="2074" spans="1:30" x14ac:dyDescent="0.25">
      <c r="A2074" s="2">
        <v>355</v>
      </c>
      <c r="B2074" t="s">
        <v>2807</v>
      </c>
      <c r="C2074">
        <v>12</v>
      </c>
      <c r="D2074">
        <v>120</v>
      </c>
      <c r="E2074">
        <v>129</v>
      </c>
      <c r="F2074" t="s">
        <v>273</v>
      </c>
      <c r="G2074" s="2" t="s">
        <v>156</v>
      </c>
      <c r="H2074">
        <v>4</v>
      </c>
      <c r="I2074">
        <v>5.3</v>
      </c>
      <c r="J2074" s="2" t="s">
        <v>170</v>
      </c>
      <c r="K2074" s="2" t="s">
        <v>74</v>
      </c>
      <c r="M2074" t="s">
        <v>3150</v>
      </c>
      <c r="P2074" s="19" t="s">
        <v>2449</v>
      </c>
      <c r="Q2074" s="19" t="s">
        <v>25</v>
      </c>
      <c r="R2074" s="19" t="s">
        <v>138</v>
      </c>
      <c r="W2074" s="20">
        <v>24</v>
      </c>
      <c r="X2074" s="65" t="s">
        <v>2010</v>
      </c>
      <c r="Z2074" t="s">
        <v>307</v>
      </c>
      <c r="AB2074" t="s">
        <v>178</v>
      </c>
      <c r="AC2074" t="s">
        <v>2769</v>
      </c>
      <c r="AD2074" s="2" t="s">
        <v>180</v>
      </c>
    </row>
    <row r="2075" spans="1:30" x14ac:dyDescent="0.25">
      <c r="A2075" s="2">
        <v>356</v>
      </c>
      <c r="B2075" t="s">
        <v>2808</v>
      </c>
      <c r="C2075">
        <v>12</v>
      </c>
      <c r="D2075">
        <v>120</v>
      </c>
      <c r="E2075">
        <v>129</v>
      </c>
      <c r="F2075" t="s">
        <v>273</v>
      </c>
      <c r="G2075" s="2" t="s">
        <v>156</v>
      </c>
      <c r="H2075">
        <v>4</v>
      </c>
      <c r="I2075">
        <v>5.3</v>
      </c>
      <c r="J2075" s="2" t="s">
        <v>170</v>
      </c>
      <c r="K2075" s="2" t="s">
        <v>74</v>
      </c>
      <c r="M2075" t="s">
        <v>3150</v>
      </c>
      <c r="P2075" s="19" t="s">
        <v>2449</v>
      </c>
      <c r="Q2075" s="19" t="s">
        <v>25</v>
      </c>
      <c r="R2075" s="19" t="s">
        <v>138</v>
      </c>
      <c r="W2075" s="20">
        <v>24</v>
      </c>
      <c r="X2075" s="65" t="s">
        <v>2010</v>
      </c>
      <c r="Z2075" t="s">
        <v>307</v>
      </c>
      <c r="AB2075" t="s">
        <v>178</v>
      </c>
      <c r="AC2075" t="s">
        <v>2769</v>
      </c>
      <c r="AD2075" s="2" t="s">
        <v>180</v>
      </c>
    </row>
    <row r="2076" spans="1:30" x14ac:dyDescent="0.25">
      <c r="A2076" s="2">
        <v>357</v>
      </c>
      <c r="B2076" t="s">
        <v>2809</v>
      </c>
      <c r="C2076">
        <v>12</v>
      </c>
      <c r="D2076">
        <v>120</v>
      </c>
      <c r="E2076">
        <v>129</v>
      </c>
      <c r="F2076" t="s">
        <v>273</v>
      </c>
      <c r="G2076" s="2" t="s">
        <v>156</v>
      </c>
      <c r="H2076">
        <v>4</v>
      </c>
      <c r="I2076">
        <v>5.3</v>
      </c>
      <c r="J2076" s="2" t="s">
        <v>170</v>
      </c>
      <c r="K2076" s="2" t="s">
        <v>74</v>
      </c>
      <c r="M2076" t="s">
        <v>3150</v>
      </c>
      <c r="P2076" s="19" t="s">
        <v>2449</v>
      </c>
      <c r="Q2076" s="19" t="s">
        <v>25</v>
      </c>
      <c r="R2076" s="19" t="s">
        <v>138</v>
      </c>
      <c r="W2076" s="20">
        <v>24</v>
      </c>
      <c r="X2076" s="65" t="s">
        <v>2010</v>
      </c>
      <c r="Z2076" t="s">
        <v>307</v>
      </c>
      <c r="AB2076" t="s">
        <v>178</v>
      </c>
      <c r="AC2076" t="s">
        <v>2769</v>
      </c>
      <c r="AD2076" s="2" t="s">
        <v>180</v>
      </c>
    </row>
    <row r="2077" spans="1:30" x14ac:dyDescent="0.25">
      <c r="A2077" s="2">
        <v>358</v>
      </c>
      <c r="B2077" t="s">
        <v>2810</v>
      </c>
      <c r="C2077">
        <v>12</v>
      </c>
      <c r="D2077">
        <v>120</v>
      </c>
      <c r="E2077">
        <v>129</v>
      </c>
      <c r="F2077" t="s">
        <v>273</v>
      </c>
      <c r="G2077" s="2" t="s">
        <v>156</v>
      </c>
      <c r="H2077">
        <v>4</v>
      </c>
      <c r="I2077">
        <v>5.3</v>
      </c>
      <c r="J2077" s="2" t="s">
        <v>170</v>
      </c>
      <c r="K2077" s="2" t="s">
        <v>74</v>
      </c>
      <c r="M2077" t="s">
        <v>3150</v>
      </c>
      <c r="P2077" s="19" t="s">
        <v>2449</v>
      </c>
      <c r="Q2077" s="19" t="s">
        <v>25</v>
      </c>
      <c r="R2077" s="19" t="s">
        <v>138</v>
      </c>
      <c r="W2077" s="20">
        <v>24</v>
      </c>
      <c r="X2077" s="65" t="s">
        <v>2010</v>
      </c>
      <c r="Z2077" t="s">
        <v>307</v>
      </c>
      <c r="AB2077" t="s">
        <v>178</v>
      </c>
      <c r="AC2077" t="s">
        <v>2769</v>
      </c>
      <c r="AD2077" s="2" t="s">
        <v>180</v>
      </c>
    </row>
    <row r="2078" spans="1:30" x14ac:dyDescent="0.25">
      <c r="A2078" s="2">
        <v>359</v>
      </c>
      <c r="B2078" t="s">
        <v>2811</v>
      </c>
      <c r="C2078">
        <v>12</v>
      </c>
      <c r="D2078">
        <v>120</v>
      </c>
      <c r="E2078">
        <v>129</v>
      </c>
      <c r="F2078" t="s">
        <v>273</v>
      </c>
      <c r="G2078" s="2" t="s">
        <v>156</v>
      </c>
      <c r="H2078">
        <v>4</v>
      </c>
      <c r="I2078">
        <v>5.3</v>
      </c>
      <c r="J2078" s="2" t="s">
        <v>170</v>
      </c>
      <c r="K2078" s="2" t="s">
        <v>74</v>
      </c>
      <c r="M2078" t="s">
        <v>3150</v>
      </c>
      <c r="P2078" s="19" t="s">
        <v>2449</v>
      </c>
      <c r="Q2078" s="19" t="s">
        <v>25</v>
      </c>
      <c r="R2078" s="19" t="s">
        <v>138</v>
      </c>
      <c r="W2078" s="20">
        <v>24</v>
      </c>
      <c r="X2078" s="65" t="s">
        <v>2010</v>
      </c>
      <c r="Z2078" t="s">
        <v>307</v>
      </c>
      <c r="AB2078" t="s">
        <v>178</v>
      </c>
      <c r="AC2078" t="s">
        <v>2769</v>
      </c>
      <c r="AD2078" s="2" t="s">
        <v>180</v>
      </c>
    </row>
    <row r="2079" spans="1:30" x14ac:dyDescent="0.25">
      <c r="A2079" s="2">
        <v>360</v>
      </c>
      <c r="B2079" t="s">
        <v>2812</v>
      </c>
      <c r="C2079">
        <v>12</v>
      </c>
      <c r="D2079">
        <v>120</v>
      </c>
      <c r="E2079">
        <v>129</v>
      </c>
      <c r="F2079" t="s">
        <v>273</v>
      </c>
      <c r="G2079" s="2" t="s">
        <v>156</v>
      </c>
      <c r="H2079">
        <v>4</v>
      </c>
      <c r="I2079">
        <v>5.3</v>
      </c>
      <c r="J2079" s="2" t="s">
        <v>170</v>
      </c>
      <c r="K2079" s="2" t="s">
        <v>74</v>
      </c>
      <c r="M2079" t="s">
        <v>3150</v>
      </c>
      <c r="P2079" s="19" t="s">
        <v>2449</v>
      </c>
      <c r="Q2079" s="19" t="s">
        <v>25</v>
      </c>
      <c r="R2079" s="19" t="s">
        <v>138</v>
      </c>
      <c r="W2079" s="20">
        <v>24</v>
      </c>
      <c r="X2079" s="65" t="s">
        <v>2010</v>
      </c>
      <c r="Z2079" t="s">
        <v>307</v>
      </c>
      <c r="AB2079" t="s">
        <v>178</v>
      </c>
      <c r="AC2079" t="s">
        <v>2769</v>
      </c>
      <c r="AD2079" s="2" t="s">
        <v>180</v>
      </c>
    </row>
    <row r="2080" spans="1:30" x14ac:dyDescent="0.25">
      <c r="A2080" s="2">
        <v>361</v>
      </c>
      <c r="B2080" t="s">
        <v>2617</v>
      </c>
      <c r="C2080">
        <v>12</v>
      </c>
      <c r="D2080">
        <v>95</v>
      </c>
      <c r="E2080">
        <v>263</v>
      </c>
      <c r="F2080" t="s">
        <v>273</v>
      </c>
      <c r="G2080" s="2" t="s">
        <v>156</v>
      </c>
      <c r="H2080">
        <v>5</v>
      </c>
      <c r="I2080">
        <v>11.69</v>
      </c>
      <c r="J2080" s="2" t="s">
        <v>170</v>
      </c>
      <c r="K2080" s="2" t="s">
        <v>74</v>
      </c>
      <c r="M2080" t="s">
        <v>3150</v>
      </c>
      <c r="P2080" s="19" t="s">
        <v>2449</v>
      </c>
      <c r="Q2080" s="19" t="s">
        <v>25</v>
      </c>
      <c r="R2080" s="19" t="s">
        <v>138</v>
      </c>
      <c r="W2080" s="20">
        <v>24</v>
      </c>
      <c r="X2080" s="65" t="s">
        <v>2010</v>
      </c>
      <c r="Z2080" t="s">
        <v>307</v>
      </c>
      <c r="AB2080" t="s">
        <v>178</v>
      </c>
      <c r="AC2080" t="s">
        <v>2769</v>
      </c>
      <c r="AD2080" s="2" t="s">
        <v>180</v>
      </c>
    </row>
    <row r="2081" spans="1:30" x14ac:dyDescent="0.25">
      <c r="A2081" s="2">
        <v>362</v>
      </c>
      <c r="B2081" t="s">
        <v>2813</v>
      </c>
      <c r="C2081">
        <v>12</v>
      </c>
      <c r="D2081">
        <v>1460</v>
      </c>
      <c r="E2081">
        <v>6688</v>
      </c>
      <c r="F2081" t="s">
        <v>273</v>
      </c>
      <c r="G2081" s="2" t="s">
        <v>156</v>
      </c>
      <c r="H2081">
        <v>1</v>
      </c>
      <c r="I2081">
        <v>917.29</v>
      </c>
      <c r="J2081" s="2" t="s">
        <v>170</v>
      </c>
      <c r="K2081" s="2" t="s">
        <v>74</v>
      </c>
      <c r="M2081" t="s">
        <v>3150</v>
      </c>
      <c r="P2081" s="19" t="s">
        <v>2449</v>
      </c>
      <c r="Q2081" s="19" t="s">
        <v>27</v>
      </c>
      <c r="R2081" s="19" t="s">
        <v>138</v>
      </c>
      <c r="V2081" s="19" t="s">
        <v>138</v>
      </c>
      <c r="W2081" s="20">
        <v>24</v>
      </c>
      <c r="X2081" s="65" t="s">
        <v>2010</v>
      </c>
      <c r="Z2081" t="s">
        <v>307</v>
      </c>
      <c r="AB2081" t="s">
        <v>178</v>
      </c>
      <c r="AC2081" t="s">
        <v>2769</v>
      </c>
      <c r="AD2081" s="2" t="s">
        <v>180</v>
      </c>
    </row>
    <row r="2082" spans="1:30" x14ac:dyDescent="0.25">
      <c r="A2082" s="2">
        <v>363</v>
      </c>
      <c r="B2082" t="s">
        <v>2772</v>
      </c>
      <c r="C2082">
        <v>12</v>
      </c>
      <c r="D2082">
        <v>120</v>
      </c>
      <c r="E2082">
        <v>129</v>
      </c>
      <c r="F2082" t="s">
        <v>273</v>
      </c>
      <c r="G2082" s="2" t="s">
        <v>156</v>
      </c>
      <c r="H2082">
        <v>12</v>
      </c>
      <c r="I2082">
        <v>15.89</v>
      </c>
      <c r="J2082" s="2" t="s">
        <v>170</v>
      </c>
      <c r="K2082" s="2" t="s">
        <v>74</v>
      </c>
      <c r="M2082" t="s">
        <v>3150</v>
      </c>
      <c r="P2082" s="19" t="s">
        <v>2449</v>
      </c>
      <c r="Q2082" s="19" t="s">
        <v>25</v>
      </c>
      <c r="R2082" s="19" t="s">
        <v>138</v>
      </c>
      <c r="W2082" s="20">
        <v>24</v>
      </c>
      <c r="X2082" s="65" t="s">
        <v>2010</v>
      </c>
      <c r="Z2082" t="s">
        <v>307</v>
      </c>
      <c r="AB2082" t="s">
        <v>178</v>
      </c>
      <c r="AC2082" t="s">
        <v>2814</v>
      </c>
      <c r="AD2082" s="2" t="s">
        <v>180</v>
      </c>
    </row>
    <row r="2083" spans="1:30" x14ac:dyDescent="0.25">
      <c r="A2083" s="2">
        <v>364</v>
      </c>
      <c r="B2083" t="s">
        <v>2816</v>
      </c>
      <c r="C2083">
        <v>12</v>
      </c>
      <c r="D2083">
        <v>120</v>
      </c>
      <c r="E2083">
        <v>129</v>
      </c>
      <c r="F2083" t="s">
        <v>273</v>
      </c>
      <c r="G2083" s="2" t="s">
        <v>156</v>
      </c>
      <c r="H2083">
        <v>4</v>
      </c>
      <c r="I2083">
        <v>5.3</v>
      </c>
      <c r="J2083" s="2" t="s">
        <v>170</v>
      </c>
      <c r="K2083" s="2" t="s">
        <v>74</v>
      </c>
      <c r="M2083" t="s">
        <v>3150</v>
      </c>
      <c r="P2083" s="19" t="s">
        <v>2449</v>
      </c>
      <c r="Q2083" s="19" t="s">
        <v>25</v>
      </c>
      <c r="R2083" s="19" t="s">
        <v>138</v>
      </c>
      <c r="W2083" s="20">
        <v>24</v>
      </c>
      <c r="X2083" s="65" t="s">
        <v>2010</v>
      </c>
      <c r="Z2083" t="s">
        <v>307</v>
      </c>
      <c r="AB2083" t="s">
        <v>178</v>
      </c>
      <c r="AC2083" t="s">
        <v>2814</v>
      </c>
      <c r="AD2083" s="2" t="s">
        <v>180</v>
      </c>
    </row>
    <row r="2084" spans="1:30" x14ac:dyDescent="0.25">
      <c r="A2084" s="2">
        <v>365</v>
      </c>
      <c r="B2084" t="s">
        <v>2817</v>
      </c>
      <c r="C2084">
        <v>12</v>
      </c>
      <c r="D2084">
        <v>120</v>
      </c>
      <c r="E2084">
        <v>129</v>
      </c>
      <c r="F2084" t="s">
        <v>273</v>
      </c>
      <c r="G2084" s="2" t="s">
        <v>156</v>
      </c>
      <c r="H2084">
        <v>4</v>
      </c>
      <c r="I2084">
        <v>5.3</v>
      </c>
      <c r="J2084" s="2" t="s">
        <v>170</v>
      </c>
      <c r="K2084" s="2" t="s">
        <v>74</v>
      </c>
      <c r="M2084" t="s">
        <v>3150</v>
      </c>
      <c r="P2084" s="19" t="s">
        <v>2449</v>
      </c>
      <c r="Q2084" s="19" t="s">
        <v>25</v>
      </c>
      <c r="R2084" s="19" t="s">
        <v>138</v>
      </c>
      <c r="W2084" s="20">
        <v>24</v>
      </c>
      <c r="X2084" s="65" t="s">
        <v>2010</v>
      </c>
      <c r="Z2084" t="s">
        <v>307</v>
      </c>
      <c r="AB2084" t="s">
        <v>178</v>
      </c>
      <c r="AC2084" t="s">
        <v>2814</v>
      </c>
      <c r="AD2084" s="2" t="s">
        <v>180</v>
      </c>
    </row>
    <row r="2085" spans="1:30" x14ac:dyDescent="0.25">
      <c r="A2085" s="2">
        <v>366</v>
      </c>
      <c r="B2085" t="s">
        <v>2818</v>
      </c>
      <c r="C2085">
        <v>12</v>
      </c>
      <c r="D2085">
        <v>490</v>
      </c>
      <c r="E2085">
        <v>6464</v>
      </c>
      <c r="F2085" t="s">
        <v>273</v>
      </c>
      <c r="G2085" s="2" t="s">
        <v>156</v>
      </c>
      <c r="H2085">
        <v>1</v>
      </c>
      <c r="I2085">
        <v>298.16000000000003</v>
      </c>
      <c r="J2085" s="2" t="s">
        <v>170</v>
      </c>
      <c r="K2085" s="2" t="s">
        <v>74</v>
      </c>
      <c r="M2085" t="s">
        <v>3150</v>
      </c>
      <c r="P2085" s="19" t="s">
        <v>2449</v>
      </c>
      <c r="Q2085" s="19" t="s">
        <v>27</v>
      </c>
      <c r="R2085" s="19" t="s">
        <v>138</v>
      </c>
      <c r="W2085" s="20">
        <v>24</v>
      </c>
      <c r="X2085" s="65" t="s">
        <v>2010</v>
      </c>
      <c r="Z2085" t="s">
        <v>307</v>
      </c>
      <c r="AB2085" t="s">
        <v>178</v>
      </c>
      <c r="AC2085" t="s">
        <v>2814</v>
      </c>
      <c r="AD2085" s="2" t="s">
        <v>180</v>
      </c>
    </row>
    <row r="2086" spans="1:30" x14ac:dyDescent="0.25">
      <c r="A2086" s="2">
        <v>367</v>
      </c>
      <c r="B2086" t="s">
        <v>2819</v>
      </c>
      <c r="C2086">
        <v>12</v>
      </c>
      <c r="D2086">
        <v>490</v>
      </c>
      <c r="E2086">
        <v>6464</v>
      </c>
      <c r="F2086" t="s">
        <v>273</v>
      </c>
      <c r="G2086" s="2" t="s">
        <v>156</v>
      </c>
      <c r="H2086">
        <v>1</v>
      </c>
      <c r="I2086">
        <v>298.16000000000003</v>
      </c>
      <c r="J2086" s="2" t="s">
        <v>170</v>
      </c>
      <c r="K2086" s="2" t="s">
        <v>74</v>
      </c>
      <c r="M2086" t="s">
        <v>3150</v>
      </c>
      <c r="P2086" s="19" t="s">
        <v>2449</v>
      </c>
      <c r="Q2086" s="19" t="s">
        <v>27</v>
      </c>
      <c r="R2086" s="19" t="s">
        <v>138</v>
      </c>
      <c r="W2086" s="20">
        <v>24</v>
      </c>
      <c r="X2086" s="65" t="s">
        <v>2010</v>
      </c>
      <c r="Z2086" t="s">
        <v>307</v>
      </c>
      <c r="AB2086" t="s">
        <v>178</v>
      </c>
      <c r="AC2086" t="s">
        <v>2814</v>
      </c>
      <c r="AD2086" s="2" t="s">
        <v>180</v>
      </c>
    </row>
    <row r="2087" spans="1:30" x14ac:dyDescent="0.25">
      <c r="A2087" s="2">
        <v>368</v>
      </c>
      <c r="B2087" t="s">
        <v>2820</v>
      </c>
      <c r="C2087">
        <v>12</v>
      </c>
      <c r="D2087">
        <v>490</v>
      </c>
      <c r="E2087">
        <v>6464</v>
      </c>
      <c r="F2087" t="s">
        <v>273</v>
      </c>
      <c r="G2087" s="2" t="s">
        <v>156</v>
      </c>
      <c r="H2087">
        <v>1</v>
      </c>
      <c r="I2087">
        <v>298.16000000000003</v>
      </c>
      <c r="J2087" s="2" t="s">
        <v>170</v>
      </c>
      <c r="K2087" s="2" t="s">
        <v>74</v>
      </c>
      <c r="M2087" t="s">
        <v>3150</v>
      </c>
      <c r="P2087" s="19" t="s">
        <v>2449</v>
      </c>
      <c r="Q2087" s="19" t="s">
        <v>27</v>
      </c>
      <c r="R2087" s="19" t="s">
        <v>138</v>
      </c>
      <c r="W2087" s="20">
        <v>24</v>
      </c>
      <c r="X2087" s="65" t="s">
        <v>2010</v>
      </c>
      <c r="Z2087" t="s">
        <v>307</v>
      </c>
      <c r="AB2087" t="s">
        <v>178</v>
      </c>
      <c r="AC2087" t="s">
        <v>2814</v>
      </c>
      <c r="AD2087" s="2" t="s">
        <v>180</v>
      </c>
    </row>
    <row r="2088" spans="1:30" x14ac:dyDescent="0.25">
      <c r="A2088" s="2">
        <v>369</v>
      </c>
      <c r="B2088" t="s">
        <v>2821</v>
      </c>
      <c r="C2088">
        <v>12</v>
      </c>
      <c r="D2088">
        <v>490</v>
      </c>
      <c r="E2088">
        <v>6464</v>
      </c>
      <c r="F2088" t="s">
        <v>273</v>
      </c>
      <c r="G2088" s="2" t="s">
        <v>156</v>
      </c>
      <c r="H2088">
        <v>1</v>
      </c>
      <c r="I2088">
        <v>298.16000000000003</v>
      </c>
      <c r="J2088" s="2" t="s">
        <v>170</v>
      </c>
      <c r="K2088" s="2" t="s">
        <v>74</v>
      </c>
      <c r="M2088" t="s">
        <v>3150</v>
      </c>
      <c r="P2088" s="19" t="s">
        <v>2449</v>
      </c>
      <c r="Q2088" s="19" t="s">
        <v>27</v>
      </c>
      <c r="R2088" s="19" t="s">
        <v>138</v>
      </c>
      <c r="W2088" s="20">
        <v>24</v>
      </c>
      <c r="X2088" s="65" t="s">
        <v>2010</v>
      </c>
      <c r="Z2088" t="s">
        <v>307</v>
      </c>
      <c r="AB2088" t="s">
        <v>178</v>
      </c>
      <c r="AC2088" t="s">
        <v>2814</v>
      </c>
      <c r="AD2088" s="2" t="s">
        <v>180</v>
      </c>
    </row>
    <row r="2089" spans="1:30" x14ac:dyDescent="0.25">
      <c r="A2089" s="2">
        <v>370</v>
      </c>
      <c r="B2089" t="s">
        <v>2822</v>
      </c>
      <c r="C2089">
        <v>12</v>
      </c>
      <c r="D2089">
        <v>120</v>
      </c>
      <c r="E2089">
        <v>129</v>
      </c>
      <c r="F2089" t="s">
        <v>273</v>
      </c>
      <c r="G2089" s="2" t="s">
        <v>156</v>
      </c>
      <c r="H2089">
        <v>4</v>
      </c>
      <c r="I2089">
        <v>5.3</v>
      </c>
      <c r="J2089" s="2" t="s">
        <v>170</v>
      </c>
      <c r="K2089" s="2" t="s">
        <v>74</v>
      </c>
      <c r="M2089" t="s">
        <v>3150</v>
      </c>
      <c r="P2089" s="19" t="s">
        <v>2449</v>
      </c>
      <c r="Q2089" s="19" t="s">
        <v>25</v>
      </c>
      <c r="R2089" s="19" t="s">
        <v>138</v>
      </c>
      <c r="W2089" s="20">
        <v>24</v>
      </c>
      <c r="X2089" s="65" t="s">
        <v>2010</v>
      </c>
      <c r="Z2089" t="s">
        <v>307</v>
      </c>
      <c r="AB2089" t="s">
        <v>178</v>
      </c>
      <c r="AC2089" t="s">
        <v>2814</v>
      </c>
      <c r="AD2089" s="2" t="s">
        <v>180</v>
      </c>
    </row>
    <row r="2090" spans="1:30" x14ac:dyDescent="0.25">
      <c r="A2090" s="2">
        <v>371</v>
      </c>
      <c r="B2090" t="s">
        <v>2823</v>
      </c>
      <c r="C2090">
        <v>12</v>
      </c>
      <c r="D2090">
        <v>120</v>
      </c>
      <c r="E2090">
        <v>129</v>
      </c>
      <c r="F2090" t="s">
        <v>273</v>
      </c>
      <c r="G2090" s="2" t="s">
        <v>156</v>
      </c>
      <c r="H2090">
        <v>4</v>
      </c>
      <c r="I2090">
        <v>5.3</v>
      </c>
      <c r="J2090" s="2" t="s">
        <v>170</v>
      </c>
      <c r="K2090" s="2" t="s">
        <v>74</v>
      </c>
      <c r="M2090" t="s">
        <v>3150</v>
      </c>
      <c r="P2090" s="19" t="s">
        <v>2449</v>
      </c>
      <c r="Q2090" s="19" t="s">
        <v>25</v>
      </c>
      <c r="R2090" s="19" t="s">
        <v>138</v>
      </c>
      <c r="W2090" s="20">
        <v>24</v>
      </c>
      <c r="X2090" s="65" t="s">
        <v>2010</v>
      </c>
      <c r="Z2090" t="s">
        <v>307</v>
      </c>
      <c r="AB2090" t="s">
        <v>178</v>
      </c>
      <c r="AC2090" t="s">
        <v>2814</v>
      </c>
      <c r="AD2090" s="2" t="s">
        <v>180</v>
      </c>
    </row>
    <row r="2091" spans="1:30" x14ac:dyDescent="0.25">
      <c r="A2091" s="2">
        <v>372</v>
      </c>
      <c r="B2091" t="s">
        <v>2824</v>
      </c>
      <c r="C2091">
        <v>12</v>
      </c>
      <c r="D2091">
        <v>120</v>
      </c>
      <c r="E2091">
        <v>129</v>
      </c>
      <c r="F2091" t="s">
        <v>273</v>
      </c>
      <c r="G2091" s="2" t="s">
        <v>156</v>
      </c>
      <c r="H2091">
        <v>4</v>
      </c>
      <c r="I2091">
        <v>5.3</v>
      </c>
      <c r="J2091" s="2" t="s">
        <v>170</v>
      </c>
      <c r="K2091" s="2" t="s">
        <v>74</v>
      </c>
      <c r="M2091" t="s">
        <v>3150</v>
      </c>
      <c r="P2091" s="19" t="s">
        <v>2449</v>
      </c>
      <c r="Q2091" s="19" t="s">
        <v>25</v>
      </c>
      <c r="R2091" s="19" t="s">
        <v>138</v>
      </c>
      <c r="W2091" s="20">
        <v>24</v>
      </c>
      <c r="X2091" s="65" t="s">
        <v>2010</v>
      </c>
      <c r="Z2091" t="s">
        <v>307</v>
      </c>
      <c r="AB2091" t="s">
        <v>178</v>
      </c>
      <c r="AC2091" t="s">
        <v>2814</v>
      </c>
      <c r="AD2091" s="2" t="s">
        <v>180</v>
      </c>
    </row>
    <row r="2092" spans="1:30" x14ac:dyDescent="0.25">
      <c r="A2092" s="2">
        <v>373</v>
      </c>
      <c r="B2092" t="s">
        <v>2825</v>
      </c>
      <c r="C2092">
        <v>12</v>
      </c>
      <c r="D2092">
        <v>120</v>
      </c>
      <c r="E2092">
        <v>129</v>
      </c>
      <c r="F2092" t="s">
        <v>273</v>
      </c>
      <c r="G2092" s="2" t="s">
        <v>156</v>
      </c>
      <c r="H2092">
        <v>4</v>
      </c>
      <c r="I2092">
        <v>5.3</v>
      </c>
      <c r="J2092" s="2" t="s">
        <v>170</v>
      </c>
      <c r="K2092" s="2" t="s">
        <v>74</v>
      </c>
      <c r="M2092" t="s">
        <v>3150</v>
      </c>
      <c r="P2092" s="19" t="s">
        <v>2449</v>
      </c>
      <c r="Q2092" s="19" t="s">
        <v>25</v>
      </c>
      <c r="R2092" s="19" t="s">
        <v>138</v>
      </c>
      <c r="W2092" s="20">
        <v>24</v>
      </c>
      <c r="X2092" s="65" t="s">
        <v>2010</v>
      </c>
      <c r="Z2092" t="s">
        <v>307</v>
      </c>
      <c r="AB2092" t="s">
        <v>178</v>
      </c>
      <c r="AC2092" t="s">
        <v>2814</v>
      </c>
      <c r="AD2092" s="2" t="s">
        <v>180</v>
      </c>
    </row>
    <row r="2093" spans="1:30" x14ac:dyDescent="0.25">
      <c r="A2093" s="2">
        <v>374</v>
      </c>
      <c r="B2093" t="s">
        <v>2826</v>
      </c>
      <c r="C2093">
        <v>12</v>
      </c>
      <c r="D2093">
        <v>490</v>
      </c>
      <c r="E2093">
        <v>6464</v>
      </c>
      <c r="F2093" t="s">
        <v>273</v>
      </c>
      <c r="G2093" s="2" t="s">
        <v>156</v>
      </c>
      <c r="H2093">
        <v>1</v>
      </c>
      <c r="I2093">
        <v>298.16000000000003</v>
      </c>
      <c r="J2093" s="2" t="s">
        <v>170</v>
      </c>
      <c r="K2093" s="2" t="s">
        <v>74</v>
      </c>
      <c r="M2093" t="s">
        <v>3150</v>
      </c>
      <c r="P2093" s="19" t="s">
        <v>2449</v>
      </c>
      <c r="Q2093" s="19" t="s">
        <v>27</v>
      </c>
      <c r="R2093" s="19" t="s">
        <v>138</v>
      </c>
      <c r="W2093" s="20">
        <v>24</v>
      </c>
      <c r="X2093" s="65" t="s">
        <v>2010</v>
      </c>
      <c r="Z2093" t="s">
        <v>307</v>
      </c>
      <c r="AB2093" t="s">
        <v>178</v>
      </c>
      <c r="AC2093" t="s">
        <v>2827</v>
      </c>
      <c r="AD2093" s="2" t="s">
        <v>180</v>
      </c>
    </row>
    <row r="2094" spans="1:30" x14ac:dyDescent="0.25">
      <c r="A2094" s="2">
        <v>375</v>
      </c>
      <c r="B2094" t="s">
        <v>2829</v>
      </c>
      <c r="C2094">
        <v>12</v>
      </c>
      <c r="D2094">
        <v>490</v>
      </c>
      <c r="E2094">
        <v>6464</v>
      </c>
      <c r="F2094" t="s">
        <v>273</v>
      </c>
      <c r="G2094" s="2" t="s">
        <v>156</v>
      </c>
      <c r="H2094">
        <v>1</v>
      </c>
      <c r="I2094">
        <v>298.16000000000003</v>
      </c>
      <c r="J2094" s="2" t="s">
        <v>170</v>
      </c>
      <c r="K2094" s="2" t="s">
        <v>74</v>
      </c>
      <c r="M2094" t="s">
        <v>3150</v>
      </c>
      <c r="P2094" s="19" t="s">
        <v>2449</v>
      </c>
      <c r="Q2094" s="19" t="s">
        <v>27</v>
      </c>
      <c r="R2094" s="19" t="s">
        <v>138</v>
      </c>
      <c r="W2094" s="20">
        <v>24</v>
      </c>
      <c r="X2094" s="65" t="s">
        <v>2010</v>
      </c>
      <c r="Z2094" t="s">
        <v>307</v>
      </c>
      <c r="AB2094" t="s">
        <v>178</v>
      </c>
      <c r="AC2094" t="s">
        <v>2827</v>
      </c>
      <c r="AD2094" s="2" t="s">
        <v>180</v>
      </c>
    </row>
    <row r="2095" spans="1:30" x14ac:dyDescent="0.25">
      <c r="A2095" s="2">
        <v>376</v>
      </c>
      <c r="B2095" t="s">
        <v>2830</v>
      </c>
      <c r="C2095">
        <v>12</v>
      </c>
      <c r="D2095">
        <v>490</v>
      </c>
      <c r="E2095">
        <v>6464</v>
      </c>
      <c r="F2095" t="s">
        <v>273</v>
      </c>
      <c r="G2095" s="2" t="s">
        <v>156</v>
      </c>
      <c r="H2095">
        <v>1</v>
      </c>
      <c r="I2095">
        <v>298.16000000000003</v>
      </c>
      <c r="J2095" s="2" t="s">
        <v>170</v>
      </c>
      <c r="K2095" s="2" t="s">
        <v>74</v>
      </c>
      <c r="M2095" t="s">
        <v>3150</v>
      </c>
      <c r="P2095" s="19" t="s">
        <v>2449</v>
      </c>
      <c r="Q2095" s="19" t="s">
        <v>27</v>
      </c>
      <c r="R2095" s="19" t="s">
        <v>138</v>
      </c>
      <c r="W2095" s="20">
        <v>24</v>
      </c>
      <c r="X2095" s="65" t="s">
        <v>2010</v>
      </c>
      <c r="Z2095" t="s">
        <v>307</v>
      </c>
      <c r="AB2095" t="s">
        <v>178</v>
      </c>
      <c r="AC2095" t="s">
        <v>2827</v>
      </c>
      <c r="AD2095" s="2" t="s">
        <v>180</v>
      </c>
    </row>
    <row r="2096" spans="1:30" x14ac:dyDescent="0.25">
      <c r="A2096" s="2">
        <v>377</v>
      </c>
      <c r="B2096" t="s">
        <v>2831</v>
      </c>
      <c r="C2096">
        <v>12</v>
      </c>
      <c r="D2096">
        <v>490</v>
      </c>
      <c r="E2096">
        <v>6464</v>
      </c>
      <c r="F2096" t="s">
        <v>273</v>
      </c>
      <c r="G2096" s="2" t="s">
        <v>156</v>
      </c>
      <c r="H2096">
        <v>1</v>
      </c>
      <c r="I2096">
        <v>298.16000000000003</v>
      </c>
      <c r="J2096" s="2" t="s">
        <v>170</v>
      </c>
      <c r="K2096" s="2" t="s">
        <v>74</v>
      </c>
      <c r="M2096" t="s">
        <v>3150</v>
      </c>
      <c r="P2096" s="19" t="s">
        <v>2449</v>
      </c>
      <c r="Q2096" s="19" t="s">
        <v>27</v>
      </c>
      <c r="R2096" s="19" t="s">
        <v>138</v>
      </c>
      <c r="W2096" s="20">
        <v>24</v>
      </c>
      <c r="X2096" s="65" t="s">
        <v>2010</v>
      </c>
      <c r="Z2096" t="s">
        <v>307</v>
      </c>
      <c r="AB2096" t="s">
        <v>178</v>
      </c>
      <c r="AC2096" t="s">
        <v>2827</v>
      </c>
      <c r="AD2096" s="2" t="s">
        <v>180</v>
      </c>
    </row>
    <row r="2097" spans="1:30" x14ac:dyDescent="0.25">
      <c r="A2097" s="2">
        <v>378</v>
      </c>
      <c r="B2097" t="s">
        <v>2832</v>
      </c>
      <c r="C2097">
        <v>12</v>
      </c>
      <c r="D2097">
        <v>490</v>
      </c>
      <c r="E2097">
        <v>6464</v>
      </c>
      <c r="F2097" t="s">
        <v>273</v>
      </c>
      <c r="G2097" s="2" t="s">
        <v>156</v>
      </c>
      <c r="H2097">
        <v>1</v>
      </c>
      <c r="I2097">
        <v>298.16000000000003</v>
      </c>
      <c r="J2097" s="2" t="s">
        <v>170</v>
      </c>
      <c r="K2097" s="2" t="s">
        <v>74</v>
      </c>
      <c r="M2097" t="s">
        <v>3150</v>
      </c>
      <c r="P2097" s="19" t="s">
        <v>2449</v>
      </c>
      <c r="Q2097" s="19" t="s">
        <v>27</v>
      </c>
      <c r="R2097" s="19" t="s">
        <v>138</v>
      </c>
      <c r="W2097" s="20">
        <v>24</v>
      </c>
      <c r="X2097" s="65" t="s">
        <v>2010</v>
      </c>
      <c r="Z2097" t="s">
        <v>307</v>
      </c>
      <c r="AB2097" t="s">
        <v>178</v>
      </c>
      <c r="AC2097" t="s">
        <v>2833</v>
      </c>
      <c r="AD2097" s="2" t="s">
        <v>180</v>
      </c>
    </row>
    <row r="2098" spans="1:30" x14ac:dyDescent="0.25">
      <c r="A2098" s="2">
        <v>379</v>
      </c>
      <c r="B2098" t="s">
        <v>2835</v>
      </c>
      <c r="C2098">
        <v>12</v>
      </c>
      <c r="D2098">
        <v>490</v>
      </c>
      <c r="E2098">
        <v>6464</v>
      </c>
      <c r="F2098" t="s">
        <v>273</v>
      </c>
      <c r="G2098" s="2" t="s">
        <v>156</v>
      </c>
      <c r="H2098">
        <v>1</v>
      </c>
      <c r="I2098">
        <v>298.16000000000003</v>
      </c>
      <c r="J2098" s="2" t="s">
        <v>170</v>
      </c>
      <c r="K2098" s="2" t="s">
        <v>74</v>
      </c>
      <c r="M2098" t="s">
        <v>3150</v>
      </c>
      <c r="P2098" s="19" t="s">
        <v>2449</v>
      </c>
      <c r="Q2098" s="19" t="s">
        <v>27</v>
      </c>
      <c r="R2098" s="19" t="s">
        <v>138</v>
      </c>
      <c r="W2098" s="20">
        <v>24</v>
      </c>
      <c r="X2098" s="65" t="s">
        <v>2010</v>
      </c>
      <c r="Z2098" t="s">
        <v>307</v>
      </c>
      <c r="AB2098" t="s">
        <v>178</v>
      </c>
      <c r="AC2098" t="s">
        <v>2833</v>
      </c>
      <c r="AD2098" s="2" t="s">
        <v>180</v>
      </c>
    </row>
    <row r="2099" spans="1:30" x14ac:dyDescent="0.25">
      <c r="A2099" s="2">
        <v>380</v>
      </c>
      <c r="B2099" t="s">
        <v>2836</v>
      </c>
      <c r="C2099">
        <v>12</v>
      </c>
      <c r="D2099">
        <v>490</v>
      </c>
      <c r="E2099">
        <v>6464</v>
      </c>
      <c r="F2099" t="s">
        <v>273</v>
      </c>
      <c r="G2099" s="2" t="s">
        <v>156</v>
      </c>
      <c r="H2099">
        <v>1</v>
      </c>
      <c r="I2099">
        <v>298.16000000000003</v>
      </c>
      <c r="J2099" s="2" t="s">
        <v>170</v>
      </c>
      <c r="K2099" s="2" t="s">
        <v>74</v>
      </c>
      <c r="M2099" t="s">
        <v>3150</v>
      </c>
      <c r="P2099" s="19" t="s">
        <v>2449</v>
      </c>
      <c r="Q2099" s="19" t="s">
        <v>27</v>
      </c>
      <c r="R2099" s="19" t="s">
        <v>138</v>
      </c>
      <c r="W2099" s="20">
        <v>24</v>
      </c>
      <c r="X2099" s="65" t="s">
        <v>2010</v>
      </c>
      <c r="Z2099" t="s">
        <v>307</v>
      </c>
      <c r="AB2099" t="s">
        <v>178</v>
      </c>
      <c r="AC2099" t="s">
        <v>2833</v>
      </c>
      <c r="AD2099" s="2" t="s">
        <v>180</v>
      </c>
    </row>
    <row r="2100" spans="1:30" x14ac:dyDescent="0.25">
      <c r="A2100" s="2">
        <v>381</v>
      </c>
      <c r="B2100" t="s">
        <v>2837</v>
      </c>
      <c r="C2100">
        <v>12</v>
      </c>
      <c r="D2100">
        <v>490</v>
      </c>
      <c r="E2100">
        <v>6464</v>
      </c>
      <c r="F2100" t="s">
        <v>273</v>
      </c>
      <c r="G2100" s="2" t="s">
        <v>156</v>
      </c>
      <c r="H2100">
        <v>1</v>
      </c>
      <c r="I2100">
        <v>298.16000000000003</v>
      </c>
      <c r="J2100" s="2" t="s">
        <v>170</v>
      </c>
      <c r="K2100" s="2" t="s">
        <v>74</v>
      </c>
      <c r="M2100" t="s">
        <v>3150</v>
      </c>
      <c r="P2100" s="19" t="s">
        <v>2449</v>
      </c>
      <c r="Q2100" s="19" t="s">
        <v>27</v>
      </c>
      <c r="R2100" s="19" t="s">
        <v>138</v>
      </c>
      <c r="W2100" s="20">
        <v>24</v>
      </c>
      <c r="X2100" s="65" t="s">
        <v>2010</v>
      </c>
      <c r="Z2100" t="s">
        <v>307</v>
      </c>
      <c r="AB2100" t="s">
        <v>178</v>
      </c>
      <c r="AC2100" t="s">
        <v>2833</v>
      </c>
      <c r="AD2100" s="2" t="s">
        <v>180</v>
      </c>
    </row>
    <row r="2101" spans="1:30" x14ac:dyDescent="0.25">
      <c r="A2101" s="2">
        <v>382</v>
      </c>
      <c r="B2101" t="s">
        <v>2838</v>
      </c>
      <c r="C2101">
        <v>12</v>
      </c>
      <c r="D2101">
        <v>490</v>
      </c>
      <c r="E2101">
        <v>6464</v>
      </c>
      <c r="F2101" t="s">
        <v>273</v>
      </c>
      <c r="G2101" s="2" t="s">
        <v>156</v>
      </c>
      <c r="H2101">
        <v>1</v>
      </c>
      <c r="I2101">
        <v>298.26</v>
      </c>
      <c r="J2101" s="2" t="s">
        <v>170</v>
      </c>
      <c r="K2101" s="2" t="s">
        <v>74</v>
      </c>
      <c r="M2101" t="s">
        <v>3150</v>
      </c>
      <c r="P2101" s="19" t="s">
        <v>2449</v>
      </c>
      <c r="Q2101" s="19" t="s">
        <v>27</v>
      </c>
      <c r="R2101" s="19" t="s">
        <v>138</v>
      </c>
      <c r="W2101" s="20">
        <v>24</v>
      </c>
      <c r="X2101" s="65" t="s">
        <v>2010</v>
      </c>
      <c r="Z2101" t="s">
        <v>307</v>
      </c>
      <c r="AB2101" t="s">
        <v>178</v>
      </c>
      <c r="AC2101" t="s">
        <v>2839</v>
      </c>
      <c r="AD2101" s="2" t="s">
        <v>180</v>
      </c>
    </row>
    <row r="2102" spans="1:30" x14ac:dyDescent="0.25">
      <c r="A2102" s="2">
        <v>383</v>
      </c>
      <c r="B2102" t="s">
        <v>2841</v>
      </c>
      <c r="C2102">
        <v>12</v>
      </c>
      <c r="D2102">
        <v>490</v>
      </c>
      <c r="E2102">
        <v>6464</v>
      </c>
      <c r="F2102" t="s">
        <v>273</v>
      </c>
      <c r="G2102" s="2" t="s">
        <v>156</v>
      </c>
      <c r="H2102">
        <v>1</v>
      </c>
      <c r="I2102">
        <v>298.26</v>
      </c>
      <c r="J2102" s="2" t="s">
        <v>170</v>
      </c>
      <c r="K2102" s="2" t="s">
        <v>74</v>
      </c>
      <c r="M2102" t="s">
        <v>3150</v>
      </c>
      <c r="P2102" s="19" t="s">
        <v>2449</v>
      </c>
      <c r="Q2102" s="19" t="s">
        <v>27</v>
      </c>
      <c r="R2102" s="19" t="s">
        <v>138</v>
      </c>
      <c r="W2102" s="20">
        <v>24</v>
      </c>
      <c r="X2102" s="65" t="s">
        <v>2010</v>
      </c>
      <c r="Z2102" t="s">
        <v>307</v>
      </c>
      <c r="AB2102" t="s">
        <v>178</v>
      </c>
      <c r="AC2102" t="s">
        <v>2839</v>
      </c>
      <c r="AD2102" s="2" t="s">
        <v>180</v>
      </c>
    </row>
    <row r="2103" spans="1:30" x14ac:dyDescent="0.25">
      <c r="A2103" s="2">
        <v>384</v>
      </c>
      <c r="B2103" t="s">
        <v>2842</v>
      </c>
      <c r="C2103">
        <v>16</v>
      </c>
      <c r="D2103">
        <v>210</v>
      </c>
      <c r="E2103">
        <v>750</v>
      </c>
      <c r="F2103" t="s">
        <v>273</v>
      </c>
      <c r="G2103" s="2" t="s">
        <v>156</v>
      </c>
      <c r="H2103">
        <v>12</v>
      </c>
      <c r="I2103">
        <v>235.33</v>
      </c>
      <c r="J2103" s="2" t="s">
        <v>170</v>
      </c>
      <c r="K2103" s="2" t="s">
        <v>74</v>
      </c>
      <c r="M2103" t="s">
        <v>3150</v>
      </c>
      <c r="P2103" s="19" t="s">
        <v>2449</v>
      </c>
      <c r="Q2103" s="19" t="s">
        <v>25</v>
      </c>
      <c r="S2103" s="19" t="s">
        <v>138</v>
      </c>
      <c r="W2103" s="20">
        <v>24</v>
      </c>
      <c r="X2103" s="65" t="s">
        <v>2010</v>
      </c>
      <c r="Z2103" t="s">
        <v>307</v>
      </c>
      <c r="AB2103" t="s">
        <v>178</v>
      </c>
      <c r="AC2103" t="s">
        <v>2844</v>
      </c>
      <c r="AD2103" s="2" t="s">
        <v>2845</v>
      </c>
    </row>
    <row r="2104" spans="1:30" x14ac:dyDescent="0.25">
      <c r="A2104" s="2">
        <v>385</v>
      </c>
      <c r="B2104" t="s">
        <v>2847</v>
      </c>
      <c r="C2104">
        <v>16</v>
      </c>
      <c r="D2104">
        <v>190</v>
      </c>
      <c r="E2104">
        <v>251</v>
      </c>
      <c r="F2104" t="s">
        <v>273</v>
      </c>
      <c r="G2104" s="2" t="s">
        <v>156</v>
      </c>
      <c r="H2104">
        <v>10</v>
      </c>
      <c r="I2104">
        <v>59.65</v>
      </c>
      <c r="J2104" s="2" t="s">
        <v>170</v>
      </c>
      <c r="K2104" s="2" t="s">
        <v>74</v>
      </c>
      <c r="M2104" t="s">
        <v>3150</v>
      </c>
      <c r="P2104" s="19" t="s">
        <v>2449</v>
      </c>
      <c r="Q2104" s="19" t="s">
        <v>25</v>
      </c>
      <c r="S2104" s="19" t="s">
        <v>138</v>
      </c>
      <c r="W2104" s="20">
        <v>24</v>
      </c>
      <c r="X2104" s="65" t="s">
        <v>2010</v>
      </c>
      <c r="Z2104" t="s">
        <v>307</v>
      </c>
      <c r="AB2104" t="s">
        <v>178</v>
      </c>
      <c r="AC2104" t="s">
        <v>2844</v>
      </c>
      <c r="AD2104" s="2" t="s">
        <v>2845</v>
      </c>
    </row>
    <row r="2105" spans="1:30" x14ac:dyDescent="0.25">
      <c r="A2105" s="2">
        <v>386</v>
      </c>
      <c r="B2105" t="s">
        <v>2848</v>
      </c>
      <c r="C2105">
        <v>16</v>
      </c>
      <c r="D2105">
        <v>210</v>
      </c>
      <c r="E2105">
        <v>651</v>
      </c>
      <c r="F2105" t="s">
        <v>273</v>
      </c>
      <c r="G2105" s="2" t="s">
        <v>156</v>
      </c>
      <c r="H2105">
        <v>10</v>
      </c>
      <c r="I2105">
        <v>171.53</v>
      </c>
      <c r="J2105" s="2" t="s">
        <v>170</v>
      </c>
      <c r="K2105" s="2" t="s">
        <v>74</v>
      </c>
      <c r="M2105" t="s">
        <v>3150</v>
      </c>
      <c r="P2105" s="19" t="s">
        <v>2449</v>
      </c>
      <c r="Q2105" s="19" t="s">
        <v>25</v>
      </c>
      <c r="S2105" s="19" t="s">
        <v>138</v>
      </c>
      <c r="W2105" s="20">
        <v>24</v>
      </c>
      <c r="X2105" s="65" t="s">
        <v>2010</v>
      </c>
      <c r="Z2105" t="s">
        <v>307</v>
      </c>
      <c r="AB2105" t="s">
        <v>178</v>
      </c>
      <c r="AC2105" t="s">
        <v>2844</v>
      </c>
      <c r="AD2105" s="2" t="s">
        <v>2845</v>
      </c>
    </row>
    <row r="2106" spans="1:30" x14ac:dyDescent="0.25">
      <c r="A2106" s="2">
        <v>387</v>
      </c>
      <c r="B2106" t="s">
        <v>2849</v>
      </c>
      <c r="C2106">
        <v>16</v>
      </c>
      <c r="D2106">
        <v>210</v>
      </c>
      <c r="E2106">
        <v>750</v>
      </c>
      <c r="F2106" t="s">
        <v>273</v>
      </c>
      <c r="G2106" s="2" t="s">
        <v>156</v>
      </c>
      <c r="H2106">
        <v>12</v>
      </c>
      <c r="I2106">
        <v>235.33</v>
      </c>
      <c r="J2106" s="2" t="s">
        <v>170</v>
      </c>
      <c r="K2106" s="2" t="s">
        <v>74</v>
      </c>
      <c r="M2106" t="s">
        <v>3150</v>
      </c>
      <c r="P2106" s="19" t="s">
        <v>2449</v>
      </c>
      <c r="Q2106" s="19" t="s">
        <v>25</v>
      </c>
      <c r="S2106" s="19" t="s">
        <v>138</v>
      </c>
      <c r="W2106" s="20">
        <v>24</v>
      </c>
      <c r="X2106" s="65" t="s">
        <v>2010</v>
      </c>
      <c r="Z2106" t="s">
        <v>307</v>
      </c>
      <c r="AB2106" t="s">
        <v>178</v>
      </c>
      <c r="AC2106" t="s">
        <v>2844</v>
      </c>
      <c r="AD2106" s="2" t="s">
        <v>2845</v>
      </c>
    </row>
    <row r="2107" spans="1:30" x14ac:dyDescent="0.25">
      <c r="A2107" s="2">
        <v>388</v>
      </c>
      <c r="B2107" t="s">
        <v>2850</v>
      </c>
      <c r="C2107">
        <v>16</v>
      </c>
      <c r="D2107">
        <v>190</v>
      </c>
      <c r="E2107">
        <v>251</v>
      </c>
      <c r="F2107" t="s">
        <v>273</v>
      </c>
      <c r="G2107" s="2" t="s">
        <v>156</v>
      </c>
      <c r="H2107">
        <v>10</v>
      </c>
      <c r="I2107">
        <v>59.65</v>
      </c>
      <c r="J2107" s="2" t="s">
        <v>170</v>
      </c>
      <c r="K2107" s="2" t="s">
        <v>74</v>
      </c>
      <c r="M2107" t="s">
        <v>3150</v>
      </c>
      <c r="P2107" s="19" t="s">
        <v>2449</v>
      </c>
      <c r="Q2107" s="19" t="s">
        <v>25</v>
      </c>
      <c r="S2107" s="19" t="s">
        <v>138</v>
      </c>
      <c r="W2107" s="20">
        <v>24</v>
      </c>
      <c r="X2107" s="65" t="s">
        <v>2010</v>
      </c>
      <c r="Z2107" t="s">
        <v>307</v>
      </c>
      <c r="AB2107" t="s">
        <v>178</v>
      </c>
      <c r="AC2107" t="s">
        <v>2844</v>
      </c>
      <c r="AD2107" s="2" t="s">
        <v>2845</v>
      </c>
    </row>
    <row r="2108" spans="1:30" x14ac:dyDescent="0.25">
      <c r="A2108" s="2">
        <v>389</v>
      </c>
      <c r="B2108" t="s">
        <v>2851</v>
      </c>
      <c r="C2108">
        <v>16</v>
      </c>
      <c r="D2108">
        <v>210</v>
      </c>
      <c r="E2108">
        <v>651</v>
      </c>
      <c r="F2108" t="s">
        <v>273</v>
      </c>
      <c r="G2108" s="2" t="s">
        <v>156</v>
      </c>
      <c r="H2108">
        <v>10</v>
      </c>
      <c r="I2108">
        <v>171.53</v>
      </c>
      <c r="J2108" s="2" t="s">
        <v>170</v>
      </c>
      <c r="K2108" s="2" t="s">
        <v>74</v>
      </c>
      <c r="M2108" t="s">
        <v>3150</v>
      </c>
      <c r="P2108" s="19" t="s">
        <v>2449</v>
      </c>
      <c r="Q2108" s="19" t="s">
        <v>25</v>
      </c>
      <c r="S2108" s="19" t="s">
        <v>138</v>
      </c>
      <c r="W2108" s="20">
        <v>24</v>
      </c>
      <c r="X2108" s="65" t="s">
        <v>2010</v>
      </c>
      <c r="Z2108" t="s">
        <v>307</v>
      </c>
      <c r="AB2108" t="s">
        <v>178</v>
      </c>
      <c r="AC2108" t="s">
        <v>2844</v>
      </c>
      <c r="AD2108" s="2" t="s">
        <v>2845</v>
      </c>
    </row>
    <row r="2109" spans="1:30" x14ac:dyDescent="0.25">
      <c r="A2109" s="2">
        <v>390</v>
      </c>
      <c r="B2109" t="s">
        <v>2852</v>
      </c>
      <c r="C2109">
        <v>16</v>
      </c>
      <c r="D2109">
        <v>210</v>
      </c>
      <c r="E2109">
        <v>651</v>
      </c>
      <c r="F2109" t="s">
        <v>273</v>
      </c>
      <c r="G2109" s="2" t="s">
        <v>156</v>
      </c>
      <c r="H2109">
        <v>2</v>
      </c>
      <c r="I2109">
        <v>34.31</v>
      </c>
      <c r="J2109" s="2" t="s">
        <v>170</v>
      </c>
      <c r="K2109" s="2" t="s">
        <v>74</v>
      </c>
      <c r="M2109" t="s">
        <v>3150</v>
      </c>
      <c r="P2109" s="19" t="s">
        <v>2449</v>
      </c>
      <c r="Q2109" s="19" t="s">
        <v>25</v>
      </c>
      <c r="S2109" s="19" t="s">
        <v>138</v>
      </c>
      <c r="W2109" s="20">
        <v>24</v>
      </c>
      <c r="X2109" s="65" t="s">
        <v>2010</v>
      </c>
      <c r="Z2109" t="s">
        <v>307</v>
      </c>
      <c r="AB2109" t="s">
        <v>178</v>
      </c>
      <c r="AC2109" t="s">
        <v>2844</v>
      </c>
      <c r="AD2109" s="2" t="s">
        <v>2845</v>
      </c>
    </row>
    <row r="2110" spans="1:30" x14ac:dyDescent="0.25">
      <c r="A2110" s="2">
        <v>391</v>
      </c>
      <c r="B2110" t="s">
        <v>2853</v>
      </c>
      <c r="C2110">
        <v>16</v>
      </c>
      <c r="D2110">
        <v>210</v>
      </c>
      <c r="E2110">
        <v>651</v>
      </c>
      <c r="F2110" t="s">
        <v>273</v>
      </c>
      <c r="G2110" s="2" t="s">
        <v>156</v>
      </c>
      <c r="H2110">
        <v>2</v>
      </c>
      <c r="I2110">
        <v>34.31</v>
      </c>
      <c r="J2110" s="2" t="s">
        <v>170</v>
      </c>
      <c r="K2110" s="2" t="s">
        <v>74</v>
      </c>
      <c r="M2110" t="s">
        <v>3150</v>
      </c>
      <c r="P2110" s="19" t="s">
        <v>2449</v>
      </c>
      <c r="Q2110" s="19" t="s">
        <v>25</v>
      </c>
      <c r="S2110" s="19" t="s">
        <v>138</v>
      </c>
      <c r="W2110" s="20">
        <v>24</v>
      </c>
      <c r="X2110" s="65" t="s">
        <v>2010</v>
      </c>
      <c r="Z2110" t="s">
        <v>307</v>
      </c>
      <c r="AB2110" t="s">
        <v>178</v>
      </c>
      <c r="AC2110" t="s">
        <v>2844</v>
      </c>
      <c r="AD2110" s="2" t="s">
        <v>2845</v>
      </c>
    </row>
    <row r="2111" spans="1:30" x14ac:dyDescent="0.25">
      <c r="A2111" s="2">
        <v>392</v>
      </c>
      <c r="B2111" t="s">
        <v>2854</v>
      </c>
      <c r="C2111">
        <v>16</v>
      </c>
      <c r="D2111">
        <v>210</v>
      </c>
      <c r="E2111">
        <v>750</v>
      </c>
      <c r="F2111" t="s">
        <v>273</v>
      </c>
      <c r="G2111" s="2" t="s">
        <v>156</v>
      </c>
      <c r="H2111">
        <v>12</v>
      </c>
      <c r="I2111">
        <v>235.33</v>
      </c>
      <c r="J2111" s="2" t="s">
        <v>170</v>
      </c>
      <c r="K2111" s="2" t="s">
        <v>74</v>
      </c>
      <c r="M2111" t="s">
        <v>3150</v>
      </c>
      <c r="P2111" s="19" t="s">
        <v>2449</v>
      </c>
      <c r="Q2111" s="19" t="s">
        <v>25</v>
      </c>
      <c r="S2111" s="19" t="s">
        <v>138</v>
      </c>
      <c r="W2111" s="20">
        <v>24</v>
      </c>
      <c r="X2111" s="65" t="s">
        <v>2010</v>
      </c>
      <c r="Z2111" t="s">
        <v>307</v>
      </c>
      <c r="AB2111" t="s">
        <v>178</v>
      </c>
      <c r="AC2111" t="s">
        <v>2844</v>
      </c>
      <c r="AD2111" s="2" t="s">
        <v>2845</v>
      </c>
    </row>
    <row r="2112" spans="1:30" x14ac:dyDescent="0.25">
      <c r="A2112" s="2">
        <v>393</v>
      </c>
      <c r="B2112" t="s">
        <v>2855</v>
      </c>
      <c r="C2112">
        <v>16</v>
      </c>
      <c r="D2112">
        <v>190</v>
      </c>
      <c r="E2112">
        <v>251</v>
      </c>
      <c r="F2112" t="s">
        <v>273</v>
      </c>
      <c r="G2112" s="2" t="s">
        <v>156</v>
      </c>
      <c r="H2112">
        <v>8</v>
      </c>
      <c r="I2112">
        <v>47.72</v>
      </c>
      <c r="J2112" s="2" t="s">
        <v>170</v>
      </c>
      <c r="K2112" s="2" t="s">
        <v>74</v>
      </c>
      <c r="M2112" t="s">
        <v>3150</v>
      </c>
      <c r="P2112" s="19" t="s">
        <v>2449</v>
      </c>
      <c r="Q2112" s="19" t="s">
        <v>25</v>
      </c>
      <c r="S2112" s="19" t="s">
        <v>138</v>
      </c>
      <c r="W2112" s="20">
        <v>24</v>
      </c>
      <c r="X2112" s="65" t="s">
        <v>2010</v>
      </c>
      <c r="Z2112" t="s">
        <v>307</v>
      </c>
      <c r="AB2112" t="s">
        <v>178</v>
      </c>
      <c r="AC2112" t="s">
        <v>2844</v>
      </c>
      <c r="AD2112" s="2" t="s">
        <v>2845</v>
      </c>
    </row>
    <row r="2113" spans="1:30" x14ac:dyDescent="0.25">
      <c r="A2113" s="2">
        <v>394</v>
      </c>
      <c r="B2113" t="s">
        <v>2856</v>
      </c>
      <c r="C2113">
        <v>16</v>
      </c>
      <c r="D2113">
        <v>210</v>
      </c>
      <c r="E2113">
        <v>651</v>
      </c>
      <c r="F2113" t="s">
        <v>273</v>
      </c>
      <c r="G2113" s="2" t="s">
        <v>156</v>
      </c>
      <c r="H2113">
        <v>10</v>
      </c>
      <c r="I2113">
        <v>171.53</v>
      </c>
      <c r="J2113" s="2" t="s">
        <v>170</v>
      </c>
      <c r="K2113" s="2" t="s">
        <v>74</v>
      </c>
      <c r="M2113" t="s">
        <v>3150</v>
      </c>
      <c r="P2113" s="19" t="s">
        <v>2449</v>
      </c>
      <c r="Q2113" s="19" t="s">
        <v>25</v>
      </c>
      <c r="S2113" s="19" t="s">
        <v>138</v>
      </c>
      <c r="W2113" s="20">
        <v>24</v>
      </c>
      <c r="X2113" s="65" t="s">
        <v>2010</v>
      </c>
      <c r="Z2113" t="s">
        <v>307</v>
      </c>
      <c r="AB2113" t="s">
        <v>178</v>
      </c>
      <c r="AC2113" t="s">
        <v>2844</v>
      </c>
      <c r="AD2113" s="2" t="s">
        <v>2845</v>
      </c>
    </row>
    <row r="2114" spans="1:30" x14ac:dyDescent="0.25">
      <c r="A2114" s="2">
        <v>395</v>
      </c>
      <c r="B2114" t="s">
        <v>2857</v>
      </c>
      <c r="C2114">
        <v>16</v>
      </c>
      <c r="D2114">
        <v>210</v>
      </c>
      <c r="E2114">
        <v>750</v>
      </c>
      <c r="F2114" t="s">
        <v>273</v>
      </c>
      <c r="G2114" s="2" t="s">
        <v>156</v>
      </c>
      <c r="H2114">
        <v>12</v>
      </c>
      <c r="I2114">
        <v>235.33</v>
      </c>
      <c r="J2114" s="2" t="s">
        <v>170</v>
      </c>
      <c r="K2114" s="2" t="s">
        <v>74</v>
      </c>
      <c r="M2114" t="s">
        <v>3150</v>
      </c>
      <c r="P2114" s="19" t="s">
        <v>2449</v>
      </c>
      <c r="Q2114" s="19" t="s">
        <v>25</v>
      </c>
      <c r="S2114" s="19" t="s">
        <v>138</v>
      </c>
      <c r="W2114" s="20">
        <v>24</v>
      </c>
      <c r="X2114" s="65" t="s">
        <v>2010</v>
      </c>
      <c r="Z2114" t="s">
        <v>307</v>
      </c>
      <c r="AB2114" t="s">
        <v>178</v>
      </c>
      <c r="AC2114" t="s">
        <v>2844</v>
      </c>
      <c r="AD2114" s="2" t="s">
        <v>2845</v>
      </c>
    </row>
    <row r="2115" spans="1:30" x14ac:dyDescent="0.25">
      <c r="A2115" s="2">
        <v>396</v>
      </c>
      <c r="B2115" t="s">
        <v>2858</v>
      </c>
      <c r="C2115">
        <v>16</v>
      </c>
      <c r="D2115">
        <v>190</v>
      </c>
      <c r="E2115">
        <v>251</v>
      </c>
      <c r="F2115" t="s">
        <v>273</v>
      </c>
      <c r="G2115" s="2" t="s">
        <v>156</v>
      </c>
      <c r="H2115">
        <v>10</v>
      </c>
      <c r="I2115">
        <v>59.65</v>
      </c>
      <c r="J2115" s="2" t="s">
        <v>170</v>
      </c>
      <c r="K2115" s="2" t="s">
        <v>74</v>
      </c>
      <c r="M2115" t="s">
        <v>3150</v>
      </c>
      <c r="P2115" s="19" t="s">
        <v>2449</v>
      </c>
      <c r="Q2115" s="19" t="s">
        <v>25</v>
      </c>
      <c r="S2115" s="19" t="s">
        <v>138</v>
      </c>
      <c r="W2115" s="20">
        <v>24</v>
      </c>
      <c r="X2115" s="65" t="s">
        <v>2010</v>
      </c>
      <c r="Z2115" t="s">
        <v>307</v>
      </c>
      <c r="AB2115" t="s">
        <v>178</v>
      </c>
      <c r="AC2115" t="s">
        <v>2844</v>
      </c>
      <c r="AD2115" s="2" t="s">
        <v>2845</v>
      </c>
    </row>
    <row r="2116" spans="1:30" x14ac:dyDescent="0.25">
      <c r="A2116" s="2">
        <v>397</v>
      </c>
      <c r="B2116" t="s">
        <v>2859</v>
      </c>
      <c r="C2116">
        <v>16</v>
      </c>
      <c r="D2116">
        <v>210</v>
      </c>
      <c r="E2116">
        <v>651</v>
      </c>
      <c r="F2116" t="s">
        <v>273</v>
      </c>
      <c r="G2116" s="2" t="s">
        <v>156</v>
      </c>
      <c r="H2116">
        <v>10</v>
      </c>
      <c r="I2116">
        <v>171.53</v>
      </c>
      <c r="J2116" s="2" t="s">
        <v>170</v>
      </c>
      <c r="K2116" s="2" t="s">
        <v>74</v>
      </c>
      <c r="M2116" t="s">
        <v>3150</v>
      </c>
      <c r="P2116" s="19" t="s">
        <v>2449</v>
      </c>
      <c r="Q2116" s="19" t="s">
        <v>25</v>
      </c>
      <c r="S2116" s="19" t="s">
        <v>138</v>
      </c>
      <c r="W2116" s="20">
        <v>24</v>
      </c>
      <c r="X2116" s="65" t="s">
        <v>2010</v>
      </c>
      <c r="Z2116" t="s">
        <v>307</v>
      </c>
      <c r="AB2116" t="s">
        <v>178</v>
      </c>
      <c r="AC2116" t="s">
        <v>2844</v>
      </c>
      <c r="AD2116" s="2" t="s">
        <v>2845</v>
      </c>
    </row>
    <row r="2117" spans="1:30" x14ac:dyDescent="0.25">
      <c r="A2117" s="2">
        <v>398</v>
      </c>
      <c r="B2117" t="s">
        <v>2860</v>
      </c>
      <c r="C2117">
        <v>16</v>
      </c>
      <c r="D2117">
        <v>210</v>
      </c>
      <c r="E2117">
        <v>750</v>
      </c>
      <c r="F2117" t="s">
        <v>273</v>
      </c>
      <c r="G2117" s="2" t="s">
        <v>156</v>
      </c>
      <c r="H2117">
        <v>12</v>
      </c>
      <c r="I2117">
        <v>235.33</v>
      </c>
      <c r="J2117" s="2" t="s">
        <v>170</v>
      </c>
      <c r="K2117" s="2" t="s">
        <v>74</v>
      </c>
      <c r="M2117" t="s">
        <v>3150</v>
      </c>
      <c r="P2117" s="19" t="s">
        <v>2449</v>
      </c>
      <c r="Q2117" s="19" t="s">
        <v>25</v>
      </c>
      <c r="S2117" s="19" t="s">
        <v>138</v>
      </c>
      <c r="W2117" s="20">
        <v>24</v>
      </c>
      <c r="X2117" s="65" t="s">
        <v>2010</v>
      </c>
      <c r="Z2117" t="s">
        <v>307</v>
      </c>
      <c r="AB2117" t="s">
        <v>178</v>
      </c>
      <c r="AC2117" t="s">
        <v>2844</v>
      </c>
      <c r="AD2117" s="2" t="s">
        <v>2845</v>
      </c>
    </row>
    <row r="2118" spans="1:30" x14ac:dyDescent="0.25">
      <c r="A2118" s="2">
        <v>399</v>
      </c>
      <c r="B2118" t="s">
        <v>2861</v>
      </c>
      <c r="C2118">
        <v>16</v>
      </c>
      <c r="D2118">
        <v>210</v>
      </c>
      <c r="E2118">
        <v>651</v>
      </c>
      <c r="F2118" t="s">
        <v>273</v>
      </c>
      <c r="G2118" s="2" t="s">
        <v>156</v>
      </c>
      <c r="H2118">
        <v>9</v>
      </c>
      <c r="I2118">
        <v>154.37</v>
      </c>
      <c r="J2118" s="2" t="s">
        <v>170</v>
      </c>
      <c r="K2118" s="2" t="s">
        <v>74</v>
      </c>
      <c r="M2118" t="s">
        <v>3150</v>
      </c>
      <c r="P2118" s="19" t="s">
        <v>2449</v>
      </c>
      <c r="Q2118" s="19" t="s">
        <v>25</v>
      </c>
      <c r="S2118" s="19" t="s">
        <v>138</v>
      </c>
      <c r="W2118" s="20">
        <v>24</v>
      </c>
      <c r="X2118" s="65" t="s">
        <v>2010</v>
      </c>
      <c r="Z2118" t="s">
        <v>307</v>
      </c>
      <c r="AB2118" t="s">
        <v>178</v>
      </c>
      <c r="AC2118" t="s">
        <v>2844</v>
      </c>
      <c r="AD2118" s="2" t="s">
        <v>2845</v>
      </c>
    </row>
    <row r="2119" spans="1:30" x14ac:dyDescent="0.25">
      <c r="A2119" s="2">
        <v>400</v>
      </c>
      <c r="B2119" t="s">
        <v>2862</v>
      </c>
      <c r="C2119">
        <v>16</v>
      </c>
      <c r="D2119">
        <v>210</v>
      </c>
      <c r="E2119">
        <v>750</v>
      </c>
      <c r="F2119" t="s">
        <v>273</v>
      </c>
      <c r="G2119" s="2" t="s">
        <v>156</v>
      </c>
      <c r="H2119">
        <v>12</v>
      </c>
      <c r="I2119">
        <v>235.33</v>
      </c>
      <c r="J2119" s="2" t="s">
        <v>170</v>
      </c>
      <c r="K2119" s="2" t="s">
        <v>74</v>
      </c>
      <c r="M2119" t="s">
        <v>3150</v>
      </c>
      <c r="P2119" s="19" t="s">
        <v>2449</v>
      </c>
      <c r="Q2119" s="19" t="s">
        <v>25</v>
      </c>
      <c r="S2119" s="19" t="s">
        <v>138</v>
      </c>
      <c r="W2119" s="20">
        <v>24</v>
      </c>
      <c r="X2119" s="65" t="s">
        <v>2010</v>
      </c>
      <c r="Z2119" t="s">
        <v>307</v>
      </c>
      <c r="AB2119" t="s">
        <v>178</v>
      </c>
      <c r="AC2119" t="s">
        <v>2844</v>
      </c>
      <c r="AD2119" s="2" t="s">
        <v>2845</v>
      </c>
    </row>
    <row r="2120" spans="1:30" x14ac:dyDescent="0.25">
      <c r="A2120" s="2">
        <v>401</v>
      </c>
      <c r="B2120" t="s">
        <v>2863</v>
      </c>
      <c r="C2120">
        <v>16</v>
      </c>
      <c r="D2120">
        <v>190</v>
      </c>
      <c r="E2120">
        <v>251</v>
      </c>
      <c r="F2120" t="s">
        <v>273</v>
      </c>
      <c r="G2120" s="2" t="s">
        <v>156</v>
      </c>
      <c r="H2120">
        <v>2</v>
      </c>
      <c r="I2120">
        <v>11.93</v>
      </c>
      <c r="J2120" s="2" t="s">
        <v>170</v>
      </c>
      <c r="K2120" s="2" t="s">
        <v>74</v>
      </c>
      <c r="M2120" t="s">
        <v>3150</v>
      </c>
      <c r="P2120" s="19" t="s">
        <v>2449</v>
      </c>
      <c r="Q2120" s="19" t="s">
        <v>25</v>
      </c>
      <c r="R2120" s="19" t="s">
        <v>138</v>
      </c>
      <c r="W2120" s="20">
        <v>24</v>
      </c>
      <c r="X2120" s="65" t="s">
        <v>2010</v>
      </c>
      <c r="Z2120" t="s">
        <v>307</v>
      </c>
      <c r="AB2120" t="s">
        <v>178</v>
      </c>
      <c r="AC2120" t="s">
        <v>2864</v>
      </c>
      <c r="AD2120" s="2" t="s">
        <v>180</v>
      </c>
    </row>
    <row r="2121" spans="1:30" x14ac:dyDescent="0.25">
      <c r="A2121" s="2">
        <v>402</v>
      </c>
      <c r="B2121" t="s">
        <v>2866</v>
      </c>
      <c r="C2121">
        <v>16</v>
      </c>
      <c r="D2121">
        <v>190</v>
      </c>
      <c r="E2121">
        <v>251</v>
      </c>
      <c r="F2121" t="s">
        <v>273</v>
      </c>
      <c r="G2121" s="2" t="s">
        <v>156</v>
      </c>
      <c r="H2121">
        <v>2</v>
      </c>
      <c r="I2121">
        <v>11.93</v>
      </c>
      <c r="J2121" s="2" t="s">
        <v>170</v>
      </c>
      <c r="K2121" s="2" t="s">
        <v>74</v>
      </c>
      <c r="M2121" t="s">
        <v>3150</v>
      </c>
      <c r="P2121" s="19" t="s">
        <v>2449</v>
      </c>
      <c r="Q2121" s="19" t="s">
        <v>25</v>
      </c>
      <c r="R2121" s="19" t="s">
        <v>138</v>
      </c>
      <c r="W2121" s="20">
        <v>24</v>
      </c>
      <c r="X2121" s="65" t="s">
        <v>2010</v>
      </c>
      <c r="Z2121" t="s">
        <v>307</v>
      </c>
      <c r="AB2121" t="s">
        <v>178</v>
      </c>
      <c r="AC2121" t="s">
        <v>2864</v>
      </c>
      <c r="AD2121" s="2" t="s">
        <v>180</v>
      </c>
    </row>
    <row r="2122" spans="1:30" x14ac:dyDescent="0.25">
      <c r="A2122" s="2">
        <v>403</v>
      </c>
      <c r="B2122" t="s">
        <v>2855</v>
      </c>
      <c r="C2122">
        <v>16</v>
      </c>
      <c r="D2122">
        <v>190</v>
      </c>
      <c r="E2122">
        <v>251</v>
      </c>
      <c r="F2122" t="s">
        <v>273</v>
      </c>
      <c r="G2122" s="2" t="s">
        <v>156</v>
      </c>
      <c r="H2122">
        <v>2</v>
      </c>
      <c r="I2122">
        <v>11.93</v>
      </c>
      <c r="J2122" s="2" t="s">
        <v>170</v>
      </c>
      <c r="K2122" s="2" t="s">
        <v>74</v>
      </c>
      <c r="M2122" t="s">
        <v>3150</v>
      </c>
      <c r="P2122" s="19" t="s">
        <v>2449</v>
      </c>
      <c r="Q2122" s="19" t="s">
        <v>25</v>
      </c>
      <c r="R2122" s="19" t="s">
        <v>138</v>
      </c>
      <c r="W2122" s="20">
        <v>24</v>
      </c>
      <c r="X2122" s="65" t="s">
        <v>2010</v>
      </c>
      <c r="Z2122" t="s">
        <v>307</v>
      </c>
      <c r="AB2122" t="s">
        <v>178</v>
      </c>
      <c r="AC2122" t="s">
        <v>2864</v>
      </c>
      <c r="AD2122" s="2" t="s">
        <v>180</v>
      </c>
    </row>
    <row r="2123" spans="1:30" x14ac:dyDescent="0.25">
      <c r="A2123" s="2">
        <v>404</v>
      </c>
      <c r="B2123" t="s">
        <v>2867</v>
      </c>
      <c r="C2123">
        <v>16</v>
      </c>
      <c r="D2123">
        <v>190</v>
      </c>
      <c r="E2123">
        <v>251</v>
      </c>
      <c r="F2123" t="s">
        <v>273</v>
      </c>
      <c r="G2123" s="2" t="s">
        <v>156</v>
      </c>
      <c r="H2123">
        <v>10</v>
      </c>
      <c r="I2123">
        <v>59.65</v>
      </c>
      <c r="J2123" s="2" t="s">
        <v>170</v>
      </c>
      <c r="K2123" s="2" t="s">
        <v>74</v>
      </c>
      <c r="M2123" t="s">
        <v>3150</v>
      </c>
      <c r="P2123" s="19" t="s">
        <v>2449</v>
      </c>
      <c r="Q2123" s="19" t="s">
        <v>25</v>
      </c>
      <c r="R2123" s="19" t="s">
        <v>138</v>
      </c>
      <c r="W2123" s="20">
        <v>24</v>
      </c>
      <c r="X2123" s="65" t="s">
        <v>2010</v>
      </c>
      <c r="Z2123" t="s">
        <v>307</v>
      </c>
      <c r="AB2123" t="s">
        <v>178</v>
      </c>
      <c r="AC2123" t="s">
        <v>2864</v>
      </c>
      <c r="AD2123" s="2" t="s">
        <v>180</v>
      </c>
    </row>
    <row r="2124" spans="1:30" x14ac:dyDescent="0.25">
      <c r="A2124" s="2">
        <v>405</v>
      </c>
      <c r="B2124" t="s">
        <v>2861</v>
      </c>
      <c r="C2124">
        <v>16</v>
      </c>
      <c r="D2124">
        <v>210</v>
      </c>
      <c r="E2124">
        <v>651</v>
      </c>
      <c r="F2124" t="s">
        <v>273</v>
      </c>
      <c r="G2124" s="2" t="s">
        <v>156</v>
      </c>
      <c r="H2124">
        <v>1</v>
      </c>
      <c r="I2124">
        <v>17.149999999999999</v>
      </c>
      <c r="J2124" s="2" t="s">
        <v>170</v>
      </c>
      <c r="K2124" s="2" t="s">
        <v>74</v>
      </c>
      <c r="M2124" t="s">
        <v>3150</v>
      </c>
      <c r="P2124" s="19" t="s">
        <v>2449</v>
      </c>
      <c r="Q2124" s="19" t="s">
        <v>25</v>
      </c>
      <c r="R2124" s="19" t="s">
        <v>138</v>
      </c>
      <c r="W2124" s="20">
        <v>24</v>
      </c>
      <c r="X2124" s="65" t="s">
        <v>2010</v>
      </c>
      <c r="Z2124" t="s">
        <v>307</v>
      </c>
      <c r="AB2124" t="s">
        <v>178</v>
      </c>
      <c r="AC2124" t="s">
        <v>2864</v>
      </c>
      <c r="AD2124" s="2" t="s">
        <v>180</v>
      </c>
    </row>
    <row r="2125" spans="1:30" x14ac:dyDescent="0.25">
      <c r="A2125" s="2">
        <v>406</v>
      </c>
      <c r="B2125" t="s">
        <v>2868</v>
      </c>
      <c r="C2125">
        <v>16</v>
      </c>
      <c r="D2125">
        <v>190</v>
      </c>
      <c r="E2125">
        <v>251</v>
      </c>
      <c r="F2125" t="s">
        <v>273</v>
      </c>
      <c r="G2125" s="2" t="s">
        <v>156</v>
      </c>
      <c r="H2125">
        <v>10</v>
      </c>
      <c r="I2125">
        <v>59.65</v>
      </c>
      <c r="J2125" s="2" t="s">
        <v>170</v>
      </c>
      <c r="K2125" s="2" t="s">
        <v>74</v>
      </c>
      <c r="M2125" t="s">
        <v>3150</v>
      </c>
      <c r="P2125" s="19" t="s">
        <v>2449</v>
      </c>
      <c r="Q2125" s="19" t="s">
        <v>25</v>
      </c>
      <c r="R2125" s="19" t="s">
        <v>138</v>
      </c>
      <c r="W2125" s="20">
        <v>24</v>
      </c>
      <c r="X2125" s="65" t="s">
        <v>2010</v>
      </c>
      <c r="Z2125" t="s">
        <v>307</v>
      </c>
      <c r="AB2125" t="s">
        <v>178</v>
      </c>
      <c r="AC2125" t="s">
        <v>2864</v>
      </c>
      <c r="AD2125" s="2" t="s">
        <v>180</v>
      </c>
    </row>
    <row r="2126" spans="1:30" x14ac:dyDescent="0.25">
      <c r="A2126" s="2">
        <v>407</v>
      </c>
      <c r="B2126" t="s">
        <v>2869</v>
      </c>
      <c r="C2126">
        <v>16</v>
      </c>
      <c r="D2126">
        <v>210</v>
      </c>
      <c r="E2126">
        <v>651</v>
      </c>
      <c r="F2126" t="s">
        <v>273</v>
      </c>
      <c r="G2126" s="2" t="s">
        <v>156</v>
      </c>
      <c r="H2126">
        <v>10</v>
      </c>
      <c r="I2126">
        <v>171.53</v>
      </c>
      <c r="J2126" s="2" t="s">
        <v>170</v>
      </c>
      <c r="K2126" s="2" t="s">
        <v>74</v>
      </c>
      <c r="M2126" t="s">
        <v>3150</v>
      </c>
      <c r="P2126" s="19" t="s">
        <v>2449</v>
      </c>
      <c r="Q2126" s="19" t="s">
        <v>25</v>
      </c>
      <c r="R2126" s="19" t="s">
        <v>138</v>
      </c>
      <c r="W2126" s="20">
        <v>24</v>
      </c>
      <c r="X2126" s="65" t="s">
        <v>2010</v>
      </c>
      <c r="Z2126" t="s">
        <v>307</v>
      </c>
      <c r="AB2126" t="s">
        <v>178</v>
      </c>
      <c r="AC2126" t="s">
        <v>2864</v>
      </c>
      <c r="AD2126" s="2" t="s">
        <v>180</v>
      </c>
    </row>
    <row r="2127" spans="1:30" x14ac:dyDescent="0.25">
      <c r="A2127" s="2">
        <v>408</v>
      </c>
      <c r="B2127" t="s">
        <v>2870</v>
      </c>
      <c r="C2127">
        <v>20</v>
      </c>
      <c r="D2127">
        <v>300</v>
      </c>
      <c r="E2127">
        <v>1383</v>
      </c>
      <c r="F2127" t="s">
        <v>273</v>
      </c>
      <c r="G2127" s="2" t="s">
        <v>156</v>
      </c>
      <c r="H2127">
        <v>1</v>
      </c>
      <c r="I2127">
        <v>65.14</v>
      </c>
      <c r="J2127" s="2" t="s">
        <v>170</v>
      </c>
      <c r="K2127" s="2" t="s">
        <v>74</v>
      </c>
      <c r="M2127" t="s">
        <v>3150</v>
      </c>
      <c r="P2127" s="19" t="s">
        <v>2449</v>
      </c>
      <c r="Q2127" s="19" t="s">
        <v>27</v>
      </c>
      <c r="S2127" s="19" t="s">
        <v>138</v>
      </c>
      <c r="V2127" s="19" t="s">
        <v>138</v>
      </c>
      <c r="W2127" s="20">
        <v>24</v>
      </c>
      <c r="X2127" s="65" t="s">
        <v>2010</v>
      </c>
      <c r="Z2127" t="s">
        <v>307</v>
      </c>
      <c r="AB2127" t="s">
        <v>178</v>
      </c>
      <c r="AC2127" t="s">
        <v>2872</v>
      </c>
      <c r="AD2127" s="2" t="s">
        <v>2873</v>
      </c>
    </row>
    <row r="2128" spans="1:30" x14ac:dyDescent="0.25">
      <c r="A2128" s="2">
        <v>409</v>
      </c>
      <c r="B2128" t="s">
        <v>2875</v>
      </c>
      <c r="C2128">
        <v>20</v>
      </c>
      <c r="D2128">
        <v>300</v>
      </c>
      <c r="E2128">
        <v>1383</v>
      </c>
      <c r="F2128" t="s">
        <v>273</v>
      </c>
      <c r="G2128" s="2" t="s">
        <v>156</v>
      </c>
      <c r="H2128">
        <v>1</v>
      </c>
      <c r="I2128">
        <v>65.14</v>
      </c>
      <c r="J2128" s="2" t="s">
        <v>170</v>
      </c>
      <c r="K2128" s="2" t="s">
        <v>74</v>
      </c>
      <c r="M2128" t="s">
        <v>3150</v>
      </c>
      <c r="P2128" s="19" t="s">
        <v>2449</v>
      </c>
      <c r="Q2128" s="19" t="s">
        <v>27</v>
      </c>
      <c r="S2128" s="19" t="s">
        <v>138</v>
      </c>
      <c r="V2128" s="19" t="s">
        <v>138</v>
      </c>
      <c r="W2128" s="20">
        <v>24</v>
      </c>
      <c r="X2128" s="65" t="s">
        <v>2010</v>
      </c>
      <c r="Z2128" t="s">
        <v>307</v>
      </c>
      <c r="AB2128" t="s">
        <v>178</v>
      </c>
      <c r="AC2128" t="s">
        <v>2872</v>
      </c>
      <c r="AD2128" s="2" t="s">
        <v>2873</v>
      </c>
    </row>
    <row r="2129" spans="1:30" x14ac:dyDescent="0.25">
      <c r="A2129" s="2">
        <v>410</v>
      </c>
      <c r="B2129" t="s">
        <v>2876</v>
      </c>
      <c r="C2129">
        <v>20</v>
      </c>
      <c r="D2129">
        <v>300</v>
      </c>
      <c r="E2129">
        <v>1383</v>
      </c>
      <c r="F2129" t="s">
        <v>273</v>
      </c>
      <c r="G2129" s="2" t="s">
        <v>156</v>
      </c>
      <c r="H2129">
        <v>1</v>
      </c>
      <c r="I2129">
        <v>65.14</v>
      </c>
      <c r="J2129" s="2" t="s">
        <v>170</v>
      </c>
      <c r="K2129" s="2" t="s">
        <v>74</v>
      </c>
      <c r="M2129" t="s">
        <v>3150</v>
      </c>
      <c r="P2129" s="19" t="s">
        <v>2449</v>
      </c>
      <c r="Q2129" s="19" t="s">
        <v>27</v>
      </c>
      <c r="S2129" s="19" t="s">
        <v>138</v>
      </c>
      <c r="V2129" s="19" t="s">
        <v>138</v>
      </c>
      <c r="W2129" s="20">
        <v>24</v>
      </c>
      <c r="X2129" s="65" t="s">
        <v>2010</v>
      </c>
      <c r="Z2129" t="s">
        <v>307</v>
      </c>
      <c r="AB2129" t="s">
        <v>178</v>
      </c>
      <c r="AC2129" t="s">
        <v>2872</v>
      </c>
      <c r="AD2129" s="2" t="s">
        <v>2873</v>
      </c>
    </row>
    <row r="2130" spans="1:30" x14ac:dyDescent="0.25">
      <c r="A2130" s="2">
        <v>411</v>
      </c>
      <c r="B2130" t="s">
        <v>2877</v>
      </c>
      <c r="C2130">
        <v>20</v>
      </c>
      <c r="D2130">
        <v>300</v>
      </c>
      <c r="E2130">
        <v>1383</v>
      </c>
      <c r="F2130" t="s">
        <v>273</v>
      </c>
      <c r="G2130" s="2" t="s">
        <v>156</v>
      </c>
      <c r="H2130">
        <v>1</v>
      </c>
      <c r="I2130">
        <v>65.14</v>
      </c>
      <c r="J2130" s="2" t="s">
        <v>170</v>
      </c>
      <c r="K2130" s="2" t="s">
        <v>74</v>
      </c>
      <c r="M2130" t="s">
        <v>3150</v>
      </c>
      <c r="P2130" s="19" t="s">
        <v>2449</v>
      </c>
      <c r="Q2130" s="19" t="s">
        <v>27</v>
      </c>
      <c r="S2130" s="19" t="s">
        <v>138</v>
      </c>
      <c r="V2130" s="19" t="s">
        <v>138</v>
      </c>
      <c r="W2130" s="20">
        <v>24</v>
      </c>
      <c r="X2130" s="65" t="s">
        <v>2010</v>
      </c>
      <c r="Z2130" t="s">
        <v>307</v>
      </c>
      <c r="AB2130" t="s">
        <v>178</v>
      </c>
      <c r="AC2130" t="s">
        <v>2872</v>
      </c>
      <c r="AD2130" s="2" t="s">
        <v>2873</v>
      </c>
    </row>
    <row r="2131" spans="1:30" x14ac:dyDescent="0.25">
      <c r="A2131" s="2">
        <v>412</v>
      </c>
      <c r="B2131" t="s">
        <v>2878</v>
      </c>
      <c r="C2131">
        <v>20</v>
      </c>
      <c r="D2131">
        <v>300</v>
      </c>
      <c r="E2131">
        <v>1383</v>
      </c>
      <c r="F2131" t="s">
        <v>273</v>
      </c>
      <c r="G2131" s="2" t="s">
        <v>156</v>
      </c>
      <c r="H2131">
        <v>1</v>
      </c>
      <c r="I2131">
        <v>65.14</v>
      </c>
      <c r="J2131" s="2" t="s">
        <v>170</v>
      </c>
      <c r="K2131" s="2" t="s">
        <v>74</v>
      </c>
      <c r="M2131" t="s">
        <v>3150</v>
      </c>
      <c r="P2131" s="19" t="s">
        <v>2449</v>
      </c>
      <c r="Q2131" s="19" t="s">
        <v>27</v>
      </c>
      <c r="S2131" s="19" t="s">
        <v>138</v>
      </c>
      <c r="V2131" s="19" t="s">
        <v>138</v>
      </c>
      <c r="W2131" s="20">
        <v>24</v>
      </c>
      <c r="X2131" s="65" t="s">
        <v>2010</v>
      </c>
      <c r="Z2131" t="s">
        <v>307</v>
      </c>
      <c r="AB2131" t="s">
        <v>178</v>
      </c>
      <c r="AC2131" t="s">
        <v>2872</v>
      </c>
      <c r="AD2131" s="2" t="s">
        <v>2873</v>
      </c>
    </row>
    <row r="2132" spans="1:30" x14ac:dyDescent="0.25">
      <c r="A2132" s="2">
        <v>413</v>
      </c>
      <c r="B2132" t="s">
        <v>2879</v>
      </c>
      <c r="C2132">
        <v>20</v>
      </c>
      <c r="D2132">
        <v>300</v>
      </c>
      <c r="E2132">
        <v>1383</v>
      </c>
      <c r="F2132" t="s">
        <v>273</v>
      </c>
      <c r="G2132" s="2" t="s">
        <v>156</v>
      </c>
      <c r="H2132">
        <v>1</v>
      </c>
      <c r="I2132">
        <v>65.14</v>
      </c>
      <c r="J2132" s="2" t="s">
        <v>170</v>
      </c>
      <c r="K2132" s="2" t="s">
        <v>74</v>
      </c>
      <c r="M2132" t="s">
        <v>3150</v>
      </c>
      <c r="P2132" s="19" t="s">
        <v>2449</v>
      </c>
      <c r="Q2132" s="19" t="s">
        <v>27</v>
      </c>
      <c r="S2132" s="19" t="s">
        <v>138</v>
      </c>
      <c r="V2132" s="19" t="s">
        <v>138</v>
      </c>
      <c r="W2132" s="20">
        <v>24</v>
      </c>
      <c r="X2132" s="65" t="s">
        <v>2010</v>
      </c>
      <c r="Z2132" t="s">
        <v>307</v>
      </c>
      <c r="AB2132" t="s">
        <v>178</v>
      </c>
      <c r="AC2132" t="s">
        <v>2872</v>
      </c>
      <c r="AD2132" s="2" t="s">
        <v>2873</v>
      </c>
    </row>
    <row r="2133" spans="1:30" x14ac:dyDescent="0.25">
      <c r="A2133" s="2">
        <v>414</v>
      </c>
      <c r="B2133" t="s">
        <v>2880</v>
      </c>
      <c r="C2133">
        <v>20</v>
      </c>
      <c r="D2133">
        <v>300</v>
      </c>
      <c r="E2133">
        <v>1383</v>
      </c>
      <c r="F2133" t="s">
        <v>273</v>
      </c>
      <c r="G2133" s="2" t="s">
        <v>156</v>
      </c>
      <c r="H2133">
        <v>1</v>
      </c>
      <c r="I2133">
        <v>65.14</v>
      </c>
      <c r="J2133" s="2" t="s">
        <v>170</v>
      </c>
      <c r="K2133" s="2" t="s">
        <v>74</v>
      </c>
      <c r="M2133" t="s">
        <v>3150</v>
      </c>
      <c r="P2133" s="19" t="s">
        <v>2449</v>
      </c>
      <c r="Q2133" s="19" t="s">
        <v>27</v>
      </c>
      <c r="S2133" s="19" t="s">
        <v>138</v>
      </c>
      <c r="V2133" s="19" t="s">
        <v>138</v>
      </c>
      <c r="W2133" s="20">
        <v>24</v>
      </c>
      <c r="X2133" s="65" t="s">
        <v>2010</v>
      </c>
      <c r="Z2133" t="s">
        <v>307</v>
      </c>
      <c r="AB2133" t="s">
        <v>178</v>
      </c>
      <c r="AC2133" t="s">
        <v>2872</v>
      </c>
      <c r="AD2133" s="2" t="s">
        <v>2873</v>
      </c>
    </row>
    <row r="2134" spans="1:30" x14ac:dyDescent="0.25">
      <c r="A2134" s="2">
        <v>415</v>
      </c>
      <c r="B2134" t="s">
        <v>2881</v>
      </c>
      <c r="C2134">
        <v>20</v>
      </c>
      <c r="D2134">
        <v>300</v>
      </c>
      <c r="E2134">
        <v>1383</v>
      </c>
      <c r="F2134" t="s">
        <v>273</v>
      </c>
      <c r="G2134" s="2" t="s">
        <v>156</v>
      </c>
      <c r="H2134">
        <v>1</v>
      </c>
      <c r="I2134">
        <v>65.14</v>
      </c>
      <c r="J2134" s="2" t="s">
        <v>170</v>
      </c>
      <c r="K2134" s="2" t="s">
        <v>74</v>
      </c>
      <c r="M2134" t="s">
        <v>3150</v>
      </c>
      <c r="P2134" s="19" t="s">
        <v>2449</v>
      </c>
      <c r="Q2134" s="19" t="s">
        <v>27</v>
      </c>
      <c r="S2134" s="19" t="s">
        <v>138</v>
      </c>
      <c r="V2134" s="19" t="s">
        <v>138</v>
      </c>
      <c r="W2134" s="20">
        <v>24</v>
      </c>
      <c r="X2134" s="65" t="s">
        <v>2010</v>
      </c>
      <c r="Z2134" t="s">
        <v>307</v>
      </c>
      <c r="AB2134" t="s">
        <v>178</v>
      </c>
      <c r="AC2134" t="s">
        <v>2872</v>
      </c>
      <c r="AD2134" s="2" t="s">
        <v>2873</v>
      </c>
    </row>
    <row r="2135" spans="1:30" x14ac:dyDescent="0.25">
      <c r="A2135" s="2">
        <v>416</v>
      </c>
      <c r="B2135" t="s">
        <v>2882</v>
      </c>
      <c r="C2135">
        <v>20</v>
      </c>
      <c r="D2135">
        <v>300</v>
      </c>
      <c r="E2135">
        <v>1096</v>
      </c>
      <c r="F2135" t="s">
        <v>273</v>
      </c>
      <c r="G2135" s="2" t="s">
        <v>156</v>
      </c>
      <c r="H2135">
        <v>2</v>
      </c>
      <c r="I2135">
        <v>103.24</v>
      </c>
      <c r="J2135" s="2" t="s">
        <v>170</v>
      </c>
      <c r="K2135" s="2" t="s">
        <v>74</v>
      </c>
      <c r="M2135" t="s">
        <v>3150</v>
      </c>
      <c r="P2135" s="19" t="s">
        <v>2449</v>
      </c>
      <c r="Q2135" s="19" t="s">
        <v>27</v>
      </c>
      <c r="S2135" s="19" t="s">
        <v>138</v>
      </c>
      <c r="V2135" s="19" t="s">
        <v>138</v>
      </c>
      <c r="W2135" s="20">
        <v>24</v>
      </c>
      <c r="X2135" s="65" t="s">
        <v>2010</v>
      </c>
      <c r="Z2135" t="s">
        <v>307</v>
      </c>
      <c r="AB2135" t="s">
        <v>178</v>
      </c>
      <c r="AC2135" t="s">
        <v>2872</v>
      </c>
      <c r="AD2135" s="2" t="s">
        <v>2873</v>
      </c>
    </row>
    <row r="2136" spans="1:30" x14ac:dyDescent="0.25">
      <c r="A2136" s="2">
        <v>417</v>
      </c>
      <c r="B2136" t="s">
        <v>2883</v>
      </c>
      <c r="C2136">
        <v>20</v>
      </c>
      <c r="D2136">
        <v>300</v>
      </c>
      <c r="E2136">
        <v>1096</v>
      </c>
      <c r="F2136" t="s">
        <v>273</v>
      </c>
      <c r="G2136" s="2" t="s">
        <v>156</v>
      </c>
      <c r="H2136">
        <v>2</v>
      </c>
      <c r="I2136">
        <v>103.24</v>
      </c>
      <c r="J2136" s="2" t="s">
        <v>170</v>
      </c>
      <c r="K2136" s="2" t="s">
        <v>74</v>
      </c>
      <c r="M2136" t="s">
        <v>3150</v>
      </c>
      <c r="P2136" s="19" t="s">
        <v>2449</v>
      </c>
      <c r="Q2136" s="19" t="s">
        <v>27</v>
      </c>
      <c r="S2136" s="19" t="s">
        <v>138</v>
      </c>
      <c r="V2136" s="19" t="s">
        <v>138</v>
      </c>
      <c r="W2136" s="20">
        <v>24</v>
      </c>
      <c r="X2136" s="65" t="s">
        <v>2010</v>
      </c>
      <c r="Z2136" t="s">
        <v>307</v>
      </c>
      <c r="AB2136" t="s">
        <v>178</v>
      </c>
      <c r="AC2136" t="s">
        <v>2872</v>
      </c>
      <c r="AD2136" s="2" t="s">
        <v>2873</v>
      </c>
    </row>
    <row r="2137" spans="1:30" x14ac:dyDescent="0.25">
      <c r="A2137" s="2">
        <v>418</v>
      </c>
      <c r="B2137" t="s">
        <v>2884</v>
      </c>
      <c r="C2137">
        <v>20</v>
      </c>
      <c r="D2137">
        <v>300</v>
      </c>
      <c r="E2137">
        <v>1383</v>
      </c>
      <c r="F2137" t="s">
        <v>273</v>
      </c>
      <c r="G2137" s="2" t="s">
        <v>156</v>
      </c>
      <c r="H2137">
        <v>1</v>
      </c>
      <c r="I2137">
        <v>65.14</v>
      </c>
      <c r="J2137" s="2" t="s">
        <v>170</v>
      </c>
      <c r="K2137" s="2" t="s">
        <v>74</v>
      </c>
      <c r="M2137" t="s">
        <v>3150</v>
      </c>
      <c r="P2137" s="19" t="s">
        <v>2449</v>
      </c>
      <c r="Q2137" s="19" t="s">
        <v>27</v>
      </c>
      <c r="S2137" s="19" t="s">
        <v>138</v>
      </c>
      <c r="V2137" s="19" t="s">
        <v>138</v>
      </c>
      <c r="W2137" s="20">
        <v>24</v>
      </c>
      <c r="X2137" s="65" t="s">
        <v>2010</v>
      </c>
      <c r="Z2137" t="s">
        <v>307</v>
      </c>
      <c r="AB2137" t="s">
        <v>178</v>
      </c>
      <c r="AC2137" t="s">
        <v>2872</v>
      </c>
      <c r="AD2137" s="2" t="s">
        <v>2873</v>
      </c>
    </row>
    <row r="2138" spans="1:30" x14ac:dyDescent="0.25">
      <c r="A2138" s="2">
        <v>419</v>
      </c>
      <c r="B2138" t="s">
        <v>2885</v>
      </c>
      <c r="C2138">
        <v>20</v>
      </c>
      <c r="D2138">
        <v>300</v>
      </c>
      <c r="E2138">
        <v>1383</v>
      </c>
      <c r="F2138" t="s">
        <v>273</v>
      </c>
      <c r="G2138" s="2" t="s">
        <v>156</v>
      </c>
      <c r="H2138">
        <v>1</v>
      </c>
      <c r="I2138">
        <v>65.14</v>
      </c>
      <c r="J2138" s="2" t="s">
        <v>170</v>
      </c>
      <c r="K2138" s="2" t="s">
        <v>74</v>
      </c>
      <c r="M2138" t="s">
        <v>3150</v>
      </c>
      <c r="P2138" s="19" t="s">
        <v>2449</v>
      </c>
      <c r="Q2138" s="19" t="s">
        <v>27</v>
      </c>
      <c r="S2138" s="19" t="s">
        <v>138</v>
      </c>
      <c r="V2138" s="19" t="s">
        <v>138</v>
      </c>
      <c r="W2138" s="20">
        <v>24</v>
      </c>
      <c r="X2138" s="65" t="s">
        <v>2010</v>
      </c>
      <c r="Z2138" t="s">
        <v>307</v>
      </c>
      <c r="AB2138" t="s">
        <v>178</v>
      </c>
      <c r="AC2138" t="s">
        <v>2872</v>
      </c>
      <c r="AD2138" s="2" t="s">
        <v>2873</v>
      </c>
    </row>
    <row r="2139" spans="1:30" x14ac:dyDescent="0.25">
      <c r="A2139" s="2">
        <v>420</v>
      </c>
      <c r="B2139" t="s">
        <v>2886</v>
      </c>
      <c r="C2139">
        <v>20</v>
      </c>
      <c r="D2139">
        <v>300</v>
      </c>
      <c r="E2139">
        <v>1383</v>
      </c>
      <c r="F2139" t="s">
        <v>273</v>
      </c>
      <c r="G2139" s="2" t="s">
        <v>156</v>
      </c>
      <c r="H2139">
        <v>1</v>
      </c>
      <c r="I2139">
        <v>65.14</v>
      </c>
      <c r="J2139" s="2" t="s">
        <v>170</v>
      </c>
      <c r="K2139" s="2" t="s">
        <v>74</v>
      </c>
      <c r="M2139" t="s">
        <v>3150</v>
      </c>
      <c r="P2139" s="19" t="s">
        <v>2449</v>
      </c>
      <c r="Q2139" s="19" t="s">
        <v>27</v>
      </c>
      <c r="S2139" s="19" t="s">
        <v>138</v>
      </c>
      <c r="V2139" s="19" t="s">
        <v>138</v>
      </c>
      <c r="W2139" s="20">
        <v>24</v>
      </c>
      <c r="X2139" s="65" t="s">
        <v>2010</v>
      </c>
      <c r="Z2139" t="s">
        <v>307</v>
      </c>
      <c r="AB2139" t="s">
        <v>178</v>
      </c>
      <c r="AC2139" t="s">
        <v>2872</v>
      </c>
      <c r="AD2139" s="2" t="s">
        <v>2873</v>
      </c>
    </row>
    <row r="2140" spans="1:30" x14ac:dyDescent="0.25">
      <c r="A2140" s="2">
        <v>421</v>
      </c>
      <c r="B2140" t="s">
        <v>2887</v>
      </c>
      <c r="C2140">
        <v>20</v>
      </c>
      <c r="D2140">
        <v>300</v>
      </c>
      <c r="E2140">
        <v>1383</v>
      </c>
      <c r="F2140" t="s">
        <v>273</v>
      </c>
      <c r="G2140" s="2" t="s">
        <v>156</v>
      </c>
      <c r="H2140">
        <v>1</v>
      </c>
      <c r="I2140">
        <v>65.14</v>
      </c>
      <c r="J2140" s="2" t="s">
        <v>170</v>
      </c>
      <c r="K2140" s="2" t="s">
        <v>74</v>
      </c>
      <c r="M2140" t="s">
        <v>3150</v>
      </c>
      <c r="P2140" s="19" t="s">
        <v>2449</v>
      </c>
      <c r="Q2140" s="19" t="s">
        <v>27</v>
      </c>
      <c r="S2140" s="19" t="s">
        <v>138</v>
      </c>
      <c r="V2140" s="19" t="s">
        <v>138</v>
      </c>
      <c r="W2140" s="20">
        <v>24</v>
      </c>
      <c r="X2140" s="65" t="s">
        <v>2010</v>
      </c>
      <c r="Z2140" t="s">
        <v>307</v>
      </c>
      <c r="AB2140" t="s">
        <v>178</v>
      </c>
      <c r="AC2140" t="s">
        <v>2872</v>
      </c>
      <c r="AD2140" s="2" t="s">
        <v>2873</v>
      </c>
    </row>
    <row r="2141" spans="1:30" x14ac:dyDescent="0.25">
      <c r="A2141" s="2">
        <v>422</v>
      </c>
      <c r="B2141" t="s">
        <v>2888</v>
      </c>
      <c r="C2141">
        <v>20</v>
      </c>
      <c r="D2141">
        <v>300</v>
      </c>
      <c r="E2141">
        <v>1383</v>
      </c>
      <c r="F2141" t="s">
        <v>273</v>
      </c>
      <c r="G2141" s="2" t="s">
        <v>156</v>
      </c>
      <c r="H2141">
        <v>1</v>
      </c>
      <c r="I2141">
        <v>65.14</v>
      </c>
      <c r="J2141" s="2" t="s">
        <v>170</v>
      </c>
      <c r="K2141" s="2" t="s">
        <v>74</v>
      </c>
      <c r="M2141" t="s">
        <v>3150</v>
      </c>
      <c r="P2141" s="19" t="s">
        <v>2449</v>
      </c>
      <c r="Q2141" s="19" t="s">
        <v>27</v>
      </c>
      <c r="S2141" s="19" t="s">
        <v>138</v>
      </c>
      <c r="V2141" s="19" t="s">
        <v>138</v>
      </c>
      <c r="W2141" s="20">
        <v>24</v>
      </c>
      <c r="X2141" s="65" t="s">
        <v>2010</v>
      </c>
      <c r="Z2141" t="s">
        <v>307</v>
      </c>
      <c r="AB2141" t="s">
        <v>178</v>
      </c>
      <c r="AC2141" t="s">
        <v>2872</v>
      </c>
      <c r="AD2141" s="2" t="s">
        <v>2873</v>
      </c>
    </row>
    <row r="2142" spans="1:30" x14ac:dyDescent="0.25">
      <c r="A2142" s="2">
        <v>423</v>
      </c>
      <c r="B2142" t="s">
        <v>2889</v>
      </c>
      <c r="C2142">
        <v>20</v>
      </c>
      <c r="D2142">
        <v>300</v>
      </c>
      <c r="E2142">
        <v>1096</v>
      </c>
      <c r="F2142" t="s">
        <v>273</v>
      </c>
      <c r="G2142" s="2" t="s">
        <v>156</v>
      </c>
      <c r="H2142">
        <v>2</v>
      </c>
      <c r="I2142">
        <v>103.24</v>
      </c>
      <c r="J2142" s="2" t="s">
        <v>170</v>
      </c>
      <c r="K2142" s="2" t="s">
        <v>74</v>
      </c>
      <c r="M2142" t="s">
        <v>3150</v>
      </c>
      <c r="P2142" s="19" t="s">
        <v>2449</v>
      </c>
      <c r="Q2142" s="19" t="s">
        <v>27</v>
      </c>
      <c r="S2142" s="19" t="s">
        <v>138</v>
      </c>
      <c r="V2142" s="19" t="s">
        <v>138</v>
      </c>
      <c r="W2142" s="20">
        <v>24</v>
      </c>
      <c r="X2142" s="65" t="s">
        <v>2010</v>
      </c>
      <c r="Z2142" t="s">
        <v>307</v>
      </c>
      <c r="AB2142" t="s">
        <v>178</v>
      </c>
      <c r="AC2142" t="s">
        <v>2872</v>
      </c>
      <c r="AD2142" s="2" t="s">
        <v>2873</v>
      </c>
    </row>
    <row r="2143" spans="1:30" x14ac:dyDescent="0.25">
      <c r="A2143" s="2">
        <v>424</v>
      </c>
      <c r="B2143" t="s">
        <v>2890</v>
      </c>
      <c r="C2143">
        <v>20</v>
      </c>
      <c r="D2143">
        <v>300</v>
      </c>
      <c r="E2143">
        <v>1383</v>
      </c>
      <c r="F2143" t="s">
        <v>273</v>
      </c>
      <c r="G2143" s="2" t="s">
        <v>156</v>
      </c>
      <c r="H2143">
        <v>1</v>
      </c>
      <c r="I2143">
        <v>65.14</v>
      </c>
      <c r="J2143" s="2" t="s">
        <v>170</v>
      </c>
      <c r="K2143" s="2" t="s">
        <v>74</v>
      </c>
      <c r="M2143" t="s">
        <v>3150</v>
      </c>
      <c r="P2143" s="19" t="s">
        <v>2449</v>
      </c>
      <c r="Q2143" s="19" t="s">
        <v>27</v>
      </c>
      <c r="S2143" s="19" t="s">
        <v>138</v>
      </c>
      <c r="V2143" s="19" t="s">
        <v>138</v>
      </c>
      <c r="W2143" s="20">
        <v>24</v>
      </c>
      <c r="X2143" s="65" t="s">
        <v>2010</v>
      </c>
      <c r="Z2143" t="s">
        <v>307</v>
      </c>
      <c r="AB2143" t="s">
        <v>178</v>
      </c>
      <c r="AC2143" t="s">
        <v>2872</v>
      </c>
      <c r="AD2143" s="2" t="s">
        <v>2873</v>
      </c>
    </row>
    <row r="2144" spans="1:30" x14ac:dyDescent="0.25">
      <c r="A2144" s="2">
        <v>425</v>
      </c>
      <c r="B2144" t="s">
        <v>2891</v>
      </c>
      <c r="C2144">
        <v>20</v>
      </c>
      <c r="D2144">
        <v>270</v>
      </c>
      <c r="E2144">
        <v>300</v>
      </c>
      <c r="F2144" t="s">
        <v>273</v>
      </c>
      <c r="G2144" s="2" t="s">
        <v>156</v>
      </c>
      <c r="H2144">
        <v>4</v>
      </c>
      <c r="I2144">
        <v>50.87</v>
      </c>
      <c r="J2144" s="2" t="s">
        <v>170</v>
      </c>
      <c r="K2144" s="2" t="s">
        <v>74</v>
      </c>
      <c r="M2144" t="s">
        <v>3150</v>
      </c>
      <c r="P2144" s="19" t="s">
        <v>2449</v>
      </c>
      <c r="Q2144" s="19" t="s">
        <v>25</v>
      </c>
      <c r="S2144" s="19" t="s">
        <v>138</v>
      </c>
      <c r="W2144" s="20">
        <v>24</v>
      </c>
      <c r="X2144" s="65" t="s">
        <v>2010</v>
      </c>
      <c r="Z2144" t="s">
        <v>307</v>
      </c>
      <c r="AB2144" t="s">
        <v>178</v>
      </c>
      <c r="AC2144" t="s">
        <v>2893</v>
      </c>
      <c r="AD2144" s="2" t="s">
        <v>2894</v>
      </c>
    </row>
    <row r="2145" spans="1:30" x14ac:dyDescent="0.25">
      <c r="A2145" s="2">
        <v>426</v>
      </c>
      <c r="B2145" t="s">
        <v>2896</v>
      </c>
      <c r="C2145">
        <v>20</v>
      </c>
      <c r="D2145">
        <v>300</v>
      </c>
      <c r="E2145">
        <v>480</v>
      </c>
      <c r="F2145" t="s">
        <v>273</v>
      </c>
      <c r="G2145" s="2" t="s">
        <v>156</v>
      </c>
      <c r="H2145">
        <v>4</v>
      </c>
      <c r="I2145">
        <v>90.43</v>
      </c>
      <c r="J2145" s="2" t="s">
        <v>170</v>
      </c>
      <c r="K2145" s="2" t="s">
        <v>74</v>
      </c>
      <c r="M2145" t="s">
        <v>3150</v>
      </c>
      <c r="P2145" s="19" t="s">
        <v>2449</v>
      </c>
      <c r="Q2145" s="19" t="s">
        <v>25</v>
      </c>
      <c r="S2145" s="19" t="s">
        <v>138</v>
      </c>
      <c r="W2145" s="20">
        <v>24</v>
      </c>
      <c r="X2145" s="65" t="s">
        <v>2010</v>
      </c>
      <c r="Z2145" t="s">
        <v>307</v>
      </c>
      <c r="AB2145" t="s">
        <v>178</v>
      </c>
      <c r="AC2145" t="s">
        <v>2893</v>
      </c>
      <c r="AD2145" s="2" t="s">
        <v>2894</v>
      </c>
    </row>
    <row r="2146" spans="1:30" x14ac:dyDescent="0.25">
      <c r="A2146" s="2">
        <v>427</v>
      </c>
      <c r="B2146" t="s">
        <v>2897</v>
      </c>
      <c r="C2146">
        <v>20</v>
      </c>
      <c r="D2146">
        <v>300</v>
      </c>
      <c r="E2146">
        <v>1096</v>
      </c>
      <c r="F2146" t="s">
        <v>273</v>
      </c>
      <c r="G2146" s="2" t="s">
        <v>156</v>
      </c>
      <c r="H2146">
        <v>2</v>
      </c>
      <c r="I2146">
        <v>103.24</v>
      </c>
      <c r="J2146" s="2" t="s">
        <v>170</v>
      </c>
      <c r="K2146" s="2" t="s">
        <v>74</v>
      </c>
      <c r="M2146" t="s">
        <v>3150</v>
      </c>
      <c r="P2146" s="19" t="s">
        <v>2449</v>
      </c>
      <c r="Q2146" s="19" t="s">
        <v>27</v>
      </c>
      <c r="S2146" s="19" t="s">
        <v>138</v>
      </c>
      <c r="V2146" s="19" t="s">
        <v>138</v>
      </c>
      <c r="W2146" s="20">
        <v>24</v>
      </c>
      <c r="X2146" s="65" t="s">
        <v>2010</v>
      </c>
      <c r="Z2146" t="s">
        <v>307</v>
      </c>
      <c r="AB2146" t="s">
        <v>178</v>
      </c>
      <c r="AC2146" t="s">
        <v>2893</v>
      </c>
      <c r="AD2146" s="2" t="s">
        <v>2894</v>
      </c>
    </row>
    <row r="2147" spans="1:30" x14ac:dyDescent="0.25">
      <c r="A2147" s="2">
        <v>428</v>
      </c>
      <c r="B2147" t="s">
        <v>2898</v>
      </c>
      <c r="C2147">
        <v>20</v>
      </c>
      <c r="D2147">
        <v>300</v>
      </c>
      <c r="E2147">
        <v>1096</v>
      </c>
      <c r="F2147" t="s">
        <v>273</v>
      </c>
      <c r="G2147" s="2" t="s">
        <v>156</v>
      </c>
      <c r="H2147">
        <v>2</v>
      </c>
      <c r="I2147">
        <v>103.24</v>
      </c>
      <c r="J2147" s="2" t="s">
        <v>170</v>
      </c>
      <c r="K2147" s="2" t="s">
        <v>74</v>
      </c>
      <c r="M2147" t="s">
        <v>3150</v>
      </c>
      <c r="P2147" s="19" t="s">
        <v>2449</v>
      </c>
      <c r="Q2147" s="19" t="s">
        <v>27</v>
      </c>
      <c r="S2147" s="19" t="s">
        <v>138</v>
      </c>
      <c r="V2147" s="19" t="s">
        <v>138</v>
      </c>
      <c r="W2147" s="20">
        <v>24</v>
      </c>
      <c r="X2147" s="65" t="s">
        <v>2010</v>
      </c>
      <c r="Z2147" t="s">
        <v>307</v>
      </c>
      <c r="AB2147" t="s">
        <v>178</v>
      </c>
      <c r="AC2147" t="s">
        <v>2893</v>
      </c>
      <c r="AD2147" s="2" t="s">
        <v>2894</v>
      </c>
    </row>
    <row r="2148" spans="1:30" x14ac:dyDescent="0.25">
      <c r="A2148" s="2">
        <v>429</v>
      </c>
      <c r="B2148" t="s">
        <v>2899</v>
      </c>
      <c r="C2148">
        <v>20</v>
      </c>
      <c r="D2148">
        <v>270</v>
      </c>
      <c r="E2148">
        <v>300</v>
      </c>
      <c r="F2148" t="s">
        <v>273</v>
      </c>
      <c r="G2148" s="2" t="s">
        <v>156</v>
      </c>
      <c r="H2148">
        <v>1</v>
      </c>
      <c r="I2148">
        <v>12.72</v>
      </c>
      <c r="J2148" s="2" t="s">
        <v>170</v>
      </c>
      <c r="K2148" s="2" t="s">
        <v>74</v>
      </c>
      <c r="M2148" t="s">
        <v>3150</v>
      </c>
      <c r="P2148" s="19" t="s">
        <v>2449</v>
      </c>
      <c r="Q2148" s="19" t="s">
        <v>25</v>
      </c>
      <c r="S2148" s="19" t="s">
        <v>138</v>
      </c>
      <c r="W2148" s="20">
        <v>24</v>
      </c>
      <c r="X2148" s="65" t="s">
        <v>2010</v>
      </c>
      <c r="Z2148" t="s">
        <v>307</v>
      </c>
      <c r="AB2148" t="s">
        <v>178</v>
      </c>
      <c r="AC2148" t="s">
        <v>2893</v>
      </c>
      <c r="AD2148" s="2" t="s">
        <v>2894</v>
      </c>
    </row>
    <row r="2149" spans="1:30" x14ac:dyDescent="0.25">
      <c r="A2149" s="2">
        <v>430</v>
      </c>
      <c r="B2149" t="s">
        <v>2900</v>
      </c>
      <c r="C2149">
        <v>20</v>
      </c>
      <c r="D2149">
        <v>300</v>
      </c>
      <c r="E2149">
        <v>1096</v>
      </c>
      <c r="F2149" t="s">
        <v>273</v>
      </c>
      <c r="G2149" s="2" t="s">
        <v>156</v>
      </c>
      <c r="H2149">
        <v>2</v>
      </c>
      <c r="I2149">
        <v>103.24</v>
      </c>
      <c r="J2149" s="2" t="s">
        <v>170</v>
      </c>
      <c r="K2149" s="2" t="s">
        <v>74</v>
      </c>
      <c r="M2149" t="s">
        <v>3150</v>
      </c>
      <c r="P2149" s="19" t="s">
        <v>2449</v>
      </c>
      <c r="Q2149" s="19" t="s">
        <v>27</v>
      </c>
      <c r="S2149" s="19" t="s">
        <v>138</v>
      </c>
      <c r="V2149" s="19" t="s">
        <v>138</v>
      </c>
      <c r="W2149" s="20">
        <v>24</v>
      </c>
      <c r="X2149" s="65" t="s">
        <v>2010</v>
      </c>
      <c r="Z2149" t="s">
        <v>307</v>
      </c>
      <c r="AB2149" t="s">
        <v>178</v>
      </c>
      <c r="AC2149" t="s">
        <v>2893</v>
      </c>
      <c r="AD2149" s="2" t="s">
        <v>2894</v>
      </c>
    </row>
    <row r="2150" spans="1:30" x14ac:dyDescent="0.25">
      <c r="A2150" s="2">
        <v>431</v>
      </c>
      <c r="B2150" t="s">
        <v>2901</v>
      </c>
      <c r="C2150">
        <v>20</v>
      </c>
      <c r="D2150">
        <v>1434</v>
      </c>
      <c r="E2150">
        <v>1436</v>
      </c>
      <c r="F2150" t="s">
        <v>273</v>
      </c>
      <c r="G2150" s="2" t="s">
        <v>156</v>
      </c>
      <c r="H2150">
        <v>1</v>
      </c>
      <c r="I2150">
        <v>317.74</v>
      </c>
      <c r="J2150" s="2" t="s">
        <v>170</v>
      </c>
      <c r="K2150" s="2" t="s">
        <v>74</v>
      </c>
      <c r="M2150" t="s">
        <v>3150</v>
      </c>
      <c r="P2150" s="19" t="s">
        <v>2449</v>
      </c>
      <c r="Q2150" s="19" t="s">
        <v>27</v>
      </c>
      <c r="S2150" s="19" t="s">
        <v>138</v>
      </c>
      <c r="W2150" s="20">
        <v>24</v>
      </c>
      <c r="X2150" s="65" t="s">
        <v>2010</v>
      </c>
      <c r="Z2150" t="s">
        <v>307</v>
      </c>
      <c r="AB2150" t="s">
        <v>178</v>
      </c>
      <c r="AC2150" t="s">
        <v>2902</v>
      </c>
      <c r="AD2150" s="2" t="s">
        <v>2903</v>
      </c>
    </row>
    <row r="2151" spans="1:30" x14ac:dyDescent="0.25">
      <c r="A2151" s="2">
        <v>432</v>
      </c>
      <c r="B2151" t="s">
        <v>2905</v>
      </c>
      <c r="C2151">
        <v>20</v>
      </c>
      <c r="D2151">
        <v>1434</v>
      </c>
      <c r="E2151">
        <v>1436</v>
      </c>
      <c r="F2151" t="s">
        <v>273</v>
      </c>
      <c r="G2151" s="2" t="s">
        <v>156</v>
      </c>
      <c r="H2151">
        <v>1</v>
      </c>
      <c r="I2151">
        <v>317.74</v>
      </c>
      <c r="J2151" s="2" t="s">
        <v>170</v>
      </c>
      <c r="K2151" s="2" t="s">
        <v>74</v>
      </c>
      <c r="M2151" t="s">
        <v>3150</v>
      </c>
      <c r="P2151" s="19" t="s">
        <v>2449</v>
      </c>
      <c r="Q2151" s="19" t="s">
        <v>27</v>
      </c>
      <c r="S2151" s="19" t="s">
        <v>138</v>
      </c>
      <c r="W2151" s="20">
        <v>24</v>
      </c>
      <c r="X2151" s="65" t="s">
        <v>2010</v>
      </c>
      <c r="Z2151" t="s">
        <v>307</v>
      </c>
      <c r="AB2151" t="s">
        <v>178</v>
      </c>
      <c r="AC2151" t="s">
        <v>2902</v>
      </c>
      <c r="AD2151" s="2" t="s">
        <v>2903</v>
      </c>
    </row>
    <row r="2152" spans="1:30" x14ac:dyDescent="0.25">
      <c r="A2152" s="2">
        <v>433</v>
      </c>
      <c r="B2152" t="s">
        <v>2906</v>
      </c>
      <c r="C2152">
        <v>20</v>
      </c>
      <c r="D2152">
        <v>330</v>
      </c>
      <c r="E2152">
        <v>1345</v>
      </c>
      <c r="F2152" t="s">
        <v>273</v>
      </c>
      <c r="G2152" s="2" t="s">
        <v>156</v>
      </c>
      <c r="H2152">
        <v>1</v>
      </c>
      <c r="I2152">
        <v>69.680000000000007</v>
      </c>
      <c r="J2152" s="2" t="s">
        <v>170</v>
      </c>
      <c r="K2152" s="2" t="s">
        <v>74</v>
      </c>
      <c r="M2152" t="s">
        <v>3150</v>
      </c>
      <c r="P2152" s="19" t="s">
        <v>2449</v>
      </c>
      <c r="Q2152" s="19" t="s">
        <v>25</v>
      </c>
      <c r="S2152" s="19" t="s">
        <v>138</v>
      </c>
      <c r="W2152" s="20">
        <v>24</v>
      </c>
      <c r="X2152" s="65" t="s">
        <v>2010</v>
      </c>
      <c r="Z2152" t="s">
        <v>307</v>
      </c>
      <c r="AB2152" t="s">
        <v>178</v>
      </c>
      <c r="AC2152" t="s">
        <v>2908</v>
      </c>
      <c r="AD2152" s="2" t="s">
        <v>2909</v>
      </c>
    </row>
    <row r="2153" spans="1:30" x14ac:dyDescent="0.25">
      <c r="A2153" s="2">
        <v>434</v>
      </c>
      <c r="B2153" t="s">
        <v>2911</v>
      </c>
      <c r="C2153">
        <v>20</v>
      </c>
      <c r="D2153">
        <v>330</v>
      </c>
      <c r="E2153">
        <v>1345</v>
      </c>
      <c r="F2153" t="s">
        <v>273</v>
      </c>
      <c r="G2153" s="2" t="s">
        <v>156</v>
      </c>
      <c r="H2153">
        <v>1</v>
      </c>
      <c r="I2153">
        <v>69.680000000000007</v>
      </c>
      <c r="J2153" s="2" t="s">
        <v>170</v>
      </c>
      <c r="K2153" s="2" t="s">
        <v>74</v>
      </c>
      <c r="M2153" t="s">
        <v>3150</v>
      </c>
      <c r="P2153" s="19" t="s">
        <v>2449</v>
      </c>
      <c r="Q2153" s="19" t="s">
        <v>25</v>
      </c>
      <c r="S2153" s="19" t="s">
        <v>138</v>
      </c>
      <c r="W2153" s="20">
        <v>24</v>
      </c>
      <c r="X2153" s="65" t="s">
        <v>2010</v>
      </c>
      <c r="Z2153" t="s">
        <v>307</v>
      </c>
      <c r="AB2153" t="s">
        <v>178</v>
      </c>
      <c r="AC2153" t="s">
        <v>2908</v>
      </c>
      <c r="AD2153" s="2" t="s">
        <v>2909</v>
      </c>
    </row>
    <row r="2154" spans="1:30" x14ac:dyDescent="0.25">
      <c r="A2154" s="2">
        <v>435</v>
      </c>
      <c r="B2154" t="s">
        <v>2912</v>
      </c>
      <c r="C2154">
        <v>20</v>
      </c>
      <c r="D2154">
        <v>300</v>
      </c>
      <c r="E2154">
        <v>480</v>
      </c>
      <c r="F2154" t="s">
        <v>273</v>
      </c>
      <c r="G2154" s="2" t="s">
        <v>156</v>
      </c>
      <c r="H2154">
        <v>1</v>
      </c>
      <c r="I2154">
        <v>22.61</v>
      </c>
      <c r="J2154" s="2" t="s">
        <v>170</v>
      </c>
      <c r="K2154" s="2" t="s">
        <v>74</v>
      </c>
      <c r="M2154" t="s">
        <v>3150</v>
      </c>
      <c r="P2154" s="19" t="s">
        <v>2449</v>
      </c>
      <c r="Q2154" s="19" t="s">
        <v>25</v>
      </c>
      <c r="S2154" s="19" t="s">
        <v>138</v>
      </c>
      <c r="W2154" s="20">
        <v>24</v>
      </c>
      <c r="X2154" s="65" t="s">
        <v>2010</v>
      </c>
      <c r="Z2154" t="s">
        <v>307</v>
      </c>
      <c r="AB2154" t="s">
        <v>178</v>
      </c>
      <c r="AC2154" t="s">
        <v>2908</v>
      </c>
      <c r="AD2154" s="2" t="s">
        <v>2909</v>
      </c>
    </row>
    <row r="2155" spans="1:30" x14ac:dyDescent="0.25">
      <c r="A2155" s="2">
        <v>436</v>
      </c>
      <c r="B2155" t="s">
        <v>2913</v>
      </c>
      <c r="C2155">
        <v>20</v>
      </c>
      <c r="D2155">
        <v>300</v>
      </c>
      <c r="E2155">
        <v>1096</v>
      </c>
      <c r="F2155" t="s">
        <v>273</v>
      </c>
      <c r="G2155" s="2" t="s">
        <v>156</v>
      </c>
      <c r="H2155">
        <v>2</v>
      </c>
      <c r="I2155">
        <v>103.24</v>
      </c>
      <c r="J2155" s="2" t="s">
        <v>170</v>
      </c>
      <c r="K2155" s="2" t="s">
        <v>74</v>
      </c>
      <c r="M2155" t="s">
        <v>3150</v>
      </c>
      <c r="P2155" s="19" t="s">
        <v>2449</v>
      </c>
      <c r="Q2155" s="19" t="s">
        <v>27</v>
      </c>
      <c r="S2155" s="19" t="s">
        <v>138</v>
      </c>
      <c r="V2155" s="19" t="s">
        <v>138</v>
      </c>
      <c r="W2155" s="20">
        <v>24</v>
      </c>
      <c r="X2155" s="65" t="s">
        <v>2010</v>
      </c>
      <c r="Z2155" t="s">
        <v>307</v>
      </c>
      <c r="AB2155" t="s">
        <v>178</v>
      </c>
      <c r="AC2155" t="s">
        <v>2908</v>
      </c>
      <c r="AD2155" s="2" t="s">
        <v>2909</v>
      </c>
    </row>
    <row r="2156" spans="1:30" x14ac:dyDescent="0.25">
      <c r="A2156" s="2">
        <v>437</v>
      </c>
      <c r="B2156" t="s">
        <v>2914</v>
      </c>
      <c r="C2156">
        <v>20</v>
      </c>
      <c r="D2156">
        <v>300</v>
      </c>
      <c r="E2156">
        <v>1096</v>
      </c>
      <c r="F2156" t="s">
        <v>273</v>
      </c>
      <c r="G2156" s="2" t="s">
        <v>156</v>
      </c>
      <c r="H2156">
        <v>2</v>
      </c>
      <c r="I2156">
        <v>103.24</v>
      </c>
      <c r="J2156" s="2" t="s">
        <v>170</v>
      </c>
      <c r="K2156" s="2" t="s">
        <v>74</v>
      </c>
      <c r="M2156" t="s">
        <v>3150</v>
      </c>
      <c r="P2156" s="19" t="s">
        <v>2449</v>
      </c>
      <c r="Q2156" s="19" t="s">
        <v>27</v>
      </c>
      <c r="S2156" s="19" t="s">
        <v>138</v>
      </c>
      <c r="V2156" s="19" t="s">
        <v>138</v>
      </c>
      <c r="W2156" s="20">
        <v>24</v>
      </c>
      <c r="X2156" s="65" t="s">
        <v>2010</v>
      </c>
      <c r="Z2156" t="s">
        <v>307</v>
      </c>
      <c r="AB2156" t="s">
        <v>178</v>
      </c>
      <c r="AC2156" t="s">
        <v>2908</v>
      </c>
      <c r="AD2156" s="2" t="s">
        <v>2909</v>
      </c>
    </row>
    <row r="2157" spans="1:30" x14ac:dyDescent="0.25">
      <c r="A2157" s="2">
        <v>438</v>
      </c>
      <c r="B2157" t="s">
        <v>2915</v>
      </c>
      <c r="C2157">
        <v>20</v>
      </c>
      <c r="D2157">
        <v>300</v>
      </c>
      <c r="E2157">
        <v>1383</v>
      </c>
      <c r="F2157" t="s">
        <v>273</v>
      </c>
      <c r="G2157" s="2" t="s">
        <v>156</v>
      </c>
      <c r="H2157">
        <v>1</v>
      </c>
      <c r="I2157">
        <v>65.14</v>
      </c>
      <c r="J2157" s="2" t="s">
        <v>170</v>
      </c>
      <c r="K2157" s="2" t="s">
        <v>74</v>
      </c>
      <c r="M2157" t="s">
        <v>3150</v>
      </c>
      <c r="P2157" s="19" t="s">
        <v>2449</v>
      </c>
      <c r="Q2157" s="19" t="s">
        <v>27</v>
      </c>
      <c r="S2157" s="19" t="s">
        <v>138</v>
      </c>
      <c r="V2157" s="19" t="s">
        <v>138</v>
      </c>
      <c r="W2157" s="20">
        <v>24</v>
      </c>
      <c r="X2157" s="65" t="s">
        <v>2010</v>
      </c>
      <c r="Z2157" t="s">
        <v>307</v>
      </c>
      <c r="AB2157" t="s">
        <v>178</v>
      </c>
      <c r="AC2157" t="s">
        <v>2908</v>
      </c>
      <c r="AD2157" s="2" t="s">
        <v>2909</v>
      </c>
    </row>
    <row r="2158" spans="1:30" x14ac:dyDescent="0.25">
      <c r="A2158" s="2">
        <v>439</v>
      </c>
      <c r="B2158" t="s">
        <v>2916</v>
      </c>
      <c r="C2158">
        <v>20</v>
      </c>
      <c r="D2158">
        <v>300</v>
      </c>
      <c r="E2158">
        <v>480</v>
      </c>
      <c r="F2158" t="s">
        <v>273</v>
      </c>
      <c r="G2158" s="2" t="s">
        <v>156</v>
      </c>
      <c r="H2158">
        <v>5</v>
      </c>
      <c r="I2158">
        <v>113.04</v>
      </c>
      <c r="J2158" s="2" t="s">
        <v>170</v>
      </c>
      <c r="K2158" s="2" t="s">
        <v>74</v>
      </c>
      <c r="M2158" t="s">
        <v>3150</v>
      </c>
      <c r="P2158" s="19" t="s">
        <v>2449</v>
      </c>
      <c r="Q2158" s="19" t="s">
        <v>25</v>
      </c>
      <c r="S2158" s="19" t="s">
        <v>138</v>
      </c>
      <c r="W2158" s="20">
        <v>24</v>
      </c>
      <c r="X2158" s="65" t="s">
        <v>2010</v>
      </c>
      <c r="Z2158" t="s">
        <v>307</v>
      </c>
      <c r="AB2158" t="s">
        <v>178</v>
      </c>
      <c r="AC2158" t="s">
        <v>2908</v>
      </c>
      <c r="AD2158" s="2" t="s">
        <v>2909</v>
      </c>
    </row>
    <row r="2159" spans="1:30" x14ac:dyDescent="0.25">
      <c r="A2159" s="2">
        <v>440</v>
      </c>
      <c r="B2159" t="s">
        <v>2917</v>
      </c>
      <c r="C2159">
        <v>20</v>
      </c>
      <c r="D2159">
        <v>300</v>
      </c>
      <c r="E2159">
        <v>480</v>
      </c>
      <c r="F2159" t="s">
        <v>273</v>
      </c>
      <c r="G2159" s="2" t="s">
        <v>156</v>
      </c>
      <c r="H2159">
        <v>3</v>
      </c>
      <c r="I2159">
        <v>67.819999999999993</v>
      </c>
      <c r="J2159" s="2" t="s">
        <v>170</v>
      </c>
      <c r="K2159" s="2" t="s">
        <v>74</v>
      </c>
      <c r="M2159" t="s">
        <v>3150</v>
      </c>
      <c r="P2159" s="19" t="s">
        <v>2449</v>
      </c>
      <c r="Q2159" s="19" t="s">
        <v>25</v>
      </c>
      <c r="S2159" s="19" t="s">
        <v>138</v>
      </c>
      <c r="W2159" s="20">
        <v>24</v>
      </c>
      <c r="X2159" s="65" t="s">
        <v>2010</v>
      </c>
      <c r="Z2159" t="s">
        <v>307</v>
      </c>
      <c r="AB2159" t="s">
        <v>178</v>
      </c>
      <c r="AC2159" t="s">
        <v>2908</v>
      </c>
      <c r="AD2159" s="2" t="s">
        <v>2909</v>
      </c>
    </row>
    <row r="2160" spans="1:30" x14ac:dyDescent="0.25">
      <c r="A2160" s="2">
        <v>441</v>
      </c>
      <c r="B2160" t="s">
        <v>2918</v>
      </c>
      <c r="C2160">
        <v>20</v>
      </c>
      <c r="D2160">
        <v>300</v>
      </c>
      <c r="E2160">
        <v>1096</v>
      </c>
      <c r="F2160" t="s">
        <v>273</v>
      </c>
      <c r="G2160" s="2" t="s">
        <v>156</v>
      </c>
      <c r="H2160">
        <v>2</v>
      </c>
      <c r="I2160">
        <v>103.24</v>
      </c>
      <c r="J2160" s="2" t="s">
        <v>170</v>
      </c>
      <c r="K2160" s="2" t="s">
        <v>74</v>
      </c>
      <c r="M2160" t="s">
        <v>3150</v>
      </c>
      <c r="P2160" s="19" t="s">
        <v>2449</v>
      </c>
      <c r="Q2160" s="19" t="s">
        <v>27</v>
      </c>
      <c r="S2160" s="19" t="s">
        <v>138</v>
      </c>
      <c r="V2160" s="19" t="s">
        <v>138</v>
      </c>
      <c r="W2160" s="20">
        <v>24</v>
      </c>
      <c r="X2160" s="65" t="s">
        <v>2010</v>
      </c>
      <c r="Z2160" t="s">
        <v>307</v>
      </c>
      <c r="AB2160" t="s">
        <v>178</v>
      </c>
      <c r="AC2160" t="s">
        <v>2908</v>
      </c>
      <c r="AD2160" s="2" t="s">
        <v>2909</v>
      </c>
    </row>
    <row r="2161" spans="1:30" x14ac:dyDescent="0.25">
      <c r="A2161" s="2">
        <v>442</v>
      </c>
      <c r="B2161" t="s">
        <v>2919</v>
      </c>
      <c r="C2161">
        <v>20</v>
      </c>
      <c r="D2161">
        <v>300</v>
      </c>
      <c r="E2161">
        <v>1096</v>
      </c>
      <c r="F2161" t="s">
        <v>273</v>
      </c>
      <c r="G2161" s="2" t="s">
        <v>156</v>
      </c>
      <c r="H2161">
        <v>2</v>
      </c>
      <c r="I2161">
        <v>103.24</v>
      </c>
      <c r="J2161" s="2" t="s">
        <v>170</v>
      </c>
      <c r="K2161" s="2" t="s">
        <v>74</v>
      </c>
      <c r="M2161" t="s">
        <v>3150</v>
      </c>
      <c r="P2161" s="19" t="s">
        <v>2449</v>
      </c>
      <c r="Q2161" s="19" t="s">
        <v>27</v>
      </c>
      <c r="S2161" s="19" t="s">
        <v>138</v>
      </c>
      <c r="V2161" s="19" t="s">
        <v>138</v>
      </c>
      <c r="W2161" s="20">
        <v>24</v>
      </c>
      <c r="X2161" s="65" t="s">
        <v>2010</v>
      </c>
      <c r="Z2161" t="s">
        <v>307</v>
      </c>
      <c r="AB2161" t="s">
        <v>178</v>
      </c>
      <c r="AC2161" t="s">
        <v>2908</v>
      </c>
      <c r="AD2161" s="2" t="s">
        <v>2909</v>
      </c>
    </row>
    <row r="2162" spans="1:30" x14ac:dyDescent="0.25">
      <c r="A2162" s="2">
        <v>443</v>
      </c>
      <c r="B2162" t="s">
        <v>2920</v>
      </c>
      <c r="C2162">
        <v>20</v>
      </c>
      <c r="D2162">
        <v>300</v>
      </c>
      <c r="E2162">
        <v>1096</v>
      </c>
      <c r="F2162" t="s">
        <v>273</v>
      </c>
      <c r="G2162" s="2" t="s">
        <v>156</v>
      </c>
      <c r="H2162">
        <v>1</v>
      </c>
      <c r="I2162">
        <v>51.62</v>
      </c>
      <c r="J2162" s="2" t="s">
        <v>170</v>
      </c>
      <c r="K2162" s="2" t="s">
        <v>74</v>
      </c>
      <c r="M2162" t="s">
        <v>3150</v>
      </c>
      <c r="P2162" s="19" t="s">
        <v>2449</v>
      </c>
      <c r="Q2162" s="19" t="s">
        <v>27</v>
      </c>
      <c r="S2162" s="19" t="s">
        <v>138</v>
      </c>
      <c r="V2162" s="19" t="s">
        <v>138</v>
      </c>
      <c r="W2162" s="20">
        <v>24</v>
      </c>
      <c r="X2162" s="65" t="s">
        <v>2010</v>
      </c>
      <c r="Z2162" t="s">
        <v>307</v>
      </c>
      <c r="AB2162" t="s">
        <v>178</v>
      </c>
      <c r="AC2162" t="s">
        <v>2908</v>
      </c>
      <c r="AD2162" s="2" t="s">
        <v>2909</v>
      </c>
    </row>
    <row r="2163" spans="1:30" x14ac:dyDescent="0.25">
      <c r="A2163" s="2">
        <v>444</v>
      </c>
      <c r="B2163" t="s">
        <v>2921</v>
      </c>
      <c r="C2163">
        <v>20</v>
      </c>
      <c r="D2163">
        <v>300</v>
      </c>
      <c r="E2163">
        <v>1514</v>
      </c>
      <c r="F2163" t="s">
        <v>273</v>
      </c>
      <c r="G2163" s="2" t="s">
        <v>156</v>
      </c>
      <c r="H2163">
        <v>1</v>
      </c>
      <c r="I2163">
        <v>71.31</v>
      </c>
      <c r="J2163" s="2" t="s">
        <v>170</v>
      </c>
      <c r="K2163" s="2" t="s">
        <v>74</v>
      </c>
      <c r="M2163" t="s">
        <v>3150</v>
      </c>
      <c r="P2163" s="19" t="s">
        <v>2449</v>
      </c>
      <c r="Q2163" s="19" t="s">
        <v>27</v>
      </c>
      <c r="S2163" s="19" t="s">
        <v>138</v>
      </c>
      <c r="W2163" s="20">
        <v>24</v>
      </c>
      <c r="X2163" s="65" t="s">
        <v>2010</v>
      </c>
      <c r="Z2163" t="s">
        <v>307</v>
      </c>
      <c r="AB2163" t="s">
        <v>178</v>
      </c>
      <c r="AC2163" t="s">
        <v>2923</v>
      </c>
      <c r="AD2163" s="2" t="s">
        <v>2924</v>
      </c>
    </row>
    <row r="2164" spans="1:30" x14ac:dyDescent="0.25">
      <c r="A2164" s="2">
        <v>445</v>
      </c>
      <c r="B2164" t="s">
        <v>2926</v>
      </c>
      <c r="C2164">
        <v>20</v>
      </c>
      <c r="D2164">
        <v>300</v>
      </c>
      <c r="E2164">
        <v>1514</v>
      </c>
      <c r="F2164" t="s">
        <v>273</v>
      </c>
      <c r="G2164" s="2" t="s">
        <v>156</v>
      </c>
      <c r="H2164">
        <v>1</v>
      </c>
      <c r="I2164">
        <v>71.31</v>
      </c>
      <c r="J2164" s="2" t="s">
        <v>170</v>
      </c>
      <c r="K2164" s="2" t="s">
        <v>74</v>
      </c>
      <c r="M2164" t="s">
        <v>3150</v>
      </c>
      <c r="P2164" s="19" t="s">
        <v>2449</v>
      </c>
      <c r="Q2164" s="19" t="s">
        <v>27</v>
      </c>
      <c r="S2164" s="19" t="s">
        <v>138</v>
      </c>
      <c r="W2164" s="20">
        <v>24</v>
      </c>
      <c r="X2164" s="65" t="s">
        <v>2010</v>
      </c>
      <c r="Z2164" t="s">
        <v>307</v>
      </c>
      <c r="AB2164" t="s">
        <v>178</v>
      </c>
      <c r="AC2164" t="s">
        <v>2923</v>
      </c>
      <c r="AD2164" s="2" t="s">
        <v>2924</v>
      </c>
    </row>
    <row r="2165" spans="1:30" x14ac:dyDescent="0.25">
      <c r="A2165" s="2">
        <v>446</v>
      </c>
      <c r="B2165" t="s">
        <v>2927</v>
      </c>
      <c r="C2165">
        <v>20</v>
      </c>
      <c r="D2165">
        <v>300</v>
      </c>
      <c r="E2165">
        <v>1514</v>
      </c>
      <c r="F2165" t="s">
        <v>273</v>
      </c>
      <c r="G2165" s="2" t="s">
        <v>156</v>
      </c>
      <c r="H2165">
        <v>1</v>
      </c>
      <c r="I2165">
        <v>71.31</v>
      </c>
      <c r="J2165" s="2" t="s">
        <v>170</v>
      </c>
      <c r="K2165" s="2" t="s">
        <v>74</v>
      </c>
      <c r="M2165" t="s">
        <v>3150</v>
      </c>
      <c r="P2165" s="19" t="s">
        <v>2449</v>
      </c>
      <c r="Q2165" s="19" t="s">
        <v>27</v>
      </c>
      <c r="S2165" s="19" t="s">
        <v>138</v>
      </c>
      <c r="W2165" s="20">
        <v>24</v>
      </c>
      <c r="X2165" s="65" t="s">
        <v>2010</v>
      </c>
      <c r="Z2165" t="s">
        <v>307</v>
      </c>
      <c r="AB2165" t="s">
        <v>178</v>
      </c>
      <c r="AC2165" t="s">
        <v>2923</v>
      </c>
      <c r="AD2165" s="2" t="s">
        <v>2924</v>
      </c>
    </row>
    <row r="2166" spans="1:30" x14ac:dyDescent="0.25">
      <c r="A2166" s="2">
        <v>447</v>
      </c>
      <c r="B2166" t="s">
        <v>2928</v>
      </c>
      <c r="C2166">
        <v>20</v>
      </c>
      <c r="D2166">
        <v>300</v>
      </c>
      <c r="E2166">
        <v>1383</v>
      </c>
      <c r="F2166" t="s">
        <v>273</v>
      </c>
      <c r="G2166" s="2" t="s">
        <v>156</v>
      </c>
      <c r="H2166">
        <v>1</v>
      </c>
      <c r="I2166">
        <v>65.14</v>
      </c>
      <c r="J2166" s="2" t="s">
        <v>170</v>
      </c>
      <c r="K2166" s="2" t="s">
        <v>74</v>
      </c>
      <c r="M2166" t="s">
        <v>3150</v>
      </c>
      <c r="P2166" s="19" t="s">
        <v>2449</v>
      </c>
      <c r="Q2166" s="19" t="s">
        <v>27</v>
      </c>
      <c r="S2166" s="19" t="s">
        <v>138</v>
      </c>
      <c r="V2166" s="19" t="s">
        <v>138</v>
      </c>
      <c r="W2166" s="20">
        <v>24</v>
      </c>
      <c r="X2166" s="65" t="s">
        <v>2010</v>
      </c>
      <c r="Z2166" t="s">
        <v>307</v>
      </c>
      <c r="AB2166" t="s">
        <v>178</v>
      </c>
      <c r="AC2166" t="s">
        <v>2923</v>
      </c>
      <c r="AD2166" s="2" t="s">
        <v>2924</v>
      </c>
    </row>
    <row r="2167" spans="1:30" x14ac:dyDescent="0.25">
      <c r="A2167" s="2">
        <v>448</v>
      </c>
      <c r="B2167" t="s">
        <v>2929</v>
      </c>
      <c r="C2167">
        <v>20</v>
      </c>
      <c r="D2167">
        <v>300</v>
      </c>
      <c r="E2167">
        <v>1383</v>
      </c>
      <c r="F2167" t="s">
        <v>273</v>
      </c>
      <c r="G2167" s="2" t="s">
        <v>156</v>
      </c>
      <c r="H2167">
        <v>1</v>
      </c>
      <c r="I2167">
        <v>65.14</v>
      </c>
      <c r="J2167" s="2" t="s">
        <v>170</v>
      </c>
      <c r="K2167" s="2" t="s">
        <v>74</v>
      </c>
      <c r="M2167" t="s">
        <v>3150</v>
      </c>
      <c r="P2167" s="19" t="s">
        <v>2449</v>
      </c>
      <c r="Q2167" s="19" t="s">
        <v>27</v>
      </c>
      <c r="S2167" s="19" t="s">
        <v>138</v>
      </c>
      <c r="V2167" s="19" t="s">
        <v>138</v>
      </c>
      <c r="W2167" s="20">
        <v>24</v>
      </c>
      <c r="X2167" s="65" t="s">
        <v>2010</v>
      </c>
      <c r="Z2167" t="s">
        <v>307</v>
      </c>
      <c r="AB2167" t="s">
        <v>178</v>
      </c>
      <c r="AC2167" t="s">
        <v>2923</v>
      </c>
      <c r="AD2167" s="2" t="s">
        <v>2924</v>
      </c>
    </row>
    <row r="2168" spans="1:30" x14ac:dyDescent="0.25">
      <c r="A2168" s="2">
        <v>449</v>
      </c>
      <c r="B2168" t="s">
        <v>2930</v>
      </c>
      <c r="C2168">
        <v>20</v>
      </c>
      <c r="D2168">
        <v>300</v>
      </c>
      <c r="E2168">
        <v>1383</v>
      </c>
      <c r="F2168" t="s">
        <v>273</v>
      </c>
      <c r="G2168" s="2" t="s">
        <v>156</v>
      </c>
      <c r="H2168">
        <v>1</v>
      </c>
      <c r="I2168">
        <v>65.14</v>
      </c>
      <c r="J2168" s="2" t="s">
        <v>170</v>
      </c>
      <c r="K2168" s="2" t="s">
        <v>74</v>
      </c>
      <c r="M2168" t="s">
        <v>3150</v>
      </c>
      <c r="P2168" s="19" t="s">
        <v>2449</v>
      </c>
      <c r="Q2168" s="19" t="s">
        <v>27</v>
      </c>
      <c r="S2168" s="19" t="s">
        <v>138</v>
      </c>
      <c r="V2168" s="19" t="s">
        <v>138</v>
      </c>
      <c r="W2168" s="20">
        <v>24</v>
      </c>
      <c r="X2168" s="65" t="s">
        <v>2010</v>
      </c>
      <c r="Z2168" t="s">
        <v>307</v>
      </c>
      <c r="AB2168" t="s">
        <v>178</v>
      </c>
      <c r="AC2168" t="s">
        <v>2923</v>
      </c>
      <c r="AD2168" s="2" t="s">
        <v>2924</v>
      </c>
    </row>
    <row r="2169" spans="1:30" x14ac:dyDescent="0.25">
      <c r="A2169" s="2">
        <v>450</v>
      </c>
      <c r="B2169" t="s">
        <v>2931</v>
      </c>
      <c r="C2169">
        <v>20</v>
      </c>
      <c r="D2169">
        <v>300</v>
      </c>
      <c r="E2169">
        <v>1383</v>
      </c>
      <c r="F2169" t="s">
        <v>273</v>
      </c>
      <c r="G2169" s="2" t="s">
        <v>156</v>
      </c>
      <c r="H2169">
        <v>1</v>
      </c>
      <c r="I2169">
        <v>65.14</v>
      </c>
      <c r="J2169" s="2" t="s">
        <v>170</v>
      </c>
      <c r="K2169" s="2" t="s">
        <v>74</v>
      </c>
      <c r="M2169" t="s">
        <v>3150</v>
      </c>
      <c r="P2169" s="19" t="s">
        <v>2449</v>
      </c>
      <c r="Q2169" s="19" t="s">
        <v>27</v>
      </c>
      <c r="S2169" s="19" t="s">
        <v>138</v>
      </c>
      <c r="V2169" s="19" t="s">
        <v>138</v>
      </c>
      <c r="W2169" s="20">
        <v>24</v>
      </c>
      <c r="X2169" s="65" t="s">
        <v>2010</v>
      </c>
      <c r="Z2169" t="s">
        <v>307</v>
      </c>
      <c r="AB2169" t="s">
        <v>178</v>
      </c>
      <c r="AC2169" t="s">
        <v>2923</v>
      </c>
      <c r="AD2169" s="2" t="s">
        <v>2924</v>
      </c>
    </row>
    <row r="2170" spans="1:30" x14ac:dyDescent="0.25">
      <c r="A2170" s="2">
        <v>451</v>
      </c>
      <c r="B2170" t="s">
        <v>2932</v>
      </c>
      <c r="C2170">
        <v>20</v>
      </c>
      <c r="D2170">
        <v>300</v>
      </c>
      <c r="E2170">
        <v>1383</v>
      </c>
      <c r="F2170" t="s">
        <v>273</v>
      </c>
      <c r="G2170" s="2" t="s">
        <v>156</v>
      </c>
      <c r="H2170">
        <v>1</v>
      </c>
      <c r="I2170">
        <v>65.14</v>
      </c>
      <c r="J2170" s="2" t="s">
        <v>170</v>
      </c>
      <c r="K2170" s="2" t="s">
        <v>74</v>
      </c>
      <c r="M2170" t="s">
        <v>3150</v>
      </c>
      <c r="P2170" s="19" t="s">
        <v>2449</v>
      </c>
      <c r="Q2170" s="19" t="s">
        <v>27</v>
      </c>
      <c r="S2170" s="19" t="s">
        <v>138</v>
      </c>
      <c r="V2170" s="19" t="s">
        <v>138</v>
      </c>
      <c r="W2170" s="20">
        <v>24</v>
      </c>
      <c r="X2170" s="65" t="s">
        <v>2010</v>
      </c>
      <c r="Z2170" t="s">
        <v>307</v>
      </c>
      <c r="AB2170" t="s">
        <v>178</v>
      </c>
      <c r="AC2170" t="s">
        <v>2923</v>
      </c>
      <c r="AD2170" s="2" t="s">
        <v>2924</v>
      </c>
    </row>
    <row r="2171" spans="1:30" x14ac:dyDescent="0.25">
      <c r="A2171" s="2">
        <v>452</v>
      </c>
      <c r="B2171" t="s">
        <v>2933</v>
      </c>
      <c r="C2171">
        <v>20</v>
      </c>
      <c r="D2171">
        <v>300</v>
      </c>
      <c r="E2171">
        <v>908</v>
      </c>
      <c r="F2171" t="s">
        <v>273</v>
      </c>
      <c r="G2171" s="2" t="s">
        <v>156</v>
      </c>
      <c r="H2171">
        <v>1</v>
      </c>
      <c r="I2171">
        <v>42.77</v>
      </c>
      <c r="J2171" s="2" t="s">
        <v>170</v>
      </c>
      <c r="K2171" s="2" t="s">
        <v>74</v>
      </c>
      <c r="M2171" t="s">
        <v>3150</v>
      </c>
      <c r="P2171" s="19" t="s">
        <v>2449</v>
      </c>
      <c r="Q2171" s="19" t="s">
        <v>27</v>
      </c>
      <c r="S2171" s="19" t="s">
        <v>138</v>
      </c>
      <c r="V2171" s="19" t="s">
        <v>138</v>
      </c>
      <c r="W2171" s="20">
        <v>24</v>
      </c>
      <c r="X2171" s="65" t="s">
        <v>2010</v>
      </c>
      <c r="Z2171" t="s">
        <v>307</v>
      </c>
      <c r="AB2171" t="s">
        <v>178</v>
      </c>
      <c r="AC2171" t="s">
        <v>2923</v>
      </c>
      <c r="AD2171" s="2" t="s">
        <v>2924</v>
      </c>
    </row>
    <row r="2172" spans="1:30" x14ac:dyDescent="0.25">
      <c r="A2172" s="2">
        <v>453</v>
      </c>
      <c r="B2172" t="s">
        <v>2934</v>
      </c>
      <c r="C2172">
        <v>20</v>
      </c>
      <c r="D2172">
        <v>300</v>
      </c>
      <c r="E2172">
        <v>1434</v>
      </c>
      <c r="F2172" t="s">
        <v>273</v>
      </c>
      <c r="G2172" s="2" t="s">
        <v>156</v>
      </c>
      <c r="H2172">
        <v>1</v>
      </c>
      <c r="I2172">
        <v>67.540000000000006</v>
      </c>
      <c r="J2172" s="2" t="s">
        <v>170</v>
      </c>
      <c r="K2172" s="2" t="s">
        <v>74</v>
      </c>
      <c r="M2172" t="s">
        <v>3150</v>
      </c>
      <c r="P2172" s="19" t="s">
        <v>2449</v>
      </c>
      <c r="Q2172" s="19" t="s">
        <v>27</v>
      </c>
      <c r="S2172" s="19" t="s">
        <v>138</v>
      </c>
      <c r="W2172" s="20">
        <v>24</v>
      </c>
      <c r="X2172" s="65" t="s">
        <v>2010</v>
      </c>
      <c r="Z2172" t="s">
        <v>307</v>
      </c>
      <c r="AB2172" t="s">
        <v>178</v>
      </c>
      <c r="AC2172" t="s">
        <v>2923</v>
      </c>
      <c r="AD2172" s="2" t="s">
        <v>2924</v>
      </c>
    </row>
    <row r="2173" spans="1:30" x14ac:dyDescent="0.25">
      <c r="A2173" s="2">
        <v>454</v>
      </c>
      <c r="B2173" t="s">
        <v>2935</v>
      </c>
      <c r="C2173">
        <v>20</v>
      </c>
      <c r="D2173">
        <v>300</v>
      </c>
      <c r="E2173">
        <v>908</v>
      </c>
      <c r="F2173" t="s">
        <v>273</v>
      </c>
      <c r="G2173" s="2" t="s">
        <v>156</v>
      </c>
      <c r="H2173">
        <v>1</v>
      </c>
      <c r="I2173">
        <v>42.77</v>
      </c>
      <c r="J2173" s="2" t="s">
        <v>170</v>
      </c>
      <c r="K2173" s="2" t="s">
        <v>74</v>
      </c>
      <c r="M2173" t="s">
        <v>3150</v>
      </c>
      <c r="P2173" s="19" t="s">
        <v>2449</v>
      </c>
      <c r="Q2173" s="19" t="s">
        <v>27</v>
      </c>
      <c r="S2173" s="19" t="s">
        <v>138</v>
      </c>
      <c r="V2173" s="19" t="s">
        <v>138</v>
      </c>
      <c r="W2173" s="20">
        <v>24</v>
      </c>
      <c r="X2173" s="65" t="s">
        <v>2010</v>
      </c>
      <c r="Z2173" t="s">
        <v>307</v>
      </c>
      <c r="AB2173" t="s">
        <v>178</v>
      </c>
      <c r="AC2173" t="s">
        <v>2923</v>
      </c>
      <c r="AD2173" s="2" t="s">
        <v>2924</v>
      </c>
    </row>
    <row r="2174" spans="1:30" x14ac:dyDescent="0.25">
      <c r="A2174" s="2">
        <v>455</v>
      </c>
      <c r="B2174" t="s">
        <v>2936</v>
      </c>
      <c r="C2174">
        <v>20</v>
      </c>
      <c r="D2174">
        <v>300</v>
      </c>
      <c r="E2174">
        <v>1434</v>
      </c>
      <c r="F2174" t="s">
        <v>273</v>
      </c>
      <c r="G2174" s="2" t="s">
        <v>156</v>
      </c>
      <c r="H2174">
        <v>1</v>
      </c>
      <c r="I2174">
        <v>67.540000000000006</v>
      </c>
      <c r="J2174" s="2" t="s">
        <v>170</v>
      </c>
      <c r="K2174" s="2" t="s">
        <v>74</v>
      </c>
      <c r="M2174" t="s">
        <v>3150</v>
      </c>
      <c r="P2174" s="19" t="s">
        <v>2449</v>
      </c>
      <c r="Q2174" s="19" t="s">
        <v>27</v>
      </c>
      <c r="S2174" s="19" t="s">
        <v>138</v>
      </c>
      <c r="W2174" s="20">
        <v>24</v>
      </c>
      <c r="X2174" s="65" t="s">
        <v>2010</v>
      </c>
      <c r="Z2174" t="s">
        <v>307</v>
      </c>
      <c r="AB2174" t="s">
        <v>178</v>
      </c>
      <c r="AC2174" t="s">
        <v>2923</v>
      </c>
      <c r="AD2174" s="2" t="s">
        <v>2924</v>
      </c>
    </row>
    <row r="2175" spans="1:30" x14ac:dyDescent="0.25">
      <c r="A2175" s="2">
        <v>456</v>
      </c>
      <c r="B2175" t="s">
        <v>2937</v>
      </c>
      <c r="C2175">
        <v>20</v>
      </c>
      <c r="D2175">
        <v>300</v>
      </c>
      <c r="E2175">
        <v>1383</v>
      </c>
      <c r="F2175" t="s">
        <v>273</v>
      </c>
      <c r="G2175" s="2" t="s">
        <v>156</v>
      </c>
      <c r="H2175">
        <v>1</v>
      </c>
      <c r="I2175">
        <v>65.14</v>
      </c>
      <c r="J2175" s="2" t="s">
        <v>170</v>
      </c>
      <c r="K2175" s="2" t="s">
        <v>74</v>
      </c>
      <c r="M2175" t="s">
        <v>3150</v>
      </c>
      <c r="P2175" s="19" t="s">
        <v>2449</v>
      </c>
      <c r="Q2175" s="19" t="s">
        <v>27</v>
      </c>
      <c r="S2175" s="19" t="s">
        <v>138</v>
      </c>
      <c r="V2175" s="19" t="s">
        <v>138</v>
      </c>
      <c r="W2175" s="20">
        <v>24</v>
      </c>
      <c r="X2175" s="65" t="s">
        <v>2010</v>
      </c>
      <c r="Z2175" t="s">
        <v>307</v>
      </c>
      <c r="AB2175" t="s">
        <v>178</v>
      </c>
      <c r="AC2175" t="s">
        <v>2923</v>
      </c>
      <c r="AD2175" s="2" t="s">
        <v>2924</v>
      </c>
    </row>
    <row r="2176" spans="1:30" x14ac:dyDescent="0.25">
      <c r="A2176" s="2">
        <v>457</v>
      </c>
      <c r="B2176" t="s">
        <v>2938</v>
      </c>
      <c r="C2176">
        <v>20</v>
      </c>
      <c r="D2176">
        <v>300</v>
      </c>
      <c r="E2176">
        <v>1383</v>
      </c>
      <c r="F2176" t="s">
        <v>273</v>
      </c>
      <c r="G2176" s="2" t="s">
        <v>156</v>
      </c>
      <c r="H2176">
        <v>1</v>
      </c>
      <c r="I2176">
        <v>65.14</v>
      </c>
      <c r="J2176" s="2" t="s">
        <v>170</v>
      </c>
      <c r="K2176" s="2" t="s">
        <v>74</v>
      </c>
      <c r="M2176" t="s">
        <v>3150</v>
      </c>
      <c r="P2176" s="19" t="s">
        <v>2449</v>
      </c>
      <c r="Q2176" s="19" t="s">
        <v>27</v>
      </c>
      <c r="S2176" s="19" t="s">
        <v>138</v>
      </c>
      <c r="V2176" s="19" t="s">
        <v>138</v>
      </c>
      <c r="W2176" s="20">
        <v>24</v>
      </c>
      <c r="X2176" s="65" t="s">
        <v>2010</v>
      </c>
      <c r="Z2176" t="s">
        <v>307</v>
      </c>
      <c r="AB2176" t="s">
        <v>178</v>
      </c>
      <c r="AC2176" t="s">
        <v>2923</v>
      </c>
      <c r="AD2176" s="2" t="s">
        <v>2924</v>
      </c>
    </row>
    <row r="2177" spans="1:30" x14ac:dyDescent="0.25">
      <c r="A2177" s="2">
        <v>458</v>
      </c>
      <c r="B2177" t="s">
        <v>2939</v>
      </c>
      <c r="C2177">
        <v>20</v>
      </c>
      <c r="D2177">
        <v>300</v>
      </c>
      <c r="E2177">
        <v>1383</v>
      </c>
      <c r="F2177" t="s">
        <v>273</v>
      </c>
      <c r="G2177" s="2" t="s">
        <v>156</v>
      </c>
      <c r="H2177">
        <v>1</v>
      </c>
      <c r="I2177">
        <v>65.14</v>
      </c>
      <c r="J2177" s="2" t="s">
        <v>170</v>
      </c>
      <c r="K2177" s="2" t="s">
        <v>74</v>
      </c>
      <c r="M2177" t="s">
        <v>3150</v>
      </c>
      <c r="P2177" s="19" t="s">
        <v>2449</v>
      </c>
      <c r="Q2177" s="19" t="s">
        <v>27</v>
      </c>
      <c r="S2177" s="19" t="s">
        <v>138</v>
      </c>
      <c r="V2177" s="19" t="s">
        <v>138</v>
      </c>
      <c r="W2177" s="20">
        <v>24</v>
      </c>
      <c r="X2177" s="65" t="s">
        <v>2010</v>
      </c>
      <c r="Z2177" t="s">
        <v>307</v>
      </c>
      <c r="AB2177" t="s">
        <v>178</v>
      </c>
      <c r="AC2177" t="s">
        <v>2923</v>
      </c>
      <c r="AD2177" s="2" t="s">
        <v>2924</v>
      </c>
    </row>
    <row r="2178" spans="1:30" x14ac:dyDescent="0.25">
      <c r="A2178" s="2">
        <v>459</v>
      </c>
      <c r="B2178" t="s">
        <v>2940</v>
      </c>
      <c r="C2178">
        <v>20</v>
      </c>
      <c r="D2178">
        <v>300</v>
      </c>
      <c r="E2178">
        <v>1383</v>
      </c>
      <c r="F2178" t="s">
        <v>273</v>
      </c>
      <c r="G2178" s="2" t="s">
        <v>156</v>
      </c>
      <c r="H2178">
        <v>1</v>
      </c>
      <c r="I2178">
        <v>65.14</v>
      </c>
      <c r="J2178" s="2" t="s">
        <v>170</v>
      </c>
      <c r="K2178" s="2" t="s">
        <v>74</v>
      </c>
      <c r="M2178" t="s">
        <v>3150</v>
      </c>
      <c r="P2178" s="19" t="s">
        <v>2449</v>
      </c>
      <c r="Q2178" s="19" t="s">
        <v>27</v>
      </c>
      <c r="S2178" s="19" t="s">
        <v>138</v>
      </c>
      <c r="V2178" s="19" t="s">
        <v>138</v>
      </c>
      <c r="W2178" s="20">
        <v>24</v>
      </c>
      <c r="X2178" s="65" t="s">
        <v>2010</v>
      </c>
      <c r="Z2178" t="s">
        <v>307</v>
      </c>
      <c r="AB2178" t="s">
        <v>178</v>
      </c>
      <c r="AC2178" t="s">
        <v>2923</v>
      </c>
      <c r="AD2178" s="2" t="s">
        <v>2924</v>
      </c>
    </row>
    <row r="2179" spans="1:30" x14ac:dyDescent="0.25">
      <c r="A2179" s="2">
        <v>460</v>
      </c>
      <c r="B2179" t="s">
        <v>2917</v>
      </c>
      <c r="C2179">
        <v>20</v>
      </c>
      <c r="D2179">
        <v>300</v>
      </c>
      <c r="E2179">
        <v>480</v>
      </c>
      <c r="F2179" t="s">
        <v>273</v>
      </c>
      <c r="G2179" s="2" t="s">
        <v>156</v>
      </c>
      <c r="H2179">
        <v>2</v>
      </c>
      <c r="I2179">
        <v>45.22</v>
      </c>
      <c r="J2179" s="2" t="s">
        <v>170</v>
      </c>
      <c r="K2179" s="2" t="s">
        <v>74</v>
      </c>
      <c r="M2179" t="s">
        <v>3150</v>
      </c>
      <c r="P2179" s="19" t="s">
        <v>2449</v>
      </c>
      <c r="Q2179" s="19" t="s">
        <v>25</v>
      </c>
      <c r="S2179" s="19" t="s">
        <v>138</v>
      </c>
      <c r="W2179" s="20">
        <v>24</v>
      </c>
      <c r="X2179" s="65" t="s">
        <v>2010</v>
      </c>
      <c r="Z2179" t="s">
        <v>307</v>
      </c>
      <c r="AB2179" t="s">
        <v>178</v>
      </c>
      <c r="AC2179" t="s">
        <v>2923</v>
      </c>
      <c r="AD2179" s="2" t="s">
        <v>2924</v>
      </c>
    </row>
    <row r="2180" spans="1:30" x14ac:dyDescent="0.25">
      <c r="A2180" s="2">
        <v>461</v>
      </c>
      <c r="B2180" t="s">
        <v>2920</v>
      </c>
      <c r="C2180">
        <v>20</v>
      </c>
      <c r="D2180">
        <v>300</v>
      </c>
      <c r="E2180">
        <v>1096</v>
      </c>
      <c r="F2180" t="s">
        <v>273</v>
      </c>
      <c r="G2180" s="2" t="s">
        <v>156</v>
      </c>
      <c r="H2180">
        <v>1</v>
      </c>
      <c r="I2180">
        <v>51.62</v>
      </c>
      <c r="J2180" s="2" t="s">
        <v>170</v>
      </c>
      <c r="K2180" s="2" t="s">
        <v>74</v>
      </c>
      <c r="M2180" t="s">
        <v>3150</v>
      </c>
      <c r="P2180" s="19" t="s">
        <v>2449</v>
      </c>
      <c r="Q2180" s="19" t="s">
        <v>27</v>
      </c>
      <c r="S2180" s="19" t="s">
        <v>138</v>
      </c>
      <c r="V2180" s="19" t="s">
        <v>138</v>
      </c>
      <c r="W2180" s="20">
        <v>24</v>
      </c>
      <c r="X2180" s="65" t="s">
        <v>2010</v>
      </c>
      <c r="Z2180" t="s">
        <v>307</v>
      </c>
      <c r="AB2180" t="s">
        <v>178</v>
      </c>
      <c r="AC2180" t="s">
        <v>2923</v>
      </c>
      <c r="AD2180" s="2" t="s">
        <v>2924</v>
      </c>
    </row>
    <row r="2181" spans="1:30" x14ac:dyDescent="0.25">
      <c r="A2181" s="2">
        <v>462</v>
      </c>
      <c r="B2181" t="s">
        <v>2941</v>
      </c>
      <c r="C2181">
        <v>20</v>
      </c>
      <c r="D2181">
        <v>300</v>
      </c>
      <c r="E2181">
        <v>1514</v>
      </c>
      <c r="F2181" t="s">
        <v>273</v>
      </c>
      <c r="G2181" s="2" t="s">
        <v>156</v>
      </c>
      <c r="H2181">
        <v>1</v>
      </c>
      <c r="I2181">
        <v>71.31</v>
      </c>
      <c r="J2181" s="2" t="s">
        <v>170</v>
      </c>
      <c r="K2181" s="2" t="s">
        <v>74</v>
      </c>
      <c r="M2181" t="s">
        <v>3150</v>
      </c>
      <c r="P2181" s="19" t="s">
        <v>2449</v>
      </c>
      <c r="Q2181" s="19" t="s">
        <v>27</v>
      </c>
      <c r="S2181" s="19" t="s">
        <v>138</v>
      </c>
      <c r="W2181" s="20">
        <v>24</v>
      </c>
      <c r="X2181" s="65" t="s">
        <v>2010</v>
      </c>
      <c r="Z2181" t="s">
        <v>307</v>
      </c>
      <c r="AB2181" t="s">
        <v>178</v>
      </c>
      <c r="AC2181" t="s">
        <v>2943</v>
      </c>
      <c r="AD2181" s="2" t="s">
        <v>2944</v>
      </c>
    </row>
    <row r="2182" spans="1:30" x14ac:dyDescent="0.25">
      <c r="A2182" s="2">
        <v>463</v>
      </c>
      <c r="B2182" t="s">
        <v>2946</v>
      </c>
      <c r="C2182">
        <v>20</v>
      </c>
      <c r="D2182">
        <v>300</v>
      </c>
      <c r="E2182">
        <v>1514</v>
      </c>
      <c r="F2182" t="s">
        <v>273</v>
      </c>
      <c r="G2182" s="2" t="s">
        <v>156</v>
      </c>
      <c r="H2182">
        <v>1</v>
      </c>
      <c r="I2182">
        <v>71.31</v>
      </c>
      <c r="J2182" s="2" t="s">
        <v>170</v>
      </c>
      <c r="K2182" s="2" t="s">
        <v>74</v>
      </c>
      <c r="M2182" t="s">
        <v>3150</v>
      </c>
      <c r="P2182" s="19" t="s">
        <v>2449</v>
      </c>
      <c r="Q2182" s="19" t="s">
        <v>27</v>
      </c>
      <c r="S2182" s="19" t="s">
        <v>138</v>
      </c>
      <c r="W2182" s="20">
        <v>24</v>
      </c>
      <c r="X2182" s="65" t="s">
        <v>2010</v>
      </c>
      <c r="Z2182" t="s">
        <v>307</v>
      </c>
      <c r="AB2182" t="s">
        <v>178</v>
      </c>
      <c r="AC2182" t="s">
        <v>2943</v>
      </c>
      <c r="AD2182" s="2" t="s">
        <v>2944</v>
      </c>
    </row>
    <row r="2183" spans="1:30" x14ac:dyDescent="0.25">
      <c r="A2183" s="2">
        <v>464</v>
      </c>
      <c r="B2183" t="s">
        <v>2947</v>
      </c>
      <c r="C2183">
        <v>20</v>
      </c>
      <c r="D2183">
        <v>300</v>
      </c>
      <c r="E2183">
        <v>1514</v>
      </c>
      <c r="F2183" t="s">
        <v>273</v>
      </c>
      <c r="G2183" s="2" t="s">
        <v>156</v>
      </c>
      <c r="H2183">
        <v>1</v>
      </c>
      <c r="I2183">
        <v>71.31</v>
      </c>
      <c r="J2183" s="2" t="s">
        <v>170</v>
      </c>
      <c r="K2183" s="2" t="s">
        <v>74</v>
      </c>
      <c r="M2183" t="s">
        <v>3150</v>
      </c>
      <c r="P2183" s="19" t="s">
        <v>2449</v>
      </c>
      <c r="Q2183" s="19" t="s">
        <v>27</v>
      </c>
      <c r="S2183" s="19" t="s">
        <v>138</v>
      </c>
      <c r="W2183" s="20">
        <v>24</v>
      </c>
      <c r="X2183" s="65" t="s">
        <v>2010</v>
      </c>
      <c r="Z2183" t="s">
        <v>307</v>
      </c>
      <c r="AB2183" t="s">
        <v>178</v>
      </c>
      <c r="AC2183" t="s">
        <v>2943</v>
      </c>
      <c r="AD2183" s="2" t="s">
        <v>2944</v>
      </c>
    </row>
    <row r="2184" spans="1:30" x14ac:dyDescent="0.25">
      <c r="A2184" s="2">
        <v>465</v>
      </c>
      <c r="B2184" t="s">
        <v>2948</v>
      </c>
      <c r="C2184">
        <v>20</v>
      </c>
      <c r="D2184">
        <v>300</v>
      </c>
      <c r="E2184">
        <v>1514</v>
      </c>
      <c r="F2184" t="s">
        <v>273</v>
      </c>
      <c r="G2184" s="2" t="s">
        <v>156</v>
      </c>
      <c r="H2184">
        <v>1</v>
      </c>
      <c r="I2184">
        <v>71.31</v>
      </c>
      <c r="J2184" s="2" t="s">
        <v>170</v>
      </c>
      <c r="K2184" s="2" t="s">
        <v>74</v>
      </c>
      <c r="M2184" t="s">
        <v>3150</v>
      </c>
      <c r="P2184" s="19" t="s">
        <v>2449</v>
      </c>
      <c r="Q2184" s="19" t="s">
        <v>27</v>
      </c>
      <c r="S2184" s="19" t="s">
        <v>138</v>
      </c>
      <c r="W2184" s="20">
        <v>24</v>
      </c>
      <c r="X2184" s="65" t="s">
        <v>2010</v>
      </c>
      <c r="Z2184" t="s">
        <v>307</v>
      </c>
      <c r="AB2184" t="s">
        <v>178</v>
      </c>
      <c r="AC2184" t="s">
        <v>2943</v>
      </c>
      <c r="AD2184" s="2" t="s">
        <v>2944</v>
      </c>
    </row>
    <row r="2185" spans="1:30" x14ac:dyDescent="0.25">
      <c r="A2185" s="2">
        <v>466</v>
      </c>
      <c r="B2185" t="s">
        <v>2949</v>
      </c>
      <c r="C2185">
        <v>20</v>
      </c>
      <c r="D2185">
        <v>300</v>
      </c>
      <c r="E2185">
        <v>1514</v>
      </c>
      <c r="F2185" t="s">
        <v>273</v>
      </c>
      <c r="G2185" s="2" t="s">
        <v>156</v>
      </c>
      <c r="H2185">
        <v>1</v>
      </c>
      <c r="I2185">
        <v>71.31</v>
      </c>
      <c r="J2185" s="2" t="s">
        <v>170</v>
      </c>
      <c r="K2185" s="2" t="s">
        <v>74</v>
      </c>
      <c r="M2185" t="s">
        <v>3150</v>
      </c>
      <c r="P2185" s="19" t="s">
        <v>2449</v>
      </c>
      <c r="Q2185" s="19" t="s">
        <v>27</v>
      </c>
      <c r="S2185" s="19" t="s">
        <v>138</v>
      </c>
      <c r="W2185" s="20">
        <v>24</v>
      </c>
      <c r="X2185" s="65" t="s">
        <v>2010</v>
      </c>
      <c r="Z2185" t="s">
        <v>307</v>
      </c>
      <c r="AB2185" t="s">
        <v>178</v>
      </c>
      <c r="AC2185" t="s">
        <v>2943</v>
      </c>
      <c r="AD2185" s="2" t="s">
        <v>2944</v>
      </c>
    </row>
    <row r="2186" spans="1:30" x14ac:dyDescent="0.25">
      <c r="A2186" s="2">
        <v>467</v>
      </c>
      <c r="B2186" t="s">
        <v>2950</v>
      </c>
      <c r="C2186">
        <v>20</v>
      </c>
      <c r="D2186">
        <v>300</v>
      </c>
      <c r="E2186">
        <v>1514</v>
      </c>
      <c r="F2186" t="s">
        <v>273</v>
      </c>
      <c r="G2186" s="2" t="s">
        <v>156</v>
      </c>
      <c r="H2186">
        <v>1</v>
      </c>
      <c r="I2186">
        <v>71.31</v>
      </c>
      <c r="J2186" s="2" t="s">
        <v>170</v>
      </c>
      <c r="K2186" s="2" t="s">
        <v>74</v>
      </c>
      <c r="M2186" t="s">
        <v>3150</v>
      </c>
      <c r="P2186" s="19" t="s">
        <v>2449</v>
      </c>
      <c r="Q2186" s="19" t="s">
        <v>27</v>
      </c>
      <c r="S2186" s="19" t="s">
        <v>138</v>
      </c>
      <c r="W2186" s="20">
        <v>24</v>
      </c>
      <c r="X2186" s="65" t="s">
        <v>2010</v>
      </c>
      <c r="Z2186" t="s">
        <v>307</v>
      </c>
      <c r="AB2186" t="s">
        <v>178</v>
      </c>
      <c r="AC2186" t="s">
        <v>2943</v>
      </c>
      <c r="AD2186" s="2" t="s">
        <v>2944</v>
      </c>
    </row>
    <row r="2187" spans="1:30" x14ac:dyDescent="0.25">
      <c r="A2187" s="2">
        <v>468</v>
      </c>
      <c r="B2187" t="s">
        <v>2951</v>
      </c>
      <c r="C2187">
        <v>20</v>
      </c>
      <c r="D2187">
        <v>300</v>
      </c>
      <c r="E2187">
        <v>1514</v>
      </c>
      <c r="F2187" t="s">
        <v>273</v>
      </c>
      <c r="G2187" s="2" t="s">
        <v>156</v>
      </c>
      <c r="H2187">
        <v>1</v>
      </c>
      <c r="I2187">
        <v>71.31</v>
      </c>
      <c r="J2187" s="2" t="s">
        <v>170</v>
      </c>
      <c r="K2187" s="2" t="s">
        <v>74</v>
      </c>
      <c r="M2187" t="s">
        <v>3150</v>
      </c>
      <c r="P2187" s="19" t="s">
        <v>2449</v>
      </c>
      <c r="Q2187" s="19" t="s">
        <v>27</v>
      </c>
      <c r="S2187" s="19" t="s">
        <v>138</v>
      </c>
      <c r="W2187" s="20">
        <v>24</v>
      </c>
      <c r="X2187" s="65" t="s">
        <v>2010</v>
      </c>
      <c r="Z2187" t="s">
        <v>307</v>
      </c>
      <c r="AB2187" t="s">
        <v>178</v>
      </c>
      <c r="AC2187" t="s">
        <v>2943</v>
      </c>
      <c r="AD2187" s="2" t="s">
        <v>2944</v>
      </c>
    </row>
    <row r="2188" spans="1:30" x14ac:dyDescent="0.25">
      <c r="A2188" s="2">
        <v>469</v>
      </c>
      <c r="B2188" t="s">
        <v>2952</v>
      </c>
      <c r="C2188">
        <v>20</v>
      </c>
      <c r="D2188">
        <v>300</v>
      </c>
      <c r="E2188">
        <v>1514</v>
      </c>
      <c r="F2188" t="s">
        <v>273</v>
      </c>
      <c r="G2188" s="2" t="s">
        <v>156</v>
      </c>
      <c r="H2188">
        <v>1</v>
      </c>
      <c r="I2188">
        <v>71.31</v>
      </c>
      <c r="J2188" s="2" t="s">
        <v>170</v>
      </c>
      <c r="K2188" s="2" t="s">
        <v>74</v>
      </c>
      <c r="M2188" t="s">
        <v>3150</v>
      </c>
      <c r="P2188" s="19" t="s">
        <v>2449</v>
      </c>
      <c r="Q2188" s="19" t="s">
        <v>27</v>
      </c>
      <c r="S2188" s="19" t="s">
        <v>138</v>
      </c>
      <c r="W2188" s="20">
        <v>24</v>
      </c>
      <c r="X2188" s="65" t="s">
        <v>2010</v>
      </c>
      <c r="Z2188" t="s">
        <v>307</v>
      </c>
      <c r="AB2188" t="s">
        <v>178</v>
      </c>
      <c r="AC2188" t="s">
        <v>2943</v>
      </c>
      <c r="AD2188" s="2" t="s">
        <v>2944</v>
      </c>
    </row>
    <row r="2189" spans="1:30" x14ac:dyDescent="0.25">
      <c r="A2189" s="2">
        <v>470</v>
      </c>
      <c r="B2189" t="s">
        <v>2953</v>
      </c>
      <c r="C2189">
        <v>20</v>
      </c>
      <c r="D2189">
        <v>300</v>
      </c>
      <c r="E2189">
        <v>1514</v>
      </c>
      <c r="F2189" t="s">
        <v>273</v>
      </c>
      <c r="G2189" s="2" t="s">
        <v>156</v>
      </c>
      <c r="H2189">
        <v>1</v>
      </c>
      <c r="I2189">
        <v>71.31</v>
      </c>
      <c r="J2189" s="2" t="s">
        <v>170</v>
      </c>
      <c r="K2189" s="2" t="s">
        <v>74</v>
      </c>
      <c r="M2189" t="s">
        <v>3150</v>
      </c>
      <c r="P2189" s="19" t="s">
        <v>2449</v>
      </c>
      <c r="Q2189" s="19" t="s">
        <v>27</v>
      </c>
      <c r="S2189" s="19" t="s">
        <v>138</v>
      </c>
      <c r="W2189" s="20">
        <v>24</v>
      </c>
      <c r="X2189" s="65" t="s">
        <v>2010</v>
      </c>
      <c r="Z2189" t="s">
        <v>307</v>
      </c>
      <c r="AB2189" t="s">
        <v>178</v>
      </c>
      <c r="AC2189" t="s">
        <v>2943</v>
      </c>
      <c r="AD2189" s="2" t="s">
        <v>2944</v>
      </c>
    </row>
    <row r="2190" spans="1:30" x14ac:dyDescent="0.25">
      <c r="A2190" s="2">
        <v>471</v>
      </c>
      <c r="B2190" t="s">
        <v>2954</v>
      </c>
      <c r="C2190">
        <v>20</v>
      </c>
      <c r="D2190">
        <v>300</v>
      </c>
      <c r="E2190">
        <v>1514</v>
      </c>
      <c r="F2190" t="s">
        <v>273</v>
      </c>
      <c r="G2190" s="2" t="s">
        <v>156</v>
      </c>
      <c r="H2190">
        <v>1</v>
      </c>
      <c r="I2190">
        <v>71.31</v>
      </c>
      <c r="J2190" s="2" t="s">
        <v>170</v>
      </c>
      <c r="K2190" s="2" t="s">
        <v>74</v>
      </c>
      <c r="M2190" t="s">
        <v>3150</v>
      </c>
      <c r="P2190" s="19" t="s">
        <v>2449</v>
      </c>
      <c r="Q2190" s="19" t="s">
        <v>27</v>
      </c>
      <c r="S2190" s="19" t="s">
        <v>138</v>
      </c>
      <c r="W2190" s="20">
        <v>24</v>
      </c>
      <c r="X2190" s="65" t="s">
        <v>2010</v>
      </c>
      <c r="Z2190" t="s">
        <v>307</v>
      </c>
      <c r="AB2190" t="s">
        <v>178</v>
      </c>
      <c r="AC2190" t="s">
        <v>2943</v>
      </c>
      <c r="AD2190" s="2" t="s">
        <v>2944</v>
      </c>
    </row>
    <row r="2191" spans="1:30" x14ac:dyDescent="0.25">
      <c r="A2191" s="2">
        <v>472</v>
      </c>
      <c r="B2191" t="s">
        <v>2955</v>
      </c>
      <c r="C2191">
        <v>20</v>
      </c>
      <c r="D2191">
        <v>300</v>
      </c>
      <c r="E2191">
        <v>1514</v>
      </c>
      <c r="F2191" t="s">
        <v>273</v>
      </c>
      <c r="G2191" s="2" t="s">
        <v>156</v>
      </c>
      <c r="H2191">
        <v>1</v>
      </c>
      <c r="I2191">
        <v>71.31</v>
      </c>
      <c r="J2191" s="2" t="s">
        <v>170</v>
      </c>
      <c r="K2191" s="2" t="s">
        <v>74</v>
      </c>
      <c r="M2191" t="s">
        <v>3150</v>
      </c>
      <c r="P2191" s="19" t="s">
        <v>2449</v>
      </c>
      <c r="Q2191" s="19" t="s">
        <v>27</v>
      </c>
      <c r="S2191" s="19" t="s">
        <v>138</v>
      </c>
      <c r="W2191" s="20">
        <v>24</v>
      </c>
      <c r="X2191" s="65" t="s">
        <v>2010</v>
      </c>
      <c r="Z2191" t="s">
        <v>307</v>
      </c>
      <c r="AB2191" t="s">
        <v>178</v>
      </c>
      <c r="AC2191" t="s">
        <v>2943</v>
      </c>
      <c r="AD2191" s="2" t="s">
        <v>2944</v>
      </c>
    </row>
    <row r="2192" spans="1:30" x14ac:dyDescent="0.25">
      <c r="A2192" s="2">
        <v>473</v>
      </c>
      <c r="B2192" t="s">
        <v>2956</v>
      </c>
      <c r="C2192">
        <v>20</v>
      </c>
      <c r="D2192">
        <v>300</v>
      </c>
      <c r="E2192">
        <v>1514</v>
      </c>
      <c r="F2192" t="s">
        <v>273</v>
      </c>
      <c r="G2192" s="2" t="s">
        <v>156</v>
      </c>
      <c r="H2192">
        <v>1</v>
      </c>
      <c r="I2192">
        <v>71.31</v>
      </c>
      <c r="J2192" s="2" t="s">
        <v>170</v>
      </c>
      <c r="K2192" s="2" t="s">
        <v>74</v>
      </c>
      <c r="M2192" t="s">
        <v>3150</v>
      </c>
      <c r="P2192" s="19" t="s">
        <v>2449</v>
      </c>
      <c r="Q2192" s="19" t="s">
        <v>27</v>
      </c>
      <c r="S2192" s="19" t="s">
        <v>138</v>
      </c>
      <c r="W2192" s="20">
        <v>24</v>
      </c>
      <c r="X2192" s="65" t="s">
        <v>2010</v>
      </c>
      <c r="Z2192" t="s">
        <v>307</v>
      </c>
      <c r="AB2192" t="s">
        <v>178</v>
      </c>
      <c r="AC2192" t="s">
        <v>2943</v>
      </c>
      <c r="AD2192" s="2" t="s">
        <v>2944</v>
      </c>
    </row>
    <row r="2193" spans="1:30" x14ac:dyDescent="0.25">
      <c r="A2193" s="2">
        <v>474</v>
      </c>
      <c r="B2193" t="s">
        <v>2957</v>
      </c>
      <c r="C2193">
        <v>20</v>
      </c>
      <c r="D2193">
        <v>300</v>
      </c>
      <c r="E2193">
        <v>1514</v>
      </c>
      <c r="F2193" t="s">
        <v>273</v>
      </c>
      <c r="G2193" s="2" t="s">
        <v>156</v>
      </c>
      <c r="H2193">
        <v>1</v>
      </c>
      <c r="I2193">
        <v>71.31</v>
      </c>
      <c r="J2193" s="2" t="s">
        <v>170</v>
      </c>
      <c r="K2193" s="2" t="s">
        <v>74</v>
      </c>
      <c r="M2193" t="s">
        <v>3150</v>
      </c>
      <c r="P2193" s="19" t="s">
        <v>2449</v>
      </c>
      <c r="Q2193" s="19" t="s">
        <v>27</v>
      </c>
      <c r="S2193" s="19" t="s">
        <v>138</v>
      </c>
      <c r="W2193" s="20">
        <v>24</v>
      </c>
      <c r="X2193" s="65" t="s">
        <v>2010</v>
      </c>
      <c r="Z2193" t="s">
        <v>307</v>
      </c>
      <c r="AB2193" t="s">
        <v>178</v>
      </c>
      <c r="AC2193" t="s">
        <v>2943</v>
      </c>
      <c r="AD2193" s="2" t="s">
        <v>2944</v>
      </c>
    </row>
    <row r="2194" spans="1:30" x14ac:dyDescent="0.25">
      <c r="A2194" s="2">
        <v>475</v>
      </c>
      <c r="B2194" t="s">
        <v>2958</v>
      </c>
      <c r="C2194">
        <v>20</v>
      </c>
      <c r="D2194">
        <v>300</v>
      </c>
      <c r="E2194">
        <v>1514</v>
      </c>
      <c r="F2194" t="s">
        <v>273</v>
      </c>
      <c r="G2194" s="2" t="s">
        <v>156</v>
      </c>
      <c r="H2194">
        <v>1</v>
      </c>
      <c r="I2194">
        <v>71.31</v>
      </c>
      <c r="J2194" s="2" t="s">
        <v>170</v>
      </c>
      <c r="K2194" s="2" t="s">
        <v>74</v>
      </c>
      <c r="M2194" t="s">
        <v>3150</v>
      </c>
      <c r="P2194" s="19" t="s">
        <v>2449</v>
      </c>
      <c r="Q2194" s="19" t="s">
        <v>27</v>
      </c>
      <c r="S2194" s="19" t="s">
        <v>138</v>
      </c>
      <c r="W2194" s="20">
        <v>24</v>
      </c>
      <c r="X2194" s="65" t="s">
        <v>2010</v>
      </c>
      <c r="Z2194" t="s">
        <v>307</v>
      </c>
      <c r="AB2194" t="s">
        <v>178</v>
      </c>
      <c r="AC2194" t="s">
        <v>2943</v>
      </c>
      <c r="AD2194" s="2" t="s">
        <v>2944</v>
      </c>
    </row>
    <row r="2195" spans="1:30" x14ac:dyDescent="0.25">
      <c r="A2195" s="2">
        <v>476</v>
      </c>
      <c r="B2195" t="s">
        <v>2959</v>
      </c>
      <c r="C2195">
        <v>20</v>
      </c>
      <c r="D2195">
        <v>300</v>
      </c>
      <c r="E2195">
        <v>1514</v>
      </c>
      <c r="F2195" t="s">
        <v>273</v>
      </c>
      <c r="G2195" s="2" t="s">
        <v>156</v>
      </c>
      <c r="H2195">
        <v>1</v>
      </c>
      <c r="I2195">
        <v>71.31</v>
      </c>
      <c r="J2195" s="2" t="s">
        <v>170</v>
      </c>
      <c r="K2195" s="2" t="s">
        <v>74</v>
      </c>
      <c r="M2195" t="s">
        <v>3150</v>
      </c>
      <c r="P2195" s="19" t="s">
        <v>2449</v>
      </c>
      <c r="Q2195" s="19" t="s">
        <v>27</v>
      </c>
      <c r="S2195" s="19" t="s">
        <v>138</v>
      </c>
      <c r="W2195" s="20">
        <v>24</v>
      </c>
      <c r="X2195" s="65" t="s">
        <v>2010</v>
      </c>
      <c r="Z2195" t="s">
        <v>307</v>
      </c>
      <c r="AB2195" t="s">
        <v>178</v>
      </c>
      <c r="AC2195" t="s">
        <v>2943</v>
      </c>
      <c r="AD2195" s="2" t="s">
        <v>2944</v>
      </c>
    </row>
    <row r="2196" spans="1:30" x14ac:dyDescent="0.25">
      <c r="A2196" s="2">
        <v>477</v>
      </c>
      <c r="B2196" t="s">
        <v>2960</v>
      </c>
      <c r="C2196">
        <v>20</v>
      </c>
      <c r="D2196">
        <v>270</v>
      </c>
      <c r="E2196">
        <v>300</v>
      </c>
      <c r="F2196" t="s">
        <v>273</v>
      </c>
      <c r="G2196" s="2" t="s">
        <v>156</v>
      </c>
      <c r="H2196">
        <v>3</v>
      </c>
      <c r="I2196">
        <v>38.15</v>
      </c>
      <c r="J2196" s="2" t="s">
        <v>170</v>
      </c>
      <c r="K2196" s="2" t="s">
        <v>74</v>
      </c>
      <c r="M2196" t="s">
        <v>3150</v>
      </c>
      <c r="P2196" s="19" t="s">
        <v>2449</v>
      </c>
      <c r="Q2196" s="19" t="s">
        <v>25</v>
      </c>
      <c r="S2196" s="19" t="s">
        <v>138</v>
      </c>
      <c r="W2196" s="20">
        <v>24</v>
      </c>
      <c r="X2196" s="65" t="s">
        <v>2010</v>
      </c>
      <c r="Z2196" t="s">
        <v>307</v>
      </c>
      <c r="AB2196" t="s">
        <v>178</v>
      </c>
      <c r="AC2196" t="s">
        <v>2943</v>
      </c>
      <c r="AD2196" s="2" t="s">
        <v>2944</v>
      </c>
    </row>
    <row r="2197" spans="1:30" x14ac:dyDescent="0.25">
      <c r="A2197" s="2">
        <v>478</v>
      </c>
      <c r="B2197" t="s">
        <v>2961</v>
      </c>
      <c r="C2197">
        <v>20</v>
      </c>
      <c r="D2197">
        <v>300</v>
      </c>
      <c r="E2197">
        <v>1514</v>
      </c>
      <c r="F2197" t="s">
        <v>273</v>
      </c>
      <c r="G2197" s="2" t="s">
        <v>156</v>
      </c>
      <c r="H2197">
        <v>1</v>
      </c>
      <c r="I2197">
        <v>71.31</v>
      </c>
      <c r="J2197" s="2" t="s">
        <v>170</v>
      </c>
      <c r="K2197" s="2" t="s">
        <v>74</v>
      </c>
      <c r="M2197" t="s">
        <v>3150</v>
      </c>
      <c r="P2197" s="19" t="s">
        <v>2449</v>
      </c>
      <c r="Q2197" s="19" t="s">
        <v>27</v>
      </c>
      <c r="S2197" s="19" t="s">
        <v>138</v>
      </c>
      <c r="W2197" s="20">
        <v>24</v>
      </c>
      <c r="X2197" s="65" t="s">
        <v>2010</v>
      </c>
      <c r="Z2197" t="s">
        <v>307</v>
      </c>
      <c r="AB2197" t="s">
        <v>178</v>
      </c>
      <c r="AC2197" t="s">
        <v>2943</v>
      </c>
      <c r="AD2197" s="2" t="s">
        <v>2944</v>
      </c>
    </row>
    <row r="2198" spans="1:30" x14ac:dyDescent="0.25">
      <c r="A2198" s="2">
        <v>479</v>
      </c>
      <c r="B2198" t="s">
        <v>2962</v>
      </c>
      <c r="C2198">
        <v>20</v>
      </c>
      <c r="D2198">
        <v>300</v>
      </c>
      <c r="E2198">
        <v>1514</v>
      </c>
      <c r="F2198" t="s">
        <v>273</v>
      </c>
      <c r="G2198" s="2" t="s">
        <v>156</v>
      </c>
      <c r="H2198">
        <v>1</v>
      </c>
      <c r="I2198">
        <v>71.31</v>
      </c>
      <c r="J2198" s="2" t="s">
        <v>170</v>
      </c>
      <c r="K2198" s="2" t="s">
        <v>74</v>
      </c>
      <c r="M2198" t="s">
        <v>3150</v>
      </c>
      <c r="P2198" s="19" t="s">
        <v>2449</v>
      </c>
      <c r="Q2198" s="19" t="s">
        <v>27</v>
      </c>
      <c r="S2198" s="19" t="s">
        <v>138</v>
      </c>
      <c r="W2198" s="20">
        <v>24</v>
      </c>
      <c r="X2198" s="65" t="s">
        <v>2010</v>
      </c>
      <c r="Z2198" t="s">
        <v>307</v>
      </c>
      <c r="AB2198" t="s">
        <v>178</v>
      </c>
      <c r="AC2198" t="s">
        <v>2943</v>
      </c>
      <c r="AD2198" s="2" t="s">
        <v>2944</v>
      </c>
    </row>
    <row r="2199" spans="1:30" x14ac:dyDescent="0.25">
      <c r="A2199" s="2">
        <v>480</v>
      </c>
      <c r="B2199" t="s">
        <v>2963</v>
      </c>
      <c r="C2199">
        <v>20</v>
      </c>
      <c r="D2199">
        <v>300</v>
      </c>
      <c r="E2199">
        <v>1514</v>
      </c>
      <c r="F2199" t="s">
        <v>273</v>
      </c>
      <c r="G2199" s="2" t="s">
        <v>156</v>
      </c>
      <c r="H2199">
        <v>1</v>
      </c>
      <c r="I2199">
        <v>71.31</v>
      </c>
      <c r="J2199" s="2" t="s">
        <v>170</v>
      </c>
      <c r="K2199" s="2" t="s">
        <v>74</v>
      </c>
      <c r="M2199" t="s">
        <v>3150</v>
      </c>
      <c r="P2199" s="19" t="s">
        <v>2449</v>
      </c>
      <c r="Q2199" s="19" t="s">
        <v>27</v>
      </c>
      <c r="S2199" s="19" t="s">
        <v>138</v>
      </c>
      <c r="W2199" s="20">
        <v>24</v>
      </c>
      <c r="X2199" s="65" t="s">
        <v>2010</v>
      </c>
      <c r="Z2199" t="s">
        <v>307</v>
      </c>
      <c r="AB2199" t="s">
        <v>178</v>
      </c>
      <c r="AC2199" t="s">
        <v>2943</v>
      </c>
      <c r="AD2199" s="2" t="s">
        <v>2944</v>
      </c>
    </row>
    <row r="2200" spans="1:30" x14ac:dyDescent="0.25">
      <c r="A2200" s="2">
        <v>481</v>
      </c>
      <c r="B2200" t="s">
        <v>2964</v>
      </c>
      <c r="C2200">
        <v>20</v>
      </c>
      <c r="D2200">
        <v>300</v>
      </c>
      <c r="E2200">
        <v>1514</v>
      </c>
      <c r="F2200" t="s">
        <v>273</v>
      </c>
      <c r="G2200" s="2" t="s">
        <v>156</v>
      </c>
      <c r="H2200">
        <v>1</v>
      </c>
      <c r="I2200">
        <v>71.31</v>
      </c>
      <c r="J2200" s="2" t="s">
        <v>170</v>
      </c>
      <c r="K2200" s="2" t="s">
        <v>74</v>
      </c>
      <c r="M2200" t="s">
        <v>3150</v>
      </c>
      <c r="P2200" s="19" t="s">
        <v>2449</v>
      </c>
      <c r="Q2200" s="19" t="s">
        <v>27</v>
      </c>
      <c r="S2200" s="19" t="s">
        <v>138</v>
      </c>
      <c r="W2200" s="20">
        <v>24</v>
      </c>
      <c r="X2200" s="65" t="s">
        <v>2010</v>
      </c>
      <c r="Z2200" t="s">
        <v>307</v>
      </c>
      <c r="AB2200" t="s">
        <v>178</v>
      </c>
      <c r="AC2200" t="s">
        <v>2943</v>
      </c>
      <c r="AD2200" s="2" t="s">
        <v>2944</v>
      </c>
    </row>
    <row r="2201" spans="1:30" x14ac:dyDescent="0.25">
      <c r="A2201" s="2">
        <v>482</v>
      </c>
      <c r="B2201" t="s">
        <v>2965</v>
      </c>
      <c r="C2201">
        <v>20</v>
      </c>
      <c r="D2201">
        <v>300</v>
      </c>
      <c r="E2201">
        <v>1514</v>
      </c>
      <c r="F2201" t="s">
        <v>273</v>
      </c>
      <c r="G2201" s="2" t="s">
        <v>156</v>
      </c>
      <c r="H2201">
        <v>1</v>
      </c>
      <c r="I2201">
        <v>71.31</v>
      </c>
      <c r="J2201" s="2" t="s">
        <v>170</v>
      </c>
      <c r="K2201" s="2" t="s">
        <v>74</v>
      </c>
      <c r="M2201" t="s">
        <v>3150</v>
      </c>
      <c r="P2201" s="19" t="s">
        <v>2449</v>
      </c>
      <c r="Q2201" s="19" t="s">
        <v>27</v>
      </c>
      <c r="S2201" s="19" t="s">
        <v>138</v>
      </c>
      <c r="W2201" s="20">
        <v>24</v>
      </c>
      <c r="X2201" s="65" t="s">
        <v>2010</v>
      </c>
      <c r="Z2201" t="s">
        <v>307</v>
      </c>
      <c r="AB2201" t="s">
        <v>178</v>
      </c>
      <c r="AC2201" t="s">
        <v>2943</v>
      </c>
      <c r="AD2201" s="2" t="s">
        <v>2944</v>
      </c>
    </row>
    <row r="2202" spans="1:30" x14ac:dyDescent="0.25">
      <c r="A2202" s="2">
        <v>483</v>
      </c>
      <c r="B2202" t="s">
        <v>2966</v>
      </c>
      <c r="C2202">
        <v>20</v>
      </c>
      <c r="D2202">
        <v>300</v>
      </c>
      <c r="E2202">
        <v>1383</v>
      </c>
      <c r="F2202" t="s">
        <v>273</v>
      </c>
      <c r="G2202" s="2" t="s">
        <v>156</v>
      </c>
      <c r="H2202">
        <v>1</v>
      </c>
      <c r="I2202">
        <v>65.14</v>
      </c>
      <c r="J2202" s="2" t="s">
        <v>170</v>
      </c>
      <c r="K2202" s="2" t="s">
        <v>74</v>
      </c>
      <c r="M2202" t="s">
        <v>3150</v>
      </c>
      <c r="P2202" s="19" t="s">
        <v>2449</v>
      </c>
      <c r="Q2202" s="19" t="s">
        <v>27</v>
      </c>
      <c r="S2202" s="19" t="s">
        <v>138</v>
      </c>
      <c r="V2202" s="19" t="s">
        <v>138</v>
      </c>
      <c r="W2202" s="20">
        <v>24</v>
      </c>
      <c r="X2202" s="65" t="s">
        <v>2010</v>
      </c>
      <c r="Z2202" t="s">
        <v>307</v>
      </c>
      <c r="AB2202" t="s">
        <v>178</v>
      </c>
      <c r="AC2202" t="s">
        <v>2943</v>
      </c>
      <c r="AD2202" s="2" t="s">
        <v>2944</v>
      </c>
    </row>
    <row r="2203" spans="1:30" x14ac:dyDescent="0.25">
      <c r="A2203" s="2">
        <v>484</v>
      </c>
      <c r="B2203" t="s">
        <v>2967</v>
      </c>
      <c r="C2203">
        <v>20</v>
      </c>
      <c r="D2203">
        <v>300</v>
      </c>
      <c r="E2203">
        <v>1514</v>
      </c>
      <c r="F2203" t="s">
        <v>273</v>
      </c>
      <c r="G2203" s="2" t="s">
        <v>156</v>
      </c>
      <c r="H2203">
        <v>1</v>
      </c>
      <c r="I2203">
        <v>71.31</v>
      </c>
      <c r="J2203" s="2" t="s">
        <v>170</v>
      </c>
      <c r="K2203" s="2" t="s">
        <v>74</v>
      </c>
      <c r="M2203" t="s">
        <v>3150</v>
      </c>
      <c r="P2203" s="19" t="s">
        <v>2449</v>
      </c>
      <c r="Q2203" s="19" t="s">
        <v>27</v>
      </c>
      <c r="S2203" s="19" t="s">
        <v>138</v>
      </c>
      <c r="W2203" s="20">
        <v>24</v>
      </c>
      <c r="X2203" s="65" t="s">
        <v>2010</v>
      </c>
      <c r="Z2203" t="s">
        <v>307</v>
      </c>
      <c r="AB2203" t="s">
        <v>178</v>
      </c>
      <c r="AC2203" t="s">
        <v>2943</v>
      </c>
      <c r="AD2203" s="2" t="s">
        <v>2944</v>
      </c>
    </row>
    <row r="2204" spans="1:30" x14ac:dyDescent="0.25">
      <c r="A2204" s="2">
        <v>485</v>
      </c>
      <c r="B2204" t="s">
        <v>2968</v>
      </c>
      <c r="C2204">
        <v>20</v>
      </c>
      <c r="D2204">
        <v>300</v>
      </c>
      <c r="E2204">
        <v>1514</v>
      </c>
      <c r="F2204" t="s">
        <v>273</v>
      </c>
      <c r="G2204" s="2" t="s">
        <v>156</v>
      </c>
      <c r="H2204">
        <v>1</v>
      </c>
      <c r="I2204">
        <v>71.31</v>
      </c>
      <c r="J2204" s="2" t="s">
        <v>170</v>
      </c>
      <c r="K2204" s="2" t="s">
        <v>74</v>
      </c>
      <c r="M2204" t="s">
        <v>3150</v>
      </c>
      <c r="P2204" s="19" t="s">
        <v>2449</v>
      </c>
      <c r="Q2204" s="19" t="s">
        <v>27</v>
      </c>
      <c r="S2204" s="19" t="s">
        <v>138</v>
      </c>
      <c r="W2204" s="20">
        <v>24</v>
      </c>
      <c r="X2204" s="65" t="s">
        <v>2010</v>
      </c>
      <c r="Z2204" t="s">
        <v>307</v>
      </c>
      <c r="AB2204" t="s">
        <v>178</v>
      </c>
      <c r="AC2204" t="s">
        <v>2943</v>
      </c>
      <c r="AD2204" s="2" t="s">
        <v>2944</v>
      </c>
    </row>
    <row r="2205" spans="1:30" x14ac:dyDescent="0.25">
      <c r="A2205" s="2">
        <v>486</v>
      </c>
      <c r="B2205" t="s">
        <v>2969</v>
      </c>
      <c r="C2205">
        <v>20</v>
      </c>
      <c r="D2205">
        <v>300</v>
      </c>
      <c r="E2205">
        <v>1383</v>
      </c>
      <c r="F2205" t="s">
        <v>273</v>
      </c>
      <c r="G2205" s="2" t="s">
        <v>156</v>
      </c>
      <c r="H2205">
        <v>1</v>
      </c>
      <c r="I2205">
        <v>65.14</v>
      </c>
      <c r="J2205" s="2" t="s">
        <v>170</v>
      </c>
      <c r="K2205" s="2" t="s">
        <v>74</v>
      </c>
      <c r="M2205" t="s">
        <v>3150</v>
      </c>
      <c r="P2205" s="19" t="s">
        <v>2449</v>
      </c>
      <c r="Q2205" s="19" t="s">
        <v>27</v>
      </c>
      <c r="S2205" s="19" t="s">
        <v>138</v>
      </c>
      <c r="V2205" s="19" t="s">
        <v>138</v>
      </c>
      <c r="W2205" s="20">
        <v>24</v>
      </c>
      <c r="X2205" s="65" t="s">
        <v>2010</v>
      </c>
      <c r="Z2205" t="s">
        <v>307</v>
      </c>
      <c r="AB2205" t="s">
        <v>178</v>
      </c>
      <c r="AC2205" t="s">
        <v>2943</v>
      </c>
      <c r="AD2205" s="2" t="s">
        <v>2944</v>
      </c>
    </row>
    <row r="2206" spans="1:30" x14ac:dyDescent="0.25">
      <c r="A2206" s="2">
        <v>487</v>
      </c>
      <c r="B2206" t="s">
        <v>2970</v>
      </c>
      <c r="C2206">
        <v>20</v>
      </c>
      <c r="D2206">
        <v>300</v>
      </c>
      <c r="E2206">
        <v>1514</v>
      </c>
      <c r="F2206" t="s">
        <v>273</v>
      </c>
      <c r="G2206" s="2" t="s">
        <v>156</v>
      </c>
      <c r="H2206">
        <v>1</v>
      </c>
      <c r="I2206">
        <v>71.31</v>
      </c>
      <c r="J2206" s="2" t="s">
        <v>170</v>
      </c>
      <c r="K2206" s="2" t="s">
        <v>74</v>
      </c>
      <c r="M2206" t="s">
        <v>3150</v>
      </c>
      <c r="P2206" s="19" t="s">
        <v>2449</v>
      </c>
      <c r="Q2206" s="19" t="s">
        <v>27</v>
      </c>
      <c r="S2206" s="19" t="s">
        <v>138</v>
      </c>
      <c r="W2206" s="20">
        <v>24</v>
      </c>
      <c r="X2206" s="65" t="s">
        <v>2010</v>
      </c>
      <c r="Z2206" t="s">
        <v>307</v>
      </c>
      <c r="AB2206" t="s">
        <v>178</v>
      </c>
      <c r="AC2206" t="s">
        <v>2943</v>
      </c>
      <c r="AD2206" s="2" t="s">
        <v>2944</v>
      </c>
    </row>
    <row r="2207" spans="1:30" x14ac:dyDescent="0.25">
      <c r="A2207" s="2">
        <v>488</v>
      </c>
      <c r="B2207" t="s">
        <v>2971</v>
      </c>
      <c r="C2207">
        <v>20</v>
      </c>
      <c r="D2207">
        <v>300</v>
      </c>
      <c r="E2207">
        <v>9980</v>
      </c>
      <c r="F2207" t="s">
        <v>273</v>
      </c>
      <c r="G2207" s="2" t="s">
        <v>156</v>
      </c>
      <c r="H2207">
        <v>1</v>
      </c>
      <c r="I2207">
        <v>470.06</v>
      </c>
      <c r="J2207" s="2" t="s">
        <v>170</v>
      </c>
      <c r="K2207" s="2" t="s">
        <v>74</v>
      </c>
      <c r="M2207" t="s">
        <v>3150</v>
      </c>
      <c r="P2207" s="19" t="s">
        <v>2449</v>
      </c>
      <c r="Q2207" s="19" t="s">
        <v>27</v>
      </c>
      <c r="S2207" s="19" t="s">
        <v>138</v>
      </c>
      <c r="W2207" s="20">
        <v>24</v>
      </c>
      <c r="X2207" s="65" t="s">
        <v>2010</v>
      </c>
      <c r="Z2207" t="s">
        <v>307</v>
      </c>
      <c r="AB2207" t="s">
        <v>178</v>
      </c>
      <c r="AC2207" t="s">
        <v>2972</v>
      </c>
      <c r="AD2207" s="2" t="s">
        <v>2973</v>
      </c>
    </row>
    <row r="2208" spans="1:30" x14ac:dyDescent="0.25">
      <c r="A2208" s="2">
        <v>489</v>
      </c>
      <c r="B2208" t="s">
        <v>2975</v>
      </c>
      <c r="C2208">
        <v>20</v>
      </c>
      <c r="D2208">
        <v>300</v>
      </c>
      <c r="E2208">
        <v>9980</v>
      </c>
      <c r="F2208" t="s">
        <v>273</v>
      </c>
      <c r="G2208" s="2" t="s">
        <v>156</v>
      </c>
      <c r="H2208">
        <v>1</v>
      </c>
      <c r="I2208">
        <v>470.06</v>
      </c>
      <c r="J2208" s="2" t="s">
        <v>170</v>
      </c>
      <c r="K2208" s="2" t="s">
        <v>74</v>
      </c>
      <c r="M2208" t="s">
        <v>3150</v>
      </c>
      <c r="P2208" s="19" t="s">
        <v>2449</v>
      </c>
      <c r="Q2208" s="19" t="s">
        <v>27</v>
      </c>
      <c r="S2208" s="19" t="s">
        <v>138</v>
      </c>
      <c r="W2208" s="20">
        <v>24</v>
      </c>
      <c r="X2208" s="65" t="s">
        <v>2010</v>
      </c>
      <c r="Z2208" t="s">
        <v>307</v>
      </c>
      <c r="AB2208" t="s">
        <v>178</v>
      </c>
      <c r="AC2208" t="s">
        <v>2972</v>
      </c>
      <c r="AD2208" s="2" t="s">
        <v>2973</v>
      </c>
    </row>
    <row r="2209" spans="1:30" x14ac:dyDescent="0.25">
      <c r="A2209" s="2">
        <v>490</v>
      </c>
      <c r="B2209" t="s">
        <v>2976</v>
      </c>
      <c r="C2209">
        <v>20</v>
      </c>
      <c r="D2209">
        <v>300</v>
      </c>
      <c r="E2209">
        <v>9980</v>
      </c>
      <c r="F2209" t="s">
        <v>273</v>
      </c>
      <c r="G2209" s="2" t="s">
        <v>156</v>
      </c>
      <c r="H2209">
        <v>1</v>
      </c>
      <c r="I2209">
        <v>470.06</v>
      </c>
      <c r="J2209" s="2" t="s">
        <v>170</v>
      </c>
      <c r="K2209" s="2" t="s">
        <v>74</v>
      </c>
      <c r="M2209" t="s">
        <v>3150</v>
      </c>
      <c r="P2209" s="19" t="s">
        <v>2449</v>
      </c>
      <c r="Q2209" s="19" t="s">
        <v>27</v>
      </c>
      <c r="S2209" s="19" t="s">
        <v>138</v>
      </c>
      <c r="W2209" s="20">
        <v>24</v>
      </c>
      <c r="X2209" s="65" t="s">
        <v>2010</v>
      </c>
      <c r="Z2209" t="s">
        <v>307</v>
      </c>
      <c r="AB2209" t="s">
        <v>178</v>
      </c>
      <c r="AC2209" t="s">
        <v>2972</v>
      </c>
      <c r="AD2209" s="2" t="s">
        <v>2973</v>
      </c>
    </row>
    <row r="2210" spans="1:30" x14ac:dyDescent="0.25">
      <c r="A2210" s="2">
        <v>491</v>
      </c>
      <c r="B2210" t="s">
        <v>2977</v>
      </c>
      <c r="C2210">
        <v>20</v>
      </c>
      <c r="D2210">
        <v>300</v>
      </c>
      <c r="E2210">
        <v>9980</v>
      </c>
      <c r="F2210" t="s">
        <v>273</v>
      </c>
      <c r="G2210" s="2" t="s">
        <v>156</v>
      </c>
      <c r="H2210">
        <v>1</v>
      </c>
      <c r="I2210">
        <v>470.06</v>
      </c>
      <c r="J2210" s="2" t="s">
        <v>170</v>
      </c>
      <c r="K2210" s="2" t="s">
        <v>74</v>
      </c>
      <c r="M2210" t="s">
        <v>3150</v>
      </c>
      <c r="P2210" s="19" t="s">
        <v>2449</v>
      </c>
      <c r="Q2210" s="19" t="s">
        <v>27</v>
      </c>
      <c r="S2210" s="19" t="s">
        <v>138</v>
      </c>
      <c r="W2210" s="20">
        <v>24</v>
      </c>
      <c r="X2210" s="65" t="s">
        <v>2010</v>
      </c>
      <c r="Z2210" t="s">
        <v>307</v>
      </c>
      <c r="AB2210" t="s">
        <v>178</v>
      </c>
      <c r="AC2210" t="s">
        <v>2972</v>
      </c>
      <c r="AD2210" s="2" t="s">
        <v>2973</v>
      </c>
    </row>
    <row r="2211" spans="1:30" x14ac:dyDescent="0.25">
      <c r="A2211" s="2">
        <v>492</v>
      </c>
      <c r="B2211" t="s">
        <v>2978</v>
      </c>
      <c r="C2211">
        <v>20</v>
      </c>
      <c r="D2211">
        <v>300</v>
      </c>
      <c r="E2211">
        <v>480</v>
      </c>
      <c r="F2211" t="s">
        <v>273</v>
      </c>
      <c r="G2211" s="2" t="s">
        <v>156</v>
      </c>
      <c r="H2211">
        <v>5</v>
      </c>
      <c r="I2211">
        <v>113.04</v>
      </c>
      <c r="J2211" s="2" t="s">
        <v>170</v>
      </c>
      <c r="K2211" s="2" t="s">
        <v>74</v>
      </c>
      <c r="M2211" t="s">
        <v>3150</v>
      </c>
      <c r="P2211" s="19" t="s">
        <v>2449</v>
      </c>
      <c r="Q2211" s="19" t="s">
        <v>25</v>
      </c>
      <c r="S2211" s="19" t="s">
        <v>138</v>
      </c>
      <c r="W2211" s="20">
        <v>24</v>
      </c>
      <c r="X2211" s="65" t="s">
        <v>2010</v>
      </c>
      <c r="Z2211" t="s">
        <v>307</v>
      </c>
      <c r="AB2211" t="s">
        <v>178</v>
      </c>
      <c r="AC2211" t="s">
        <v>2972</v>
      </c>
      <c r="AD2211" s="2" t="s">
        <v>2973</v>
      </c>
    </row>
    <row r="2212" spans="1:30" x14ac:dyDescent="0.25">
      <c r="A2212" s="2">
        <v>493</v>
      </c>
      <c r="B2212" t="s">
        <v>2979</v>
      </c>
      <c r="C2212">
        <v>20</v>
      </c>
      <c r="D2212">
        <v>300</v>
      </c>
      <c r="E2212">
        <v>480</v>
      </c>
      <c r="F2212" t="s">
        <v>273</v>
      </c>
      <c r="G2212" s="2" t="s">
        <v>156</v>
      </c>
      <c r="H2212">
        <v>1</v>
      </c>
      <c r="I2212">
        <v>22.61</v>
      </c>
      <c r="J2212" s="2" t="s">
        <v>170</v>
      </c>
      <c r="K2212" s="2" t="s">
        <v>74</v>
      </c>
      <c r="M2212" t="s">
        <v>3150</v>
      </c>
      <c r="P2212" s="19" t="s">
        <v>2449</v>
      </c>
      <c r="Q2212" s="19" t="s">
        <v>25</v>
      </c>
      <c r="S2212" s="19" t="s">
        <v>138</v>
      </c>
      <c r="W2212" s="20">
        <v>24</v>
      </c>
      <c r="X2212" s="65" t="s">
        <v>2010</v>
      </c>
      <c r="Z2212" t="s">
        <v>307</v>
      </c>
      <c r="AB2212" t="s">
        <v>178</v>
      </c>
      <c r="AC2212" t="s">
        <v>2972</v>
      </c>
      <c r="AD2212" s="2" t="s">
        <v>2973</v>
      </c>
    </row>
    <row r="2213" spans="1:30" x14ac:dyDescent="0.25">
      <c r="A2213" s="2">
        <v>494</v>
      </c>
      <c r="B2213" t="s">
        <v>2980</v>
      </c>
      <c r="C2213">
        <v>20</v>
      </c>
      <c r="D2213">
        <v>300</v>
      </c>
      <c r="E2213">
        <v>480</v>
      </c>
      <c r="F2213" t="s">
        <v>273</v>
      </c>
      <c r="G2213" s="2" t="s">
        <v>156</v>
      </c>
      <c r="H2213">
        <v>1</v>
      </c>
      <c r="I2213">
        <v>22.61</v>
      </c>
      <c r="J2213" s="2" t="s">
        <v>170</v>
      </c>
      <c r="K2213" s="2" t="s">
        <v>74</v>
      </c>
      <c r="M2213" t="s">
        <v>3150</v>
      </c>
      <c r="P2213" s="19" t="s">
        <v>2449</v>
      </c>
      <c r="Q2213" s="19" t="s">
        <v>25</v>
      </c>
      <c r="S2213" s="19" t="s">
        <v>138</v>
      </c>
      <c r="W2213" s="20">
        <v>24</v>
      </c>
      <c r="X2213" s="65" t="s">
        <v>2010</v>
      </c>
      <c r="Z2213" t="s">
        <v>307</v>
      </c>
      <c r="AB2213" t="s">
        <v>178</v>
      </c>
      <c r="AC2213" t="s">
        <v>2972</v>
      </c>
      <c r="AD2213" s="2" t="s">
        <v>2973</v>
      </c>
    </row>
    <row r="2214" spans="1:30" x14ac:dyDescent="0.25">
      <c r="A2214" s="2">
        <v>495</v>
      </c>
      <c r="B2214" t="s">
        <v>2981</v>
      </c>
      <c r="C2214">
        <v>20</v>
      </c>
      <c r="D2214">
        <v>300</v>
      </c>
      <c r="E2214">
        <v>480</v>
      </c>
      <c r="F2214" t="s">
        <v>273</v>
      </c>
      <c r="G2214" s="2" t="s">
        <v>156</v>
      </c>
      <c r="H2214">
        <v>5</v>
      </c>
      <c r="I2214">
        <v>113.04</v>
      </c>
      <c r="J2214" s="2" t="s">
        <v>170</v>
      </c>
      <c r="K2214" s="2" t="s">
        <v>74</v>
      </c>
      <c r="M2214" t="s">
        <v>3150</v>
      </c>
      <c r="P2214" s="19" t="s">
        <v>2449</v>
      </c>
      <c r="Q2214" s="19" t="s">
        <v>25</v>
      </c>
      <c r="S2214" s="19" t="s">
        <v>138</v>
      </c>
      <c r="W2214" s="20">
        <v>24</v>
      </c>
      <c r="X2214" s="65" t="s">
        <v>2010</v>
      </c>
      <c r="Z2214" t="s">
        <v>307</v>
      </c>
      <c r="AB2214" t="s">
        <v>178</v>
      </c>
      <c r="AC2214" t="s">
        <v>2972</v>
      </c>
      <c r="AD2214" s="2" t="s">
        <v>2973</v>
      </c>
    </row>
    <row r="2215" spans="1:30" x14ac:dyDescent="0.25">
      <c r="A2215" s="2">
        <v>496</v>
      </c>
      <c r="B2215" t="s">
        <v>2912</v>
      </c>
      <c r="C2215">
        <v>20</v>
      </c>
      <c r="D2215">
        <v>300</v>
      </c>
      <c r="E2215">
        <v>480</v>
      </c>
      <c r="F2215" t="s">
        <v>273</v>
      </c>
      <c r="G2215" s="2" t="s">
        <v>156</v>
      </c>
      <c r="H2215">
        <v>4</v>
      </c>
      <c r="I2215">
        <v>90.43</v>
      </c>
      <c r="J2215" s="2" t="s">
        <v>170</v>
      </c>
      <c r="K2215" s="2" t="s">
        <v>74</v>
      </c>
      <c r="M2215" t="s">
        <v>3150</v>
      </c>
      <c r="P2215" s="19" t="s">
        <v>2449</v>
      </c>
      <c r="Q2215" s="19" t="s">
        <v>25</v>
      </c>
      <c r="S2215" s="19" t="s">
        <v>138</v>
      </c>
      <c r="W2215" s="20">
        <v>24</v>
      </c>
      <c r="X2215" s="65" t="s">
        <v>2010</v>
      </c>
      <c r="Z2215" t="s">
        <v>307</v>
      </c>
      <c r="AB2215" t="s">
        <v>178</v>
      </c>
      <c r="AC2215" t="s">
        <v>2972</v>
      </c>
      <c r="AD2215" s="2" t="s">
        <v>2973</v>
      </c>
    </row>
    <row r="2216" spans="1:30" x14ac:dyDescent="0.25">
      <c r="A2216" s="2">
        <v>497</v>
      </c>
      <c r="B2216" t="s">
        <v>2982</v>
      </c>
      <c r="C2216">
        <v>20</v>
      </c>
      <c r="D2216">
        <v>330</v>
      </c>
      <c r="E2216">
        <v>9400</v>
      </c>
      <c r="F2216" t="s">
        <v>273</v>
      </c>
      <c r="G2216" s="2" t="s">
        <v>156</v>
      </c>
      <c r="H2216">
        <v>1</v>
      </c>
      <c r="I2216">
        <v>487.01</v>
      </c>
      <c r="J2216" s="2" t="s">
        <v>170</v>
      </c>
      <c r="K2216" s="2" t="s">
        <v>74</v>
      </c>
      <c r="M2216" t="s">
        <v>3150</v>
      </c>
      <c r="P2216" s="19" t="s">
        <v>2449</v>
      </c>
      <c r="Q2216" s="19" t="s">
        <v>25</v>
      </c>
      <c r="S2216" s="19" t="s">
        <v>138</v>
      </c>
      <c r="W2216" s="20">
        <v>24</v>
      </c>
      <c r="X2216" s="65" t="s">
        <v>2010</v>
      </c>
      <c r="Z2216" t="s">
        <v>307</v>
      </c>
      <c r="AB2216" t="s">
        <v>178</v>
      </c>
      <c r="AC2216" t="s">
        <v>2983</v>
      </c>
      <c r="AD2216" s="2" t="s">
        <v>2984</v>
      </c>
    </row>
    <row r="2217" spans="1:30" x14ac:dyDescent="0.25">
      <c r="A2217" s="2">
        <v>498</v>
      </c>
      <c r="B2217" t="s">
        <v>2960</v>
      </c>
      <c r="C2217">
        <v>20</v>
      </c>
      <c r="D2217">
        <v>270</v>
      </c>
      <c r="E2217">
        <v>300</v>
      </c>
      <c r="F2217" t="s">
        <v>273</v>
      </c>
      <c r="G2217" s="2" t="s">
        <v>156</v>
      </c>
      <c r="H2217">
        <v>1</v>
      </c>
      <c r="I2217">
        <v>12.72</v>
      </c>
      <c r="J2217" s="2" t="s">
        <v>170</v>
      </c>
      <c r="K2217" s="2" t="s">
        <v>74</v>
      </c>
      <c r="M2217" t="s">
        <v>3150</v>
      </c>
      <c r="P2217" s="19" t="s">
        <v>2449</v>
      </c>
      <c r="Q2217" s="19" t="s">
        <v>25</v>
      </c>
      <c r="S2217" s="19" t="s">
        <v>138</v>
      </c>
      <c r="W2217" s="20">
        <v>24</v>
      </c>
      <c r="X2217" s="65" t="s">
        <v>2010</v>
      </c>
      <c r="Z2217" t="s">
        <v>307</v>
      </c>
      <c r="AB2217" t="s">
        <v>178</v>
      </c>
      <c r="AC2217" t="s">
        <v>2983</v>
      </c>
      <c r="AD2217" s="2" t="s">
        <v>2984</v>
      </c>
    </row>
    <row r="2218" spans="1:30" x14ac:dyDescent="0.25">
      <c r="A2218" s="2">
        <v>499</v>
      </c>
      <c r="B2218" t="s">
        <v>2986</v>
      </c>
      <c r="C2218">
        <v>20</v>
      </c>
      <c r="D2218">
        <v>270</v>
      </c>
      <c r="E2218">
        <v>300</v>
      </c>
      <c r="F2218" t="s">
        <v>273</v>
      </c>
      <c r="G2218" s="2" t="s">
        <v>156</v>
      </c>
      <c r="H2218">
        <v>4</v>
      </c>
      <c r="I2218">
        <v>50.87</v>
      </c>
      <c r="J2218" s="2" t="s">
        <v>170</v>
      </c>
      <c r="K2218" s="2" t="s">
        <v>74</v>
      </c>
      <c r="M2218" t="s">
        <v>3150</v>
      </c>
      <c r="P2218" s="19" t="s">
        <v>2449</v>
      </c>
      <c r="Q2218" s="19" t="s">
        <v>25</v>
      </c>
      <c r="S2218" s="19" t="s">
        <v>138</v>
      </c>
      <c r="W2218" s="20">
        <v>24</v>
      </c>
      <c r="X2218" s="65" t="s">
        <v>2010</v>
      </c>
      <c r="Z2218" t="s">
        <v>307</v>
      </c>
      <c r="AB2218" t="s">
        <v>178</v>
      </c>
      <c r="AC2218" t="s">
        <v>2983</v>
      </c>
      <c r="AD2218" s="2" t="s">
        <v>2984</v>
      </c>
    </row>
    <row r="2219" spans="1:30" x14ac:dyDescent="0.25">
      <c r="A2219" s="2">
        <v>500</v>
      </c>
      <c r="B2219" t="s">
        <v>2987</v>
      </c>
      <c r="C2219">
        <v>20</v>
      </c>
      <c r="D2219">
        <v>300</v>
      </c>
      <c r="E2219">
        <v>9980</v>
      </c>
      <c r="F2219" t="s">
        <v>273</v>
      </c>
      <c r="G2219" s="2" t="s">
        <v>156</v>
      </c>
      <c r="H2219">
        <v>1</v>
      </c>
      <c r="I2219">
        <v>470.06</v>
      </c>
      <c r="J2219" s="2" t="s">
        <v>170</v>
      </c>
      <c r="K2219" s="2" t="s">
        <v>74</v>
      </c>
      <c r="M2219" t="s">
        <v>3150</v>
      </c>
      <c r="P2219" s="19" t="s">
        <v>2449</v>
      </c>
      <c r="Q2219" s="19" t="s">
        <v>27</v>
      </c>
      <c r="S2219" s="19" t="s">
        <v>138</v>
      </c>
      <c r="W2219" s="20">
        <v>24</v>
      </c>
      <c r="X2219" s="65" t="s">
        <v>2010</v>
      </c>
      <c r="Z2219" t="s">
        <v>307</v>
      </c>
      <c r="AB2219" t="s">
        <v>178</v>
      </c>
      <c r="AC2219" t="s">
        <v>2983</v>
      </c>
      <c r="AD2219" s="2" t="s">
        <v>2984</v>
      </c>
    </row>
    <row r="2220" spans="1:30" x14ac:dyDescent="0.25">
      <c r="A2220" s="2">
        <v>501</v>
      </c>
      <c r="B2220" t="s">
        <v>2988</v>
      </c>
      <c r="C2220">
        <v>20</v>
      </c>
      <c r="D2220">
        <v>300</v>
      </c>
      <c r="E2220">
        <v>9980</v>
      </c>
      <c r="F2220" t="s">
        <v>273</v>
      </c>
      <c r="G2220" s="2" t="s">
        <v>156</v>
      </c>
      <c r="H2220">
        <v>1</v>
      </c>
      <c r="I2220">
        <v>470.06</v>
      </c>
      <c r="J2220" s="2" t="s">
        <v>170</v>
      </c>
      <c r="K2220" s="2" t="s">
        <v>74</v>
      </c>
      <c r="M2220" t="s">
        <v>3150</v>
      </c>
      <c r="P2220" s="19" t="s">
        <v>2449</v>
      </c>
      <c r="Q2220" s="19" t="s">
        <v>27</v>
      </c>
      <c r="S2220" s="19" t="s">
        <v>138</v>
      </c>
      <c r="W2220" s="20">
        <v>24</v>
      </c>
      <c r="X2220" s="65" t="s">
        <v>2010</v>
      </c>
      <c r="Z2220" t="s">
        <v>307</v>
      </c>
      <c r="AB2220" t="s">
        <v>178</v>
      </c>
      <c r="AC2220" t="s">
        <v>2983</v>
      </c>
      <c r="AD2220" s="2" t="s">
        <v>2984</v>
      </c>
    </row>
    <row r="2221" spans="1:30" x14ac:dyDescent="0.25">
      <c r="A2221" s="2">
        <v>502</v>
      </c>
      <c r="B2221" t="s">
        <v>2989</v>
      </c>
      <c r="C2221">
        <v>20</v>
      </c>
      <c r="D2221">
        <v>300</v>
      </c>
      <c r="E2221">
        <v>9516</v>
      </c>
      <c r="F2221" t="s">
        <v>273</v>
      </c>
      <c r="G2221" s="2" t="s">
        <v>156</v>
      </c>
      <c r="H2221">
        <v>1</v>
      </c>
      <c r="I2221">
        <v>448.2</v>
      </c>
      <c r="J2221" s="2" t="s">
        <v>170</v>
      </c>
      <c r="K2221" s="2" t="s">
        <v>74</v>
      </c>
      <c r="M2221" t="s">
        <v>3150</v>
      </c>
      <c r="P2221" s="19" t="s">
        <v>2449</v>
      </c>
      <c r="Q2221" s="19" t="s">
        <v>27</v>
      </c>
      <c r="S2221" s="19" t="s">
        <v>138</v>
      </c>
      <c r="V2221" s="19" t="s">
        <v>138</v>
      </c>
      <c r="W2221" s="20">
        <v>24</v>
      </c>
      <c r="X2221" s="65" t="s">
        <v>2010</v>
      </c>
      <c r="Z2221" t="s">
        <v>307</v>
      </c>
      <c r="AB2221" t="s">
        <v>178</v>
      </c>
      <c r="AC2221" t="s">
        <v>2983</v>
      </c>
      <c r="AD2221" s="2" t="s">
        <v>2984</v>
      </c>
    </row>
    <row r="2222" spans="1:30" x14ac:dyDescent="0.25">
      <c r="A2222" s="2">
        <v>503</v>
      </c>
      <c r="B2222" t="s">
        <v>2990</v>
      </c>
      <c r="C2222">
        <v>20</v>
      </c>
      <c r="D2222">
        <v>300</v>
      </c>
      <c r="E2222">
        <v>9980</v>
      </c>
      <c r="F2222" t="s">
        <v>273</v>
      </c>
      <c r="G2222" s="2" t="s">
        <v>156</v>
      </c>
      <c r="H2222">
        <v>1</v>
      </c>
      <c r="I2222">
        <v>470.06</v>
      </c>
      <c r="J2222" s="2" t="s">
        <v>170</v>
      </c>
      <c r="K2222" s="2" t="s">
        <v>74</v>
      </c>
      <c r="M2222" t="s">
        <v>3150</v>
      </c>
      <c r="P2222" s="19" t="s">
        <v>2449</v>
      </c>
      <c r="Q2222" s="19" t="s">
        <v>27</v>
      </c>
      <c r="S2222" s="19" t="s">
        <v>138</v>
      </c>
      <c r="W2222" s="20">
        <v>24</v>
      </c>
      <c r="X2222" s="65" t="s">
        <v>2010</v>
      </c>
      <c r="Z2222" t="s">
        <v>307</v>
      </c>
      <c r="AB2222" t="s">
        <v>178</v>
      </c>
      <c r="AC2222" t="s">
        <v>2983</v>
      </c>
      <c r="AD2222" s="2" t="s">
        <v>2984</v>
      </c>
    </row>
    <row r="2223" spans="1:30" x14ac:dyDescent="0.25">
      <c r="A2223" s="2">
        <v>504</v>
      </c>
      <c r="B2223" t="s">
        <v>2991</v>
      </c>
      <c r="C2223">
        <v>20</v>
      </c>
      <c r="D2223">
        <v>300</v>
      </c>
      <c r="E2223">
        <v>9516</v>
      </c>
      <c r="F2223" t="s">
        <v>273</v>
      </c>
      <c r="G2223" s="2" t="s">
        <v>156</v>
      </c>
      <c r="H2223">
        <v>1</v>
      </c>
      <c r="I2223">
        <v>448.2</v>
      </c>
      <c r="J2223" s="2" t="s">
        <v>170</v>
      </c>
      <c r="K2223" s="2" t="s">
        <v>74</v>
      </c>
      <c r="M2223" t="s">
        <v>3150</v>
      </c>
      <c r="P2223" s="19" t="s">
        <v>2449</v>
      </c>
      <c r="Q2223" s="19" t="s">
        <v>27</v>
      </c>
      <c r="S2223" s="19" t="s">
        <v>138</v>
      </c>
      <c r="V2223" s="19" t="s">
        <v>138</v>
      </c>
      <c r="W2223" s="20">
        <v>24</v>
      </c>
      <c r="X2223" s="65" t="s">
        <v>2010</v>
      </c>
      <c r="Z2223" t="s">
        <v>307</v>
      </c>
      <c r="AB2223" t="s">
        <v>178</v>
      </c>
      <c r="AC2223" t="s">
        <v>2983</v>
      </c>
      <c r="AD2223" s="2" t="s">
        <v>2984</v>
      </c>
    </row>
    <row r="2224" spans="1:30" x14ac:dyDescent="0.25">
      <c r="A2224" s="2">
        <v>505</v>
      </c>
      <c r="B2224" t="s">
        <v>2992</v>
      </c>
      <c r="C2224">
        <v>20</v>
      </c>
      <c r="D2224">
        <v>300</v>
      </c>
      <c r="E2224">
        <v>9980</v>
      </c>
      <c r="F2224" t="s">
        <v>273</v>
      </c>
      <c r="G2224" s="2" t="s">
        <v>156</v>
      </c>
      <c r="H2224">
        <v>1</v>
      </c>
      <c r="I2224">
        <v>470.06</v>
      </c>
      <c r="J2224" s="2" t="s">
        <v>170</v>
      </c>
      <c r="K2224" s="2" t="s">
        <v>74</v>
      </c>
      <c r="M2224" t="s">
        <v>3150</v>
      </c>
      <c r="P2224" s="19" t="s">
        <v>2449</v>
      </c>
      <c r="Q2224" s="19" t="s">
        <v>27</v>
      </c>
      <c r="S2224" s="19" t="s">
        <v>138</v>
      </c>
      <c r="W2224" s="20">
        <v>24</v>
      </c>
      <c r="X2224" s="65" t="s">
        <v>2010</v>
      </c>
      <c r="Z2224" t="s">
        <v>307</v>
      </c>
      <c r="AB2224" t="s">
        <v>178</v>
      </c>
      <c r="AC2224" t="s">
        <v>2983</v>
      </c>
      <c r="AD2224" s="2" t="s">
        <v>2984</v>
      </c>
    </row>
    <row r="2225" spans="1:30" x14ac:dyDescent="0.25">
      <c r="A2225" s="2">
        <v>506</v>
      </c>
      <c r="B2225" t="s">
        <v>2993</v>
      </c>
      <c r="C2225">
        <v>20</v>
      </c>
      <c r="D2225">
        <v>270</v>
      </c>
      <c r="E2225">
        <v>300</v>
      </c>
      <c r="F2225" t="s">
        <v>273</v>
      </c>
      <c r="G2225" s="2" t="s">
        <v>156</v>
      </c>
      <c r="H2225">
        <v>4</v>
      </c>
      <c r="I2225">
        <v>50.87</v>
      </c>
      <c r="J2225" s="2" t="s">
        <v>170</v>
      </c>
      <c r="K2225" s="2" t="s">
        <v>74</v>
      </c>
      <c r="M2225" t="s">
        <v>3150</v>
      </c>
      <c r="P2225" s="19" t="s">
        <v>2449</v>
      </c>
      <c r="Q2225" s="19" t="s">
        <v>25</v>
      </c>
      <c r="S2225" s="19" t="s">
        <v>138</v>
      </c>
      <c r="W2225" s="20">
        <v>24</v>
      </c>
      <c r="X2225" s="65" t="s">
        <v>2010</v>
      </c>
      <c r="Z2225" t="s">
        <v>307</v>
      </c>
      <c r="AB2225" t="s">
        <v>178</v>
      </c>
      <c r="AC2225" t="s">
        <v>2983</v>
      </c>
      <c r="AD2225" s="2" t="s">
        <v>2984</v>
      </c>
    </row>
    <row r="2226" spans="1:30" x14ac:dyDescent="0.25">
      <c r="A2226" s="2">
        <v>507</v>
      </c>
      <c r="B2226" t="s">
        <v>2994</v>
      </c>
      <c r="C2226">
        <v>20</v>
      </c>
      <c r="D2226">
        <v>270</v>
      </c>
      <c r="E2226">
        <v>300</v>
      </c>
      <c r="F2226" t="s">
        <v>273</v>
      </c>
      <c r="G2226" s="2" t="s">
        <v>156</v>
      </c>
      <c r="H2226">
        <v>4</v>
      </c>
      <c r="I2226">
        <v>50.87</v>
      </c>
      <c r="J2226" s="2" t="s">
        <v>170</v>
      </c>
      <c r="K2226" s="2" t="s">
        <v>74</v>
      </c>
      <c r="M2226" t="s">
        <v>3150</v>
      </c>
      <c r="P2226" s="19" t="s">
        <v>2449</v>
      </c>
      <c r="Q2226" s="19" t="s">
        <v>25</v>
      </c>
      <c r="S2226" s="19" t="s">
        <v>138</v>
      </c>
      <c r="W2226" s="20">
        <v>24</v>
      </c>
      <c r="X2226" s="65" t="s">
        <v>2010</v>
      </c>
      <c r="Z2226" t="s">
        <v>307</v>
      </c>
      <c r="AB2226" t="s">
        <v>178</v>
      </c>
      <c r="AC2226" t="s">
        <v>2983</v>
      </c>
      <c r="AD2226" s="2" t="s">
        <v>2984</v>
      </c>
    </row>
    <row r="2227" spans="1:30" x14ac:dyDescent="0.25">
      <c r="A2227" s="2">
        <v>508</v>
      </c>
      <c r="B2227" t="s">
        <v>2995</v>
      </c>
      <c r="C2227">
        <v>20</v>
      </c>
      <c r="D2227">
        <v>300</v>
      </c>
      <c r="E2227">
        <v>1096</v>
      </c>
      <c r="F2227" t="s">
        <v>273</v>
      </c>
      <c r="G2227" s="2" t="s">
        <v>156</v>
      </c>
      <c r="H2227">
        <v>2</v>
      </c>
      <c r="I2227">
        <v>103.24</v>
      </c>
      <c r="J2227" s="2" t="s">
        <v>170</v>
      </c>
      <c r="K2227" s="2" t="s">
        <v>74</v>
      </c>
      <c r="M2227" t="s">
        <v>3150</v>
      </c>
      <c r="P2227" s="19" t="s">
        <v>2449</v>
      </c>
      <c r="Q2227" s="19" t="s">
        <v>27</v>
      </c>
      <c r="S2227" s="19" t="s">
        <v>138</v>
      </c>
      <c r="V2227" s="19" t="s">
        <v>138</v>
      </c>
      <c r="W2227" s="20">
        <v>24</v>
      </c>
      <c r="X2227" s="65" t="s">
        <v>2010</v>
      </c>
      <c r="Z2227" t="s">
        <v>307</v>
      </c>
      <c r="AB2227" t="s">
        <v>178</v>
      </c>
      <c r="AC2227" t="s">
        <v>2983</v>
      </c>
      <c r="AD2227" s="2" t="s">
        <v>2984</v>
      </c>
    </row>
    <row r="2228" spans="1:30" x14ac:dyDescent="0.25">
      <c r="A2228" s="2">
        <v>509</v>
      </c>
      <c r="B2228" t="s">
        <v>2996</v>
      </c>
      <c r="C2228">
        <v>20</v>
      </c>
      <c r="D2228">
        <v>300</v>
      </c>
      <c r="E2228">
        <v>6464</v>
      </c>
      <c r="F2228" t="s">
        <v>273</v>
      </c>
      <c r="G2228" s="2" t="s">
        <v>156</v>
      </c>
      <c r="H2228">
        <v>1</v>
      </c>
      <c r="I2228">
        <v>304.45</v>
      </c>
      <c r="J2228" s="2" t="s">
        <v>170</v>
      </c>
      <c r="K2228" s="2" t="s">
        <v>74</v>
      </c>
      <c r="M2228" t="s">
        <v>3150</v>
      </c>
      <c r="P2228" s="19" t="s">
        <v>2449</v>
      </c>
      <c r="Q2228" s="19" t="s">
        <v>27</v>
      </c>
      <c r="R2228" s="19" t="s">
        <v>138</v>
      </c>
      <c r="W2228" s="20">
        <v>24</v>
      </c>
      <c r="X2228" s="65" t="s">
        <v>2010</v>
      </c>
      <c r="Z2228" t="s">
        <v>307</v>
      </c>
      <c r="AB2228" t="s">
        <v>178</v>
      </c>
      <c r="AC2228" t="s">
        <v>2997</v>
      </c>
      <c r="AD2228" s="2" t="s">
        <v>180</v>
      </c>
    </row>
    <row r="2229" spans="1:30" x14ac:dyDescent="0.25">
      <c r="A2229" s="2">
        <v>510</v>
      </c>
      <c r="B2229" t="s">
        <v>2999</v>
      </c>
      <c r="C2229">
        <v>20</v>
      </c>
      <c r="D2229">
        <v>300</v>
      </c>
      <c r="E2229">
        <v>6232</v>
      </c>
      <c r="F2229" t="s">
        <v>273</v>
      </c>
      <c r="G2229" s="2" t="s">
        <v>156</v>
      </c>
      <c r="H2229">
        <v>1</v>
      </c>
      <c r="I2229">
        <v>293.52999999999997</v>
      </c>
      <c r="J2229" s="2" t="s">
        <v>170</v>
      </c>
      <c r="K2229" s="2" t="s">
        <v>74</v>
      </c>
      <c r="M2229" t="s">
        <v>3150</v>
      </c>
      <c r="P2229" s="19" t="s">
        <v>2449</v>
      </c>
      <c r="Q2229" s="19" t="s">
        <v>27</v>
      </c>
      <c r="R2229" s="19" t="s">
        <v>138</v>
      </c>
      <c r="W2229" s="20">
        <v>24</v>
      </c>
      <c r="X2229" s="65" t="s">
        <v>2010</v>
      </c>
      <c r="Z2229" t="s">
        <v>307</v>
      </c>
      <c r="AB2229" t="s">
        <v>178</v>
      </c>
      <c r="AC2229" t="s">
        <v>2997</v>
      </c>
      <c r="AD2229" s="2" t="s">
        <v>180</v>
      </c>
    </row>
    <row r="2230" spans="1:30" x14ac:dyDescent="0.25">
      <c r="A2230" s="2">
        <v>511</v>
      </c>
      <c r="B2230" t="s">
        <v>3000</v>
      </c>
      <c r="C2230">
        <v>20</v>
      </c>
      <c r="D2230">
        <v>300</v>
      </c>
      <c r="E2230">
        <v>6464</v>
      </c>
      <c r="F2230" t="s">
        <v>273</v>
      </c>
      <c r="G2230" s="2" t="s">
        <v>156</v>
      </c>
      <c r="H2230">
        <v>1</v>
      </c>
      <c r="I2230">
        <v>304.45</v>
      </c>
      <c r="J2230" s="2" t="s">
        <v>170</v>
      </c>
      <c r="K2230" s="2" t="s">
        <v>74</v>
      </c>
      <c r="M2230" t="s">
        <v>3150</v>
      </c>
      <c r="P2230" s="19" t="s">
        <v>2449</v>
      </c>
      <c r="Q2230" s="19" t="s">
        <v>27</v>
      </c>
      <c r="R2230" s="19" t="s">
        <v>138</v>
      </c>
      <c r="W2230" s="20">
        <v>24</v>
      </c>
      <c r="X2230" s="65" t="s">
        <v>2010</v>
      </c>
      <c r="Z2230" t="s">
        <v>307</v>
      </c>
      <c r="AB2230" t="s">
        <v>178</v>
      </c>
      <c r="AC2230" t="s">
        <v>2997</v>
      </c>
      <c r="AD2230" s="2" t="s">
        <v>180</v>
      </c>
    </row>
    <row r="2231" spans="1:30" x14ac:dyDescent="0.25">
      <c r="A2231" s="2">
        <v>512</v>
      </c>
      <c r="B2231" t="s">
        <v>3001</v>
      </c>
      <c r="C2231">
        <v>20</v>
      </c>
      <c r="D2231">
        <v>300</v>
      </c>
      <c r="E2231">
        <v>6232</v>
      </c>
      <c r="F2231" t="s">
        <v>273</v>
      </c>
      <c r="G2231" s="2" t="s">
        <v>156</v>
      </c>
      <c r="H2231">
        <v>1</v>
      </c>
      <c r="I2231">
        <v>293.52999999999997</v>
      </c>
      <c r="J2231" s="2" t="s">
        <v>170</v>
      </c>
      <c r="K2231" s="2" t="s">
        <v>74</v>
      </c>
      <c r="M2231" t="s">
        <v>3150</v>
      </c>
      <c r="P2231" s="19" t="s">
        <v>2449</v>
      </c>
      <c r="Q2231" s="19" t="s">
        <v>27</v>
      </c>
      <c r="R2231" s="19" t="s">
        <v>138</v>
      </c>
      <c r="W2231" s="20">
        <v>24</v>
      </c>
      <c r="X2231" s="65" t="s">
        <v>2010</v>
      </c>
      <c r="Z2231" t="s">
        <v>307</v>
      </c>
      <c r="AB2231" t="s">
        <v>178</v>
      </c>
      <c r="AC2231" t="s">
        <v>2997</v>
      </c>
      <c r="AD2231" s="2" t="s">
        <v>180</v>
      </c>
    </row>
    <row r="2232" spans="1:30" x14ac:dyDescent="0.25">
      <c r="A2232" s="2">
        <v>513</v>
      </c>
      <c r="B2232" t="s">
        <v>3002</v>
      </c>
      <c r="C2232">
        <v>20</v>
      </c>
      <c r="D2232">
        <v>300</v>
      </c>
      <c r="E2232">
        <v>6464</v>
      </c>
      <c r="F2232" t="s">
        <v>273</v>
      </c>
      <c r="G2232" s="2" t="s">
        <v>156</v>
      </c>
      <c r="H2232">
        <v>1</v>
      </c>
      <c r="I2232">
        <v>304.45</v>
      </c>
      <c r="J2232" s="2" t="s">
        <v>170</v>
      </c>
      <c r="K2232" s="2" t="s">
        <v>74</v>
      </c>
      <c r="M2232" t="s">
        <v>3150</v>
      </c>
      <c r="P2232" s="19" t="s">
        <v>2449</v>
      </c>
      <c r="Q2232" s="19" t="s">
        <v>27</v>
      </c>
      <c r="R2232" s="19" t="s">
        <v>138</v>
      </c>
      <c r="W2232" s="20">
        <v>24</v>
      </c>
      <c r="X2232" s="65" t="s">
        <v>2010</v>
      </c>
      <c r="Z2232" t="s">
        <v>307</v>
      </c>
      <c r="AB2232" t="s">
        <v>178</v>
      </c>
      <c r="AC2232" t="s">
        <v>2997</v>
      </c>
      <c r="AD2232" s="2" t="s">
        <v>180</v>
      </c>
    </row>
    <row r="2233" spans="1:30" x14ac:dyDescent="0.25">
      <c r="A2233" s="2">
        <v>514</v>
      </c>
      <c r="B2233" t="s">
        <v>3003</v>
      </c>
      <c r="C2233">
        <v>20</v>
      </c>
      <c r="D2233">
        <v>300</v>
      </c>
      <c r="E2233">
        <v>6464</v>
      </c>
      <c r="F2233" t="s">
        <v>273</v>
      </c>
      <c r="G2233" s="2" t="s">
        <v>156</v>
      </c>
      <c r="H2233">
        <v>1</v>
      </c>
      <c r="I2233">
        <v>304.45</v>
      </c>
      <c r="J2233" s="2" t="s">
        <v>170</v>
      </c>
      <c r="K2233" s="2" t="s">
        <v>74</v>
      </c>
      <c r="M2233" t="s">
        <v>3150</v>
      </c>
      <c r="P2233" s="19" t="s">
        <v>2449</v>
      </c>
      <c r="Q2233" s="19" t="s">
        <v>27</v>
      </c>
      <c r="R2233" s="19" t="s">
        <v>138</v>
      </c>
      <c r="W2233" s="20">
        <v>24</v>
      </c>
      <c r="X2233" s="65" t="s">
        <v>2010</v>
      </c>
      <c r="Z2233" t="s">
        <v>307</v>
      </c>
      <c r="AB2233" t="s">
        <v>178</v>
      </c>
      <c r="AC2233" t="s">
        <v>2997</v>
      </c>
      <c r="AD2233" s="2" t="s">
        <v>180</v>
      </c>
    </row>
    <row r="2234" spans="1:30" x14ac:dyDescent="0.25">
      <c r="A2234" s="2">
        <v>515</v>
      </c>
      <c r="B2234" t="s">
        <v>2896</v>
      </c>
      <c r="C2234">
        <v>20</v>
      </c>
      <c r="D2234">
        <v>300</v>
      </c>
      <c r="E2234">
        <v>480</v>
      </c>
      <c r="F2234" t="s">
        <v>273</v>
      </c>
      <c r="G2234" s="2" t="s">
        <v>156</v>
      </c>
      <c r="H2234">
        <v>1</v>
      </c>
      <c r="I2234">
        <v>22.61</v>
      </c>
      <c r="J2234" s="2" t="s">
        <v>170</v>
      </c>
      <c r="K2234" s="2" t="s">
        <v>74</v>
      </c>
      <c r="M2234" t="s">
        <v>3150</v>
      </c>
      <c r="P2234" s="19" t="s">
        <v>2449</v>
      </c>
      <c r="Q2234" s="19" t="s">
        <v>25</v>
      </c>
      <c r="R2234" s="19" t="s">
        <v>138</v>
      </c>
      <c r="W2234" s="20">
        <v>24</v>
      </c>
      <c r="X2234" s="65" t="s">
        <v>2010</v>
      </c>
      <c r="Z2234" t="s">
        <v>307</v>
      </c>
      <c r="AB2234" t="s">
        <v>178</v>
      </c>
      <c r="AC2234" t="s">
        <v>2997</v>
      </c>
      <c r="AD2234" s="2" t="s">
        <v>180</v>
      </c>
    </row>
    <row r="2235" spans="1:30" x14ac:dyDescent="0.25">
      <c r="A2235" s="2">
        <v>516</v>
      </c>
      <c r="B2235" t="s">
        <v>3004</v>
      </c>
      <c r="C2235">
        <v>20</v>
      </c>
      <c r="D2235">
        <v>270</v>
      </c>
      <c r="E2235">
        <v>300</v>
      </c>
      <c r="F2235" t="s">
        <v>273</v>
      </c>
      <c r="G2235" s="2" t="s">
        <v>156</v>
      </c>
      <c r="H2235">
        <v>4</v>
      </c>
      <c r="I2235">
        <v>50.87</v>
      </c>
      <c r="J2235" s="2" t="s">
        <v>170</v>
      </c>
      <c r="K2235" s="2" t="s">
        <v>74</v>
      </c>
      <c r="M2235" t="s">
        <v>3150</v>
      </c>
      <c r="P2235" s="19" t="s">
        <v>2449</v>
      </c>
      <c r="Q2235" s="19" t="s">
        <v>25</v>
      </c>
      <c r="R2235" s="19" t="s">
        <v>138</v>
      </c>
      <c r="W2235" s="20">
        <v>24</v>
      </c>
      <c r="X2235" s="65" t="s">
        <v>2010</v>
      </c>
      <c r="Z2235" t="s">
        <v>307</v>
      </c>
      <c r="AB2235" t="s">
        <v>178</v>
      </c>
      <c r="AC2235" t="s">
        <v>2997</v>
      </c>
      <c r="AD2235" s="2" t="s">
        <v>180</v>
      </c>
    </row>
    <row r="2236" spans="1:30" x14ac:dyDescent="0.25">
      <c r="A2236" s="2">
        <v>517</v>
      </c>
      <c r="B2236" t="s">
        <v>3005</v>
      </c>
      <c r="C2236">
        <v>20</v>
      </c>
      <c r="D2236">
        <v>270</v>
      </c>
      <c r="E2236">
        <v>300</v>
      </c>
      <c r="F2236" t="s">
        <v>273</v>
      </c>
      <c r="G2236" s="2" t="s">
        <v>156</v>
      </c>
      <c r="H2236">
        <v>1</v>
      </c>
      <c r="I2236">
        <v>12.72</v>
      </c>
      <c r="J2236" s="2" t="s">
        <v>170</v>
      </c>
      <c r="K2236" s="2" t="s">
        <v>74</v>
      </c>
      <c r="M2236" t="s">
        <v>3150</v>
      </c>
      <c r="P2236" s="19" t="s">
        <v>2449</v>
      </c>
      <c r="Q2236" s="19" t="s">
        <v>25</v>
      </c>
      <c r="R2236" s="19" t="s">
        <v>138</v>
      </c>
      <c r="W2236" s="20">
        <v>24</v>
      </c>
      <c r="X2236" s="65" t="s">
        <v>2010</v>
      </c>
      <c r="Z2236" t="s">
        <v>307</v>
      </c>
      <c r="AB2236" t="s">
        <v>178</v>
      </c>
      <c r="AC2236" t="s">
        <v>2997</v>
      </c>
      <c r="AD2236" s="2" t="s">
        <v>180</v>
      </c>
    </row>
    <row r="2237" spans="1:30" x14ac:dyDescent="0.25">
      <c r="A2237" s="2">
        <v>518</v>
      </c>
      <c r="B2237" t="s">
        <v>3006</v>
      </c>
      <c r="C2237">
        <v>20</v>
      </c>
      <c r="D2237">
        <v>1436</v>
      </c>
      <c r="E2237">
        <v>6298</v>
      </c>
      <c r="F2237" t="s">
        <v>273</v>
      </c>
      <c r="G2237" s="2" t="s">
        <v>156</v>
      </c>
      <c r="H2237">
        <v>1</v>
      </c>
      <c r="I2237">
        <v>1414.64</v>
      </c>
      <c r="J2237" s="2" t="s">
        <v>170</v>
      </c>
      <c r="K2237" s="2" t="s">
        <v>74</v>
      </c>
      <c r="M2237" t="s">
        <v>3150</v>
      </c>
      <c r="P2237" s="19" t="s">
        <v>2449</v>
      </c>
      <c r="Q2237" s="19" t="s">
        <v>27</v>
      </c>
      <c r="R2237" s="19" t="s">
        <v>138</v>
      </c>
      <c r="V2237" s="19" t="s">
        <v>138</v>
      </c>
      <c r="W2237" s="20">
        <v>24</v>
      </c>
      <c r="X2237" s="65" t="s">
        <v>2010</v>
      </c>
      <c r="Z2237" t="s">
        <v>307</v>
      </c>
      <c r="AB2237" t="s">
        <v>178</v>
      </c>
      <c r="AC2237" t="s">
        <v>2997</v>
      </c>
      <c r="AD2237" s="2" t="s">
        <v>180</v>
      </c>
    </row>
    <row r="2238" spans="1:30" x14ac:dyDescent="0.25">
      <c r="A2238" s="2">
        <v>519</v>
      </c>
      <c r="B2238" t="s">
        <v>3007</v>
      </c>
      <c r="C2238">
        <v>20</v>
      </c>
      <c r="D2238">
        <v>1436</v>
      </c>
      <c r="E2238">
        <v>6298</v>
      </c>
      <c r="F2238" t="s">
        <v>273</v>
      </c>
      <c r="G2238" s="2" t="s">
        <v>156</v>
      </c>
      <c r="H2238">
        <v>1</v>
      </c>
      <c r="I2238">
        <v>1414.64</v>
      </c>
      <c r="J2238" s="2" t="s">
        <v>170</v>
      </c>
      <c r="K2238" s="2" t="s">
        <v>74</v>
      </c>
      <c r="M2238" t="s">
        <v>3150</v>
      </c>
      <c r="P2238" s="19" t="s">
        <v>2449</v>
      </c>
      <c r="Q2238" s="19" t="s">
        <v>27</v>
      </c>
      <c r="R2238" s="19" t="s">
        <v>138</v>
      </c>
      <c r="V2238" s="19" t="s">
        <v>138</v>
      </c>
      <c r="W2238" s="20">
        <v>24</v>
      </c>
      <c r="X2238" s="65" t="s">
        <v>2010</v>
      </c>
      <c r="Z2238" t="s">
        <v>307</v>
      </c>
      <c r="AB2238" t="s">
        <v>178</v>
      </c>
      <c r="AC2238" t="s">
        <v>2997</v>
      </c>
      <c r="AD2238" s="2" t="s">
        <v>180</v>
      </c>
    </row>
    <row r="2239" spans="1:30" x14ac:dyDescent="0.25">
      <c r="A2239" s="2">
        <v>520</v>
      </c>
      <c r="B2239" t="s">
        <v>3008</v>
      </c>
      <c r="C2239">
        <v>20</v>
      </c>
      <c r="D2239">
        <v>300</v>
      </c>
      <c r="E2239">
        <v>6464</v>
      </c>
      <c r="F2239" t="s">
        <v>273</v>
      </c>
      <c r="G2239" s="2" t="s">
        <v>156</v>
      </c>
      <c r="H2239">
        <v>1</v>
      </c>
      <c r="I2239">
        <v>304.45</v>
      </c>
      <c r="J2239" s="2" t="s">
        <v>170</v>
      </c>
      <c r="K2239" s="2" t="s">
        <v>74</v>
      </c>
      <c r="M2239" t="s">
        <v>3150</v>
      </c>
      <c r="P2239" s="19" t="s">
        <v>2449</v>
      </c>
      <c r="Q2239" s="19" t="s">
        <v>27</v>
      </c>
      <c r="R2239" s="19" t="s">
        <v>138</v>
      </c>
      <c r="W2239" s="20">
        <v>24</v>
      </c>
      <c r="X2239" s="65" t="s">
        <v>2010</v>
      </c>
      <c r="Z2239" t="s">
        <v>307</v>
      </c>
      <c r="AB2239" t="s">
        <v>178</v>
      </c>
      <c r="AC2239" t="s">
        <v>3009</v>
      </c>
      <c r="AD2239" s="2" t="s">
        <v>180</v>
      </c>
    </row>
    <row r="2240" spans="1:30" x14ac:dyDescent="0.25">
      <c r="A2240" s="2">
        <v>521</v>
      </c>
      <c r="B2240" t="s">
        <v>3011</v>
      </c>
      <c r="C2240">
        <v>20</v>
      </c>
      <c r="D2240">
        <v>300</v>
      </c>
      <c r="E2240">
        <v>6464</v>
      </c>
      <c r="F2240" t="s">
        <v>273</v>
      </c>
      <c r="G2240" s="2" t="s">
        <v>156</v>
      </c>
      <c r="H2240">
        <v>1</v>
      </c>
      <c r="I2240">
        <v>304.45</v>
      </c>
      <c r="J2240" s="2" t="s">
        <v>170</v>
      </c>
      <c r="K2240" s="2" t="s">
        <v>74</v>
      </c>
      <c r="M2240" t="s">
        <v>3150</v>
      </c>
      <c r="P2240" s="19" t="s">
        <v>2449</v>
      </c>
      <c r="Q2240" s="19" t="s">
        <v>27</v>
      </c>
      <c r="R2240" s="19" t="s">
        <v>138</v>
      </c>
      <c r="W2240" s="20">
        <v>24</v>
      </c>
      <c r="X2240" s="65" t="s">
        <v>2010</v>
      </c>
      <c r="Z2240" t="s">
        <v>307</v>
      </c>
      <c r="AB2240" t="s">
        <v>178</v>
      </c>
      <c r="AC2240" t="s">
        <v>3009</v>
      </c>
      <c r="AD2240" s="2" t="s">
        <v>180</v>
      </c>
    </row>
    <row r="2241" spans="1:30" x14ac:dyDescent="0.25">
      <c r="A2241" s="2">
        <v>522</v>
      </c>
      <c r="B2241" t="s">
        <v>3012</v>
      </c>
      <c r="C2241">
        <v>20</v>
      </c>
      <c r="D2241">
        <v>300</v>
      </c>
      <c r="E2241">
        <v>6464</v>
      </c>
      <c r="F2241" t="s">
        <v>273</v>
      </c>
      <c r="G2241" s="2" t="s">
        <v>156</v>
      </c>
      <c r="H2241">
        <v>1</v>
      </c>
      <c r="I2241">
        <v>304.45</v>
      </c>
      <c r="J2241" s="2" t="s">
        <v>170</v>
      </c>
      <c r="K2241" s="2" t="s">
        <v>74</v>
      </c>
      <c r="M2241" t="s">
        <v>3150</v>
      </c>
      <c r="P2241" s="19" t="s">
        <v>2449</v>
      </c>
      <c r="Q2241" s="19" t="s">
        <v>27</v>
      </c>
      <c r="R2241" s="19" t="s">
        <v>138</v>
      </c>
      <c r="W2241" s="20">
        <v>24</v>
      </c>
      <c r="X2241" s="65" t="s">
        <v>2010</v>
      </c>
      <c r="Z2241" t="s">
        <v>307</v>
      </c>
      <c r="AB2241" t="s">
        <v>178</v>
      </c>
      <c r="AC2241" t="s">
        <v>3009</v>
      </c>
      <c r="AD2241" s="2" t="s">
        <v>180</v>
      </c>
    </row>
    <row r="2242" spans="1:30" x14ac:dyDescent="0.25">
      <c r="A2242" s="2">
        <v>523</v>
      </c>
      <c r="B2242" t="s">
        <v>3013</v>
      </c>
      <c r="C2242">
        <v>20</v>
      </c>
      <c r="D2242">
        <v>300</v>
      </c>
      <c r="E2242">
        <v>6464</v>
      </c>
      <c r="F2242" t="s">
        <v>273</v>
      </c>
      <c r="G2242" s="2" t="s">
        <v>156</v>
      </c>
      <c r="H2242">
        <v>1</v>
      </c>
      <c r="I2242">
        <v>304.45</v>
      </c>
      <c r="J2242" s="2" t="s">
        <v>170</v>
      </c>
      <c r="K2242" s="2" t="s">
        <v>74</v>
      </c>
      <c r="M2242" t="s">
        <v>3150</v>
      </c>
      <c r="P2242" s="19" t="s">
        <v>2449</v>
      </c>
      <c r="Q2242" s="19" t="s">
        <v>27</v>
      </c>
      <c r="R2242" s="19" t="s">
        <v>138</v>
      </c>
      <c r="W2242" s="20">
        <v>24</v>
      </c>
      <c r="X2242" s="65" t="s">
        <v>2010</v>
      </c>
      <c r="Z2242" t="s">
        <v>307</v>
      </c>
      <c r="AB2242" t="s">
        <v>178</v>
      </c>
      <c r="AC2242" t="s">
        <v>3009</v>
      </c>
      <c r="AD2242" s="2" t="s">
        <v>180</v>
      </c>
    </row>
    <row r="2243" spans="1:30" x14ac:dyDescent="0.25">
      <c r="A2243" s="2">
        <v>524</v>
      </c>
      <c r="B2243" t="s">
        <v>3014</v>
      </c>
      <c r="C2243">
        <v>20</v>
      </c>
      <c r="D2243">
        <v>300</v>
      </c>
      <c r="E2243">
        <v>6464</v>
      </c>
      <c r="F2243" t="s">
        <v>273</v>
      </c>
      <c r="G2243" s="2" t="s">
        <v>156</v>
      </c>
      <c r="H2243">
        <v>1</v>
      </c>
      <c r="I2243">
        <v>304.45</v>
      </c>
      <c r="J2243" s="2" t="s">
        <v>170</v>
      </c>
      <c r="K2243" s="2" t="s">
        <v>74</v>
      </c>
      <c r="M2243" t="s">
        <v>3150</v>
      </c>
      <c r="P2243" s="19" t="s">
        <v>2449</v>
      </c>
      <c r="Q2243" s="19" t="s">
        <v>27</v>
      </c>
      <c r="R2243" s="19" t="s">
        <v>138</v>
      </c>
      <c r="W2243" s="20">
        <v>24</v>
      </c>
      <c r="X2243" s="65" t="s">
        <v>2010</v>
      </c>
      <c r="Z2243" t="s">
        <v>307</v>
      </c>
      <c r="AB2243" t="s">
        <v>178</v>
      </c>
      <c r="AC2243" t="s">
        <v>3009</v>
      </c>
      <c r="AD2243" s="2" t="s">
        <v>180</v>
      </c>
    </row>
    <row r="2244" spans="1:30" x14ac:dyDescent="0.25">
      <c r="A2244" s="2">
        <v>525</v>
      </c>
      <c r="B2244" t="s">
        <v>3015</v>
      </c>
      <c r="C2244">
        <v>20</v>
      </c>
      <c r="D2244">
        <v>300</v>
      </c>
      <c r="E2244">
        <v>6464</v>
      </c>
      <c r="F2244" t="s">
        <v>273</v>
      </c>
      <c r="G2244" s="2" t="s">
        <v>156</v>
      </c>
      <c r="H2244">
        <v>1</v>
      </c>
      <c r="I2244">
        <v>304.45</v>
      </c>
      <c r="J2244" s="2" t="s">
        <v>170</v>
      </c>
      <c r="K2244" s="2" t="s">
        <v>74</v>
      </c>
      <c r="M2244" t="s">
        <v>3150</v>
      </c>
      <c r="P2244" s="19" t="s">
        <v>2449</v>
      </c>
      <c r="Q2244" s="19" t="s">
        <v>27</v>
      </c>
      <c r="R2244" s="19" t="s">
        <v>138</v>
      </c>
      <c r="W2244" s="20">
        <v>24</v>
      </c>
      <c r="X2244" s="65" t="s">
        <v>2010</v>
      </c>
      <c r="Z2244" t="s">
        <v>307</v>
      </c>
      <c r="AB2244" t="s">
        <v>178</v>
      </c>
      <c r="AC2244" t="s">
        <v>3009</v>
      </c>
      <c r="AD2244" s="2" t="s">
        <v>180</v>
      </c>
    </row>
    <row r="2245" spans="1:30" x14ac:dyDescent="0.25">
      <c r="A2245" s="2">
        <v>526</v>
      </c>
      <c r="B2245" t="s">
        <v>3016</v>
      </c>
      <c r="C2245">
        <v>20</v>
      </c>
      <c r="D2245">
        <v>300</v>
      </c>
      <c r="E2245">
        <v>6464</v>
      </c>
      <c r="F2245" t="s">
        <v>273</v>
      </c>
      <c r="G2245" s="2" t="s">
        <v>156</v>
      </c>
      <c r="H2245">
        <v>1</v>
      </c>
      <c r="I2245">
        <v>304.45</v>
      </c>
      <c r="J2245" s="2" t="s">
        <v>170</v>
      </c>
      <c r="K2245" s="2" t="s">
        <v>74</v>
      </c>
      <c r="M2245" t="s">
        <v>3150</v>
      </c>
      <c r="P2245" s="19" t="s">
        <v>2449</v>
      </c>
      <c r="Q2245" s="19" t="s">
        <v>27</v>
      </c>
      <c r="R2245" s="19" t="s">
        <v>138</v>
      </c>
      <c r="W2245" s="20">
        <v>24</v>
      </c>
      <c r="X2245" s="65" t="s">
        <v>2010</v>
      </c>
      <c r="Z2245" t="s">
        <v>307</v>
      </c>
      <c r="AB2245" t="s">
        <v>178</v>
      </c>
      <c r="AC2245" t="s">
        <v>3009</v>
      </c>
      <c r="AD2245" s="2" t="s">
        <v>180</v>
      </c>
    </row>
    <row r="2246" spans="1:30" x14ac:dyDescent="0.25">
      <c r="A2246" s="2">
        <v>527</v>
      </c>
      <c r="B2246" t="s">
        <v>3017</v>
      </c>
      <c r="C2246">
        <v>20</v>
      </c>
      <c r="D2246">
        <v>300</v>
      </c>
      <c r="E2246">
        <v>6464</v>
      </c>
      <c r="F2246" t="s">
        <v>273</v>
      </c>
      <c r="G2246" s="2" t="s">
        <v>156</v>
      </c>
      <c r="H2246">
        <v>1</v>
      </c>
      <c r="I2246">
        <v>304.45</v>
      </c>
      <c r="J2246" s="2" t="s">
        <v>170</v>
      </c>
      <c r="K2246" s="2" t="s">
        <v>74</v>
      </c>
      <c r="M2246" t="s">
        <v>3150</v>
      </c>
      <c r="P2246" s="19" t="s">
        <v>2449</v>
      </c>
      <c r="Q2246" s="19" t="s">
        <v>27</v>
      </c>
      <c r="R2246" s="19" t="s">
        <v>138</v>
      </c>
      <c r="W2246" s="20">
        <v>24</v>
      </c>
      <c r="X2246" s="65" t="s">
        <v>2010</v>
      </c>
      <c r="Z2246" t="s">
        <v>307</v>
      </c>
      <c r="AB2246" t="s">
        <v>178</v>
      </c>
      <c r="AC2246" t="s">
        <v>3009</v>
      </c>
      <c r="AD2246" s="2" t="s">
        <v>180</v>
      </c>
    </row>
    <row r="2247" spans="1:30" x14ac:dyDescent="0.25">
      <c r="A2247" s="2">
        <v>528</v>
      </c>
      <c r="B2247" t="s">
        <v>3018</v>
      </c>
      <c r="C2247">
        <v>20</v>
      </c>
      <c r="D2247">
        <v>300</v>
      </c>
      <c r="E2247">
        <v>6464</v>
      </c>
      <c r="F2247" t="s">
        <v>273</v>
      </c>
      <c r="G2247" s="2" t="s">
        <v>156</v>
      </c>
      <c r="H2247">
        <v>1</v>
      </c>
      <c r="I2247">
        <v>304.45</v>
      </c>
      <c r="J2247" s="2" t="s">
        <v>170</v>
      </c>
      <c r="K2247" s="2" t="s">
        <v>74</v>
      </c>
      <c r="M2247" t="s">
        <v>3150</v>
      </c>
      <c r="P2247" s="19" t="s">
        <v>2449</v>
      </c>
      <c r="Q2247" s="19" t="s">
        <v>27</v>
      </c>
      <c r="R2247" s="19" t="s">
        <v>138</v>
      </c>
      <c r="W2247" s="20">
        <v>24</v>
      </c>
      <c r="X2247" s="65" t="s">
        <v>2010</v>
      </c>
      <c r="Z2247" t="s">
        <v>307</v>
      </c>
      <c r="AB2247" t="s">
        <v>178</v>
      </c>
      <c r="AC2247" t="s">
        <v>3009</v>
      </c>
      <c r="AD2247" s="2" t="s">
        <v>180</v>
      </c>
    </row>
    <row r="2248" spans="1:30" x14ac:dyDescent="0.25">
      <c r="A2248" s="2">
        <v>529</v>
      </c>
      <c r="B2248" t="s">
        <v>3019</v>
      </c>
      <c r="C2248">
        <v>20</v>
      </c>
      <c r="D2248">
        <v>300</v>
      </c>
      <c r="E2248">
        <v>6464</v>
      </c>
      <c r="F2248" t="s">
        <v>273</v>
      </c>
      <c r="G2248" s="2" t="s">
        <v>156</v>
      </c>
      <c r="H2248">
        <v>1</v>
      </c>
      <c r="I2248">
        <v>304.45</v>
      </c>
      <c r="J2248" s="2" t="s">
        <v>170</v>
      </c>
      <c r="K2248" s="2" t="s">
        <v>74</v>
      </c>
      <c r="M2248" t="s">
        <v>3150</v>
      </c>
      <c r="P2248" s="19" t="s">
        <v>2449</v>
      </c>
      <c r="Q2248" s="19" t="s">
        <v>27</v>
      </c>
      <c r="R2248" s="19" t="s">
        <v>138</v>
      </c>
      <c r="W2248" s="20">
        <v>24</v>
      </c>
      <c r="X2248" s="65" t="s">
        <v>2010</v>
      </c>
      <c r="Z2248" t="s">
        <v>307</v>
      </c>
      <c r="AB2248" t="s">
        <v>178</v>
      </c>
      <c r="AC2248" t="s">
        <v>3009</v>
      </c>
      <c r="AD2248" s="2" t="s">
        <v>180</v>
      </c>
    </row>
    <row r="2249" spans="1:30" x14ac:dyDescent="0.25">
      <c r="A2249" s="2">
        <v>530</v>
      </c>
      <c r="B2249" t="s">
        <v>3020</v>
      </c>
      <c r="C2249">
        <v>20</v>
      </c>
      <c r="D2249">
        <v>300</v>
      </c>
      <c r="E2249">
        <v>6464</v>
      </c>
      <c r="F2249" t="s">
        <v>273</v>
      </c>
      <c r="G2249" s="2" t="s">
        <v>156</v>
      </c>
      <c r="H2249">
        <v>1</v>
      </c>
      <c r="I2249">
        <v>304.45</v>
      </c>
      <c r="J2249" s="2" t="s">
        <v>170</v>
      </c>
      <c r="K2249" s="2" t="s">
        <v>74</v>
      </c>
      <c r="M2249" t="s">
        <v>3150</v>
      </c>
      <c r="P2249" s="19" t="s">
        <v>2449</v>
      </c>
      <c r="Q2249" s="19" t="s">
        <v>27</v>
      </c>
      <c r="R2249" s="19" t="s">
        <v>138</v>
      </c>
      <c r="W2249" s="20">
        <v>24</v>
      </c>
      <c r="X2249" s="65" t="s">
        <v>2010</v>
      </c>
      <c r="Z2249" t="s">
        <v>307</v>
      </c>
      <c r="AB2249" t="s">
        <v>178</v>
      </c>
      <c r="AC2249" t="s">
        <v>3009</v>
      </c>
      <c r="AD2249" s="2" t="s">
        <v>180</v>
      </c>
    </row>
    <row r="2250" spans="1:30" x14ac:dyDescent="0.25">
      <c r="A2250" s="2">
        <v>531</v>
      </c>
      <c r="B2250" t="s">
        <v>3021</v>
      </c>
      <c r="C2250">
        <v>20</v>
      </c>
      <c r="D2250">
        <v>300</v>
      </c>
      <c r="E2250">
        <v>6464</v>
      </c>
      <c r="F2250" t="s">
        <v>273</v>
      </c>
      <c r="G2250" s="2" t="s">
        <v>156</v>
      </c>
      <c r="H2250">
        <v>1</v>
      </c>
      <c r="I2250">
        <v>304.45</v>
      </c>
      <c r="J2250" s="2" t="s">
        <v>170</v>
      </c>
      <c r="K2250" s="2" t="s">
        <v>74</v>
      </c>
      <c r="M2250" t="s">
        <v>3150</v>
      </c>
      <c r="P2250" s="19" t="s">
        <v>2449</v>
      </c>
      <c r="Q2250" s="19" t="s">
        <v>27</v>
      </c>
      <c r="R2250" s="19" t="s">
        <v>138</v>
      </c>
      <c r="W2250" s="20">
        <v>24</v>
      </c>
      <c r="X2250" s="65" t="s">
        <v>2010</v>
      </c>
      <c r="Z2250" t="s">
        <v>307</v>
      </c>
      <c r="AB2250" t="s">
        <v>178</v>
      </c>
      <c r="AC2250" t="s">
        <v>3009</v>
      </c>
      <c r="AD2250" s="2" t="s">
        <v>180</v>
      </c>
    </row>
    <row r="2251" spans="1:30" x14ac:dyDescent="0.25">
      <c r="A2251" s="2">
        <v>532</v>
      </c>
      <c r="B2251" t="s">
        <v>3022</v>
      </c>
      <c r="C2251">
        <v>20</v>
      </c>
      <c r="D2251">
        <v>300</v>
      </c>
      <c r="E2251">
        <v>6464</v>
      </c>
      <c r="F2251" t="s">
        <v>273</v>
      </c>
      <c r="G2251" s="2" t="s">
        <v>156</v>
      </c>
      <c r="H2251">
        <v>1</v>
      </c>
      <c r="I2251">
        <v>304.45</v>
      </c>
      <c r="J2251" s="2" t="s">
        <v>170</v>
      </c>
      <c r="K2251" s="2" t="s">
        <v>74</v>
      </c>
      <c r="M2251" t="s">
        <v>3150</v>
      </c>
      <c r="P2251" s="19" t="s">
        <v>2449</v>
      </c>
      <c r="Q2251" s="19" t="s">
        <v>27</v>
      </c>
      <c r="R2251" s="19" t="s">
        <v>138</v>
      </c>
      <c r="W2251" s="20">
        <v>24</v>
      </c>
      <c r="X2251" s="65" t="s">
        <v>2010</v>
      </c>
      <c r="Z2251" t="s">
        <v>307</v>
      </c>
      <c r="AB2251" t="s">
        <v>178</v>
      </c>
      <c r="AC2251" t="s">
        <v>3009</v>
      </c>
      <c r="AD2251" s="2" t="s">
        <v>180</v>
      </c>
    </row>
    <row r="2252" spans="1:30" x14ac:dyDescent="0.25">
      <c r="A2252" s="2">
        <v>533</v>
      </c>
      <c r="B2252" t="s">
        <v>3023</v>
      </c>
      <c r="C2252">
        <v>20</v>
      </c>
      <c r="D2252">
        <v>300</v>
      </c>
      <c r="E2252">
        <v>6464</v>
      </c>
      <c r="F2252" t="s">
        <v>273</v>
      </c>
      <c r="G2252" s="2" t="s">
        <v>156</v>
      </c>
      <c r="H2252">
        <v>1</v>
      </c>
      <c r="I2252">
        <v>304.45</v>
      </c>
      <c r="J2252" s="2" t="s">
        <v>170</v>
      </c>
      <c r="K2252" s="2" t="s">
        <v>74</v>
      </c>
      <c r="M2252" t="s">
        <v>3150</v>
      </c>
      <c r="P2252" s="19" t="s">
        <v>2449</v>
      </c>
      <c r="Q2252" s="19" t="s">
        <v>27</v>
      </c>
      <c r="R2252" s="19" t="s">
        <v>138</v>
      </c>
      <c r="W2252" s="20">
        <v>24</v>
      </c>
      <c r="X2252" s="65" t="s">
        <v>2010</v>
      </c>
      <c r="Z2252" t="s">
        <v>307</v>
      </c>
      <c r="AB2252" t="s">
        <v>178</v>
      </c>
      <c r="AC2252" t="s">
        <v>3009</v>
      </c>
      <c r="AD2252" s="2" t="s">
        <v>180</v>
      </c>
    </row>
    <row r="2253" spans="1:30" x14ac:dyDescent="0.25">
      <c r="A2253" s="2">
        <v>534</v>
      </c>
      <c r="B2253" t="s">
        <v>3024</v>
      </c>
      <c r="C2253">
        <v>20</v>
      </c>
      <c r="D2253">
        <v>300</v>
      </c>
      <c r="E2253">
        <v>6464</v>
      </c>
      <c r="F2253" t="s">
        <v>273</v>
      </c>
      <c r="G2253" s="2" t="s">
        <v>156</v>
      </c>
      <c r="H2253">
        <v>1</v>
      </c>
      <c r="I2253">
        <v>304.45</v>
      </c>
      <c r="J2253" s="2" t="s">
        <v>170</v>
      </c>
      <c r="K2253" s="2" t="s">
        <v>74</v>
      </c>
      <c r="M2253" t="s">
        <v>3150</v>
      </c>
      <c r="P2253" s="19" t="s">
        <v>2449</v>
      </c>
      <c r="Q2253" s="19" t="s">
        <v>27</v>
      </c>
      <c r="R2253" s="19" t="s">
        <v>138</v>
      </c>
      <c r="W2253" s="20">
        <v>24</v>
      </c>
      <c r="X2253" s="65" t="s">
        <v>2010</v>
      </c>
      <c r="Z2253" t="s">
        <v>307</v>
      </c>
      <c r="AB2253" t="s">
        <v>178</v>
      </c>
      <c r="AC2253" t="s">
        <v>3009</v>
      </c>
      <c r="AD2253" s="2" t="s">
        <v>180</v>
      </c>
    </row>
    <row r="2254" spans="1:30" x14ac:dyDescent="0.25">
      <c r="A2254" s="2">
        <v>535</v>
      </c>
      <c r="B2254" t="s">
        <v>3025</v>
      </c>
      <c r="C2254">
        <v>20</v>
      </c>
      <c r="D2254">
        <v>300</v>
      </c>
      <c r="E2254">
        <v>6464</v>
      </c>
      <c r="F2254" t="s">
        <v>273</v>
      </c>
      <c r="G2254" s="2" t="s">
        <v>156</v>
      </c>
      <c r="H2254">
        <v>1</v>
      </c>
      <c r="I2254">
        <v>304.45</v>
      </c>
      <c r="J2254" s="2" t="s">
        <v>170</v>
      </c>
      <c r="K2254" s="2" t="s">
        <v>74</v>
      </c>
      <c r="M2254" t="s">
        <v>3150</v>
      </c>
      <c r="P2254" s="19" t="s">
        <v>2449</v>
      </c>
      <c r="Q2254" s="19" t="s">
        <v>27</v>
      </c>
      <c r="R2254" s="19" t="s">
        <v>138</v>
      </c>
      <c r="W2254" s="20">
        <v>24</v>
      </c>
      <c r="X2254" s="65" t="s">
        <v>2010</v>
      </c>
      <c r="Z2254" t="s">
        <v>307</v>
      </c>
      <c r="AB2254" t="s">
        <v>178</v>
      </c>
      <c r="AC2254" t="s">
        <v>3009</v>
      </c>
      <c r="AD2254" s="2" t="s">
        <v>180</v>
      </c>
    </row>
    <row r="2255" spans="1:30" x14ac:dyDescent="0.25">
      <c r="A2255" s="2">
        <v>536</v>
      </c>
      <c r="B2255" t="s">
        <v>3026</v>
      </c>
      <c r="C2255">
        <v>20</v>
      </c>
      <c r="D2255">
        <v>300</v>
      </c>
      <c r="E2255">
        <v>6464</v>
      </c>
      <c r="F2255" t="s">
        <v>273</v>
      </c>
      <c r="G2255" s="2" t="s">
        <v>156</v>
      </c>
      <c r="H2255">
        <v>1</v>
      </c>
      <c r="I2255">
        <v>304.45</v>
      </c>
      <c r="J2255" s="2" t="s">
        <v>170</v>
      </c>
      <c r="K2255" s="2" t="s">
        <v>74</v>
      </c>
      <c r="M2255" t="s">
        <v>3150</v>
      </c>
      <c r="P2255" s="19" t="s">
        <v>2449</v>
      </c>
      <c r="Q2255" s="19" t="s">
        <v>27</v>
      </c>
      <c r="S2255" s="19" t="s">
        <v>138</v>
      </c>
      <c r="W2255" s="20">
        <v>24</v>
      </c>
      <c r="X2255" s="65" t="s">
        <v>2010</v>
      </c>
      <c r="Z2255" t="s">
        <v>307</v>
      </c>
      <c r="AB2255" t="s">
        <v>178</v>
      </c>
      <c r="AC2255" t="s">
        <v>3027</v>
      </c>
      <c r="AD2255" s="2" t="s">
        <v>3028</v>
      </c>
    </row>
    <row r="2256" spans="1:30" x14ac:dyDescent="0.25">
      <c r="A2256" s="2">
        <v>537</v>
      </c>
      <c r="B2256" t="s">
        <v>3030</v>
      </c>
      <c r="C2256">
        <v>20</v>
      </c>
      <c r="D2256">
        <v>300</v>
      </c>
      <c r="E2256">
        <v>6464</v>
      </c>
      <c r="F2256" t="s">
        <v>273</v>
      </c>
      <c r="G2256" s="2" t="s">
        <v>156</v>
      </c>
      <c r="H2256">
        <v>1</v>
      </c>
      <c r="I2256">
        <v>304.45</v>
      </c>
      <c r="J2256" s="2" t="s">
        <v>170</v>
      </c>
      <c r="K2256" s="2" t="s">
        <v>74</v>
      </c>
      <c r="M2256" t="s">
        <v>3150</v>
      </c>
      <c r="P2256" s="19" t="s">
        <v>2449</v>
      </c>
      <c r="Q2256" s="19" t="s">
        <v>27</v>
      </c>
      <c r="S2256" s="19" t="s">
        <v>138</v>
      </c>
      <c r="W2256" s="20">
        <v>24</v>
      </c>
      <c r="X2256" s="65" t="s">
        <v>2010</v>
      </c>
      <c r="Z2256" t="s">
        <v>307</v>
      </c>
      <c r="AB2256" t="s">
        <v>178</v>
      </c>
      <c r="AC2256" t="s">
        <v>3027</v>
      </c>
      <c r="AD2256" s="2" t="s">
        <v>3028</v>
      </c>
    </row>
    <row r="2257" spans="1:30" x14ac:dyDescent="0.25">
      <c r="A2257" s="2">
        <v>538</v>
      </c>
      <c r="B2257" t="s">
        <v>3031</v>
      </c>
      <c r="C2257">
        <v>20</v>
      </c>
      <c r="D2257">
        <v>300</v>
      </c>
      <c r="E2257">
        <v>6464</v>
      </c>
      <c r="F2257" t="s">
        <v>273</v>
      </c>
      <c r="G2257" s="2" t="s">
        <v>156</v>
      </c>
      <c r="H2257">
        <v>1</v>
      </c>
      <c r="I2257">
        <v>304.45</v>
      </c>
      <c r="J2257" s="2" t="s">
        <v>170</v>
      </c>
      <c r="K2257" s="2" t="s">
        <v>74</v>
      </c>
      <c r="M2257" t="s">
        <v>3150</v>
      </c>
      <c r="P2257" s="19" t="s">
        <v>2449</v>
      </c>
      <c r="Q2257" s="19" t="s">
        <v>27</v>
      </c>
      <c r="S2257" s="19" t="s">
        <v>138</v>
      </c>
      <c r="W2257" s="20">
        <v>24</v>
      </c>
      <c r="X2257" s="65" t="s">
        <v>2010</v>
      </c>
      <c r="Z2257" t="s">
        <v>307</v>
      </c>
      <c r="AB2257" t="s">
        <v>178</v>
      </c>
      <c r="AC2257" t="s">
        <v>3027</v>
      </c>
      <c r="AD2257" s="2" t="s">
        <v>3028</v>
      </c>
    </row>
    <row r="2258" spans="1:30" x14ac:dyDescent="0.25">
      <c r="A2258" s="2">
        <v>539</v>
      </c>
      <c r="B2258" t="s">
        <v>3032</v>
      </c>
      <c r="C2258">
        <v>20</v>
      </c>
      <c r="D2258">
        <v>300</v>
      </c>
      <c r="E2258">
        <v>6464</v>
      </c>
      <c r="F2258" t="s">
        <v>273</v>
      </c>
      <c r="G2258" s="2" t="s">
        <v>156</v>
      </c>
      <c r="H2258">
        <v>1</v>
      </c>
      <c r="I2258">
        <v>304.45</v>
      </c>
      <c r="J2258" s="2" t="s">
        <v>170</v>
      </c>
      <c r="K2258" s="2" t="s">
        <v>74</v>
      </c>
      <c r="M2258" t="s">
        <v>3150</v>
      </c>
      <c r="P2258" s="19" t="s">
        <v>2449</v>
      </c>
      <c r="Q2258" s="19" t="s">
        <v>27</v>
      </c>
      <c r="S2258" s="19" t="s">
        <v>138</v>
      </c>
      <c r="W2258" s="20">
        <v>24</v>
      </c>
      <c r="X2258" s="65" t="s">
        <v>2010</v>
      </c>
      <c r="Z2258" t="s">
        <v>307</v>
      </c>
      <c r="AB2258" t="s">
        <v>178</v>
      </c>
      <c r="AC2258" t="s">
        <v>3027</v>
      </c>
      <c r="AD2258" s="2" t="s">
        <v>3028</v>
      </c>
    </row>
    <row r="2259" spans="1:30" x14ac:dyDescent="0.25">
      <c r="A2259" s="2">
        <v>540</v>
      </c>
      <c r="B2259" t="s">
        <v>3033</v>
      </c>
      <c r="C2259">
        <v>20</v>
      </c>
      <c r="D2259">
        <v>300</v>
      </c>
      <c r="E2259">
        <v>6464</v>
      </c>
      <c r="F2259" t="s">
        <v>273</v>
      </c>
      <c r="G2259" s="2" t="s">
        <v>156</v>
      </c>
      <c r="H2259">
        <v>1</v>
      </c>
      <c r="I2259">
        <v>304.45</v>
      </c>
      <c r="J2259" s="2" t="s">
        <v>170</v>
      </c>
      <c r="K2259" s="2" t="s">
        <v>74</v>
      </c>
      <c r="M2259" t="s">
        <v>3150</v>
      </c>
      <c r="P2259" s="19" t="s">
        <v>2449</v>
      </c>
      <c r="Q2259" s="19" t="s">
        <v>27</v>
      </c>
      <c r="S2259" s="19" t="s">
        <v>138</v>
      </c>
      <c r="W2259" s="20">
        <v>24</v>
      </c>
      <c r="X2259" s="65" t="s">
        <v>2010</v>
      </c>
      <c r="Z2259" t="s">
        <v>307</v>
      </c>
      <c r="AB2259" t="s">
        <v>178</v>
      </c>
      <c r="AC2259" t="s">
        <v>3027</v>
      </c>
      <c r="AD2259" s="2" t="s">
        <v>3028</v>
      </c>
    </row>
    <row r="2260" spans="1:30" x14ac:dyDescent="0.25">
      <c r="A2260" s="2">
        <v>541</v>
      </c>
      <c r="B2260" t="s">
        <v>3034</v>
      </c>
      <c r="C2260">
        <v>20</v>
      </c>
      <c r="D2260">
        <v>300</v>
      </c>
      <c r="E2260">
        <v>6464</v>
      </c>
      <c r="F2260" t="s">
        <v>273</v>
      </c>
      <c r="G2260" s="2" t="s">
        <v>156</v>
      </c>
      <c r="H2260">
        <v>1</v>
      </c>
      <c r="I2260">
        <v>304.45</v>
      </c>
      <c r="J2260" s="2" t="s">
        <v>170</v>
      </c>
      <c r="K2260" s="2" t="s">
        <v>74</v>
      </c>
      <c r="M2260" t="s">
        <v>3150</v>
      </c>
      <c r="P2260" s="19" t="s">
        <v>2449</v>
      </c>
      <c r="Q2260" s="19" t="s">
        <v>27</v>
      </c>
      <c r="S2260" s="19" t="s">
        <v>138</v>
      </c>
      <c r="W2260" s="20">
        <v>24</v>
      </c>
      <c r="X2260" s="65" t="s">
        <v>2010</v>
      </c>
      <c r="Z2260" t="s">
        <v>307</v>
      </c>
      <c r="AB2260" t="s">
        <v>178</v>
      </c>
      <c r="AC2260" t="s">
        <v>3027</v>
      </c>
      <c r="AD2260" s="2" t="s">
        <v>3028</v>
      </c>
    </row>
    <row r="2261" spans="1:30" x14ac:dyDescent="0.25">
      <c r="A2261" s="2">
        <v>542</v>
      </c>
      <c r="B2261" t="s">
        <v>3035</v>
      </c>
      <c r="C2261">
        <v>20</v>
      </c>
      <c r="D2261">
        <v>300</v>
      </c>
      <c r="E2261">
        <v>6464</v>
      </c>
      <c r="F2261" t="s">
        <v>273</v>
      </c>
      <c r="G2261" s="2" t="s">
        <v>156</v>
      </c>
      <c r="H2261">
        <v>1</v>
      </c>
      <c r="I2261">
        <v>304.45</v>
      </c>
      <c r="J2261" s="2" t="s">
        <v>170</v>
      </c>
      <c r="K2261" s="2" t="s">
        <v>74</v>
      </c>
      <c r="M2261" t="s">
        <v>3150</v>
      </c>
      <c r="P2261" s="19" t="s">
        <v>2449</v>
      </c>
      <c r="Q2261" s="19" t="s">
        <v>27</v>
      </c>
      <c r="S2261" s="19" t="s">
        <v>138</v>
      </c>
      <c r="W2261" s="20">
        <v>24</v>
      </c>
      <c r="X2261" s="65" t="s">
        <v>2010</v>
      </c>
      <c r="Z2261" t="s">
        <v>307</v>
      </c>
      <c r="AB2261" t="s">
        <v>178</v>
      </c>
      <c r="AC2261" t="s">
        <v>3027</v>
      </c>
      <c r="AD2261" s="2" t="s">
        <v>3028</v>
      </c>
    </row>
    <row r="2262" spans="1:30" x14ac:dyDescent="0.25">
      <c r="A2262" s="2">
        <v>543</v>
      </c>
      <c r="B2262" t="s">
        <v>3036</v>
      </c>
      <c r="C2262">
        <v>20</v>
      </c>
      <c r="D2262">
        <v>300</v>
      </c>
      <c r="E2262">
        <v>6464</v>
      </c>
      <c r="F2262" t="s">
        <v>273</v>
      </c>
      <c r="G2262" s="2" t="s">
        <v>156</v>
      </c>
      <c r="H2262">
        <v>1</v>
      </c>
      <c r="I2262">
        <v>304.45</v>
      </c>
      <c r="J2262" s="2" t="s">
        <v>170</v>
      </c>
      <c r="K2262" s="2" t="s">
        <v>74</v>
      </c>
      <c r="M2262" t="s">
        <v>3150</v>
      </c>
      <c r="P2262" s="19" t="s">
        <v>2449</v>
      </c>
      <c r="Q2262" s="19" t="s">
        <v>27</v>
      </c>
      <c r="S2262" s="19" t="s">
        <v>138</v>
      </c>
      <c r="W2262" s="20">
        <v>24</v>
      </c>
      <c r="X2262" s="65" t="s">
        <v>2010</v>
      </c>
      <c r="Z2262" t="s">
        <v>307</v>
      </c>
      <c r="AB2262" t="s">
        <v>178</v>
      </c>
      <c r="AC2262" t="s">
        <v>3027</v>
      </c>
      <c r="AD2262" s="2" t="s">
        <v>3028</v>
      </c>
    </row>
    <row r="2263" spans="1:30" x14ac:dyDescent="0.25">
      <c r="A2263" s="2">
        <v>544</v>
      </c>
      <c r="B2263" t="s">
        <v>3037</v>
      </c>
      <c r="C2263">
        <v>20</v>
      </c>
      <c r="D2263">
        <v>300</v>
      </c>
      <c r="E2263">
        <v>6464</v>
      </c>
      <c r="F2263" t="s">
        <v>273</v>
      </c>
      <c r="G2263" s="2" t="s">
        <v>156</v>
      </c>
      <c r="H2263">
        <v>1</v>
      </c>
      <c r="I2263">
        <v>304.45</v>
      </c>
      <c r="J2263" s="2" t="s">
        <v>170</v>
      </c>
      <c r="K2263" s="2" t="s">
        <v>74</v>
      </c>
      <c r="M2263" t="s">
        <v>3150</v>
      </c>
      <c r="P2263" s="19" t="s">
        <v>2449</v>
      </c>
      <c r="Q2263" s="19" t="s">
        <v>27</v>
      </c>
      <c r="S2263" s="19" t="s">
        <v>138</v>
      </c>
      <c r="W2263" s="20">
        <v>24</v>
      </c>
      <c r="X2263" s="65" t="s">
        <v>2010</v>
      </c>
      <c r="Z2263" t="s">
        <v>307</v>
      </c>
      <c r="AB2263" t="s">
        <v>178</v>
      </c>
      <c r="AC2263" t="s">
        <v>3027</v>
      </c>
      <c r="AD2263" s="2" t="s">
        <v>3028</v>
      </c>
    </row>
    <row r="2264" spans="1:30" x14ac:dyDescent="0.25">
      <c r="A2264" s="2">
        <v>545</v>
      </c>
      <c r="B2264" t="s">
        <v>3038</v>
      </c>
      <c r="C2264">
        <v>20</v>
      </c>
      <c r="D2264">
        <v>300</v>
      </c>
      <c r="E2264">
        <v>6464</v>
      </c>
      <c r="F2264" t="s">
        <v>273</v>
      </c>
      <c r="G2264" s="2" t="s">
        <v>156</v>
      </c>
      <c r="H2264">
        <v>1</v>
      </c>
      <c r="I2264">
        <v>304.45</v>
      </c>
      <c r="J2264" s="2" t="s">
        <v>170</v>
      </c>
      <c r="K2264" s="2" t="s">
        <v>74</v>
      </c>
      <c r="M2264" t="s">
        <v>3150</v>
      </c>
      <c r="P2264" s="19" t="s">
        <v>2449</v>
      </c>
      <c r="Q2264" s="19" t="s">
        <v>27</v>
      </c>
      <c r="S2264" s="19" t="s">
        <v>138</v>
      </c>
      <c r="W2264" s="20">
        <v>24</v>
      </c>
      <c r="X2264" s="65" t="s">
        <v>2010</v>
      </c>
      <c r="Z2264" t="s">
        <v>307</v>
      </c>
      <c r="AB2264" t="s">
        <v>178</v>
      </c>
      <c r="AC2264" t="s">
        <v>3027</v>
      </c>
      <c r="AD2264" s="2" t="s">
        <v>3028</v>
      </c>
    </row>
    <row r="2265" spans="1:30" x14ac:dyDescent="0.25">
      <c r="A2265" s="2">
        <v>546</v>
      </c>
      <c r="B2265" t="s">
        <v>3039</v>
      </c>
      <c r="C2265">
        <v>20</v>
      </c>
      <c r="D2265">
        <v>300</v>
      </c>
      <c r="E2265">
        <v>6464</v>
      </c>
      <c r="F2265" t="s">
        <v>273</v>
      </c>
      <c r="G2265" s="2" t="s">
        <v>156</v>
      </c>
      <c r="H2265">
        <v>1</v>
      </c>
      <c r="I2265">
        <v>304.45</v>
      </c>
      <c r="J2265" s="2" t="s">
        <v>170</v>
      </c>
      <c r="K2265" s="2" t="s">
        <v>74</v>
      </c>
      <c r="M2265" t="s">
        <v>3150</v>
      </c>
      <c r="P2265" s="19" t="s">
        <v>2449</v>
      </c>
      <c r="Q2265" s="19" t="s">
        <v>27</v>
      </c>
      <c r="S2265" s="19" t="s">
        <v>138</v>
      </c>
      <c r="W2265" s="20">
        <v>24</v>
      </c>
      <c r="X2265" s="65" t="s">
        <v>2010</v>
      </c>
      <c r="Z2265" t="s">
        <v>307</v>
      </c>
      <c r="AB2265" t="s">
        <v>178</v>
      </c>
      <c r="AC2265" t="s">
        <v>3027</v>
      </c>
      <c r="AD2265" s="2" t="s">
        <v>3028</v>
      </c>
    </row>
    <row r="2266" spans="1:30" x14ac:dyDescent="0.25">
      <c r="A2266" s="2">
        <v>547</v>
      </c>
      <c r="B2266" t="s">
        <v>3040</v>
      </c>
      <c r="C2266">
        <v>20</v>
      </c>
      <c r="D2266">
        <v>300</v>
      </c>
      <c r="E2266">
        <v>6464</v>
      </c>
      <c r="F2266" t="s">
        <v>273</v>
      </c>
      <c r="G2266" s="2" t="s">
        <v>156</v>
      </c>
      <c r="H2266">
        <v>1</v>
      </c>
      <c r="I2266">
        <v>304.45</v>
      </c>
      <c r="J2266" s="2" t="s">
        <v>170</v>
      </c>
      <c r="K2266" s="2" t="s">
        <v>74</v>
      </c>
      <c r="M2266" t="s">
        <v>3150</v>
      </c>
      <c r="P2266" s="19" t="s">
        <v>2449</v>
      </c>
      <c r="Q2266" s="19" t="s">
        <v>27</v>
      </c>
      <c r="S2266" s="19" t="s">
        <v>138</v>
      </c>
      <c r="W2266" s="20">
        <v>24</v>
      </c>
      <c r="X2266" s="65" t="s">
        <v>2010</v>
      </c>
      <c r="Z2266" t="s">
        <v>307</v>
      </c>
      <c r="AB2266" t="s">
        <v>178</v>
      </c>
      <c r="AC2266" t="s">
        <v>3027</v>
      </c>
      <c r="AD2266" s="2" t="s">
        <v>3028</v>
      </c>
    </row>
    <row r="2267" spans="1:30" x14ac:dyDescent="0.25">
      <c r="A2267" s="2">
        <v>548</v>
      </c>
      <c r="B2267" t="s">
        <v>3041</v>
      </c>
      <c r="C2267">
        <v>20</v>
      </c>
      <c r="D2267">
        <v>300</v>
      </c>
      <c r="E2267">
        <v>9980</v>
      </c>
      <c r="F2267" t="s">
        <v>273</v>
      </c>
      <c r="G2267" s="2" t="s">
        <v>156</v>
      </c>
      <c r="H2267">
        <v>1</v>
      </c>
      <c r="I2267">
        <v>470.06</v>
      </c>
      <c r="J2267" s="2" t="s">
        <v>170</v>
      </c>
      <c r="K2267" s="2" t="s">
        <v>74</v>
      </c>
      <c r="M2267" t="s">
        <v>3150</v>
      </c>
      <c r="P2267" s="19" t="s">
        <v>2449</v>
      </c>
      <c r="Q2267" s="19" t="s">
        <v>27</v>
      </c>
      <c r="R2267" s="19" t="s">
        <v>138</v>
      </c>
      <c r="W2267" s="20">
        <v>24</v>
      </c>
      <c r="X2267" s="65" t="s">
        <v>2010</v>
      </c>
      <c r="Z2267" t="s">
        <v>307</v>
      </c>
      <c r="AB2267" t="s">
        <v>178</v>
      </c>
      <c r="AC2267" t="s">
        <v>3042</v>
      </c>
      <c r="AD2267" s="2" t="s">
        <v>180</v>
      </c>
    </row>
    <row r="2268" spans="1:30" x14ac:dyDescent="0.25">
      <c r="A2268" s="2">
        <v>549</v>
      </c>
      <c r="B2268" t="s">
        <v>3044</v>
      </c>
      <c r="C2268">
        <v>20</v>
      </c>
      <c r="D2268">
        <v>300</v>
      </c>
      <c r="E2268">
        <v>9980</v>
      </c>
      <c r="F2268" t="s">
        <v>273</v>
      </c>
      <c r="G2268" s="2" t="s">
        <v>156</v>
      </c>
      <c r="H2268">
        <v>1</v>
      </c>
      <c r="I2268">
        <v>470.06</v>
      </c>
      <c r="J2268" s="2" t="s">
        <v>170</v>
      </c>
      <c r="K2268" s="2" t="s">
        <v>74</v>
      </c>
      <c r="M2268" t="s">
        <v>3150</v>
      </c>
      <c r="P2268" s="19" t="s">
        <v>2449</v>
      </c>
      <c r="Q2268" s="19" t="s">
        <v>27</v>
      </c>
      <c r="R2268" s="19" t="s">
        <v>138</v>
      </c>
      <c r="W2268" s="20">
        <v>24</v>
      </c>
      <c r="X2268" s="65" t="s">
        <v>2010</v>
      </c>
      <c r="Z2268" t="s">
        <v>307</v>
      </c>
      <c r="AB2268" t="s">
        <v>178</v>
      </c>
      <c r="AC2268" t="s">
        <v>3042</v>
      </c>
      <c r="AD2268" s="2" t="s">
        <v>180</v>
      </c>
    </row>
    <row r="2269" spans="1:30" x14ac:dyDescent="0.25">
      <c r="A2269" s="2">
        <v>550</v>
      </c>
      <c r="B2269" t="s">
        <v>3045</v>
      </c>
      <c r="C2269">
        <v>20</v>
      </c>
      <c r="D2269">
        <v>300</v>
      </c>
      <c r="E2269">
        <v>9980</v>
      </c>
      <c r="F2269" t="s">
        <v>273</v>
      </c>
      <c r="G2269" s="2" t="s">
        <v>156</v>
      </c>
      <c r="H2269">
        <v>1</v>
      </c>
      <c r="I2269">
        <v>470.06</v>
      </c>
      <c r="J2269" s="2" t="s">
        <v>170</v>
      </c>
      <c r="K2269" s="2" t="s">
        <v>74</v>
      </c>
      <c r="M2269" t="s">
        <v>3150</v>
      </c>
      <c r="P2269" s="19" t="s">
        <v>2449</v>
      </c>
      <c r="Q2269" s="19" t="s">
        <v>27</v>
      </c>
      <c r="R2269" s="19" t="s">
        <v>138</v>
      </c>
      <c r="W2269" s="20">
        <v>24</v>
      </c>
      <c r="X2269" s="65" t="s">
        <v>2010</v>
      </c>
      <c r="Z2269" t="s">
        <v>307</v>
      </c>
      <c r="AB2269" t="s">
        <v>178</v>
      </c>
      <c r="AC2269" t="s">
        <v>3042</v>
      </c>
      <c r="AD2269" s="2" t="s">
        <v>180</v>
      </c>
    </row>
    <row r="2270" spans="1:30" x14ac:dyDescent="0.25">
      <c r="A2270" s="2">
        <v>551</v>
      </c>
      <c r="B2270" t="s">
        <v>3046</v>
      </c>
      <c r="C2270">
        <v>20</v>
      </c>
      <c r="D2270">
        <v>300</v>
      </c>
      <c r="E2270">
        <v>9980</v>
      </c>
      <c r="F2270" t="s">
        <v>273</v>
      </c>
      <c r="G2270" s="2" t="s">
        <v>156</v>
      </c>
      <c r="H2270">
        <v>1</v>
      </c>
      <c r="I2270">
        <v>470.06</v>
      </c>
      <c r="J2270" s="2" t="s">
        <v>170</v>
      </c>
      <c r="K2270" s="2" t="s">
        <v>74</v>
      </c>
      <c r="M2270" t="s">
        <v>3150</v>
      </c>
      <c r="P2270" s="19" t="s">
        <v>2449</v>
      </c>
      <c r="Q2270" s="19" t="s">
        <v>27</v>
      </c>
      <c r="R2270" s="19" t="s">
        <v>138</v>
      </c>
      <c r="W2270" s="20">
        <v>24</v>
      </c>
      <c r="X2270" s="65" t="s">
        <v>2010</v>
      </c>
      <c r="Z2270" t="s">
        <v>307</v>
      </c>
      <c r="AB2270" t="s">
        <v>178</v>
      </c>
      <c r="AC2270" t="s">
        <v>3042</v>
      </c>
      <c r="AD2270" s="2" t="s">
        <v>180</v>
      </c>
    </row>
    <row r="2271" spans="1:30" x14ac:dyDescent="0.25">
      <c r="A2271" s="2">
        <v>552</v>
      </c>
      <c r="B2271" t="s">
        <v>3047</v>
      </c>
      <c r="C2271">
        <v>20</v>
      </c>
      <c r="D2271">
        <v>300</v>
      </c>
      <c r="E2271">
        <v>9980</v>
      </c>
      <c r="F2271" t="s">
        <v>273</v>
      </c>
      <c r="G2271" s="2" t="s">
        <v>156</v>
      </c>
      <c r="H2271">
        <v>1</v>
      </c>
      <c r="I2271">
        <v>470.06</v>
      </c>
      <c r="J2271" s="2" t="s">
        <v>170</v>
      </c>
      <c r="K2271" s="2" t="s">
        <v>74</v>
      </c>
      <c r="M2271" t="s">
        <v>3150</v>
      </c>
      <c r="P2271" s="19" t="s">
        <v>2449</v>
      </c>
      <c r="Q2271" s="19" t="s">
        <v>27</v>
      </c>
      <c r="R2271" s="19" t="s">
        <v>138</v>
      </c>
      <c r="W2271" s="20">
        <v>24</v>
      </c>
      <c r="X2271" s="65" t="s">
        <v>2010</v>
      </c>
      <c r="Z2271" t="s">
        <v>307</v>
      </c>
      <c r="AB2271" t="s">
        <v>178</v>
      </c>
      <c r="AC2271" t="s">
        <v>3042</v>
      </c>
      <c r="AD2271" s="2" t="s">
        <v>180</v>
      </c>
    </row>
    <row r="2272" spans="1:30" x14ac:dyDescent="0.25">
      <c r="A2272" s="2">
        <v>553</v>
      </c>
      <c r="B2272" t="s">
        <v>3048</v>
      </c>
      <c r="C2272">
        <v>20</v>
      </c>
      <c r="D2272">
        <v>300</v>
      </c>
      <c r="E2272">
        <v>9980</v>
      </c>
      <c r="F2272" t="s">
        <v>273</v>
      </c>
      <c r="G2272" s="2" t="s">
        <v>156</v>
      </c>
      <c r="H2272">
        <v>1</v>
      </c>
      <c r="I2272">
        <v>470.06</v>
      </c>
      <c r="J2272" s="2" t="s">
        <v>170</v>
      </c>
      <c r="K2272" s="2" t="s">
        <v>74</v>
      </c>
      <c r="M2272" t="s">
        <v>3150</v>
      </c>
      <c r="P2272" s="19" t="s">
        <v>2449</v>
      </c>
      <c r="Q2272" s="19" t="s">
        <v>27</v>
      </c>
      <c r="R2272" s="19" t="s">
        <v>138</v>
      </c>
      <c r="W2272" s="20">
        <v>24</v>
      </c>
      <c r="X2272" s="65" t="s">
        <v>2010</v>
      </c>
      <c r="Z2272" t="s">
        <v>307</v>
      </c>
      <c r="AB2272" t="s">
        <v>178</v>
      </c>
      <c r="AC2272" t="s">
        <v>3042</v>
      </c>
      <c r="AD2272" s="2" t="s">
        <v>180</v>
      </c>
    </row>
    <row r="2273" spans="1:30" x14ac:dyDescent="0.25">
      <c r="A2273" s="2">
        <v>554</v>
      </c>
      <c r="B2273" t="s">
        <v>3049</v>
      </c>
      <c r="C2273">
        <v>20</v>
      </c>
      <c r="D2273">
        <v>300</v>
      </c>
      <c r="E2273">
        <v>9980</v>
      </c>
      <c r="F2273" t="s">
        <v>273</v>
      </c>
      <c r="G2273" s="2" t="s">
        <v>156</v>
      </c>
      <c r="H2273">
        <v>1</v>
      </c>
      <c r="I2273">
        <v>470.06</v>
      </c>
      <c r="J2273" s="2" t="s">
        <v>170</v>
      </c>
      <c r="K2273" s="2" t="s">
        <v>74</v>
      </c>
      <c r="M2273" t="s">
        <v>3150</v>
      </c>
      <c r="P2273" s="19" t="s">
        <v>2449</v>
      </c>
      <c r="Q2273" s="19" t="s">
        <v>27</v>
      </c>
      <c r="R2273" s="19" t="s">
        <v>138</v>
      </c>
      <c r="W2273" s="20">
        <v>24</v>
      </c>
      <c r="X2273" s="65" t="s">
        <v>2010</v>
      </c>
      <c r="Z2273" t="s">
        <v>307</v>
      </c>
      <c r="AB2273" t="s">
        <v>178</v>
      </c>
      <c r="AC2273" t="s">
        <v>3042</v>
      </c>
      <c r="AD2273" s="2" t="s">
        <v>180</v>
      </c>
    </row>
    <row r="2274" spans="1:30" x14ac:dyDescent="0.25">
      <c r="A2274" s="2">
        <v>555</v>
      </c>
      <c r="B2274" t="s">
        <v>3050</v>
      </c>
      <c r="C2274">
        <v>20</v>
      </c>
      <c r="D2274">
        <v>300</v>
      </c>
      <c r="E2274">
        <v>9980</v>
      </c>
      <c r="F2274" t="s">
        <v>273</v>
      </c>
      <c r="G2274" s="2" t="s">
        <v>156</v>
      </c>
      <c r="H2274">
        <v>1</v>
      </c>
      <c r="I2274">
        <v>470.06</v>
      </c>
      <c r="J2274" s="2" t="s">
        <v>170</v>
      </c>
      <c r="K2274" s="2" t="s">
        <v>74</v>
      </c>
      <c r="M2274" t="s">
        <v>3150</v>
      </c>
      <c r="P2274" s="19" t="s">
        <v>2449</v>
      </c>
      <c r="Q2274" s="19" t="s">
        <v>27</v>
      </c>
      <c r="R2274" s="19" t="s">
        <v>138</v>
      </c>
      <c r="W2274" s="20">
        <v>24</v>
      </c>
      <c r="X2274" s="65" t="s">
        <v>2010</v>
      </c>
      <c r="Z2274" t="s">
        <v>307</v>
      </c>
      <c r="AB2274" t="s">
        <v>178</v>
      </c>
      <c r="AC2274" t="s">
        <v>3042</v>
      </c>
      <c r="AD2274" s="2" t="s">
        <v>180</v>
      </c>
    </row>
    <row r="2275" spans="1:30" x14ac:dyDescent="0.25">
      <c r="A2275" s="2">
        <v>556</v>
      </c>
      <c r="B2275" t="s">
        <v>3051</v>
      </c>
      <c r="C2275">
        <v>20</v>
      </c>
      <c r="D2275">
        <v>300</v>
      </c>
      <c r="E2275">
        <v>9516</v>
      </c>
      <c r="F2275" t="s">
        <v>273</v>
      </c>
      <c r="G2275" s="2" t="s">
        <v>156</v>
      </c>
      <c r="H2275">
        <v>1</v>
      </c>
      <c r="I2275">
        <v>448.2</v>
      </c>
      <c r="J2275" s="2" t="s">
        <v>170</v>
      </c>
      <c r="K2275" s="2" t="s">
        <v>74</v>
      </c>
      <c r="M2275" t="s">
        <v>3150</v>
      </c>
      <c r="P2275" s="19" t="s">
        <v>2449</v>
      </c>
      <c r="Q2275" s="19" t="s">
        <v>27</v>
      </c>
      <c r="R2275" s="19" t="s">
        <v>138</v>
      </c>
      <c r="V2275" s="19" t="s">
        <v>138</v>
      </c>
      <c r="W2275" s="20">
        <v>24</v>
      </c>
      <c r="X2275" s="65" t="s">
        <v>2010</v>
      </c>
      <c r="Z2275" t="s">
        <v>307</v>
      </c>
      <c r="AB2275" t="s">
        <v>178</v>
      </c>
      <c r="AC2275" t="s">
        <v>3052</v>
      </c>
      <c r="AD2275" s="2" t="s">
        <v>180</v>
      </c>
    </row>
    <row r="2276" spans="1:30" x14ac:dyDescent="0.25">
      <c r="A2276" s="2">
        <v>557</v>
      </c>
      <c r="B2276" t="s">
        <v>3054</v>
      </c>
      <c r="C2276">
        <v>20</v>
      </c>
      <c r="D2276">
        <v>300</v>
      </c>
      <c r="E2276">
        <v>9516</v>
      </c>
      <c r="F2276" t="s">
        <v>273</v>
      </c>
      <c r="G2276" s="2" t="s">
        <v>156</v>
      </c>
      <c r="H2276">
        <v>1</v>
      </c>
      <c r="I2276">
        <v>448.2</v>
      </c>
      <c r="J2276" s="2" t="s">
        <v>170</v>
      </c>
      <c r="K2276" s="2" t="s">
        <v>74</v>
      </c>
      <c r="M2276" t="s">
        <v>3150</v>
      </c>
      <c r="P2276" s="19" t="s">
        <v>2449</v>
      </c>
      <c r="Q2276" s="19" t="s">
        <v>27</v>
      </c>
      <c r="R2276" s="19" t="s">
        <v>138</v>
      </c>
      <c r="V2276" s="19" t="s">
        <v>138</v>
      </c>
      <c r="W2276" s="20">
        <v>24</v>
      </c>
      <c r="X2276" s="65" t="s">
        <v>2010</v>
      </c>
      <c r="Z2276" t="s">
        <v>307</v>
      </c>
      <c r="AB2276" t="s">
        <v>178</v>
      </c>
      <c r="AC2276" t="s">
        <v>3052</v>
      </c>
      <c r="AD2276" s="2" t="s">
        <v>180</v>
      </c>
    </row>
    <row r="2277" spans="1:30" x14ac:dyDescent="0.25">
      <c r="A2277" s="2">
        <v>558</v>
      </c>
      <c r="B2277" t="s">
        <v>3055</v>
      </c>
      <c r="C2277">
        <v>20</v>
      </c>
      <c r="D2277">
        <v>300</v>
      </c>
      <c r="E2277">
        <v>9516</v>
      </c>
      <c r="F2277" t="s">
        <v>273</v>
      </c>
      <c r="G2277" s="2" t="s">
        <v>156</v>
      </c>
      <c r="H2277">
        <v>1</v>
      </c>
      <c r="I2277">
        <v>448.2</v>
      </c>
      <c r="J2277" s="2" t="s">
        <v>170</v>
      </c>
      <c r="K2277" s="2" t="s">
        <v>74</v>
      </c>
      <c r="M2277" t="s">
        <v>3150</v>
      </c>
      <c r="P2277" s="19" t="s">
        <v>2449</v>
      </c>
      <c r="Q2277" s="19" t="s">
        <v>27</v>
      </c>
      <c r="R2277" s="19" t="s">
        <v>138</v>
      </c>
      <c r="V2277" s="19" t="s">
        <v>138</v>
      </c>
      <c r="W2277" s="20">
        <v>24</v>
      </c>
      <c r="X2277" s="65" t="s">
        <v>2010</v>
      </c>
      <c r="Z2277" t="s">
        <v>307</v>
      </c>
      <c r="AB2277" t="s">
        <v>178</v>
      </c>
      <c r="AC2277" t="s">
        <v>3052</v>
      </c>
      <c r="AD2277" s="2" t="s">
        <v>180</v>
      </c>
    </row>
    <row r="2278" spans="1:30" x14ac:dyDescent="0.25">
      <c r="A2278" s="2">
        <v>559</v>
      </c>
      <c r="B2278" t="s">
        <v>3056</v>
      </c>
      <c r="C2278">
        <v>20</v>
      </c>
      <c r="D2278">
        <v>300</v>
      </c>
      <c r="E2278">
        <v>9516</v>
      </c>
      <c r="F2278" t="s">
        <v>273</v>
      </c>
      <c r="G2278" s="2" t="s">
        <v>156</v>
      </c>
      <c r="H2278">
        <v>1</v>
      </c>
      <c r="I2278">
        <v>448.2</v>
      </c>
      <c r="J2278" s="2" t="s">
        <v>170</v>
      </c>
      <c r="K2278" s="2" t="s">
        <v>74</v>
      </c>
      <c r="M2278" t="s">
        <v>3150</v>
      </c>
      <c r="P2278" s="19" t="s">
        <v>2449</v>
      </c>
      <c r="Q2278" s="19" t="s">
        <v>27</v>
      </c>
      <c r="R2278" s="19" t="s">
        <v>138</v>
      </c>
      <c r="V2278" s="19" t="s">
        <v>138</v>
      </c>
      <c r="W2278" s="20">
        <v>24</v>
      </c>
      <c r="X2278" s="65" t="s">
        <v>2010</v>
      </c>
      <c r="Z2278" t="s">
        <v>307</v>
      </c>
      <c r="AB2278" t="s">
        <v>178</v>
      </c>
      <c r="AC2278" t="s">
        <v>3052</v>
      </c>
      <c r="AD2278" s="2" t="s">
        <v>180</v>
      </c>
    </row>
    <row r="2279" spans="1:30" x14ac:dyDescent="0.25">
      <c r="A2279" s="2">
        <v>560</v>
      </c>
      <c r="B2279" t="s">
        <v>3057</v>
      </c>
      <c r="C2279">
        <v>20</v>
      </c>
      <c r="D2279">
        <v>300</v>
      </c>
      <c r="E2279">
        <v>9516</v>
      </c>
      <c r="F2279" t="s">
        <v>273</v>
      </c>
      <c r="G2279" s="2" t="s">
        <v>156</v>
      </c>
      <c r="H2279">
        <v>1</v>
      </c>
      <c r="I2279">
        <v>448.2</v>
      </c>
      <c r="J2279" s="2" t="s">
        <v>170</v>
      </c>
      <c r="K2279" s="2" t="s">
        <v>74</v>
      </c>
      <c r="M2279" t="s">
        <v>3150</v>
      </c>
      <c r="P2279" s="19" t="s">
        <v>2449</v>
      </c>
      <c r="Q2279" s="19" t="s">
        <v>27</v>
      </c>
      <c r="R2279" s="19" t="s">
        <v>138</v>
      </c>
      <c r="V2279" s="19" t="s">
        <v>138</v>
      </c>
      <c r="W2279" s="20">
        <v>24</v>
      </c>
      <c r="X2279" s="65" t="s">
        <v>2010</v>
      </c>
      <c r="Z2279" t="s">
        <v>307</v>
      </c>
      <c r="AB2279" t="s">
        <v>178</v>
      </c>
      <c r="AC2279" t="s">
        <v>3052</v>
      </c>
      <c r="AD2279" s="2" t="s">
        <v>180</v>
      </c>
    </row>
    <row r="2280" spans="1:30" x14ac:dyDescent="0.25">
      <c r="A2280" s="2">
        <v>561</v>
      </c>
      <c r="B2280" t="s">
        <v>3058</v>
      </c>
      <c r="C2280">
        <v>20</v>
      </c>
      <c r="D2280">
        <v>300</v>
      </c>
      <c r="E2280">
        <v>9516</v>
      </c>
      <c r="F2280" t="s">
        <v>273</v>
      </c>
      <c r="G2280" s="2" t="s">
        <v>156</v>
      </c>
      <c r="H2280">
        <v>1</v>
      </c>
      <c r="I2280">
        <v>448.2</v>
      </c>
      <c r="J2280" s="2" t="s">
        <v>170</v>
      </c>
      <c r="K2280" s="2" t="s">
        <v>74</v>
      </c>
      <c r="M2280" t="s">
        <v>3150</v>
      </c>
      <c r="P2280" s="19" t="s">
        <v>2449</v>
      </c>
      <c r="Q2280" s="19" t="s">
        <v>27</v>
      </c>
      <c r="R2280" s="19" t="s">
        <v>138</v>
      </c>
      <c r="V2280" s="19" t="s">
        <v>138</v>
      </c>
      <c r="W2280" s="20">
        <v>24</v>
      </c>
      <c r="X2280" s="65" t="s">
        <v>2010</v>
      </c>
      <c r="Z2280" t="s">
        <v>307</v>
      </c>
      <c r="AB2280" t="s">
        <v>178</v>
      </c>
      <c r="AC2280" t="s">
        <v>3052</v>
      </c>
      <c r="AD2280" s="2" t="s">
        <v>180</v>
      </c>
    </row>
    <row r="2281" spans="1:30" x14ac:dyDescent="0.25">
      <c r="A2281" s="2">
        <v>562</v>
      </c>
      <c r="B2281" t="s">
        <v>3059</v>
      </c>
      <c r="C2281">
        <v>20</v>
      </c>
      <c r="D2281">
        <v>300</v>
      </c>
      <c r="E2281">
        <v>9516</v>
      </c>
      <c r="F2281" t="s">
        <v>273</v>
      </c>
      <c r="G2281" s="2" t="s">
        <v>156</v>
      </c>
      <c r="H2281">
        <v>1</v>
      </c>
      <c r="I2281">
        <v>448.2</v>
      </c>
      <c r="J2281" s="2" t="s">
        <v>170</v>
      </c>
      <c r="K2281" s="2" t="s">
        <v>74</v>
      </c>
      <c r="M2281" t="s">
        <v>3150</v>
      </c>
      <c r="P2281" s="19" t="s">
        <v>2449</v>
      </c>
      <c r="Q2281" s="19" t="s">
        <v>27</v>
      </c>
      <c r="R2281" s="19" t="s">
        <v>138</v>
      </c>
      <c r="V2281" s="19" t="s">
        <v>138</v>
      </c>
      <c r="W2281" s="20">
        <v>24</v>
      </c>
      <c r="X2281" s="65" t="s">
        <v>2010</v>
      </c>
      <c r="Z2281" t="s">
        <v>307</v>
      </c>
      <c r="AB2281" t="s">
        <v>178</v>
      </c>
      <c r="AC2281" t="s">
        <v>3052</v>
      </c>
      <c r="AD2281" s="2" t="s">
        <v>180</v>
      </c>
    </row>
    <row r="2282" spans="1:30" x14ac:dyDescent="0.25">
      <c r="A2282" s="2">
        <v>563</v>
      </c>
      <c r="B2282" t="s">
        <v>3060</v>
      </c>
      <c r="C2282">
        <v>20</v>
      </c>
      <c r="D2282">
        <v>300</v>
      </c>
      <c r="E2282">
        <v>9516</v>
      </c>
      <c r="F2282" t="s">
        <v>273</v>
      </c>
      <c r="G2282" s="2" t="s">
        <v>156</v>
      </c>
      <c r="H2282">
        <v>1</v>
      </c>
      <c r="I2282">
        <v>448.2</v>
      </c>
      <c r="J2282" s="2" t="s">
        <v>170</v>
      </c>
      <c r="K2282" s="2" t="s">
        <v>74</v>
      </c>
      <c r="M2282" t="s">
        <v>3150</v>
      </c>
      <c r="P2282" s="19" t="s">
        <v>2449</v>
      </c>
      <c r="Q2282" s="19" t="s">
        <v>27</v>
      </c>
      <c r="R2282" s="19" t="s">
        <v>138</v>
      </c>
      <c r="V2282" s="19" t="s">
        <v>138</v>
      </c>
      <c r="W2282" s="20">
        <v>24</v>
      </c>
      <c r="X2282" s="65" t="s">
        <v>2010</v>
      </c>
      <c r="Z2282" t="s">
        <v>307</v>
      </c>
      <c r="AB2282" t="s">
        <v>178</v>
      </c>
      <c r="AC2282" t="s">
        <v>3052</v>
      </c>
      <c r="AD2282" s="2" t="s">
        <v>180</v>
      </c>
    </row>
    <row r="2283" spans="1:30" x14ac:dyDescent="0.25">
      <c r="A2283" s="2">
        <v>564</v>
      </c>
      <c r="B2283" t="s">
        <v>3061</v>
      </c>
      <c r="C2283">
        <v>20</v>
      </c>
      <c r="D2283">
        <v>300</v>
      </c>
      <c r="E2283">
        <v>9068</v>
      </c>
      <c r="F2283" t="s">
        <v>273</v>
      </c>
      <c r="G2283" s="2" t="s">
        <v>156</v>
      </c>
      <c r="H2283">
        <v>1</v>
      </c>
      <c r="I2283">
        <v>427.1</v>
      </c>
      <c r="J2283" s="2" t="s">
        <v>170</v>
      </c>
      <c r="K2283" s="2" t="s">
        <v>74</v>
      </c>
      <c r="M2283" t="s">
        <v>3150</v>
      </c>
      <c r="P2283" s="19" t="s">
        <v>2449</v>
      </c>
      <c r="Q2283" s="19" t="s">
        <v>27</v>
      </c>
      <c r="R2283" s="19" t="s">
        <v>138</v>
      </c>
      <c r="W2283" s="20">
        <v>24</v>
      </c>
      <c r="X2283" s="65" t="s">
        <v>2010</v>
      </c>
      <c r="Z2283" t="s">
        <v>307</v>
      </c>
      <c r="AB2283" t="s">
        <v>178</v>
      </c>
      <c r="AC2283" t="s">
        <v>3062</v>
      </c>
      <c r="AD2283" s="2" t="s">
        <v>180</v>
      </c>
    </row>
    <row r="2284" spans="1:30" x14ac:dyDescent="0.25">
      <c r="A2284" s="2">
        <v>565</v>
      </c>
      <c r="B2284" t="s">
        <v>3064</v>
      </c>
      <c r="C2284">
        <v>20</v>
      </c>
      <c r="D2284">
        <v>300</v>
      </c>
      <c r="E2284">
        <v>9068</v>
      </c>
      <c r="F2284" t="s">
        <v>273</v>
      </c>
      <c r="G2284" s="2" t="s">
        <v>156</v>
      </c>
      <c r="H2284">
        <v>1</v>
      </c>
      <c r="I2284">
        <v>427.1</v>
      </c>
      <c r="J2284" s="2" t="s">
        <v>170</v>
      </c>
      <c r="K2284" s="2" t="s">
        <v>74</v>
      </c>
      <c r="M2284" t="s">
        <v>3150</v>
      </c>
      <c r="P2284" s="19" t="s">
        <v>2449</v>
      </c>
      <c r="Q2284" s="19" t="s">
        <v>27</v>
      </c>
      <c r="R2284" s="19" t="s">
        <v>138</v>
      </c>
      <c r="W2284" s="20">
        <v>24</v>
      </c>
      <c r="X2284" s="65" t="s">
        <v>2010</v>
      </c>
      <c r="Z2284" t="s">
        <v>307</v>
      </c>
      <c r="AB2284" t="s">
        <v>178</v>
      </c>
      <c r="AC2284" t="s">
        <v>3062</v>
      </c>
      <c r="AD2284" s="2" t="s">
        <v>180</v>
      </c>
    </row>
    <row r="2285" spans="1:30" x14ac:dyDescent="0.25">
      <c r="A2285" s="2">
        <v>566</v>
      </c>
      <c r="B2285" t="s">
        <v>3065</v>
      </c>
      <c r="C2285">
        <v>20</v>
      </c>
      <c r="D2285">
        <v>300</v>
      </c>
      <c r="E2285">
        <v>9516</v>
      </c>
      <c r="F2285" t="s">
        <v>273</v>
      </c>
      <c r="G2285" s="2" t="s">
        <v>156</v>
      </c>
      <c r="H2285">
        <v>1</v>
      </c>
      <c r="I2285">
        <v>448.2</v>
      </c>
      <c r="J2285" s="2" t="s">
        <v>170</v>
      </c>
      <c r="K2285" s="2" t="s">
        <v>74</v>
      </c>
      <c r="M2285" t="s">
        <v>3150</v>
      </c>
      <c r="P2285" s="19" t="s">
        <v>2449</v>
      </c>
      <c r="Q2285" s="19" t="s">
        <v>27</v>
      </c>
      <c r="R2285" s="19" t="s">
        <v>138</v>
      </c>
      <c r="V2285" s="19" t="s">
        <v>138</v>
      </c>
      <c r="W2285" s="20">
        <v>24</v>
      </c>
      <c r="X2285" s="65" t="s">
        <v>2010</v>
      </c>
      <c r="Z2285" t="s">
        <v>307</v>
      </c>
      <c r="AB2285" t="s">
        <v>178</v>
      </c>
      <c r="AC2285" t="s">
        <v>3062</v>
      </c>
      <c r="AD2285" s="2" t="s">
        <v>180</v>
      </c>
    </row>
    <row r="2286" spans="1:30" x14ac:dyDescent="0.25">
      <c r="A2286" s="2">
        <v>567</v>
      </c>
      <c r="B2286" t="s">
        <v>3066</v>
      </c>
      <c r="C2286">
        <v>20</v>
      </c>
      <c r="D2286">
        <v>300</v>
      </c>
      <c r="E2286">
        <v>9516</v>
      </c>
      <c r="F2286" t="s">
        <v>273</v>
      </c>
      <c r="G2286" s="2" t="s">
        <v>156</v>
      </c>
      <c r="H2286">
        <v>1</v>
      </c>
      <c r="I2286">
        <v>448.2</v>
      </c>
      <c r="J2286" s="2" t="s">
        <v>170</v>
      </c>
      <c r="K2286" s="2" t="s">
        <v>74</v>
      </c>
      <c r="M2286" t="s">
        <v>3150</v>
      </c>
      <c r="P2286" s="19" t="s">
        <v>2449</v>
      </c>
      <c r="Q2286" s="19" t="s">
        <v>27</v>
      </c>
      <c r="R2286" s="19" t="s">
        <v>138</v>
      </c>
      <c r="V2286" s="19" t="s">
        <v>138</v>
      </c>
      <c r="W2286" s="20">
        <v>24</v>
      </c>
      <c r="X2286" s="65" t="s">
        <v>2010</v>
      </c>
      <c r="Z2286" t="s">
        <v>307</v>
      </c>
      <c r="AB2286" t="s">
        <v>178</v>
      </c>
      <c r="AC2286" t="s">
        <v>3062</v>
      </c>
      <c r="AD2286" s="2" t="s">
        <v>180</v>
      </c>
    </row>
    <row r="2287" spans="1:30" x14ac:dyDescent="0.25">
      <c r="A2287" s="2">
        <v>568</v>
      </c>
      <c r="B2287" t="s">
        <v>3067</v>
      </c>
      <c r="C2287">
        <v>20</v>
      </c>
      <c r="D2287">
        <v>300</v>
      </c>
      <c r="E2287">
        <v>9516</v>
      </c>
      <c r="F2287" t="s">
        <v>273</v>
      </c>
      <c r="G2287" s="2" t="s">
        <v>156</v>
      </c>
      <c r="H2287">
        <v>1</v>
      </c>
      <c r="I2287">
        <v>448.2</v>
      </c>
      <c r="J2287" s="2" t="s">
        <v>170</v>
      </c>
      <c r="K2287" s="2" t="s">
        <v>74</v>
      </c>
      <c r="M2287" t="s">
        <v>3150</v>
      </c>
      <c r="P2287" s="19" t="s">
        <v>2449</v>
      </c>
      <c r="Q2287" s="19" t="s">
        <v>27</v>
      </c>
      <c r="R2287" s="19" t="s">
        <v>138</v>
      </c>
      <c r="V2287" s="19" t="s">
        <v>138</v>
      </c>
      <c r="W2287" s="20">
        <v>24</v>
      </c>
      <c r="X2287" s="65" t="s">
        <v>2010</v>
      </c>
      <c r="Z2287" t="s">
        <v>307</v>
      </c>
      <c r="AB2287" t="s">
        <v>178</v>
      </c>
      <c r="AC2287" t="s">
        <v>3062</v>
      </c>
      <c r="AD2287" s="2" t="s">
        <v>180</v>
      </c>
    </row>
    <row r="2288" spans="1:30" x14ac:dyDescent="0.25">
      <c r="A2288" s="2">
        <v>569</v>
      </c>
      <c r="B2288" t="s">
        <v>3068</v>
      </c>
      <c r="C2288">
        <v>20</v>
      </c>
      <c r="D2288">
        <v>300</v>
      </c>
      <c r="E2288">
        <v>9516</v>
      </c>
      <c r="F2288" t="s">
        <v>273</v>
      </c>
      <c r="G2288" s="2" t="s">
        <v>156</v>
      </c>
      <c r="H2288">
        <v>1</v>
      </c>
      <c r="I2288">
        <v>448.2</v>
      </c>
      <c r="J2288" s="2" t="s">
        <v>170</v>
      </c>
      <c r="K2288" s="2" t="s">
        <v>74</v>
      </c>
      <c r="M2288" t="s">
        <v>3150</v>
      </c>
      <c r="P2288" s="19" t="s">
        <v>2449</v>
      </c>
      <c r="Q2288" s="19" t="s">
        <v>27</v>
      </c>
      <c r="R2288" s="19" t="s">
        <v>138</v>
      </c>
      <c r="V2288" s="19" t="s">
        <v>138</v>
      </c>
      <c r="W2288" s="20">
        <v>24</v>
      </c>
      <c r="X2288" s="65" t="s">
        <v>2010</v>
      </c>
      <c r="Z2288" t="s">
        <v>307</v>
      </c>
      <c r="AB2288" t="s">
        <v>178</v>
      </c>
      <c r="AC2288" t="s">
        <v>3062</v>
      </c>
      <c r="AD2288" s="2" t="s">
        <v>180</v>
      </c>
    </row>
    <row r="2289" spans="1:30" x14ac:dyDescent="0.25">
      <c r="A2289" s="2">
        <v>570</v>
      </c>
      <c r="B2289" t="s">
        <v>3069</v>
      </c>
      <c r="C2289">
        <v>20</v>
      </c>
      <c r="D2289">
        <v>300</v>
      </c>
      <c r="E2289">
        <v>9516</v>
      </c>
      <c r="F2289" t="s">
        <v>273</v>
      </c>
      <c r="G2289" s="2" t="s">
        <v>156</v>
      </c>
      <c r="H2289">
        <v>1</v>
      </c>
      <c r="I2289">
        <v>448.2</v>
      </c>
      <c r="J2289" s="2" t="s">
        <v>170</v>
      </c>
      <c r="K2289" s="2" t="s">
        <v>74</v>
      </c>
      <c r="M2289" t="s">
        <v>3150</v>
      </c>
      <c r="P2289" s="19" t="s">
        <v>2449</v>
      </c>
      <c r="Q2289" s="19" t="s">
        <v>27</v>
      </c>
      <c r="R2289" s="19" t="s">
        <v>138</v>
      </c>
      <c r="V2289" s="19" t="s">
        <v>138</v>
      </c>
      <c r="W2289" s="20">
        <v>24</v>
      </c>
      <c r="X2289" s="65" t="s">
        <v>2010</v>
      </c>
      <c r="Z2289" t="s">
        <v>307</v>
      </c>
      <c r="AB2289" t="s">
        <v>178</v>
      </c>
      <c r="AC2289" t="s">
        <v>3062</v>
      </c>
      <c r="AD2289" s="2" t="s">
        <v>180</v>
      </c>
    </row>
    <row r="2290" spans="1:30" x14ac:dyDescent="0.25">
      <c r="A2290" s="2">
        <v>571</v>
      </c>
      <c r="B2290" t="s">
        <v>3070</v>
      </c>
      <c r="C2290">
        <v>20</v>
      </c>
      <c r="D2290">
        <v>300</v>
      </c>
      <c r="E2290">
        <v>9516</v>
      </c>
      <c r="F2290" t="s">
        <v>273</v>
      </c>
      <c r="G2290" s="2" t="s">
        <v>156</v>
      </c>
      <c r="H2290">
        <v>1</v>
      </c>
      <c r="I2290">
        <v>448.2</v>
      </c>
      <c r="J2290" s="2" t="s">
        <v>170</v>
      </c>
      <c r="K2290" s="2" t="s">
        <v>74</v>
      </c>
      <c r="M2290" t="s">
        <v>3150</v>
      </c>
      <c r="P2290" s="19" t="s">
        <v>2449</v>
      </c>
      <c r="Q2290" s="19" t="s">
        <v>27</v>
      </c>
      <c r="R2290" s="19" t="s">
        <v>138</v>
      </c>
      <c r="V2290" s="19" t="s">
        <v>138</v>
      </c>
      <c r="W2290" s="20">
        <v>24</v>
      </c>
      <c r="X2290" s="65" t="s">
        <v>2010</v>
      </c>
      <c r="Z2290" t="s">
        <v>307</v>
      </c>
      <c r="AB2290" t="s">
        <v>178</v>
      </c>
      <c r="AC2290" t="s">
        <v>3062</v>
      </c>
      <c r="AD2290" s="2" t="s">
        <v>180</v>
      </c>
    </row>
    <row r="2291" spans="1:30" x14ac:dyDescent="0.25">
      <c r="A2291" s="2">
        <v>572</v>
      </c>
      <c r="B2291" t="s">
        <v>3071</v>
      </c>
      <c r="C2291">
        <v>20</v>
      </c>
      <c r="D2291">
        <v>300</v>
      </c>
      <c r="E2291">
        <v>8016</v>
      </c>
      <c r="F2291" t="s">
        <v>273</v>
      </c>
      <c r="G2291" s="2" t="s">
        <v>156</v>
      </c>
      <c r="H2291">
        <v>1</v>
      </c>
      <c r="I2291">
        <v>377.55</v>
      </c>
      <c r="J2291" s="2" t="s">
        <v>170</v>
      </c>
      <c r="K2291" s="2" t="s">
        <v>74</v>
      </c>
      <c r="M2291" t="s">
        <v>3150</v>
      </c>
      <c r="P2291" s="19" t="s">
        <v>2449</v>
      </c>
      <c r="Q2291" s="19" t="s">
        <v>27</v>
      </c>
      <c r="R2291" s="19" t="s">
        <v>138</v>
      </c>
      <c r="V2291" s="19" t="s">
        <v>138</v>
      </c>
      <c r="W2291" s="20">
        <v>24</v>
      </c>
      <c r="X2291" s="65" t="s">
        <v>2010</v>
      </c>
      <c r="Z2291" t="s">
        <v>307</v>
      </c>
      <c r="AB2291" t="s">
        <v>178</v>
      </c>
      <c r="AC2291" t="s">
        <v>3072</v>
      </c>
      <c r="AD2291" s="2" t="s">
        <v>180</v>
      </c>
    </row>
    <row r="2292" spans="1:30" x14ac:dyDescent="0.25">
      <c r="A2292" s="2">
        <v>573</v>
      </c>
      <c r="B2292" t="s">
        <v>3074</v>
      </c>
      <c r="C2292">
        <v>20</v>
      </c>
      <c r="D2292">
        <v>300</v>
      </c>
      <c r="E2292">
        <v>8016</v>
      </c>
      <c r="F2292" t="s">
        <v>273</v>
      </c>
      <c r="G2292" s="2" t="s">
        <v>156</v>
      </c>
      <c r="H2292">
        <v>1</v>
      </c>
      <c r="I2292">
        <v>377.55</v>
      </c>
      <c r="J2292" s="2" t="s">
        <v>170</v>
      </c>
      <c r="K2292" s="2" t="s">
        <v>74</v>
      </c>
      <c r="M2292" t="s">
        <v>3150</v>
      </c>
      <c r="P2292" s="19" t="s">
        <v>2449</v>
      </c>
      <c r="Q2292" s="19" t="s">
        <v>27</v>
      </c>
      <c r="R2292" s="19" t="s">
        <v>138</v>
      </c>
      <c r="V2292" s="19" t="s">
        <v>138</v>
      </c>
      <c r="W2292" s="20">
        <v>24</v>
      </c>
      <c r="X2292" s="65" t="s">
        <v>2010</v>
      </c>
      <c r="Z2292" t="s">
        <v>307</v>
      </c>
      <c r="AB2292" t="s">
        <v>178</v>
      </c>
      <c r="AC2292" t="s">
        <v>3072</v>
      </c>
      <c r="AD2292" s="2" t="s">
        <v>180</v>
      </c>
    </row>
    <row r="2293" spans="1:30" x14ac:dyDescent="0.25">
      <c r="A2293" s="2">
        <v>574</v>
      </c>
      <c r="B2293" t="s">
        <v>3075</v>
      </c>
      <c r="C2293">
        <v>20</v>
      </c>
      <c r="D2293">
        <v>300</v>
      </c>
      <c r="E2293">
        <v>8016</v>
      </c>
      <c r="F2293" t="s">
        <v>273</v>
      </c>
      <c r="G2293" s="2" t="s">
        <v>156</v>
      </c>
      <c r="H2293">
        <v>1</v>
      </c>
      <c r="I2293">
        <v>377.55</v>
      </c>
      <c r="J2293" s="2" t="s">
        <v>170</v>
      </c>
      <c r="K2293" s="2" t="s">
        <v>74</v>
      </c>
      <c r="M2293" t="s">
        <v>3150</v>
      </c>
      <c r="P2293" s="19" t="s">
        <v>2449</v>
      </c>
      <c r="Q2293" s="19" t="s">
        <v>27</v>
      </c>
      <c r="R2293" s="19" t="s">
        <v>138</v>
      </c>
      <c r="V2293" s="19" t="s">
        <v>138</v>
      </c>
      <c r="W2293" s="20">
        <v>24</v>
      </c>
      <c r="X2293" s="65" t="s">
        <v>2010</v>
      </c>
      <c r="Z2293" t="s">
        <v>307</v>
      </c>
      <c r="AB2293" t="s">
        <v>178</v>
      </c>
      <c r="AC2293" t="s">
        <v>3072</v>
      </c>
      <c r="AD2293" s="2" t="s">
        <v>180</v>
      </c>
    </row>
    <row r="2294" spans="1:30" x14ac:dyDescent="0.25">
      <c r="A2294" s="2">
        <v>575</v>
      </c>
      <c r="B2294" t="s">
        <v>3076</v>
      </c>
      <c r="C2294">
        <v>20</v>
      </c>
      <c r="D2294">
        <v>300</v>
      </c>
      <c r="E2294">
        <v>9068</v>
      </c>
      <c r="F2294" t="s">
        <v>273</v>
      </c>
      <c r="G2294" s="2" t="s">
        <v>156</v>
      </c>
      <c r="H2294">
        <v>1</v>
      </c>
      <c r="I2294">
        <v>427.1</v>
      </c>
      <c r="J2294" s="2" t="s">
        <v>170</v>
      </c>
      <c r="K2294" s="2" t="s">
        <v>74</v>
      </c>
      <c r="M2294" t="s">
        <v>3150</v>
      </c>
      <c r="P2294" s="19" t="s">
        <v>2449</v>
      </c>
      <c r="Q2294" s="19" t="s">
        <v>27</v>
      </c>
      <c r="R2294" s="19" t="s">
        <v>138</v>
      </c>
      <c r="W2294" s="20">
        <v>24</v>
      </c>
      <c r="X2294" s="65" t="s">
        <v>2010</v>
      </c>
      <c r="Z2294" t="s">
        <v>307</v>
      </c>
      <c r="AB2294" t="s">
        <v>178</v>
      </c>
      <c r="AC2294" t="s">
        <v>3072</v>
      </c>
      <c r="AD2294" s="2" t="s">
        <v>180</v>
      </c>
    </row>
    <row r="2295" spans="1:30" x14ac:dyDescent="0.25">
      <c r="A2295" s="2">
        <v>576</v>
      </c>
      <c r="B2295" t="s">
        <v>3077</v>
      </c>
      <c r="C2295">
        <v>20</v>
      </c>
      <c r="D2295">
        <v>300</v>
      </c>
      <c r="E2295">
        <v>8016</v>
      </c>
      <c r="F2295" t="s">
        <v>273</v>
      </c>
      <c r="G2295" s="2" t="s">
        <v>156</v>
      </c>
      <c r="H2295">
        <v>1</v>
      </c>
      <c r="I2295">
        <v>377.55</v>
      </c>
      <c r="J2295" s="2" t="s">
        <v>170</v>
      </c>
      <c r="K2295" s="2" t="s">
        <v>74</v>
      </c>
      <c r="M2295" t="s">
        <v>3150</v>
      </c>
      <c r="P2295" s="19" t="s">
        <v>2449</v>
      </c>
      <c r="Q2295" s="19" t="s">
        <v>27</v>
      </c>
      <c r="R2295" s="19" t="s">
        <v>138</v>
      </c>
      <c r="V2295" s="19" t="s">
        <v>138</v>
      </c>
      <c r="W2295" s="20">
        <v>24</v>
      </c>
      <c r="X2295" s="65" t="s">
        <v>2010</v>
      </c>
      <c r="Z2295" t="s">
        <v>307</v>
      </c>
      <c r="AB2295" t="s">
        <v>178</v>
      </c>
      <c r="AC2295" t="s">
        <v>3072</v>
      </c>
      <c r="AD2295" s="2" t="s">
        <v>180</v>
      </c>
    </row>
    <row r="2296" spans="1:30" x14ac:dyDescent="0.25">
      <c r="A2296" s="2">
        <v>577</v>
      </c>
      <c r="B2296" t="s">
        <v>3078</v>
      </c>
      <c r="C2296">
        <v>20</v>
      </c>
      <c r="D2296">
        <v>300</v>
      </c>
      <c r="E2296">
        <v>9068</v>
      </c>
      <c r="F2296" t="s">
        <v>273</v>
      </c>
      <c r="G2296" s="2" t="s">
        <v>156</v>
      </c>
      <c r="H2296">
        <v>1</v>
      </c>
      <c r="I2296">
        <v>427.1</v>
      </c>
      <c r="J2296" s="2" t="s">
        <v>170</v>
      </c>
      <c r="K2296" s="2" t="s">
        <v>74</v>
      </c>
      <c r="M2296" t="s">
        <v>3150</v>
      </c>
      <c r="P2296" s="19" t="s">
        <v>2449</v>
      </c>
      <c r="Q2296" s="19" t="s">
        <v>27</v>
      </c>
      <c r="R2296" s="19" t="s">
        <v>138</v>
      </c>
      <c r="W2296" s="20">
        <v>24</v>
      </c>
      <c r="X2296" s="65" t="s">
        <v>2010</v>
      </c>
      <c r="Z2296" t="s">
        <v>307</v>
      </c>
      <c r="AB2296" t="s">
        <v>178</v>
      </c>
      <c r="AC2296" t="s">
        <v>3072</v>
      </c>
      <c r="AD2296" s="2" t="s">
        <v>180</v>
      </c>
    </row>
    <row r="2297" spans="1:30" x14ac:dyDescent="0.25">
      <c r="A2297" s="2">
        <v>578</v>
      </c>
      <c r="B2297" t="s">
        <v>3079</v>
      </c>
      <c r="C2297">
        <v>20</v>
      </c>
      <c r="D2297">
        <v>300</v>
      </c>
      <c r="E2297">
        <v>7800</v>
      </c>
      <c r="F2297" t="s">
        <v>273</v>
      </c>
      <c r="G2297" s="2" t="s">
        <v>156</v>
      </c>
      <c r="H2297">
        <v>2</v>
      </c>
      <c r="I2297">
        <v>734.76</v>
      </c>
      <c r="J2297" s="2" t="s">
        <v>170</v>
      </c>
      <c r="K2297" s="2" t="s">
        <v>74</v>
      </c>
      <c r="M2297" t="s">
        <v>3150</v>
      </c>
      <c r="P2297" s="19" t="s">
        <v>2449</v>
      </c>
      <c r="Q2297" s="19" t="s">
        <v>27</v>
      </c>
      <c r="R2297" s="19" t="s">
        <v>138</v>
      </c>
      <c r="W2297" s="20">
        <v>24</v>
      </c>
      <c r="X2297" s="65" t="s">
        <v>2010</v>
      </c>
      <c r="Z2297" t="s">
        <v>307</v>
      </c>
      <c r="AB2297" t="s">
        <v>178</v>
      </c>
      <c r="AC2297" t="s">
        <v>3072</v>
      </c>
      <c r="AD2297" s="2" t="s">
        <v>180</v>
      </c>
    </row>
    <row r="2298" spans="1:30" x14ac:dyDescent="0.25">
      <c r="A2298" s="2">
        <v>579</v>
      </c>
      <c r="B2298" t="s">
        <v>3080</v>
      </c>
      <c r="C2298">
        <v>20</v>
      </c>
      <c r="D2298">
        <v>1436</v>
      </c>
      <c r="E2298">
        <v>9068</v>
      </c>
      <c r="F2298" t="s">
        <v>273</v>
      </c>
      <c r="G2298" s="2" t="s">
        <v>156</v>
      </c>
      <c r="H2298">
        <v>1</v>
      </c>
      <c r="I2298">
        <v>2029.94</v>
      </c>
      <c r="J2298" s="2" t="s">
        <v>170</v>
      </c>
      <c r="K2298" s="2" t="s">
        <v>74</v>
      </c>
      <c r="M2298" t="s">
        <v>3150</v>
      </c>
      <c r="P2298" s="19" t="s">
        <v>2449</v>
      </c>
      <c r="Q2298" s="19" t="s">
        <v>27</v>
      </c>
      <c r="R2298" s="19" t="s">
        <v>138</v>
      </c>
      <c r="W2298" s="20">
        <v>24</v>
      </c>
      <c r="X2298" s="65" t="s">
        <v>2010</v>
      </c>
      <c r="Z2298" t="s">
        <v>307</v>
      </c>
      <c r="AB2298" t="s">
        <v>178</v>
      </c>
      <c r="AC2298" t="s">
        <v>3081</v>
      </c>
      <c r="AD2298" s="2" t="s">
        <v>180</v>
      </c>
    </row>
    <row r="2299" spans="1:30" x14ac:dyDescent="0.25">
      <c r="A2299" s="2">
        <v>580</v>
      </c>
      <c r="B2299" t="s">
        <v>3083</v>
      </c>
      <c r="C2299">
        <v>20</v>
      </c>
      <c r="D2299">
        <v>300</v>
      </c>
      <c r="E2299">
        <v>6232</v>
      </c>
      <c r="F2299" t="s">
        <v>273</v>
      </c>
      <c r="G2299" s="2" t="s">
        <v>156</v>
      </c>
      <c r="H2299">
        <v>1</v>
      </c>
      <c r="I2299">
        <v>293.52999999999997</v>
      </c>
      <c r="J2299" s="2" t="s">
        <v>170</v>
      </c>
      <c r="K2299" s="2" t="s">
        <v>74</v>
      </c>
      <c r="M2299" t="s">
        <v>3150</v>
      </c>
      <c r="P2299" s="19" t="s">
        <v>2449</v>
      </c>
      <c r="Q2299" s="19" t="s">
        <v>27</v>
      </c>
      <c r="R2299" s="19" t="s">
        <v>138</v>
      </c>
      <c r="W2299" s="20">
        <v>24</v>
      </c>
      <c r="X2299" s="65" t="s">
        <v>2010</v>
      </c>
      <c r="Z2299" t="s">
        <v>307</v>
      </c>
      <c r="AB2299" t="s">
        <v>178</v>
      </c>
      <c r="AC2299" t="s">
        <v>3081</v>
      </c>
      <c r="AD2299" s="2" t="s">
        <v>180</v>
      </c>
    </row>
    <row r="2300" spans="1:30" x14ac:dyDescent="0.25">
      <c r="A2300" s="2">
        <v>581</v>
      </c>
      <c r="B2300" t="s">
        <v>3084</v>
      </c>
      <c r="C2300">
        <v>20</v>
      </c>
      <c r="D2300">
        <v>300</v>
      </c>
      <c r="E2300">
        <v>7800</v>
      </c>
      <c r="F2300" t="s">
        <v>273</v>
      </c>
      <c r="G2300" s="2" t="s">
        <v>156</v>
      </c>
      <c r="H2300">
        <v>2</v>
      </c>
      <c r="I2300">
        <v>734.76</v>
      </c>
      <c r="J2300" s="2" t="s">
        <v>170</v>
      </c>
      <c r="K2300" s="2" t="s">
        <v>74</v>
      </c>
      <c r="M2300" t="s">
        <v>3150</v>
      </c>
      <c r="P2300" s="19" t="s">
        <v>2449</v>
      </c>
      <c r="Q2300" s="19" t="s">
        <v>27</v>
      </c>
      <c r="R2300" s="19" t="s">
        <v>138</v>
      </c>
      <c r="W2300" s="20">
        <v>24</v>
      </c>
      <c r="X2300" s="65" t="s">
        <v>2010</v>
      </c>
      <c r="Z2300" t="s">
        <v>307</v>
      </c>
      <c r="AB2300" t="s">
        <v>178</v>
      </c>
      <c r="AC2300" t="s">
        <v>3081</v>
      </c>
      <c r="AD2300" s="2" t="s">
        <v>180</v>
      </c>
    </row>
    <row r="2301" spans="1:30" x14ac:dyDescent="0.25">
      <c r="A2301" s="2">
        <v>582</v>
      </c>
      <c r="B2301" t="s">
        <v>3085</v>
      </c>
      <c r="C2301">
        <v>20</v>
      </c>
      <c r="D2301">
        <v>300</v>
      </c>
      <c r="E2301">
        <v>6232</v>
      </c>
      <c r="F2301" t="s">
        <v>273</v>
      </c>
      <c r="G2301" s="2" t="s">
        <v>156</v>
      </c>
      <c r="H2301">
        <v>1</v>
      </c>
      <c r="I2301">
        <v>293.52999999999997</v>
      </c>
      <c r="J2301" s="2" t="s">
        <v>170</v>
      </c>
      <c r="K2301" s="2" t="s">
        <v>74</v>
      </c>
      <c r="M2301" t="s">
        <v>3150</v>
      </c>
      <c r="P2301" s="19" t="s">
        <v>2449</v>
      </c>
      <c r="Q2301" s="19" t="s">
        <v>27</v>
      </c>
      <c r="R2301" s="19" t="s">
        <v>138</v>
      </c>
      <c r="W2301" s="20">
        <v>24</v>
      </c>
      <c r="X2301" s="65" t="s">
        <v>2010</v>
      </c>
      <c r="Z2301" t="s">
        <v>307</v>
      </c>
      <c r="AB2301" t="s">
        <v>178</v>
      </c>
      <c r="AC2301" t="s">
        <v>3086</v>
      </c>
      <c r="AD2301" s="2" t="s">
        <v>180</v>
      </c>
    </row>
    <row r="2302" spans="1:30" x14ac:dyDescent="0.25">
      <c r="A2302" s="2">
        <v>583</v>
      </c>
      <c r="B2302" t="s">
        <v>3088</v>
      </c>
      <c r="C2302">
        <v>20</v>
      </c>
      <c r="D2302">
        <v>1436</v>
      </c>
      <c r="E2302">
        <v>9068</v>
      </c>
      <c r="F2302" t="s">
        <v>273</v>
      </c>
      <c r="G2302" s="2" t="s">
        <v>156</v>
      </c>
      <c r="H2302">
        <v>1</v>
      </c>
      <c r="I2302">
        <v>2029.94</v>
      </c>
      <c r="J2302" s="2" t="s">
        <v>170</v>
      </c>
      <c r="K2302" s="2" t="s">
        <v>74</v>
      </c>
      <c r="M2302" t="s">
        <v>3150</v>
      </c>
      <c r="P2302" s="19" t="s">
        <v>2449</v>
      </c>
      <c r="Q2302" s="19" t="s">
        <v>27</v>
      </c>
      <c r="R2302" s="19" t="s">
        <v>138</v>
      </c>
      <c r="W2302" s="20">
        <v>24</v>
      </c>
      <c r="X2302" s="65" t="s">
        <v>2010</v>
      </c>
      <c r="Z2302" t="s">
        <v>307</v>
      </c>
      <c r="AB2302" t="s">
        <v>178</v>
      </c>
      <c r="AC2302" t="s">
        <v>3086</v>
      </c>
      <c r="AD2302" s="2" t="s">
        <v>180</v>
      </c>
    </row>
    <row r="2303" spans="1:30" x14ac:dyDescent="0.25">
      <c r="A2303" s="2">
        <v>584</v>
      </c>
      <c r="B2303" t="s">
        <v>3089</v>
      </c>
      <c r="C2303">
        <v>20</v>
      </c>
      <c r="D2303">
        <v>300</v>
      </c>
      <c r="E2303">
        <v>6232</v>
      </c>
      <c r="F2303" t="s">
        <v>273</v>
      </c>
      <c r="G2303" s="2" t="s">
        <v>156</v>
      </c>
      <c r="H2303">
        <v>1</v>
      </c>
      <c r="I2303">
        <v>293.52999999999997</v>
      </c>
      <c r="J2303" s="2" t="s">
        <v>170</v>
      </c>
      <c r="K2303" s="2" t="s">
        <v>74</v>
      </c>
      <c r="M2303" t="s">
        <v>3150</v>
      </c>
      <c r="P2303" s="19" t="s">
        <v>2449</v>
      </c>
      <c r="Q2303" s="19" t="s">
        <v>27</v>
      </c>
      <c r="R2303" s="19" t="s">
        <v>138</v>
      </c>
      <c r="W2303" s="20">
        <v>24</v>
      </c>
      <c r="X2303" s="65" t="s">
        <v>2010</v>
      </c>
      <c r="Z2303" t="s">
        <v>307</v>
      </c>
      <c r="AB2303" t="s">
        <v>178</v>
      </c>
      <c r="AC2303" t="s">
        <v>3086</v>
      </c>
      <c r="AD2303" s="2" t="s">
        <v>180</v>
      </c>
    </row>
    <row r="2304" spans="1:30" x14ac:dyDescent="0.25">
      <c r="A2304" s="2">
        <v>585</v>
      </c>
      <c r="B2304" t="s">
        <v>3090</v>
      </c>
      <c r="C2304">
        <v>20</v>
      </c>
      <c r="D2304">
        <v>300</v>
      </c>
      <c r="E2304">
        <v>6232</v>
      </c>
      <c r="F2304" t="s">
        <v>273</v>
      </c>
      <c r="G2304" s="2" t="s">
        <v>156</v>
      </c>
      <c r="H2304">
        <v>1</v>
      </c>
      <c r="I2304">
        <v>293.52999999999997</v>
      </c>
      <c r="J2304" s="2" t="s">
        <v>170</v>
      </c>
      <c r="K2304" s="2" t="s">
        <v>74</v>
      </c>
      <c r="M2304" t="s">
        <v>3150</v>
      </c>
      <c r="P2304" s="19" t="s">
        <v>2449</v>
      </c>
      <c r="Q2304" s="19" t="s">
        <v>27</v>
      </c>
      <c r="R2304" s="19" t="s">
        <v>138</v>
      </c>
      <c r="W2304" s="20">
        <v>24</v>
      </c>
      <c r="X2304" s="65" t="s">
        <v>2010</v>
      </c>
      <c r="Z2304" t="s">
        <v>307</v>
      </c>
      <c r="AB2304" t="s">
        <v>178</v>
      </c>
      <c r="AC2304" t="s">
        <v>3086</v>
      </c>
      <c r="AD2304" s="2" t="s">
        <v>180</v>
      </c>
    </row>
    <row r="2305" spans="1:30" x14ac:dyDescent="0.25">
      <c r="A2305" s="2">
        <v>586</v>
      </c>
      <c r="B2305" t="s">
        <v>3091</v>
      </c>
      <c r="C2305">
        <v>20</v>
      </c>
      <c r="D2305">
        <v>300</v>
      </c>
      <c r="E2305">
        <v>6101</v>
      </c>
      <c r="F2305" t="s">
        <v>273</v>
      </c>
      <c r="G2305" s="2" t="s">
        <v>156</v>
      </c>
      <c r="H2305">
        <v>1</v>
      </c>
      <c r="I2305">
        <v>287.36</v>
      </c>
      <c r="J2305" s="2" t="s">
        <v>170</v>
      </c>
      <c r="K2305" s="2" t="s">
        <v>74</v>
      </c>
      <c r="M2305" t="s">
        <v>3150</v>
      </c>
      <c r="P2305" s="19" t="s">
        <v>2449</v>
      </c>
      <c r="Q2305" s="19" t="s">
        <v>27</v>
      </c>
      <c r="R2305" s="19" t="s">
        <v>138</v>
      </c>
      <c r="V2305" s="19" t="s">
        <v>138</v>
      </c>
      <c r="W2305" s="20">
        <v>24</v>
      </c>
      <c r="X2305" s="65" t="s">
        <v>2010</v>
      </c>
      <c r="Z2305" t="s">
        <v>307</v>
      </c>
      <c r="AB2305" t="s">
        <v>178</v>
      </c>
      <c r="AC2305" t="s">
        <v>3092</v>
      </c>
      <c r="AD2305" s="2" t="s">
        <v>180</v>
      </c>
    </row>
    <row r="2306" spans="1:30" x14ac:dyDescent="0.25">
      <c r="A2306" s="2">
        <v>587</v>
      </c>
      <c r="B2306" t="s">
        <v>3094</v>
      </c>
      <c r="C2306">
        <v>20</v>
      </c>
      <c r="D2306">
        <v>330</v>
      </c>
      <c r="E2306">
        <v>6005</v>
      </c>
      <c r="F2306" t="s">
        <v>273</v>
      </c>
      <c r="G2306" s="2" t="s">
        <v>156</v>
      </c>
      <c r="H2306">
        <v>1</v>
      </c>
      <c r="I2306">
        <v>311.12</v>
      </c>
      <c r="J2306" s="2" t="s">
        <v>170</v>
      </c>
      <c r="K2306" s="2" t="s">
        <v>74</v>
      </c>
      <c r="M2306" t="s">
        <v>3150</v>
      </c>
      <c r="P2306" s="19" t="s">
        <v>2449</v>
      </c>
      <c r="Q2306" s="19" t="s">
        <v>25</v>
      </c>
      <c r="R2306" s="19" t="s">
        <v>138</v>
      </c>
      <c r="W2306" s="20">
        <v>24</v>
      </c>
      <c r="X2306" s="65" t="s">
        <v>2010</v>
      </c>
      <c r="Z2306" t="s">
        <v>307</v>
      </c>
      <c r="AB2306" t="s">
        <v>178</v>
      </c>
      <c r="AC2306" t="s">
        <v>3092</v>
      </c>
      <c r="AD2306" s="2" t="s">
        <v>180</v>
      </c>
    </row>
    <row r="2307" spans="1:30" x14ac:dyDescent="0.25">
      <c r="A2307" s="2">
        <v>588</v>
      </c>
      <c r="B2307" t="s">
        <v>3095</v>
      </c>
      <c r="C2307">
        <v>20</v>
      </c>
      <c r="D2307">
        <v>330</v>
      </c>
      <c r="E2307">
        <v>6005</v>
      </c>
      <c r="F2307" t="s">
        <v>273</v>
      </c>
      <c r="G2307" s="2" t="s">
        <v>156</v>
      </c>
      <c r="H2307">
        <v>1</v>
      </c>
      <c r="I2307">
        <v>311.12</v>
      </c>
      <c r="J2307" s="2" t="s">
        <v>170</v>
      </c>
      <c r="K2307" s="2" t="s">
        <v>74</v>
      </c>
      <c r="M2307" t="s">
        <v>3150</v>
      </c>
      <c r="P2307" s="19" t="s">
        <v>2449</v>
      </c>
      <c r="Q2307" s="19" t="s">
        <v>25</v>
      </c>
      <c r="R2307" s="19" t="s">
        <v>138</v>
      </c>
      <c r="W2307" s="20">
        <v>24</v>
      </c>
      <c r="X2307" s="65" t="s">
        <v>2010</v>
      </c>
      <c r="Z2307" t="s">
        <v>307</v>
      </c>
      <c r="AB2307" t="s">
        <v>178</v>
      </c>
      <c r="AC2307" t="s">
        <v>3092</v>
      </c>
      <c r="AD2307" s="2" t="s">
        <v>180</v>
      </c>
    </row>
    <row r="2308" spans="1:30" x14ac:dyDescent="0.25">
      <c r="A2308" s="2">
        <v>589</v>
      </c>
      <c r="B2308" t="s">
        <v>3096</v>
      </c>
      <c r="C2308">
        <v>20</v>
      </c>
      <c r="D2308">
        <v>1436</v>
      </c>
      <c r="E2308">
        <v>9068</v>
      </c>
      <c r="F2308" t="s">
        <v>273</v>
      </c>
      <c r="G2308" s="2" t="s">
        <v>156</v>
      </c>
      <c r="H2308">
        <v>1</v>
      </c>
      <c r="I2308">
        <v>2029.94</v>
      </c>
      <c r="J2308" s="2" t="s">
        <v>170</v>
      </c>
      <c r="K2308" s="2" t="s">
        <v>74</v>
      </c>
      <c r="M2308" t="s">
        <v>3150</v>
      </c>
      <c r="P2308" s="19" t="s">
        <v>2449</v>
      </c>
      <c r="Q2308" s="19" t="s">
        <v>27</v>
      </c>
      <c r="R2308" s="19" t="s">
        <v>138</v>
      </c>
      <c r="W2308" s="20">
        <v>24</v>
      </c>
      <c r="X2308" s="65" t="s">
        <v>2010</v>
      </c>
      <c r="Z2308" t="s">
        <v>307</v>
      </c>
      <c r="AB2308" t="s">
        <v>178</v>
      </c>
      <c r="AC2308" t="s">
        <v>3092</v>
      </c>
      <c r="AD2308" s="2" t="s">
        <v>180</v>
      </c>
    </row>
    <row r="2309" spans="1:30" x14ac:dyDescent="0.25">
      <c r="A2309" s="2">
        <v>590</v>
      </c>
      <c r="B2309" t="s">
        <v>3097</v>
      </c>
      <c r="C2309">
        <v>20</v>
      </c>
      <c r="D2309">
        <v>300</v>
      </c>
      <c r="E2309">
        <v>6101</v>
      </c>
      <c r="F2309" t="s">
        <v>273</v>
      </c>
      <c r="G2309" s="2" t="s">
        <v>156</v>
      </c>
      <c r="H2309">
        <v>1</v>
      </c>
      <c r="I2309">
        <v>287.36</v>
      </c>
      <c r="J2309" s="2" t="s">
        <v>170</v>
      </c>
      <c r="K2309" s="2" t="s">
        <v>74</v>
      </c>
      <c r="M2309" t="s">
        <v>3150</v>
      </c>
      <c r="P2309" s="19" t="s">
        <v>2449</v>
      </c>
      <c r="Q2309" s="19" t="s">
        <v>27</v>
      </c>
      <c r="R2309" s="19" t="s">
        <v>138</v>
      </c>
      <c r="V2309" s="19" t="s">
        <v>138</v>
      </c>
      <c r="W2309" s="20">
        <v>24</v>
      </c>
      <c r="X2309" s="65" t="s">
        <v>2010</v>
      </c>
      <c r="Z2309" t="s">
        <v>307</v>
      </c>
      <c r="AB2309" t="s">
        <v>178</v>
      </c>
      <c r="AC2309" t="s">
        <v>3098</v>
      </c>
      <c r="AD2309" s="2" t="s">
        <v>180</v>
      </c>
    </row>
    <row r="2310" spans="1:30" x14ac:dyDescent="0.25">
      <c r="A2310" s="2">
        <v>591</v>
      </c>
      <c r="B2310" t="s">
        <v>3100</v>
      </c>
      <c r="C2310">
        <v>20</v>
      </c>
      <c r="D2310">
        <v>300</v>
      </c>
      <c r="E2310">
        <v>6101</v>
      </c>
      <c r="F2310" t="s">
        <v>273</v>
      </c>
      <c r="G2310" s="2" t="s">
        <v>156</v>
      </c>
      <c r="H2310">
        <v>1</v>
      </c>
      <c r="I2310">
        <v>287.36</v>
      </c>
      <c r="J2310" s="2" t="s">
        <v>170</v>
      </c>
      <c r="K2310" s="2" t="s">
        <v>74</v>
      </c>
      <c r="M2310" t="s">
        <v>3150</v>
      </c>
      <c r="P2310" s="19" t="s">
        <v>2449</v>
      </c>
      <c r="Q2310" s="19" t="s">
        <v>27</v>
      </c>
      <c r="R2310" s="19" t="s">
        <v>138</v>
      </c>
      <c r="V2310" s="19" t="s">
        <v>138</v>
      </c>
      <c r="W2310" s="20">
        <v>24</v>
      </c>
      <c r="X2310" s="65" t="s">
        <v>2010</v>
      </c>
      <c r="Z2310" t="s">
        <v>307</v>
      </c>
      <c r="AB2310" t="s">
        <v>178</v>
      </c>
      <c r="AC2310" t="s">
        <v>3098</v>
      </c>
      <c r="AD2310" s="2" t="s">
        <v>180</v>
      </c>
    </row>
    <row r="2311" spans="1:30" x14ac:dyDescent="0.25">
      <c r="A2311" s="2">
        <v>592</v>
      </c>
      <c r="B2311" t="s">
        <v>3101</v>
      </c>
      <c r="C2311">
        <v>20</v>
      </c>
      <c r="D2311">
        <v>300</v>
      </c>
      <c r="E2311">
        <v>6101</v>
      </c>
      <c r="F2311" t="s">
        <v>273</v>
      </c>
      <c r="G2311" s="2" t="s">
        <v>156</v>
      </c>
      <c r="H2311">
        <v>1</v>
      </c>
      <c r="I2311">
        <v>287.36</v>
      </c>
      <c r="J2311" s="2" t="s">
        <v>170</v>
      </c>
      <c r="K2311" s="2" t="s">
        <v>74</v>
      </c>
      <c r="M2311" t="s">
        <v>3150</v>
      </c>
      <c r="P2311" s="19" t="s">
        <v>2449</v>
      </c>
      <c r="Q2311" s="19" t="s">
        <v>27</v>
      </c>
      <c r="R2311" s="19" t="s">
        <v>138</v>
      </c>
      <c r="V2311" s="19" t="s">
        <v>138</v>
      </c>
      <c r="W2311" s="20">
        <v>24</v>
      </c>
      <c r="X2311" s="65" t="s">
        <v>2010</v>
      </c>
      <c r="Z2311" t="s">
        <v>307</v>
      </c>
      <c r="AB2311" t="s">
        <v>178</v>
      </c>
      <c r="AC2311" t="s">
        <v>3098</v>
      </c>
      <c r="AD2311" s="2" t="s">
        <v>180</v>
      </c>
    </row>
    <row r="2312" spans="1:30" x14ac:dyDescent="0.25">
      <c r="A2312" s="2">
        <v>593</v>
      </c>
      <c r="B2312" t="s">
        <v>3102</v>
      </c>
      <c r="C2312">
        <v>20</v>
      </c>
      <c r="D2312">
        <v>1436</v>
      </c>
      <c r="E2312">
        <v>9068</v>
      </c>
      <c r="F2312" t="s">
        <v>273</v>
      </c>
      <c r="G2312" s="2" t="s">
        <v>156</v>
      </c>
      <c r="H2312">
        <v>1</v>
      </c>
      <c r="I2312">
        <v>2029.94</v>
      </c>
      <c r="J2312" s="2" t="s">
        <v>170</v>
      </c>
      <c r="K2312" s="2" t="s">
        <v>74</v>
      </c>
      <c r="M2312" t="s">
        <v>3150</v>
      </c>
      <c r="P2312" s="19" t="s">
        <v>2449</v>
      </c>
      <c r="Q2312" s="19" t="s">
        <v>27</v>
      </c>
      <c r="R2312" s="19" t="s">
        <v>138</v>
      </c>
      <c r="W2312" s="20">
        <v>24</v>
      </c>
      <c r="X2312" s="65" t="s">
        <v>2010</v>
      </c>
      <c r="Z2312" t="s">
        <v>307</v>
      </c>
      <c r="AB2312" t="s">
        <v>178</v>
      </c>
      <c r="AC2312" t="s">
        <v>3098</v>
      </c>
      <c r="AD2312" s="2" t="s">
        <v>180</v>
      </c>
    </row>
    <row r="2313" spans="1:30" x14ac:dyDescent="0.25">
      <c r="A2313" s="2">
        <v>594</v>
      </c>
      <c r="B2313" t="s">
        <v>3103</v>
      </c>
      <c r="C2313">
        <v>20</v>
      </c>
      <c r="D2313">
        <v>300</v>
      </c>
      <c r="E2313">
        <v>6101</v>
      </c>
      <c r="F2313" t="s">
        <v>273</v>
      </c>
      <c r="G2313" s="2" t="s">
        <v>156</v>
      </c>
      <c r="H2313">
        <v>1</v>
      </c>
      <c r="I2313">
        <v>287.36</v>
      </c>
      <c r="J2313" s="2" t="s">
        <v>170</v>
      </c>
      <c r="K2313" s="2" t="s">
        <v>74</v>
      </c>
      <c r="M2313" t="s">
        <v>3150</v>
      </c>
      <c r="P2313" s="19" t="s">
        <v>2449</v>
      </c>
      <c r="Q2313" s="19" t="s">
        <v>27</v>
      </c>
      <c r="R2313" s="19" t="s">
        <v>138</v>
      </c>
      <c r="V2313" s="19" t="s">
        <v>138</v>
      </c>
      <c r="W2313" s="20">
        <v>24</v>
      </c>
      <c r="X2313" s="65" t="s">
        <v>2010</v>
      </c>
      <c r="Z2313" t="s">
        <v>307</v>
      </c>
      <c r="AB2313" t="s">
        <v>178</v>
      </c>
      <c r="AC2313" t="s">
        <v>3104</v>
      </c>
      <c r="AD2313" s="2" t="s">
        <v>180</v>
      </c>
    </row>
    <row r="2314" spans="1:30" x14ac:dyDescent="0.25">
      <c r="A2314" s="2">
        <v>595</v>
      </c>
      <c r="B2314" t="s">
        <v>3106</v>
      </c>
      <c r="C2314">
        <v>20</v>
      </c>
      <c r="D2314">
        <v>300</v>
      </c>
      <c r="E2314">
        <v>6101</v>
      </c>
      <c r="F2314" t="s">
        <v>273</v>
      </c>
      <c r="G2314" s="2" t="s">
        <v>156</v>
      </c>
      <c r="H2314">
        <v>1</v>
      </c>
      <c r="I2314">
        <v>287.36</v>
      </c>
      <c r="J2314" s="2" t="s">
        <v>170</v>
      </c>
      <c r="K2314" s="2" t="s">
        <v>74</v>
      </c>
      <c r="M2314" t="s">
        <v>3150</v>
      </c>
      <c r="P2314" s="19" t="s">
        <v>2449</v>
      </c>
      <c r="Q2314" s="19" t="s">
        <v>27</v>
      </c>
      <c r="R2314" s="19" t="s">
        <v>138</v>
      </c>
      <c r="V2314" s="19" t="s">
        <v>138</v>
      </c>
      <c r="W2314" s="20">
        <v>24</v>
      </c>
      <c r="X2314" s="65" t="s">
        <v>2010</v>
      </c>
      <c r="Z2314" t="s">
        <v>307</v>
      </c>
      <c r="AB2314" t="s">
        <v>178</v>
      </c>
      <c r="AC2314" t="s">
        <v>3104</v>
      </c>
      <c r="AD2314" s="2" t="s">
        <v>180</v>
      </c>
    </row>
    <row r="2315" spans="1:30" x14ac:dyDescent="0.25">
      <c r="A2315" s="2">
        <v>596</v>
      </c>
      <c r="B2315" t="s">
        <v>3107</v>
      </c>
      <c r="C2315">
        <v>20</v>
      </c>
      <c r="D2315">
        <v>300</v>
      </c>
      <c r="E2315">
        <v>6101</v>
      </c>
      <c r="F2315" t="s">
        <v>273</v>
      </c>
      <c r="G2315" s="2" t="s">
        <v>156</v>
      </c>
      <c r="H2315">
        <v>1</v>
      </c>
      <c r="I2315">
        <v>287.36</v>
      </c>
      <c r="J2315" s="2" t="s">
        <v>170</v>
      </c>
      <c r="K2315" s="2" t="s">
        <v>74</v>
      </c>
      <c r="M2315" t="s">
        <v>3150</v>
      </c>
      <c r="P2315" s="19" t="s">
        <v>2449</v>
      </c>
      <c r="Q2315" s="19" t="s">
        <v>27</v>
      </c>
      <c r="R2315" s="19" t="s">
        <v>138</v>
      </c>
      <c r="V2315" s="19" t="s">
        <v>138</v>
      </c>
      <c r="W2315" s="20">
        <v>24</v>
      </c>
      <c r="X2315" s="65" t="s">
        <v>2010</v>
      </c>
      <c r="Z2315" t="s">
        <v>307</v>
      </c>
      <c r="AB2315" t="s">
        <v>178</v>
      </c>
      <c r="AC2315" t="s">
        <v>3104</v>
      </c>
      <c r="AD2315" s="2" t="s">
        <v>180</v>
      </c>
    </row>
    <row r="2316" spans="1:30" x14ac:dyDescent="0.25">
      <c r="A2316" s="2">
        <v>597</v>
      </c>
      <c r="B2316" t="s">
        <v>3108</v>
      </c>
      <c r="C2316">
        <v>20</v>
      </c>
      <c r="D2316">
        <v>300</v>
      </c>
      <c r="E2316">
        <v>6101</v>
      </c>
      <c r="F2316" t="s">
        <v>273</v>
      </c>
      <c r="G2316" s="2" t="s">
        <v>156</v>
      </c>
      <c r="H2316">
        <v>1</v>
      </c>
      <c r="I2316">
        <v>287.36</v>
      </c>
      <c r="J2316" s="2" t="s">
        <v>170</v>
      </c>
      <c r="K2316" s="2" t="s">
        <v>74</v>
      </c>
      <c r="M2316" t="s">
        <v>3150</v>
      </c>
      <c r="P2316" s="19" t="s">
        <v>2449</v>
      </c>
      <c r="Q2316" s="19" t="s">
        <v>27</v>
      </c>
      <c r="R2316" s="19" t="s">
        <v>138</v>
      </c>
      <c r="V2316" s="19" t="s">
        <v>138</v>
      </c>
      <c r="W2316" s="20">
        <v>24</v>
      </c>
      <c r="X2316" s="65" t="s">
        <v>2010</v>
      </c>
      <c r="Z2316" t="s">
        <v>307</v>
      </c>
      <c r="AB2316" t="s">
        <v>178</v>
      </c>
      <c r="AC2316" t="s">
        <v>3104</v>
      </c>
      <c r="AD2316" s="2" t="s">
        <v>180</v>
      </c>
    </row>
    <row r="2317" spans="1:30" x14ac:dyDescent="0.25">
      <c r="A2317" s="2">
        <v>598</v>
      </c>
      <c r="B2317" t="s">
        <v>3109</v>
      </c>
      <c r="C2317">
        <v>20</v>
      </c>
      <c r="D2317">
        <v>300</v>
      </c>
      <c r="E2317">
        <v>6101</v>
      </c>
      <c r="F2317" t="s">
        <v>273</v>
      </c>
      <c r="G2317" s="2" t="s">
        <v>156</v>
      </c>
      <c r="H2317">
        <v>1</v>
      </c>
      <c r="I2317">
        <v>287.36</v>
      </c>
      <c r="J2317" s="2" t="s">
        <v>170</v>
      </c>
      <c r="K2317" s="2" t="s">
        <v>74</v>
      </c>
      <c r="M2317" t="s">
        <v>3150</v>
      </c>
      <c r="P2317" s="19" t="s">
        <v>2449</v>
      </c>
      <c r="Q2317" s="19" t="s">
        <v>27</v>
      </c>
      <c r="R2317" s="19" t="s">
        <v>138</v>
      </c>
      <c r="V2317" s="19" t="s">
        <v>138</v>
      </c>
      <c r="W2317" s="20">
        <v>24</v>
      </c>
      <c r="X2317" s="65" t="s">
        <v>2010</v>
      </c>
      <c r="Z2317" t="s">
        <v>307</v>
      </c>
      <c r="AB2317" t="s">
        <v>178</v>
      </c>
      <c r="AC2317" t="s">
        <v>3104</v>
      </c>
      <c r="AD2317" s="2" t="s">
        <v>180</v>
      </c>
    </row>
    <row r="2318" spans="1:30" x14ac:dyDescent="0.25">
      <c r="A2318" s="2">
        <v>599</v>
      </c>
      <c r="B2318" t="s">
        <v>3110</v>
      </c>
      <c r="C2318">
        <v>20</v>
      </c>
      <c r="D2318">
        <v>300</v>
      </c>
      <c r="E2318">
        <v>6101</v>
      </c>
      <c r="F2318" t="s">
        <v>273</v>
      </c>
      <c r="G2318" s="2" t="s">
        <v>156</v>
      </c>
      <c r="H2318">
        <v>1</v>
      </c>
      <c r="I2318">
        <v>287.36</v>
      </c>
      <c r="J2318" s="2" t="s">
        <v>170</v>
      </c>
      <c r="K2318" s="2" t="s">
        <v>74</v>
      </c>
      <c r="M2318" t="s">
        <v>3150</v>
      </c>
      <c r="P2318" s="19" t="s">
        <v>2449</v>
      </c>
      <c r="Q2318" s="19" t="s">
        <v>27</v>
      </c>
      <c r="R2318" s="19" t="s">
        <v>138</v>
      </c>
      <c r="V2318" s="19" t="s">
        <v>138</v>
      </c>
      <c r="W2318" s="20">
        <v>24</v>
      </c>
      <c r="X2318" s="65" t="s">
        <v>2010</v>
      </c>
      <c r="Z2318" t="s">
        <v>307</v>
      </c>
      <c r="AB2318" t="s">
        <v>178</v>
      </c>
      <c r="AC2318" t="s">
        <v>3104</v>
      </c>
      <c r="AD2318" s="2" t="s">
        <v>180</v>
      </c>
    </row>
    <row r="2319" spans="1:30" x14ac:dyDescent="0.25">
      <c r="A2319" s="2">
        <v>600</v>
      </c>
      <c r="B2319" t="s">
        <v>3111</v>
      </c>
      <c r="C2319">
        <v>20</v>
      </c>
      <c r="D2319">
        <v>300</v>
      </c>
      <c r="E2319">
        <v>6101</v>
      </c>
      <c r="F2319" t="s">
        <v>273</v>
      </c>
      <c r="G2319" s="2" t="s">
        <v>156</v>
      </c>
      <c r="H2319">
        <v>1</v>
      </c>
      <c r="I2319">
        <v>287.36</v>
      </c>
      <c r="J2319" s="2" t="s">
        <v>170</v>
      </c>
      <c r="K2319" s="2" t="s">
        <v>74</v>
      </c>
      <c r="M2319" t="s">
        <v>3150</v>
      </c>
      <c r="P2319" s="19" t="s">
        <v>2449</v>
      </c>
      <c r="Q2319" s="19" t="s">
        <v>27</v>
      </c>
      <c r="R2319" s="19" t="s">
        <v>138</v>
      </c>
      <c r="V2319" s="19" t="s">
        <v>138</v>
      </c>
      <c r="W2319" s="20">
        <v>24</v>
      </c>
      <c r="X2319" s="65" t="s">
        <v>2010</v>
      </c>
      <c r="Z2319" t="s">
        <v>307</v>
      </c>
      <c r="AB2319" t="s">
        <v>178</v>
      </c>
      <c r="AC2319" t="s">
        <v>3104</v>
      </c>
      <c r="AD2319" s="2" t="s">
        <v>180</v>
      </c>
    </row>
    <row r="2320" spans="1:30" x14ac:dyDescent="0.25">
      <c r="A2320" s="2">
        <v>601</v>
      </c>
      <c r="B2320" t="s">
        <v>3112</v>
      </c>
      <c r="C2320">
        <v>20</v>
      </c>
      <c r="D2320">
        <v>300</v>
      </c>
      <c r="E2320">
        <v>6101</v>
      </c>
      <c r="F2320" t="s">
        <v>273</v>
      </c>
      <c r="G2320" s="2" t="s">
        <v>156</v>
      </c>
      <c r="H2320">
        <v>1</v>
      </c>
      <c r="I2320">
        <v>287.36</v>
      </c>
      <c r="J2320" s="2" t="s">
        <v>170</v>
      </c>
      <c r="K2320" s="2" t="s">
        <v>74</v>
      </c>
      <c r="M2320" t="s">
        <v>3150</v>
      </c>
      <c r="P2320" s="19" t="s">
        <v>2449</v>
      </c>
      <c r="Q2320" s="19" t="s">
        <v>27</v>
      </c>
      <c r="R2320" s="19" t="s">
        <v>138</v>
      </c>
      <c r="V2320" s="19" t="s">
        <v>138</v>
      </c>
      <c r="W2320" s="20">
        <v>24</v>
      </c>
      <c r="X2320" s="65" t="s">
        <v>2010</v>
      </c>
      <c r="Z2320" t="s">
        <v>307</v>
      </c>
      <c r="AB2320" t="s">
        <v>178</v>
      </c>
      <c r="AC2320" t="s">
        <v>3104</v>
      </c>
      <c r="AD2320" s="2" t="s">
        <v>180</v>
      </c>
    </row>
    <row r="2321" spans="1:30" x14ac:dyDescent="0.25">
      <c r="A2321" s="2">
        <v>602</v>
      </c>
      <c r="B2321" t="s">
        <v>3113</v>
      </c>
      <c r="C2321">
        <v>20</v>
      </c>
      <c r="D2321">
        <v>300</v>
      </c>
      <c r="E2321">
        <v>6101</v>
      </c>
      <c r="F2321" t="s">
        <v>273</v>
      </c>
      <c r="G2321" s="2" t="s">
        <v>156</v>
      </c>
      <c r="H2321">
        <v>1</v>
      </c>
      <c r="I2321">
        <v>287.36</v>
      </c>
      <c r="J2321" s="2" t="s">
        <v>170</v>
      </c>
      <c r="K2321" s="2" t="s">
        <v>74</v>
      </c>
      <c r="M2321" t="s">
        <v>3150</v>
      </c>
      <c r="P2321" s="19" t="s">
        <v>2449</v>
      </c>
      <c r="Q2321" s="19" t="s">
        <v>27</v>
      </c>
      <c r="R2321" s="19" t="s">
        <v>138</v>
      </c>
      <c r="V2321" s="19" t="s">
        <v>138</v>
      </c>
      <c r="W2321" s="20">
        <v>24</v>
      </c>
      <c r="X2321" s="65" t="s">
        <v>2010</v>
      </c>
      <c r="Z2321" t="s">
        <v>307</v>
      </c>
      <c r="AB2321" t="s">
        <v>178</v>
      </c>
      <c r="AC2321" t="s">
        <v>3114</v>
      </c>
      <c r="AD2321" s="2" t="s">
        <v>180</v>
      </c>
    </row>
    <row r="2322" spans="1:30" x14ac:dyDescent="0.25">
      <c r="A2322" s="2">
        <v>603</v>
      </c>
      <c r="B2322" t="s">
        <v>3116</v>
      </c>
      <c r="C2322">
        <v>20</v>
      </c>
      <c r="D2322">
        <v>300</v>
      </c>
      <c r="E2322">
        <v>6101</v>
      </c>
      <c r="F2322" t="s">
        <v>273</v>
      </c>
      <c r="G2322" s="2" t="s">
        <v>156</v>
      </c>
      <c r="H2322">
        <v>1</v>
      </c>
      <c r="I2322">
        <v>287.36</v>
      </c>
      <c r="J2322" s="2" t="s">
        <v>170</v>
      </c>
      <c r="K2322" s="2" t="s">
        <v>74</v>
      </c>
      <c r="M2322" t="s">
        <v>3150</v>
      </c>
      <c r="P2322" s="19" t="s">
        <v>2449</v>
      </c>
      <c r="Q2322" s="19" t="s">
        <v>27</v>
      </c>
      <c r="R2322" s="19" t="s">
        <v>138</v>
      </c>
      <c r="V2322" s="19" t="s">
        <v>138</v>
      </c>
      <c r="W2322" s="20">
        <v>24</v>
      </c>
      <c r="X2322" s="65" t="s">
        <v>2010</v>
      </c>
      <c r="Z2322" t="s">
        <v>307</v>
      </c>
      <c r="AB2322" t="s">
        <v>178</v>
      </c>
      <c r="AC2322" t="s">
        <v>3114</v>
      </c>
      <c r="AD2322" s="2" t="s">
        <v>180</v>
      </c>
    </row>
    <row r="2323" spans="1:30" x14ac:dyDescent="0.25">
      <c r="A2323" s="2">
        <v>604</v>
      </c>
      <c r="B2323" t="s">
        <v>3117</v>
      </c>
      <c r="C2323">
        <v>20</v>
      </c>
      <c r="D2323">
        <v>300</v>
      </c>
      <c r="E2323">
        <v>6101</v>
      </c>
      <c r="F2323" t="s">
        <v>273</v>
      </c>
      <c r="G2323" s="2" t="s">
        <v>156</v>
      </c>
      <c r="H2323">
        <v>1</v>
      </c>
      <c r="I2323">
        <v>287.36</v>
      </c>
      <c r="J2323" s="2" t="s">
        <v>170</v>
      </c>
      <c r="K2323" s="2" t="s">
        <v>74</v>
      </c>
      <c r="M2323" t="s">
        <v>3150</v>
      </c>
      <c r="P2323" s="19" t="s">
        <v>2449</v>
      </c>
      <c r="Q2323" s="19" t="s">
        <v>27</v>
      </c>
      <c r="R2323" s="19" t="s">
        <v>138</v>
      </c>
      <c r="V2323" s="19" t="s">
        <v>138</v>
      </c>
      <c r="W2323" s="20">
        <v>24</v>
      </c>
      <c r="X2323" s="65" t="s">
        <v>2010</v>
      </c>
      <c r="Z2323" t="s">
        <v>307</v>
      </c>
      <c r="AB2323" t="s">
        <v>178</v>
      </c>
      <c r="AC2323" t="s">
        <v>3114</v>
      </c>
      <c r="AD2323" s="2" t="s">
        <v>180</v>
      </c>
    </row>
    <row r="2324" spans="1:30" x14ac:dyDescent="0.25">
      <c r="A2324" s="2">
        <v>605</v>
      </c>
      <c r="B2324" t="s">
        <v>3118</v>
      </c>
      <c r="C2324">
        <v>20</v>
      </c>
      <c r="D2324">
        <v>300</v>
      </c>
      <c r="E2324">
        <v>6101</v>
      </c>
      <c r="F2324" t="s">
        <v>273</v>
      </c>
      <c r="G2324" s="2" t="s">
        <v>156</v>
      </c>
      <c r="H2324">
        <v>1</v>
      </c>
      <c r="I2324">
        <v>287.36</v>
      </c>
      <c r="J2324" s="2" t="s">
        <v>170</v>
      </c>
      <c r="K2324" s="2" t="s">
        <v>74</v>
      </c>
      <c r="M2324" t="s">
        <v>3150</v>
      </c>
      <c r="P2324" s="19" t="s">
        <v>2449</v>
      </c>
      <c r="Q2324" s="19" t="s">
        <v>27</v>
      </c>
      <c r="R2324" s="19" t="s">
        <v>138</v>
      </c>
      <c r="V2324" s="19" t="s">
        <v>138</v>
      </c>
      <c r="W2324" s="20">
        <v>24</v>
      </c>
      <c r="X2324" s="65" t="s">
        <v>2010</v>
      </c>
      <c r="Z2324" t="s">
        <v>307</v>
      </c>
      <c r="AB2324" t="s">
        <v>178</v>
      </c>
      <c r="AC2324" t="s">
        <v>3114</v>
      </c>
      <c r="AD2324" s="2" t="s">
        <v>180</v>
      </c>
    </row>
    <row r="2325" spans="1:30" x14ac:dyDescent="0.25">
      <c r="A2325" s="2">
        <v>606</v>
      </c>
      <c r="B2325" t="s">
        <v>3119</v>
      </c>
      <c r="C2325">
        <v>20</v>
      </c>
      <c r="D2325">
        <v>300</v>
      </c>
      <c r="E2325">
        <v>6101</v>
      </c>
      <c r="F2325" t="s">
        <v>273</v>
      </c>
      <c r="G2325" s="2" t="s">
        <v>156</v>
      </c>
      <c r="H2325">
        <v>1</v>
      </c>
      <c r="I2325">
        <v>287.36</v>
      </c>
      <c r="J2325" s="2" t="s">
        <v>170</v>
      </c>
      <c r="K2325" s="2" t="s">
        <v>74</v>
      </c>
      <c r="M2325" t="s">
        <v>3150</v>
      </c>
      <c r="P2325" s="19" t="s">
        <v>2449</v>
      </c>
      <c r="Q2325" s="19" t="s">
        <v>27</v>
      </c>
      <c r="R2325" s="19" t="s">
        <v>138</v>
      </c>
      <c r="V2325" s="19" t="s">
        <v>138</v>
      </c>
      <c r="W2325" s="20">
        <v>24</v>
      </c>
      <c r="X2325" s="65" t="s">
        <v>2010</v>
      </c>
      <c r="Z2325" t="s">
        <v>307</v>
      </c>
      <c r="AB2325" t="s">
        <v>178</v>
      </c>
      <c r="AC2325" t="s">
        <v>3114</v>
      </c>
      <c r="AD2325" s="2" t="s">
        <v>180</v>
      </c>
    </row>
    <row r="2326" spans="1:30" x14ac:dyDescent="0.25">
      <c r="A2326" s="2">
        <v>607</v>
      </c>
      <c r="B2326" t="s">
        <v>3120</v>
      </c>
      <c r="C2326">
        <v>20</v>
      </c>
      <c r="D2326">
        <v>300</v>
      </c>
      <c r="E2326">
        <v>6101</v>
      </c>
      <c r="F2326" t="s">
        <v>273</v>
      </c>
      <c r="G2326" s="2" t="s">
        <v>156</v>
      </c>
      <c r="H2326">
        <v>1</v>
      </c>
      <c r="I2326">
        <v>287.36</v>
      </c>
      <c r="J2326" s="2" t="s">
        <v>170</v>
      </c>
      <c r="K2326" s="2" t="s">
        <v>74</v>
      </c>
      <c r="M2326" t="s">
        <v>3150</v>
      </c>
      <c r="P2326" s="19" t="s">
        <v>2449</v>
      </c>
      <c r="Q2326" s="19" t="s">
        <v>27</v>
      </c>
      <c r="R2326" s="19" t="s">
        <v>138</v>
      </c>
      <c r="V2326" s="19" t="s">
        <v>138</v>
      </c>
      <c r="W2326" s="20">
        <v>24</v>
      </c>
      <c r="X2326" s="65" t="s">
        <v>2010</v>
      </c>
      <c r="Z2326" t="s">
        <v>307</v>
      </c>
      <c r="AB2326" t="s">
        <v>178</v>
      </c>
      <c r="AC2326" t="s">
        <v>3114</v>
      </c>
      <c r="AD2326" s="2" t="s">
        <v>180</v>
      </c>
    </row>
    <row r="2327" spans="1:30" x14ac:dyDescent="0.25">
      <c r="A2327" s="2">
        <v>608</v>
      </c>
      <c r="B2327" t="s">
        <v>3121</v>
      </c>
      <c r="C2327">
        <v>20</v>
      </c>
      <c r="D2327">
        <v>300</v>
      </c>
      <c r="E2327">
        <v>6101</v>
      </c>
      <c r="F2327" t="s">
        <v>273</v>
      </c>
      <c r="G2327" s="2" t="s">
        <v>156</v>
      </c>
      <c r="H2327">
        <v>1</v>
      </c>
      <c r="I2327">
        <v>287.36</v>
      </c>
      <c r="J2327" s="2" t="s">
        <v>170</v>
      </c>
      <c r="K2327" s="2" t="s">
        <v>74</v>
      </c>
      <c r="M2327" t="s">
        <v>3150</v>
      </c>
      <c r="P2327" s="19" t="s">
        <v>2449</v>
      </c>
      <c r="Q2327" s="19" t="s">
        <v>27</v>
      </c>
      <c r="R2327" s="19" t="s">
        <v>138</v>
      </c>
      <c r="V2327" s="19" t="s">
        <v>138</v>
      </c>
      <c r="W2327" s="20">
        <v>24</v>
      </c>
      <c r="X2327" s="65" t="s">
        <v>2010</v>
      </c>
      <c r="Z2327" t="s">
        <v>307</v>
      </c>
      <c r="AB2327" t="s">
        <v>178</v>
      </c>
      <c r="AC2327" t="s">
        <v>3114</v>
      </c>
      <c r="AD2327" s="2" t="s">
        <v>180</v>
      </c>
    </row>
    <row r="2328" spans="1:30" x14ac:dyDescent="0.25">
      <c r="A2328" s="2">
        <v>609</v>
      </c>
      <c r="B2328" t="s">
        <v>3122</v>
      </c>
      <c r="C2328">
        <v>20</v>
      </c>
      <c r="D2328">
        <v>300</v>
      </c>
      <c r="E2328">
        <v>6101</v>
      </c>
      <c r="F2328" t="s">
        <v>273</v>
      </c>
      <c r="G2328" s="2" t="s">
        <v>156</v>
      </c>
      <c r="H2328">
        <v>1</v>
      </c>
      <c r="I2328">
        <v>287.36</v>
      </c>
      <c r="J2328" s="2" t="s">
        <v>170</v>
      </c>
      <c r="K2328" s="2" t="s">
        <v>74</v>
      </c>
      <c r="M2328" t="s">
        <v>3150</v>
      </c>
      <c r="P2328" s="19" t="s">
        <v>2449</v>
      </c>
      <c r="Q2328" s="19" t="s">
        <v>27</v>
      </c>
      <c r="R2328" s="19" t="s">
        <v>138</v>
      </c>
      <c r="V2328" s="19" t="s">
        <v>138</v>
      </c>
      <c r="W2328" s="20">
        <v>24</v>
      </c>
      <c r="X2328" s="65" t="s">
        <v>2010</v>
      </c>
      <c r="Z2328" t="s">
        <v>307</v>
      </c>
      <c r="AB2328" t="s">
        <v>178</v>
      </c>
      <c r="AC2328" t="s">
        <v>3114</v>
      </c>
      <c r="AD2328" s="2" t="s">
        <v>180</v>
      </c>
    </row>
    <row r="2329" spans="1:30" x14ac:dyDescent="0.25">
      <c r="A2329" s="2">
        <v>610</v>
      </c>
      <c r="B2329" t="s">
        <v>3123</v>
      </c>
      <c r="C2329">
        <v>20</v>
      </c>
      <c r="D2329">
        <v>300</v>
      </c>
      <c r="E2329">
        <v>6101</v>
      </c>
      <c r="F2329" t="s">
        <v>273</v>
      </c>
      <c r="G2329" s="2" t="s">
        <v>156</v>
      </c>
      <c r="H2329">
        <v>1</v>
      </c>
      <c r="I2329">
        <v>287.36</v>
      </c>
      <c r="J2329" s="2" t="s">
        <v>170</v>
      </c>
      <c r="K2329" s="2" t="s">
        <v>74</v>
      </c>
      <c r="M2329" t="s">
        <v>3150</v>
      </c>
      <c r="P2329" s="19" t="s">
        <v>2449</v>
      </c>
      <c r="Q2329" s="19" t="s">
        <v>27</v>
      </c>
      <c r="R2329" s="19" t="s">
        <v>138</v>
      </c>
      <c r="V2329" s="19" t="s">
        <v>138</v>
      </c>
      <c r="W2329" s="20">
        <v>24</v>
      </c>
      <c r="X2329" s="65" t="s">
        <v>2010</v>
      </c>
      <c r="Z2329" t="s">
        <v>307</v>
      </c>
      <c r="AB2329" t="s">
        <v>178</v>
      </c>
      <c r="AC2329" t="s">
        <v>3124</v>
      </c>
      <c r="AD2329" s="2" t="s">
        <v>180</v>
      </c>
    </row>
    <row r="2330" spans="1:30" x14ac:dyDescent="0.25">
      <c r="A2330" s="2">
        <v>611</v>
      </c>
      <c r="B2330" t="s">
        <v>3126</v>
      </c>
      <c r="C2330">
        <v>20</v>
      </c>
      <c r="D2330">
        <v>300</v>
      </c>
      <c r="E2330">
        <v>6101</v>
      </c>
      <c r="F2330" t="s">
        <v>273</v>
      </c>
      <c r="G2330" s="2" t="s">
        <v>156</v>
      </c>
      <c r="H2330">
        <v>1</v>
      </c>
      <c r="I2330">
        <v>287.36</v>
      </c>
      <c r="J2330" s="2" t="s">
        <v>170</v>
      </c>
      <c r="K2330" s="2" t="s">
        <v>74</v>
      </c>
      <c r="M2330" t="s">
        <v>3150</v>
      </c>
      <c r="P2330" s="19" t="s">
        <v>2449</v>
      </c>
      <c r="Q2330" s="19" t="s">
        <v>27</v>
      </c>
      <c r="R2330" s="19" t="s">
        <v>138</v>
      </c>
      <c r="V2330" s="19" t="s">
        <v>138</v>
      </c>
      <c r="W2330" s="20">
        <v>24</v>
      </c>
      <c r="X2330" s="65" t="s">
        <v>2010</v>
      </c>
      <c r="Z2330" t="s">
        <v>307</v>
      </c>
      <c r="AB2330" t="s">
        <v>178</v>
      </c>
      <c r="AC2330" t="s">
        <v>3124</v>
      </c>
      <c r="AD2330" s="2" t="s">
        <v>180</v>
      </c>
    </row>
    <row r="2331" spans="1:30" x14ac:dyDescent="0.25">
      <c r="A2331" s="2">
        <v>612</v>
      </c>
      <c r="B2331" t="s">
        <v>3127</v>
      </c>
      <c r="C2331">
        <v>20</v>
      </c>
      <c r="D2331">
        <v>300</v>
      </c>
      <c r="E2331">
        <v>6101</v>
      </c>
      <c r="F2331" t="s">
        <v>273</v>
      </c>
      <c r="G2331" s="2" t="s">
        <v>156</v>
      </c>
      <c r="H2331">
        <v>1</v>
      </c>
      <c r="I2331">
        <v>287.36</v>
      </c>
      <c r="J2331" s="2" t="s">
        <v>170</v>
      </c>
      <c r="K2331" s="2" t="s">
        <v>74</v>
      </c>
      <c r="M2331" t="s">
        <v>3150</v>
      </c>
      <c r="P2331" s="19" t="s">
        <v>2449</v>
      </c>
      <c r="Q2331" s="19" t="s">
        <v>27</v>
      </c>
      <c r="R2331" s="19" t="s">
        <v>138</v>
      </c>
      <c r="V2331" s="19" t="s">
        <v>138</v>
      </c>
      <c r="W2331" s="20">
        <v>24</v>
      </c>
      <c r="X2331" s="65" t="s">
        <v>2010</v>
      </c>
      <c r="Z2331" t="s">
        <v>307</v>
      </c>
      <c r="AB2331" t="s">
        <v>178</v>
      </c>
      <c r="AC2331" t="s">
        <v>3124</v>
      </c>
      <c r="AD2331" s="2" t="s">
        <v>180</v>
      </c>
    </row>
    <row r="2332" spans="1:30" x14ac:dyDescent="0.25">
      <c r="A2332" s="2">
        <v>613</v>
      </c>
      <c r="B2332" t="s">
        <v>3128</v>
      </c>
      <c r="C2332">
        <v>20</v>
      </c>
      <c r="D2332">
        <v>300</v>
      </c>
      <c r="E2332">
        <v>6101</v>
      </c>
      <c r="F2332" t="s">
        <v>273</v>
      </c>
      <c r="G2332" s="2" t="s">
        <v>156</v>
      </c>
      <c r="H2332">
        <v>1</v>
      </c>
      <c r="I2332">
        <v>287.36</v>
      </c>
      <c r="J2332" s="2" t="s">
        <v>170</v>
      </c>
      <c r="K2332" s="2" t="s">
        <v>74</v>
      </c>
      <c r="M2332" t="s">
        <v>3150</v>
      </c>
      <c r="P2332" s="19" t="s">
        <v>2449</v>
      </c>
      <c r="Q2332" s="19" t="s">
        <v>27</v>
      </c>
      <c r="R2332" s="19" t="s">
        <v>138</v>
      </c>
      <c r="V2332" s="19" t="s">
        <v>138</v>
      </c>
      <c r="W2332" s="20">
        <v>24</v>
      </c>
      <c r="X2332" s="65" t="s">
        <v>2010</v>
      </c>
      <c r="Z2332" t="s">
        <v>307</v>
      </c>
      <c r="AB2332" t="s">
        <v>178</v>
      </c>
      <c r="AC2332" t="s">
        <v>3124</v>
      </c>
      <c r="AD2332" s="2" t="s">
        <v>180</v>
      </c>
    </row>
    <row r="2333" spans="1:30" x14ac:dyDescent="0.25">
      <c r="A2333" s="2">
        <v>614</v>
      </c>
      <c r="B2333" t="s">
        <v>3129</v>
      </c>
      <c r="C2333">
        <v>20</v>
      </c>
      <c r="D2333">
        <v>300</v>
      </c>
      <c r="E2333">
        <v>6101</v>
      </c>
      <c r="F2333" t="s">
        <v>273</v>
      </c>
      <c r="G2333" s="2" t="s">
        <v>156</v>
      </c>
      <c r="H2333">
        <v>1</v>
      </c>
      <c r="I2333">
        <v>287.36</v>
      </c>
      <c r="J2333" s="2" t="s">
        <v>170</v>
      </c>
      <c r="K2333" s="2" t="s">
        <v>74</v>
      </c>
      <c r="M2333" t="s">
        <v>3150</v>
      </c>
      <c r="P2333" s="19" t="s">
        <v>2449</v>
      </c>
      <c r="Q2333" s="19" t="s">
        <v>27</v>
      </c>
      <c r="R2333" s="19" t="s">
        <v>138</v>
      </c>
      <c r="V2333" s="19" t="s">
        <v>138</v>
      </c>
      <c r="W2333" s="20">
        <v>24</v>
      </c>
      <c r="X2333" s="65" t="s">
        <v>2010</v>
      </c>
      <c r="Z2333" t="s">
        <v>307</v>
      </c>
      <c r="AB2333" t="s">
        <v>178</v>
      </c>
      <c r="AC2333" t="s">
        <v>3124</v>
      </c>
      <c r="AD2333" s="2" t="s">
        <v>180</v>
      </c>
    </row>
    <row r="2334" spans="1:30" x14ac:dyDescent="0.25">
      <c r="A2334" s="2">
        <v>615</v>
      </c>
      <c r="B2334" t="s">
        <v>3130</v>
      </c>
      <c r="C2334">
        <v>20</v>
      </c>
      <c r="D2334">
        <v>300</v>
      </c>
      <c r="E2334">
        <v>6101</v>
      </c>
      <c r="F2334" t="s">
        <v>273</v>
      </c>
      <c r="G2334" s="2" t="s">
        <v>156</v>
      </c>
      <c r="H2334">
        <v>1</v>
      </c>
      <c r="I2334">
        <v>287.36</v>
      </c>
      <c r="J2334" s="2" t="s">
        <v>170</v>
      </c>
      <c r="K2334" s="2" t="s">
        <v>74</v>
      </c>
      <c r="M2334" t="s">
        <v>3150</v>
      </c>
      <c r="P2334" s="19" t="s">
        <v>2449</v>
      </c>
      <c r="Q2334" s="19" t="s">
        <v>27</v>
      </c>
      <c r="R2334" s="19" t="s">
        <v>138</v>
      </c>
      <c r="V2334" s="19" t="s">
        <v>138</v>
      </c>
      <c r="W2334" s="20">
        <v>24</v>
      </c>
      <c r="X2334" s="65" t="s">
        <v>2010</v>
      </c>
      <c r="Z2334" t="s">
        <v>307</v>
      </c>
      <c r="AB2334" t="s">
        <v>178</v>
      </c>
      <c r="AC2334" t="s">
        <v>3124</v>
      </c>
      <c r="AD2334" s="2" t="s">
        <v>180</v>
      </c>
    </row>
    <row r="2335" spans="1:30" x14ac:dyDescent="0.25">
      <c r="A2335" s="2">
        <v>616</v>
      </c>
      <c r="B2335" t="s">
        <v>3131</v>
      </c>
      <c r="C2335">
        <v>32</v>
      </c>
      <c r="D2335">
        <v>550</v>
      </c>
      <c r="E2335">
        <v>1434</v>
      </c>
      <c r="F2335" t="s">
        <v>273</v>
      </c>
      <c r="G2335" s="2" t="s">
        <v>156</v>
      </c>
      <c r="H2335">
        <v>1</v>
      </c>
      <c r="I2335">
        <v>198.12</v>
      </c>
      <c r="J2335" s="2" t="s">
        <v>170</v>
      </c>
      <c r="K2335" s="2" t="s">
        <v>74</v>
      </c>
      <c r="M2335" t="s">
        <v>3150</v>
      </c>
      <c r="P2335" s="19" t="s">
        <v>2449</v>
      </c>
      <c r="Q2335" s="19" t="s">
        <v>27</v>
      </c>
      <c r="S2335" s="19" t="s">
        <v>138</v>
      </c>
      <c r="W2335" s="20">
        <v>24</v>
      </c>
      <c r="X2335" s="65" t="s">
        <v>2010</v>
      </c>
      <c r="Z2335" t="s">
        <v>307</v>
      </c>
      <c r="AB2335" t="s">
        <v>178</v>
      </c>
      <c r="AC2335" t="s">
        <v>3133</v>
      </c>
      <c r="AD2335" s="2" t="s">
        <v>3134</v>
      </c>
    </row>
    <row r="2336" spans="1:30" x14ac:dyDescent="0.25">
      <c r="A2336" s="2">
        <v>617</v>
      </c>
      <c r="B2336" t="s">
        <v>3136</v>
      </c>
      <c r="C2336">
        <v>32</v>
      </c>
      <c r="D2336">
        <v>550</v>
      </c>
      <c r="E2336">
        <v>1434</v>
      </c>
      <c r="F2336" t="s">
        <v>273</v>
      </c>
      <c r="G2336" s="2" t="s">
        <v>156</v>
      </c>
      <c r="H2336">
        <v>1</v>
      </c>
      <c r="I2336">
        <v>198.12</v>
      </c>
      <c r="J2336" s="2" t="s">
        <v>170</v>
      </c>
      <c r="K2336" s="2" t="s">
        <v>74</v>
      </c>
      <c r="M2336" t="s">
        <v>3150</v>
      </c>
      <c r="P2336" s="19" t="s">
        <v>2449</v>
      </c>
      <c r="Q2336" s="19" t="s">
        <v>27</v>
      </c>
      <c r="S2336" s="19" t="s">
        <v>138</v>
      </c>
      <c r="W2336" s="20">
        <v>24</v>
      </c>
      <c r="X2336" s="65" t="s">
        <v>2010</v>
      </c>
      <c r="Z2336" t="s">
        <v>307</v>
      </c>
      <c r="AB2336" t="s">
        <v>178</v>
      </c>
      <c r="AC2336" t="s">
        <v>3133</v>
      </c>
      <c r="AD2336" s="2" t="s">
        <v>3134</v>
      </c>
    </row>
    <row r="2337" spans="1:30" x14ac:dyDescent="0.25">
      <c r="A2337" s="2">
        <v>618</v>
      </c>
      <c r="B2337" t="s">
        <v>3137</v>
      </c>
      <c r="C2337">
        <v>32</v>
      </c>
      <c r="D2337">
        <v>550</v>
      </c>
      <c r="E2337">
        <v>7660</v>
      </c>
      <c r="F2337" t="s">
        <v>273</v>
      </c>
      <c r="G2337" s="2" t="s">
        <v>156</v>
      </c>
      <c r="H2337">
        <v>2</v>
      </c>
      <c r="I2337">
        <v>2116.61</v>
      </c>
      <c r="J2337" s="2" t="s">
        <v>170</v>
      </c>
      <c r="K2337" s="2" t="s">
        <v>74</v>
      </c>
      <c r="M2337" t="s">
        <v>3150</v>
      </c>
      <c r="P2337" s="19" t="s">
        <v>2449</v>
      </c>
      <c r="Q2337" s="19" t="s">
        <v>27</v>
      </c>
      <c r="R2337" s="19" t="s">
        <v>138</v>
      </c>
      <c r="W2337" s="20">
        <v>24</v>
      </c>
      <c r="X2337" s="65" t="s">
        <v>2010</v>
      </c>
      <c r="Z2337" t="s">
        <v>307</v>
      </c>
      <c r="AB2337" t="s">
        <v>178</v>
      </c>
      <c r="AC2337" t="s">
        <v>3138</v>
      </c>
      <c r="AD2337" s="2" t="s">
        <v>180</v>
      </c>
    </row>
    <row r="2338" spans="1:30" x14ac:dyDescent="0.25">
      <c r="A2338" s="2">
        <v>619</v>
      </c>
      <c r="B2338" t="s">
        <v>3140</v>
      </c>
      <c r="C2338">
        <v>32</v>
      </c>
      <c r="D2338">
        <v>550</v>
      </c>
      <c r="E2338">
        <v>7660</v>
      </c>
      <c r="F2338" t="s">
        <v>273</v>
      </c>
      <c r="G2338" s="2" t="s">
        <v>156</v>
      </c>
      <c r="H2338">
        <v>2</v>
      </c>
      <c r="I2338">
        <v>2116.61</v>
      </c>
      <c r="J2338" s="2" t="s">
        <v>170</v>
      </c>
      <c r="K2338" s="2" t="s">
        <v>74</v>
      </c>
      <c r="M2338" t="s">
        <v>3150</v>
      </c>
      <c r="P2338" s="19" t="s">
        <v>2449</v>
      </c>
      <c r="Q2338" s="19" t="s">
        <v>27</v>
      </c>
      <c r="R2338" s="19" t="s">
        <v>138</v>
      </c>
      <c r="W2338" s="20">
        <v>24</v>
      </c>
      <c r="X2338" s="65" t="s">
        <v>2010</v>
      </c>
      <c r="Z2338" t="s">
        <v>307</v>
      </c>
      <c r="AB2338" t="s">
        <v>178</v>
      </c>
      <c r="AC2338" t="s">
        <v>3138</v>
      </c>
      <c r="AD2338" s="2" t="s">
        <v>180</v>
      </c>
    </row>
    <row r="2339" spans="1:30" x14ac:dyDescent="0.25">
      <c r="A2339" s="2">
        <v>620</v>
      </c>
      <c r="B2339" t="s">
        <v>3141</v>
      </c>
      <c r="C2339">
        <v>32</v>
      </c>
      <c r="D2339">
        <v>550</v>
      </c>
      <c r="E2339">
        <v>7896</v>
      </c>
      <c r="F2339" t="s">
        <v>273</v>
      </c>
      <c r="G2339" s="2" t="s">
        <v>156</v>
      </c>
      <c r="H2339">
        <v>1</v>
      </c>
      <c r="I2339">
        <v>1090.9100000000001</v>
      </c>
      <c r="J2339" s="2" t="s">
        <v>170</v>
      </c>
      <c r="K2339" s="2" t="s">
        <v>74</v>
      </c>
      <c r="M2339" t="s">
        <v>3150</v>
      </c>
      <c r="P2339" s="19" t="s">
        <v>2449</v>
      </c>
      <c r="Q2339" s="19" t="s">
        <v>27</v>
      </c>
      <c r="R2339" s="19" t="s">
        <v>138</v>
      </c>
      <c r="V2339" s="19" t="s">
        <v>138</v>
      </c>
      <c r="W2339" s="20">
        <v>24</v>
      </c>
      <c r="X2339" s="65" t="s">
        <v>2010</v>
      </c>
      <c r="Z2339" t="s">
        <v>307</v>
      </c>
      <c r="AB2339" t="s">
        <v>178</v>
      </c>
      <c r="AC2339" t="s">
        <v>3142</v>
      </c>
      <c r="AD2339" s="2" t="s">
        <v>180</v>
      </c>
    </row>
    <row r="2340" spans="1:30" x14ac:dyDescent="0.25">
      <c r="A2340" s="2">
        <v>621</v>
      </c>
      <c r="B2340" t="s">
        <v>3144</v>
      </c>
      <c r="C2340">
        <v>32</v>
      </c>
      <c r="D2340">
        <v>550</v>
      </c>
      <c r="E2340">
        <v>7896</v>
      </c>
      <c r="F2340" t="s">
        <v>273</v>
      </c>
      <c r="G2340" s="2" t="s">
        <v>156</v>
      </c>
      <c r="H2340">
        <v>1</v>
      </c>
      <c r="I2340">
        <v>1090.9100000000001</v>
      </c>
      <c r="J2340" s="2" t="s">
        <v>170</v>
      </c>
      <c r="K2340" s="2" t="s">
        <v>74</v>
      </c>
      <c r="M2340" t="s">
        <v>3150</v>
      </c>
      <c r="P2340" s="19" t="s">
        <v>2449</v>
      </c>
      <c r="Q2340" s="19" t="s">
        <v>27</v>
      </c>
      <c r="R2340" s="19" t="s">
        <v>138</v>
      </c>
      <c r="V2340" s="19" t="s">
        <v>138</v>
      </c>
      <c r="W2340" s="20">
        <v>24</v>
      </c>
      <c r="X2340" s="65" t="s">
        <v>2010</v>
      </c>
      <c r="Z2340" t="s">
        <v>307</v>
      </c>
      <c r="AB2340" t="s">
        <v>178</v>
      </c>
      <c r="AC2340" t="s">
        <v>3142</v>
      </c>
      <c r="AD2340" s="2" t="s">
        <v>180</v>
      </c>
    </row>
    <row r="2341" spans="1:30" x14ac:dyDescent="0.25">
      <c r="A2341" s="2">
        <v>622</v>
      </c>
      <c r="B2341" t="s">
        <v>3145</v>
      </c>
      <c r="C2341">
        <v>32</v>
      </c>
      <c r="D2341">
        <v>550</v>
      </c>
      <c r="E2341">
        <v>848</v>
      </c>
      <c r="F2341" t="s">
        <v>273</v>
      </c>
      <c r="G2341" s="2" t="s">
        <v>156</v>
      </c>
      <c r="H2341">
        <v>1</v>
      </c>
      <c r="I2341">
        <v>117.16</v>
      </c>
      <c r="J2341" s="2" t="s">
        <v>170</v>
      </c>
      <c r="K2341" s="2" t="s">
        <v>74</v>
      </c>
      <c r="M2341" t="s">
        <v>3150</v>
      </c>
      <c r="P2341" s="19" t="s">
        <v>2449</v>
      </c>
      <c r="Q2341" s="19" t="s">
        <v>27</v>
      </c>
      <c r="R2341" s="19" t="s">
        <v>138</v>
      </c>
      <c r="V2341" s="19" t="s">
        <v>138</v>
      </c>
      <c r="W2341" s="20">
        <v>24</v>
      </c>
      <c r="X2341" s="65" t="s">
        <v>2010</v>
      </c>
      <c r="Z2341" t="s">
        <v>307</v>
      </c>
      <c r="AB2341" t="s">
        <v>178</v>
      </c>
      <c r="AC2341" t="s">
        <v>3142</v>
      </c>
      <c r="AD2341" s="2" t="s">
        <v>180</v>
      </c>
    </row>
    <row r="2342" spans="1:30" x14ac:dyDescent="0.25">
      <c r="A2342" s="2">
        <v>623</v>
      </c>
      <c r="B2342" t="s">
        <v>3146</v>
      </c>
      <c r="C2342">
        <v>32</v>
      </c>
      <c r="D2342">
        <v>550</v>
      </c>
      <c r="E2342">
        <v>848</v>
      </c>
      <c r="F2342" t="s">
        <v>273</v>
      </c>
      <c r="G2342" s="2" t="s">
        <v>156</v>
      </c>
      <c r="H2342">
        <v>1</v>
      </c>
      <c r="I2342">
        <v>117.16</v>
      </c>
      <c r="J2342" s="2" t="s">
        <v>170</v>
      </c>
      <c r="K2342" s="2" t="s">
        <v>74</v>
      </c>
      <c r="M2342" t="s">
        <v>3150</v>
      </c>
      <c r="P2342" s="19" t="s">
        <v>2449</v>
      </c>
      <c r="Q2342" s="19" t="s">
        <v>27</v>
      </c>
      <c r="R2342" s="19" t="s">
        <v>138</v>
      </c>
      <c r="V2342" s="19" t="s">
        <v>138</v>
      </c>
      <c r="W2342" s="20">
        <v>24</v>
      </c>
      <c r="X2342" s="65" t="s">
        <v>2010</v>
      </c>
      <c r="Z2342" t="s">
        <v>307</v>
      </c>
      <c r="AB2342" t="s">
        <v>178</v>
      </c>
      <c r="AC2342" t="s">
        <v>3142</v>
      </c>
      <c r="AD2342" s="2" t="s">
        <v>180</v>
      </c>
    </row>
    <row r="2343" spans="1:30" x14ac:dyDescent="0.25">
      <c r="A2343" s="2">
        <v>624</v>
      </c>
      <c r="B2343" t="s">
        <v>3147</v>
      </c>
      <c r="C2343">
        <v>32</v>
      </c>
      <c r="D2343">
        <v>550</v>
      </c>
      <c r="E2343">
        <v>7896</v>
      </c>
      <c r="F2343" t="s">
        <v>273</v>
      </c>
      <c r="G2343" s="2" t="s">
        <v>156</v>
      </c>
      <c r="H2343">
        <v>1</v>
      </c>
      <c r="I2343">
        <v>1090.9100000000001</v>
      </c>
      <c r="J2343" s="2" t="s">
        <v>170</v>
      </c>
      <c r="K2343" s="2" t="s">
        <v>74</v>
      </c>
      <c r="M2343" t="s">
        <v>3150</v>
      </c>
      <c r="P2343" s="19" t="s">
        <v>2449</v>
      </c>
      <c r="Q2343" s="19" t="s">
        <v>27</v>
      </c>
      <c r="R2343" s="19" t="s">
        <v>138</v>
      </c>
      <c r="V2343" s="19" t="s">
        <v>138</v>
      </c>
      <c r="W2343" s="20">
        <v>24</v>
      </c>
      <c r="X2343" s="65" t="s">
        <v>2010</v>
      </c>
      <c r="Z2343" t="s">
        <v>307</v>
      </c>
      <c r="AB2343" t="s">
        <v>178</v>
      </c>
      <c r="AC2343" t="s">
        <v>3142</v>
      </c>
      <c r="AD2343" s="2" t="s">
        <v>180</v>
      </c>
    </row>
    <row r="2344" spans="1:30" x14ac:dyDescent="0.25">
      <c r="A2344" s="2">
        <v>625</v>
      </c>
      <c r="B2344" t="s">
        <v>3148</v>
      </c>
      <c r="C2344">
        <v>32</v>
      </c>
      <c r="D2344">
        <v>550</v>
      </c>
      <c r="E2344">
        <v>7896</v>
      </c>
      <c r="F2344" t="s">
        <v>273</v>
      </c>
      <c r="G2344" s="2" t="s">
        <v>156</v>
      </c>
      <c r="H2344">
        <v>1</v>
      </c>
      <c r="I2344">
        <v>1090.9100000000001</v>
      </c>
      <c r="J2344" s="2" t="s">
        <v>170</v>
      </c>
      <c r="K2344" s="2" t="s">
        <v>74</v>
      </c>
      <c r="M2344" t="s">
        <v>3150</v>
      </c>
      <c r="P2344" s="19" t="s">
        <v>2449</v>
      </c>
      <c r="Q2344" s="19" t="s">
        <v>27</v>
      </c>
      <c r="R2344" s="19" t="s">
        <v>138</v>
      </c>
      <c r="V2344" s="19" t="s">
        <v>138</v>
      </c>
      <c r="W2344" s="20">
        <v>24</v>
      </c>
      <c r="X2344" s="65" t="s">
        <v>2010</v>
      </c>
      <c r="Z2344" t="s">
        <v>307</v>
      </c>
      <c r="AB2344" t="s">
        <v>178</v>
      </c>
      <c r="AC2344" t="s">
        <v>3142</v>
      </c>
      <c r="AD2344" s="2" t="s">
        <v>180</v>
      </c>
    </row>
  </sheetData>
  <autoFilter ref="A10:AE2344" xr:uid="{C397BE88-AA2D-467A-988A-B96C9D4BC7C8}">
    <filterColumn colId="22">
      <filters>
        <filter val="24"/>
      </filters>
    </filterColumn>
  </autoFilter>
  <pageMargins left="0.7" right="0.7" top="0.75" bottom="0.75" header="0.3" footer="0.3"/>
  <pageSetup paperSize="8" scale="56" orientation="portrait" r:id="rId1"/>
  <drawing r:id="rId2"/>
  <legacyDrawing r:id="rId3"/>
  <controls>
    <mc:AlternateContent xmlns:mc="http://schemas.openxmlformats.org/markup-compatibility/2006">
      <mc:Choice Requires="x14">
        <control shapeId="1028" r:id="rId4" name="CommandButton3">
          <controlPr defaultSize="0" autoFill="0" autoLine="0" r:id="rId5">
            <anchor moveWithCells="1">
              <from>
                <xdr:col>27</xdr:col>
                <xdr:colOff>714375</xdr:colOff>
                <xdr:row>6</xdr:row>
                <xdr:rowOff>47625</xdr:rowOff>
              </from>
              <to>
                <xdr:col>27</xdr:col>
                <xdr:colOff>1152525</xdr:colOff>
                <xdr:row>7</xdr:row>
                <xdr:rowOff>123825</xdr:rowOff>
              </to>
            </anchor>
          </controlPr>
        </control>
      </mc:Choice>
      <mc:Fallback>
        <control shapeId="1028" r:id="rId4" name="CommandButton3"/>
      </mc:Fallback>
    </mc:AlternateContent>
    <mc:AlternateContent xmlns:mc="http://schemas.openxmlformats.org/markup-compatibility/2006">
      <mc:Choice Requires="x14">
        <control shapeId="1027" r:id="rId6" name="CommandButton2">
          <controlPr defaultSize="0" autoFill="0" autoLine="0" r:id="rId7">
            <anchor moveWithCells="1">
              <from>
                <xdr:col>26</xdr:col>
                <xdr:colOff>409575</xdr:colOff>
                <xdr:row>6</xdr:row>
                <xdr:rowOff>47625</xdr:rowOff>
              </from>
              <to>
                <xdr:col>27</xdr:col>
                <xdr:colOff>9525</xdr:colOff>
                <xdr:row>7</xdr:row>
                <xdr:rowOff>123825</xdr:rowOff>
              </to>
            </anchor>
          </controlPr>
        </control>
      </mc:Choice>
      <mc:Fallback>
        <control shapeId="1027" r:id="rId6" name="CommandButton2"/>
      </mc:Fallback>
    </mc:AlternateContent>
    <mc:AlternateContent xmlns:mc="http://schemas.openxmlformats.org/markup-compatibility/2006">
      <mc:Choice Requires="x14">
        <control shapeId="1025" r:id="rId8" name="CommandButton1">
          <controlPr defaultSize="0" autoFill="0" autoLine="0" r:id="rId9">
            <anchor moveWithCells="1">
              <from>
                <xdr:col>25</xdr:col>
                <xdr:colOff>95250</xdr:colOff>
                <xdr:row>6</xdr:row>
                <xdr:rowOff>47625</xdr:rowOff>
              </from>
              <to>
                <xdr:col>25</xdr:col>
                <xdr:colOff>542925</xdr:colOff>
                <xdr:row>7</xdr:row>
                <xdr:rowOff>123825</xdr:rowOff>
              </to>
            </anchor>
          </controlPr>
        </control>
      </mc:Choice>
      <mc:Fallback>
        <control shapeId="1025" r:id="rId8" name="CommandButton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F347-2190-48FE-B85A-FF6650BA121B}">
  <sheetPr codeName="Sheet5"/>
  <dimension ref="A1:AD117"/>
  <sheetViews>
    <sheetView view="pageBreakPreview" zoomScale="82" zoomScaleNormal="100" zoomScaleSheetLayoutView="82" workbookViewId="0">
      <pane ySplit="10" topLeftCell="A11" activePane="bottomLeft" state="frozenSplit"/>
      <selection pane="bottomLeft" activeCell="I39" sqref="I39"/>
    </sheetView>
  </sheetViews>
  <sheetFormatPr defaultRowHeight="15" x14ac:dyDescent="0.25"/>
  <cols>
    <col min="1" max="1" width="4.85546875" style="2" bestFit="1" customWidth="1"/>
    <col min="2" max="2" width="25.7109375" customWidth="1"/>
    <col min="3" max="3" width="8.7109375" bestFit="1" customWidth="1"/>
    <col min="4" max="4" width="6.5703125" bestFit="1" customWidth="1"/>
    <col min="5" max="5" width="7" bestFit="1" customWidth="1"/>
    <col min="6" max="6" width="12" customWidth="1"/>
    <col min="7" max="7" width="5.5703125" style="2" bestFit="1" customWidth="1"/>
    <col min="8" max="8" width="7.7109375" bestFit="1" customWidth="1"/>
    <col min="9" max="9" width="15.140625" customWidth="1"/>
    <col min="10" max="10" width="7.5703125" style="2" bestFit="1" customWidth="1"/>
    <col min="11" max="11" width="8.85546875" style="2" bestFit="1" customWidth="1"/>
    <col min="12" max="12" width="7.28515625" bestFit="1" customWidth="1"/>
    <col min="13" max="13" width="15.7109375" customWidth="1"/>
    <col min="14" max="14" width="5.85546875" bestFit="1" customWidth="1"/>
    <col min="15" max="15" width="5.7109375" bestFit="1" customWidth="1"/>
    <col min="16" max="16" width="25.28515625" style="19" customWidth="1"/>
    <col min="17" max="17" width="9.28515625" style="19" customWidth="1"/>
    <col min="18" max="18" width="7.85546875" style="19" bestFit="1" customWidth="1"/>
    <col min="19" max="19" width="6.28515625" style="19" bestFit="1" customWidth="1"/>
    <col min="20" max="20" width="9.140625" style="19"/>
    <col min="21" max="21" width="5.5703125" style="19" bestFit="1" customWidth="1"/>
    <col min="22" max="22" width="5.140625" style="19" bestFit="1" customWidth="1"/>
    <col min="23" max="23" width="7.140625" style="20" customWidth="1"/>
    <col min="24" max="24" width="12.42578125" style="65" customWidth="1"/>
    <col min="25" max="25" width="5.42578125" bestFit="1" customWidth="1"/>
    <col min="26" max="27" width="6.42578125" bestFit="1" customWidth="1"/>
    <col min="28" max="28" width="12.28515625" customWidth="1"/>
    <col min="29" max="29" width="40.7109375" customWidth="1"/>
    <col min="30" max="30" width="21.85546875" style="2" bestFit="1" customWidth="1"/>
  </cols>
  <sheetData>
    <row r="1" spans="1:30" ht="15" customHeight="1" x14ac:dyDescent="0.25">
      <c r="B1" s="11"/>
      <c r="C1" s="11"/>
      <c r="D1" s="11"/>
      <c r="E1" s="11"/>
      <c r="F1" s="11"/>
      <c r="G1" s="12"/>
      <c r="H1" s="11"/>
      <c r="I1" s="11"/>
      <c r="J1" s="12"/>
      <c r="K1" s="12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4"/>
      <c r="X1" s="66"/>
      <c r="Y1" s="11"/>
      <c r="Z1" s="11"/>
      <c r="AA1" s="11"/>
      <c r="AB1" s="11"/>
      <c r="AC1" s="11"/>
      <c r="AD1" s="12"/>
    </row>
    <row r="2" spans="1:30" ht="15" customHeight="1" x14ac:dyDescent="0.25">
      <c r="B2" s="15"/>
      <c r="C2" s="15"/>
      <c r="D2" s="15"/>
      <c r="E2" s="15"/>
      <c r="F2" s="15"/>
      <c r="G2" s="12"/>
      <c r="H2" s="15"/>
      <c r="I2" s="15"/>
      <c r="J2" s="12"/>
      <c r="K2" s="12"/>
      <c r="L2" s="15"/>
      <c r="M2" s="38" t="s">
        <v>69</v>
      </c>
      <c r="N2" s="15"/>
      <c r="O2" s="15"/>
      <c r="P2" s="16"/>
      <c r="Q2" s="16"/>
      <c r="R2" s="16"/>
      <c r="S2" s="16"/>
      <c r="T2" s="16"/>
      <c r="U2" s="16"/>
      <c r="V2" s="16"/>
      <c r="W2" s="17"/>
      <c r="X2" s="67"/>
      <c r="Y2" s="15"/>
      <c r="Z2" s="15"/>
      <c r="AA2" s="15"/>
      <c r="AB2" s="15"/>
      <c r="AC2" s="15"/>
      <c r="AD2" s="12"/>
    </row>
    <row r="3" spans="1:30" x14ac:dyDescent="0.25">
      <c r="A3" s="18" t="s">
        <v>70</v>
      </c>
      <c r="C3" s="4" t="str">
        <f ca="1">'List chi tiet'!B3&amp;"-"&amp;'List chi tiet'!B2</f>
        <v>10726-141-10726-141 DG XK SHIPLIFT ÚC</v>
      </c>
    </row>
    <row r="4" spans="1:30" x14ac:dyDescent="0.25">
      <c r="A4" s="18" t="s">
        <v>71</v>
      </c>
      <c r="C4" s="5" t="str">
        <f ca="1">INDEX(M11:M99999, MATCH(1, INDEX(SUBTOTAL(3, OFFSET(M11, ROW(M11:M99999)-ROW(M11), 0)), 0), 0))</f>
        <v>VT-SL-TT-003</v>
      </c>
    </row>
    <row r="5" spans="1:30" x14ac:dyDescent="0.25">
      <c r="A5" s="18" t="s">
        <v>72</v>
      </c>
      <c r="C5" s="4" t="str">
        <f ca="1">INDEX(P11:P99999, MATCH(1, INDEX(SUBTOTAL(3, OFFSET(P11, ROW(P11:P99999)-ROW(P11), 0)), 0), 0))</f>
        <v>BPGC_ĐB</v>
      </c>
    </row>
    <row r="6" spans="1:30" x14ac:dyDescent="0.25">
      <c r="A6" s="18" t="s">
        <v>73</v>
      </c>
      <c r="C6" s="4" t="s">
        <v>74</v>
      </c>
    </row>
    <row r="7" spans="1:30" x14ac:dyDescent="0.25">
      <c r="A7" s="18" t="s">
        <v>75</v>
      </c>
      <c r="C7" s="4"/>
    </row>
    <row r="8" spans="1:30" x14ac:dyDescent="0.25">
      <c r="A8" s="18" t="s">
        <v>76</v>
      </c>
      <c r="C8" s="4"/>
      <c r="H8" s="4">
        <f>SUBTOTAL(9, H11:H99999)</f>
        <v>4</v>
      </c>
      <c r="I8" s="21">
        <f>SUBTOTAL(9, I11:I99999)</f>
        <v>359.45</v>
      </c>
      <c r="P8" s="46">
        <f ca="1">SUMPRODUCT(SUBTOTAL(103,OFFSET(B11,ROW(B11:B99692)-MIN(ROW(B11:B99692)),,1)),--(B11:B99692&lt;&gt;""))</f>
        <v>1</v>
      </c>
    </row>
    <row r="9" spans="1:30" x14ac:dyDescent="0.25">
      <c r="A9" s="18" t="s">
        <v>77</v>
      </c>
      <c r="C9" s="4"/>
      <c r="AC9" t="str">
        <f>IFERROR(VLOOKUP(A9,'List chi tiet'!$A:$L,12,0),"")</f>
        <v/>
      </c>
    </row>
    <row r="10" spans="1:30" s="1" customFormat="1" ht="33.75" customHeight="1" x14ac:dyDescent="0.25">
      <c r="A10" s="22" t="s">
        <v>78</v>
      </c>
      <c r="B10" s="22" t="s">
        <v>79</v>
      </c>
      <c r="C10" s="22" t="s">
        <v>80</v>
      </c>
      <c r="D10" s="22" t="s">
        <v>81</v>
      </c>
      <c r="E10" s="22" t="s">
        <v>82</v>
      </c>
      <c r="F10" s="22" t="s">
        <v>83</v>
      </c>
      <c r="G10" s="22" t="s">
        <v>84</v>
      </c>
      <c r="H10" s="22" t="s">
        <v>85</v>
      </c>
      <c r="I10" s="22" t="s">
        <v>86</v>
      </c>
      <c r="J10" s="22" t="s">
        <v>87</v>
      </c>
      <c r="K10" s="22" t="s">
        <v>88</v>
      </c>
      <c r="L10" s="22" t="s">
        <v>89</v>
      </c>
      <c r="M10" s="22" t="s">
        <v>59</v>
      </c>
      <c r="N10" s="22" t="s">
        <v>90</v>
      </c>
      <c r="O10" s="22" t="s">
        <v>91</v>
      </c>
      <c r="P10" s="23" t="s">
        <v>28</v>
      </c>
      <c r="Q10" s="23" t="s">
        <v>92</v>
      </c>
      <c r="R10" s="23" t="s">
        <v>93</v>
      </c>
      <c r="S10" s="23" t="s">
        <v>94</v>
      </c>
      <c r="T10" s="23" t="s">
        <v>95</v>
      </c>
      <c r="U10" s="23" t="s">
        <v>96</v>
      </c>
      <c r="V10" s="23" t="s">
        <v>97</v>
      </c>
      <c r="W10" s="24" t="s">
        <v>105</v>
      </c>
      <c r="X10" s="68" t="s">
        <v>98</v>
      </c>
      <c r="Y10" s="22" t="s">
        <v>21</v>
      </c>
      <c r="Z10" s="22" t="s">
        <v>22</v>
      </c>
      <c r="AA10" s="22" t="s">
        <v>23</v>
      </c>
      <c r="AB10" s="22" t="s">
        <v>24</v>
      </c>
      <c r="AC10" s="22" t="s">
        <v>99</v>
      </c>
      <c r="AD10" s="22" t="s">
        <v>29</v>
      </c>
    </row>
    <row r="11" spans="1:30" x14ac:dyDescent="0.25">
      <c r="A11" s="2">
        <f>IF('List chi tiet'!A6&lt;&gt;"",'List chi tiet'!A6,"")</f>
        <v>1</v>
      </c>
      <c r="B11" s="2" t="str">
        <f>IF('List chi tiet'!B6&lt;&gt;"",'List chi tiet'!B6,"")</f>
        <v>PL026 PL026_1</v>
      </c>
      <c r="C11" s="69">
        <f>IF('List chi tiet'!E6&lt;&gt;"",'List chi tiet'!E6,"")</f>
        <v>30</v>
      </c>
      <c r="D11" s="69">
        <f>IF('List chi tiet'!F6&lt;&gt;"",'List chi tiet'!F6,"")</f>
        <v>670</v>
      </c>
      <c r="E11">
        <f>IF('List chi tiet'!G6&lt;&gt;"",'List chi tiet'!G6,"")</f>
        <v>720</v>
      </c>
      <c r="F11" t="str">
        <f>IF('List chi tiet'!C6&lt;&gt;"",'List chi tiet'!C6,"")</f>
        <v>S355JR</v>
      </c>
      <c r="G11" s="2" t="str">
        <f>IF(A11&lt;&gt;"","Pcs","")</f>
        <v>Pcs</v>
      </c>
      <c r="H11">
        <f>IF('List chi tiet'!H6&lt;&gt;"",'List chi tiet'!H6,"")</f>
        <v>4</v>
      </c>
      <c r="I11" s="70">
        <f>IF('List chi tiet'!J6&lt;&gt;"",'List chi tiet'!J6,"")</f>
        <v>359.45</v>
      </c>
      <c r="J11" s="2" t="str">
        <f>IF(A11&lt;&gt;"","SC-VT1","")</f>
        <v>SC-VT1</v>
      </c>
      <c r="M11" t="str">
        <f>IF('List chi tiet'!A6&lt;&gt;"",LEFT('List chi tiet'!L6,FIND("-",'List chi tiet'!L6,FIND("-",'List chi tiet'!L6,FIND("-",'List chi tiet'!L6,FIND("-",'List chi tiet'!L6)+1)+1)+1)-1),"")</f>
        <v>VT-SL-TT-003</v>
      </c>
      <c r="N11" t="str">
        <f>IF('List chi tiet'!D6&lt;&gt;"",'List chi tiet'!D6,"")</f>
        <v>PL30x670x720</v>
      </c>
      <c r="O11" s="25"/>
      <c r="P11" s="26" t="str">
        <f>IF('List chi tiet'!Z6&lt;&gt;"",'List chi tiet'!Z6,"")</f>
        <v>BPGC_ĐB</v>
      </c>
      <c r="Q11" s="26"/>
      <c r="R11" s="26"/>
      <c r="S11" s="26"/>
      <c r="T11" s="26"/>
      <c r="U11" s="26"/>
      <c r="V11" s="26"/>
      <c r="W11" s="27">
        <f>IF('List chi tiet'!Q6&lt;&gt;"",'List chi tiet'!Q6,"")</f>
        <v>3</v>
      </c>
      <c r="X11" s="64" t="str">
        <f>IF('List chi tiet'!R6&lt;&gt;"",'List chi tiet'!R6,"")</f>
        <v>18/08/2026</v>
      </c>
      <c r="AB11" t="str">
        <f>IF('List chi tiet'!V6&lt;&gt;"",'List chi tiet'!V6,"")</f>
        <v>10726-141</v>
      </c>
      <c r="AC11" t="str">
        <f>IF('List chi tiet'!L6&lt;&gt;"",'List chi tiet'!L6,"")</f>
        <v>VT-SL-TT-003-BPGC_DB-S355JR-SP30-001</v>
      </c>
      <c r="AD11" s="2" t="str">
        <f>IF('List chi tiet'!K6&lt;&gt;"",'List chi tiet'!K6,"")</f>
        <v>PL30x925x6000</v>
      </c>
    </row>
    <row r="12" spans="1:30" x14ac:dyDescent="0.25">
      <c r="O12" s="25"/>
      <c r="P12" s="26"/>
      <c r="Q12" s="26"/>
      <c r="R12" s="26"/>
      <c r="S12" s="26"/>
      <c r="T12" s="26"/>
      <c r="U12" s="26"/>
      <c r="V12" s="26"/>
      <c r="W12" s="27"/>
      <c r="X12" s="64"/>
    </row>
    <row r="13" spans="1:30" x14ac:dyDescent="0.25">
      <c r="O13" s="25"/>
      <c r="P13" s="26"/>
      <c r="Q13" s="26"/>
      <c r="R13" s="26"/>
      <c r="S13" s="26"/>
      <c r="T13" s="26"/>
      <c r="U13" s="26"/>
      <c r="V13" s="26"/>
      <c r="W13" s="27"/>
      <c r="X13" s="64"/>
    </row>
    <row r="14" spans="1:30" x14ac:dyDescent="0.25">
      <c r="O14" s="25"/>
      <c r="P14" s="26"/>
      <c r="Q14" s="26"/>
      <c r="R14" s="26"/>
      <c r="S14" s="26"/>
      <c r="T14" s="26"/>
      <c r="U14" s="26"/>
      <c r="V14" s="26"/>
      <c r="W14" s="27"/>
      <c r="X14" s="64"/>
    </row>
    <row r="15" spans="1:30" x14ac:dyDescent="0.25">
      <c r="O15" s="25"/>
      <c r="P15" s="26"/>
      <c r="Q15" s="26"/>
      <c r="R15" s="26"/>
      <c r="S15" s="26"/>
      <c r="T15" s="26"/>
      <c r="U15" s="26"/>
      <c r="V15" s="26"/>
      <c r="W15" s="27"/>
      <c r="X15" s="64"/>
    </row>
    <row r="16" spans="1:30" x14ac:dyDescent="0.25">
      <c r="O16" s="25"/>
      <c r="P16" s="26"/>
      <c r="Q16" s="26"/>
      <c r="R16" s="26"/>
      <c r="S16" s="26"/>
      <c r="T16" s="26"/>
      <c r="U16" s="26"/>
      <c r="V16" s="26"/>
      <c r="W16" s="27"/>
      <c r="X16" s="64"/>
    </row>
    <row r="17" spans="15:24" x14ac:dyDescent="0.25">
      <c r="O17" s="25"/>
      <c r="P17" s="26"/>
      <c r="Q17" s="26"/>
      <c r="R17" s="26"/>
      <c r="S17" s="26"/>
      <c r="T17" s="26"/>
      <c r="U17" s="26"/>
      <c r="V17" s="26"/>
      <c r="W17" s="27"/>
      <c r="X17" s="64"/>
    </row>
    <row r="18" spans="15:24" x14ac:dyDescent="0.25">
      <c r="O18" s="25"/>
      <c r="P18" s="26"/>
      <c r="Q18" s="26"/>
      <c r="R18" s="26"/>
      <c r="S18" s="26"/>
      <c r="T18" s="26"/>
      <c r="U18" s="26"/>
      <c r="V18" s="26"/>
      <c r="W18" s="27"/>
      <c r="X18" s="64"/>
    </row>
    <row r="19" spans="15:24" x14ac:dyDescent="0.25">
      <c r="O19" s="25"/>
      <c r="P19" s="26"/>
      <c r="Q19" s="26"/>
      <c r="R19" s="26"/>
      <c r="S19" s="26"/>
      <c r="T19" s="26"/>
      <c r="U19" s="26"/>
      <c r="V19" s="26"/>
      <c r="W19" s="27"/>
      <c r="X19" s="64"/>
    </row>
    <row r="20" spans="15:24" x14ac:dyDescent="0.25">
      <c r="O20" s="25"/>
      <c r="P20" s="26"/>
      <c r="Q20" s="26"/>
      <c r="R20" s="26"/>
      <c r="S20" s="26"/>
      <c r="T20" s="26"/>
      <c r="U20" s="26"/>
      <c r="V20" s="26"/>
      <c r="W20" s="27"/>
      <c r="X20" s="64"/>
    </row>
    <row r="21" spans="15:24" x14ac:dyDescent="0.25">
      <c r="O21" s="25"/>
      <c r="P21" s="26"/>
      <c r="Q21" s="26"/>
      <c r="R21" s="26"/>
      <c r="S21" s="26"/>
      <c r="T21" s="26"/>
      <c r="U21" s="26"/>
      <c r="V21" s="26"/>
      <c r="W21" s="27"/>
      <c r="X21" s="64"/>
    </row>
    <row r="22" spans="15:24" x14ac:dyDescent="0.25">
      <c r="O22" s="25"/>
      <c r="P22" s="26"/>
      <c r="Q22" s="26"/>
      <c r="R22" s="26"/>
      <c r="S22" s="26"/>
      <c r="T22" s="26"/>
      <c r="U22" s="26"/>
      <c r="V22" s="26"/>
      <c r="W22" s="27"/>
      <c r="X22" s="64"/>
    </row>
    <row r="23" spans="15:24" x14ac:dyDescent="0.25">
      <c r="O23" s="25"/>
      <c r="P23" s="26"/>
      <c r="Q23" s="26"/>
      <c r="R23" s="26"/>
      <c r="S23" s="26"/>
      <c r="T23" s="26"/>
      <c r="U23" s="26"/>
      <c r="V23" s="26"/>
      <c r="W23" s="27"/>
      <c r="X23" s="64"/>
    </row>
    <row r="24" spans="15:24" x14ac:dyDescent="0.25">
      <c r="O24" s="25"/>
      <c r="P24" s="26"/>
      <c r="Q24" s="26"/>
      <c r="R24" s="26"/>
      <c r="S24" s="26"/>
      <c r="T24" s="26"/>
      <c r="U24" s="26"/>
      <c r="V24" s="26"/>
      <c r="W24" s="27"/>
      <c r="X24" s="64"/>
    </row>
    <row r="25" spans="15:24" x14ac:dyDescent="0.25">
      <c r="O25" s="25"/>
      <c r="P25" s="26"/>
      <c r="Q25" s="26"/>
      <c r="R25" s="26"/>
      <c r="S25" s="26"/>
      <c r="T25" s="26"/>
      <c r="U25" s="26"/>
      <c r="V25" s="26"/>
      <c r="W25" s="27"/>
      <c r="X25" s="64"/>
    </row>
    <row r="26" spans="15:24" x14ac:dyDescent="0.25">
      <c r="O26" s="25"/>
      <c r="P26" s="26"/>
      <c r="Q26" s="26"/>
      <c r="R26" s="26"/>
      <c r="S26" s="26"/>
      <c r="T26" s="26"/>
      <c r="U26" s="26"/>
      <c r="V26" s="26"/>
      <c r="W26" s="27"/>
      <c r="X26" s="64"/>
    </row>
    <row r="27" spans="15:24" x14ac:dyDescent="0.25">
      <c r="O27" s="25"/>
      <c r="P27" s="26"/>
      <c r="Q27" s="26"/>
      <c r="R27" s="26"/>
      <c r="S27" s="26"/>
      <c r="T27" s="26"/>
      <c r="U27" s="26"/>
      <c r="V27" s="26"/>
      <c r="W27" s="27"/>
      <c r="X27" s="64"/>
    </row>
    <row r="28" spans="15:24" x14ac:dyDescent="0.25">
      <c r="O28" s="25"/>
      <c r="P28" s="26"/>
      <c r="Q28" s="26"/>
      <c r="R28" s="26"/>
      <c r="S28" s="26"/>
      <c r="T28" s="26"/>
      <c r="U28" s="26"/>
      <c r="V28" s="26"/>
      <c r="W28" s="27"/>
      <c r="X28" s="64"/>
    </row>
    <row r="29" spans="15:24" x14ac:dyDescent="0.25">
      <c r="O29" s="25"/>
      <c r="P29" s="26"/>
      <c r="Q29" s="26"/>
      <c r="R29" s="26"/>
      <c r="S29" s="26"/>
      <c r="T29" s="26"/>
      <c r="U29" s="26"/>
      <c r="V29" s="26"/>
      <c r="W29" s="27"/>
      <c r="X29" s="64"/>
    </row>
    <row r="30" spans="15:24" x14ac:dyDescent="0.25">
      <c r="O30" s="25"/>
      <c r="P30" s="26"/>
      <c r="Q30" s="26"/>
      <c r="R30" s="26"/>
      <c r="S30" s="26"/>
      <c r="T30" s="26"/>
      <c r="U30" s="26"/>
      <c r="V30" s="26"/>
      <c r="W30" s="27"/>
      <c r="X30" s="64"/>
    </row>
    <row r="31" spans="15:24" x14ac:dyDescent="0.25">
      <c r="O31" s="25"/>
      <c r="P31" s="26"/>
      <c r="Q31" s="26"/>
      <c r="R31" s="26"/>
      <c r="S31" s="26"/>
      <c r="T31" s="26"/>
      <c r="U31" s="26"/>
      <c r="V31" s="26"/>
      <c r="W31" s="27"/>
      <c r="X31" s="64"/>
    </row>
    <row r="32" spans="15:24" x14ac:dyDescent="0.25">
      <c r="O32" s="25"/>
      <c r="P32" s="26"/>
      <c r="Q32" s="26"/>
      <c r="R32" s="26"/>
      <c r="S32" s="26"/>
      <c r="T32" s="26"/>
      <c r="U32" s="26"/>
      <c r="V32" s="26"/>
      <c r="W32" s="27"/>
      <c r="X32" s="64"/>
    </row>
    <row r="33" spans="15:24" x14ac:dyDescent="0.25">
      <c r="O33" s="25"/>
      <c r="P33" s="26"/>
      <c r="Q33" s="26"/>
      <c r="R33" s="26"/>
      <c r="S33" s="26"/>
      <c r="T33" s="26"/>
      <c r="U33" s="26"/>
      <c r="V33" s="26"/>
      <c r="W33" s="27"/>
      <c r="X33" s="64"/>
    </row>
    <row r="34" spans="15:24" x14ac:dyDescent="0.25">
      <c r="O34" s="25"/>
      <c r="P34" s="26"/>
      <c r="Q34" s="26"/>
      <c r="R34" s="26"/>
      <c r="S34" s="26"/>
      <c r="T34" s="26"/>
      <c r="U34" s="26"/>
      <c r="V34" s="26"/>
      <c r="W34" s="27"/>
      <c r="X34" s="64"/>
    </row>
    <row r="35" spans="15:24" x14ac:dyDescent="0.25">
      <c r="O35" s="25"/>
      <c r="P35" s="26"/>
      <c r="Q35" s="26"/>
      <c r="R35" s="26"/>
      <c r="S35" s="26"/>
      <c r="T35" s="26"/>
      <c r="U35" s="26"/>
      <c r="V35" s="26"/>
      <c r="W35" s="27"/>
      <c r="X35" s="64"/>
    </row>
    <row r="36" spans="15:24" x14ac:dyDescent="0.25">
      <c r="O36" s="25"/>
      <c r="P36" s="26"/>
      <c r="Q36" s="26"/>
      <c r="R36" s="26"/>
      <c r="S36" s="26"/>
      <c r="T36" s="26"/>
      <c r="U36" s="26"/>
      <c r="V36" s="26"/>
      <c r="W36" s="27"/>
      <c r="X36" s="64"/>
    </row>
    <row r="37" spans="15:24" x14ac:dyDescent="0.25">
      <c r="O37" s="25"/>
      <c r="P37" s="26"/>
      <c r="Q37" s="26"/>
      <c r="R37" s="26"/>
      <c r="S37" s="26"/>
      <c r="T37" s="26"/>
      <c r="U37" s="26"/>
      <c r="V37" s="26"/>
      <c r="W37" s="27"/>
      <c r="X37" s="64"/>
    </row>
    <row r="38" spans="15:24" x14ac:dyDescent="0.25">
      <c r="O38" s="25"/>
      <c r="P38" s="26"/>
      <c r="Q38" s="26"/>
      <c r="R38" s="26"/>
      <c r="S38" s="26"/>
      <c r="T38" s="26"/>
      <c r="U38" s="26"/>
      <c r="V38" s="26"/>
      <c r="W38" s="27"/>
      <c r="X38" s="64"/>
    </row>
    <row r="39" spans="15:24" x14ac:dyDescent="0.25">
      <c r="O39" s="25"/>
      <c r="P39" s="26"/>
      <c r="Q39" s="26"/>
      <c r="R39" s="26"/>
      <c r="S39" s="26"/>
      <c r="T39" s="26"/>
      <c r="U39" s="26"/>
      <c r="V39" s="26"/>
      <c r="W39" s="27"/>
      <c r="X39" s="64"/>
    </row>
    <row r="40" spans="15:24" x14ac:dyDescent="0.25">
      <c r="O40" s="25"/>
      <c r="P40" s="26"/>
      <c r="Q40" s="26"/>
      <c r="R40" s="26"/>
      <c r="S40" s="26"/>
      <c r="T40" s="26"/>
      <c r="U40" s="26"/>
      <c r="V40" s="26"/>
      <c r="W40" s="27"/>
      <c r="X40" s="64"/>
    </row>
    <row r="41" spans="15:24" x14ac:dyDescent="0.25">
      <c r="O41" s="25"/>
      <c r="P41" s="26"/>
      <c r="Q41" s="26"/>
      <c r="R41" s="26"/>
      <c r="S41" s="26"/>
      <c r="T41" s="26"/>
      <c r="U41" s="26"/>
      <c r="V41" s="26"/>
      <c r="W41" s="27"/>
      <c r="X41" s="64"/>
    </row>
    <row r="42" spans="15:24" x14ac:dyDescent="0.25">
      <c r="O42" s="25"/>
      <c r="P42" s="26"/>
      <c r="Q42" s="26"/>
      <c r="R42" s="26"/>
      <c r="S42" s="26"/>
      <c r="T42" s="26"/>
      <c r="U42" s="26"/>
      <c r="V42" s="26"/>
      <c r="W42" s="27"/>
      <c r="X42" s="64"/>
    </row>
    <row r="43" spans="15:24" x14ac:dyDescent="0.25">
      <c r="O43" s="25"/>
      <c r="P43" s="26"/>
      <c r="Q43" s="26"/>
      <c r="R43" s="26"/>
      <c r="S43" s="26"/>
      <c r="T43" s="26"/>
      <c r="U43" s="26"/>
      <c r="V43" s="26"/>
      <c r="W43" s="27"/>
      <c r="X43" s="64"/>
    </row>
    <row r="44" spans="15:24" x14ac:dyDescent="0.25">
      <c r="O44" s="25"/>
      <c r="P44" s="26"/>
      <c r="Q44" s="26"/>
      <c r="R44" s="26"/>
      <c r="S44" s="26"/>
      <c r="T44" s="26"/>
      <c r="U44" s="26"/>
      <c r="V44" s="26"/>
      <c r="W44" s="27"/>
      <c r="X44" s="64"/>
    </row>
    <row r="45" spans="15:24" x14ac:dyDescent="0.25">
      <c r="O45" s="25"/>
      <c r="P45" s="26"/>
      <c r="Q45" s="26"/>
      <c r="R45" s="26"/>
      <c r="S45" s="26"/>
      <c r="T45" s="26"/>
      <c r="U45" s="26"/>
      <c r="V45" s="26"/>
      <c r="W45" s="27"/>
      <c r="X45" s="64"/>
    </row>
    <row r="46" spans="15:24" x14ac:dyDescent="0.25">
      <c r="O46" s="25"/>
      <c r="P46" s="26"/>
      <c r="Q46" s="26"/>
      <c r="R46" s="26"/>
      <c r="S46" s="26"/>
      <c r="T46" s="26"/>
      <c r="U46" s="26"/>
      <c r="V46" s="26"/>
      <c r="W46" s="27"/>
      <c r="X46" s="64"/>
    </row>
    <row r="47" spans="15:24" x14ac:dyDescent="0.25">
      <c r="O47" s="25"/>
      <c r="P47" s="26"/>
      <c r="Q47" s="26"/>
      <c r="R47" s="26"/>
      <c r="S47" s="26"/>
      <c r="T47" s="26"/>
      <c r="U47" s="26"/>
      <c r="V47" s="26"/>
      <c r="W47" s="27"/>
      <c r="X47" s="64"/>
    </row>
    <row r="48" spans="15:24" x14ac:dyDescent="0.25">
      <c r="O48" s="25"/>
      <c r="P48" s="26"/>
      <c r="Q48" s="26"/>
      <c r="R48" s="26"/>
      <c r="S48" s="26"/>
      <c r="T48" s="26"/>
      <c r="U48" s="26"/>
      <c r="V48" s="26"/>
      <c r="W48" s="27"/>
      <c r="X48" s="64"/>
    </row>
    <row r="49" spans="15:24" x14ac:dyDescent="0.25">
      <c r="O49" s="25"/>
      <c r="P49" s="26"/>
      <c r="Q49" s="26"/>
      <c r="R49" s="26"/>
      <c r="S49" s="26"/>
      <c r="T49" s="26"/>
      <c r="U49" s="26"/>
      <c r="V49" s="26"/>
      <c r="W49" s="27"/>
      <c r="X49" s="64"/>
    </row>
    <row r="50" spans="15:24" x14ac:dyDescent="0.25">
      <c r="O50" s="25"/>
      <c r="P50" s="26"/>
      <c r="Q50" s="26"/>
      <c r="R50" s="26"/>
      <c r="S50" s="26"/>
      <c r="T50" s="26"/>
      <c r="U50" s="26"/>
      <c r="V50" s="26"/>
      <c r="W50" s="27"/>
      <c r="X50" s="64"/>
    </row>
    <row r="51" spans="15:24" x14ac:dyDescent="0.25">
      <c r="O51" s="25"/>
      <c r="P51" s="26"/>
      <c r="Q51" s="26"/>
      <c r="R51" s="26"/>
      <c r="S51" s="26"/>
      <c r="T51" s="26"/>
      <c r="U51" s="26"/>
      <c r="V51" s="26"/>
      <c r="W51" s="27"/>
      <c r="X51" s="64"/>
    </row>
    <row r="52" spans="15:24" x14ac:dyDescent="0.25">
      <c r="O52" s="25"/>
      <c r="P52" s="26"/>
      <c r="Q52" s="26"/>
      <c r="R52" s="26"/>
      <c r="S52" s="26"/>
      <c r="T52" s="26"/>
      <c r="U52" s="26"/>
      <c r="V52" s="26"/>
      <c r="W52" s="27"/>
      <c r="X52" s="64"/>
    </row>
    <row r="53" spans="15:24" x14ac:dyDescent="0.25">
      <c r="O53" s="25"/>
      <c r="P53" s="26"/>
      <c r="Q53" s="26"/>
      <c r="R53" s="26"/>
      <c r="S53" s="26"/>
      <c r="T53" s="26"/>
      <c r="U53" s="26"/>
      <c r="V53" s="26"/>
      <c r="W53" s="27"/>
      <c r="X53" s="64"/>
    </row>
    <row r="54" spans="15:24" x14ac:dyDescent="0.25">
      <c r="O54" s="25"/>
      <c r="P54" s="26"/>
      <c r="Q54" s="26"/>
      <c r="R54" s="26"/>
      <c r="S54" s="26"/>
      <c r="T54" s="26"/>
      <c r="U54" s="26"/>
      <c r="V54" s="26"/>
      <c r="W54" s="27"/>
      <c r="X54" s="64"/>
    </row>
    <row r="55" spans="15:24" x14ac:dyDescent="0.25">
      <c r="O55" s="25"/>
      <c r="P55" s="26"/>
      <c r="Q55" s="26"/>
      <c r="R55" s="26"/>
      <c r="S55" s="26"/>
      <c r="T55" s="26"/>
      <c r="U55" s="26"/>
      <c r="V55" s="26"/>
      <c r="W55" s="27"/>
      <c r="X55" s="64"/>
    </row>
    <row r="56" spans="15:24" x14ac:dyDescent="0.25">
      <c r="O56" s="25"/>
      <c r="P56" s="26"/>
      <c r="Q56" s="26"/>
      <c r="R56" s="26"/>
      <c r="S56" s="26"/>
      <c r="T56" s="26"/>
      <c r="U56" s="26"/>
      <c r="V56" s="26"/>
      <c r="W56" s="27"/>
      <c r="X56" s="64"/>
    </row>
    <row r="57" spans="15:24" x14ac:dyDescent="0.25">
      <c r="O57" s="25"/>
      <c r="P57" s="26"/>
      <c r="Q57" s="26"/>
      <c r="R57" s="26"/>
      <c r="S57" s="26"/>
      <c r="T57" s="26"/>
      <c r="U57" s="26"/>
      <c r="V57" s="26"/>
      <c r="W57" s="27"/>
      <c r="X57" s="64"/>
    </row>
    <row r="58" spans="15:24" x14ac:dyDescent="0.25">
      <c r="O58" s="25"/>
      <c r="P58" s="26"/>
      <c r="Q58" s="26"/>
      <c r="R58" s="26"/>
      <c r="S58" s="26"/>
      <c r="T58" s="26"/>
      <c r="U58" s="26"/>
      <c r="V58" s="26"/>
      <c r="W58" s="27"/>
      <c r="X58" s="64"/>
    </row>
    <row r="59" spans="15:24" x14ac:dyDescent="0.25">
      <c r="O59" s="25"/>
      <c r="P59" s="26"/>
      <c r="Q59" s="26"/>
      <c r="R59" s="26"/>
      <c r="S59" s="26"/>
      <c r="T59" s="26"/>
      <c r="U59" s="26"/>
      <c r="V59" s="26"/>
      <c r="W59" s="27"/>
      <c r="X59" s="64"/>
    </row>
    <row r="60" spans="15:24" x14ac:dyDescent="0.25">
      <c r="O60" s="25"/>
      <c r="P60" s="26"/>
      <c r="Q60" s="26"/>
      <c r="R60" s="26"/>
      <c r="S60" s="26"/>
      <c r="T60" s="26"/>
      <c r="U60" s="26"/>
      <c r="V60" s="26"/>
      <c r="W60" s="27"/>
      <c r="X60" s="64"/>
    </row>
    <row r="61" spans="15:24" x14ac:dyDescent="0.25">
      <c r="O61" s="25"/>
      <c r="P61" s="26"/>
      <c r="Q61" s="26"/>
      <c r="R61" s="26"/>
      <c r="S61" s="26"/>
      <c r="T61" s="26"/>
      <c r="U61" s="26"/>
      <c r="V61" s="26"/>
      <c r="W61" s="27"/>
      <c r="X61" s="64"/>
    </row>
    <row r="62" spans="15:24" x14ac:dyDescent="0.25">
      <c r="O62" s="25"/>
      <c r="P62" s="26"/>
      <c r="Q62" s="26"/>
      <c r="R62" s="26"/>
      <c r="S62" s="26"/>
      <c r="T62" s="26"/>
      <c r="U62" s="26"/>
      <c r="V62" s="26"/>
      <c r="W62" s="27"/>
      <c r="X62" s="64"/>
    </row>
    <row r="63" spans="15:24" x14ac:dyDescent="0.25">
      <c r="O63" s="25"/>
      <c r="P63" s="26"/>
      <c r="Q63" s="26"/>
      <c r="R63" s="26"/>
      <c r="S63" s="26"/>
      <c r="T63" s="26"/>
      <c r="U63" s="26"/>
      <c r="V63" s="26"/>
      <c r="W63" s="27"/>
      <c r="X63" s="64"/>
    </row>
    <row r="64" spans="15:24" x14ac:dyDescent="0.25">
      <c r="O64" s="25"/>
      <c r="P64" s="26"/>
      <c r="Q64" s="26"/>
      <c r="R64" s="26"/>
      <c r="S64" s="26"/>
      <c r="T64" s="26"/>
      <c r="U64" s="26"/>
      <c r="V64" s="26"/>
      <c r="W64" s="27"/>
      <c r="X64" s="64"/>
    </row>
    <row r="65" spans="15:24" x14ac:dyDescent="0.25">
      <c r="O65" s="25"/>
      <c r="P65" s="26"/>
      <c r="Q65" s="26"/>
      <c r="R65" s="26"/>
      <c r="S65" s="26"/>
      <c r="T65" s="26"/>
      <c r="U65" s="26"/>
      <c r="V65" s="26"/>
      <c r="W65" s="27"/>
      <c r="X65" s="64"/>
    </row>
    <row r="66" spans="15:24" x14ac:dyDescent="0.25">
      <c r="O66" s="25"/>
      <c r="P66" s="26"/>
      <c r="Q66" s="26"/>
      <c r="R66" s="26"/>
      <c r="S66" s="26"/>
      <c r="T66" s="26"/>
      <c r="U66" s="26"/>
      <c r="V66" s="26"/>
      <c r="W66" s="27"/>
      <c r="X66" s="64"/>
    </row>
    <row r="67" spans="15:24" x14ac:dyDescent="0.25">
      <c r="O67" s="25"/>
      <c r="P67" s="26"/>
      <c r="Q67" s="26"/>
      <c r="R67" s="26"/>
      <c r="S67" s="26"/>
      <c r="T67" s="26"/>
      <c r="U67" s="26"/>
      <c r="V67" s="26"/>
      <c r="W67" s="27"/>
      <c r="X67" s="64"/>
    </row>
    <row r="68" spans="15:24" x14ac:dyDescent="0.25">
      <c r="O68" s="25"/>
      <c r="P68" s="26"/>
      <c r="Q68" s="26"/>
      <c r="R68" s="26"/>
      <c r="S68" s="26"/>
      <c r="T68" s="26"/>
      <c r="U68" s="26"/>
      <c r="V68" s="26"/>
      <c r="W68" s="27"/>
      <c r="X68" s="64"/>
    </row>
    <row r="69" spans="15:24" x14ac:dyDescent="0.25">
      <c r="O69" s="25"/>
      <c r="P69" s="26"/>
      <c r="Q69" s="26"/>
      <c r="R69" s="26"/>
      <c r="S69" s="26"/>
      <c r="T69" s="26"/>
      <c r="U69" s="26"/>
      <c r="V69" s="26"/>
      <c r="W69" s="27"/>
      <c r="X69" s="64"/>
    </row>
    <row r="70" spans="15:24" x14ac:dyDescent="0.25">
      <c r="O70" s="25"/>
      <c r="P70" s="26"/>
      <c r="Q70" s="26"/>
      <c r="R70" s="26"/>
      <c r="S70" s="26"/>
      <c r="T70" s="26"/>
      <c r="U70" s="26"/>
      <c r="V70" s="26"/>
      <c r="W70" s="27"/>
      <c r="X70" s="64"/>
    </row>
    <row r="71" spans="15:24" x14ac:dyDescent="0.25">
      <c r="O71" s="25"/>
      <c r="P71" s="26"/>
      <c r="Q71" s="26"/>
      <c r="R71" s="26"/>
      <c r="S71" s="26"/>
      <c r="T71" s="26"/>
      <c r="U71" s="26"/>
      <c r="V71" s="26"/>
      <c r="W71" s="27"/>
      <c r="X71" s="64"/>
    </row>
    <row r="72" spans="15:24" x14ac:dyDescent="0.25">
      <c r="O72" s="25"/>
      <c r="P72" s="26"/>
      <c r="Q72" s="26"/>
      <c r="R72" s="26"/>
      <c r="S72" s="26"/>
      <c r="T72" s="26"/>
      <c r="U72" s="26"/>
      <c r="V72" s="26"/>
      <c r="W72" s="27"/>
      <c r="X72" s="64"/>
    </row>
    <row r="73" spans="15:24" x14ac:dyDescent="0.25">
      <c r="O73" s="25"/>
      <c r="P73" s="26"/>
      <c r="Q73" s="26"/>
      <c r="R73" s="26"/>
      <c r="S73" s="26"/>
      <c r="T73" s="26"/>
      <c r="U73" s="26"/>
      <c r="V73" s="26"/>
      <c r="W73" s="27"/>
      <c r="X73" s="64"/>
    </row>
    <row r="74" spans="15:24" x14ac:dyDescent="0.25">
      <c r="O74" s="25"/>
      <c r="P74" s="26"/>
      <c r="Q74" s="26"/>
      <c r="R74" s="26"/>
      <c r="S74" s="26"/>
      <c r="T74" s="26"/>
      <c r="U74" s="26"/>
      <c r="V74" s="26"/>
      <c r="W74" s="27"/>
      <c r="X74" s="64"/>
    </row>
    <row r="75" spans="15:24" x14ac:dyDescent="0.25">
      <c r="O75" s="25"/>
      <c r="P75" s="26"/>
      <c r="Q75" s="26"/>
      <c r="R75" s="26"/>
      <c r="S75" s="26"/>
      <c r="T75" s="26"/>
      <c r="U75" s="26"/>
      <c r="V75" s="26"/>
      <c r="W75" s="27"/>
      <c r="X75" s="64"/>
    </row>
    <row r="76" spans="15:24" x14ac:dyDescent="0.25">
      <c r="O76" s="25"/>
      <c r="P76" s="26"/>
      <c r="Q76" s="26"/>
      <c r="R76" s="26"/>
      <c r="S76" s="26"/>
      <c r="T76" s="26"/>
      <c r="U76" s="26"/>
      <c r="V76" s="26"/>
      <c r="W76" s="27"/>
      <c r="X76" s="64"/>
    </row>
    <row r="77" spans="15:24" x14ac:dyDescent="0.25">
      <c r="O77" s="25"/>
      <c r="P77" s="26"/>
      <c r="Q77" s="26"/>
      <c r="R77" s="26"/>
      <c r="S77" s="26"/>
      <c r="T77" s="26"/>
      <c r="U77" s="26"/>
      <c r="V77" s="26"/>
      <c r="W77" s="27"/>
      <c r="X77" s="64"/>
    </row>
    <row r="78" spans="15:24" x14ac:dyDescent="0.25">
      <c r="O78" s="25"/>
      <c r="P78" s="26"/>
      <c r="Q78" s="26"/>
      <c r="R78" s="26"/>
      <c r="S78" s="26"/>
      <c r="T78" s="26"/>
      <c r="U78" s="26"/>
      <c r="V78" s="26"/>
      <c r="W78" s="27"/>
      <c r="X78" s="64"/>
    </row>
    <row r="79" spans="15:24" x14ac:dyDescent="0.25">
      <c r="O79" s="25"/>
      <c r="P79" s="26"/>
      <c r="Q79" s="26"/>
      <c r="R79" s="26"/>
      <c r="S79" s="26"/>
      <c r="T79" s="26"/>
      <c r="U79" s="26"/>
      <c r="V79" s="26"/>
      <c r="W79" s="27"/>
      <c r="X79" s="64"/>
    </row>
    <row r="80" spans="15:24" x14ac:dyDescent="0.25">
      <c r="O80" s="25"/>
      <c r="P80" s="26"/>
      <c r="Q80" s="26"/>
      <c r="R80" s="26"/>
      <c r="S80" s="26"/>
      <c r="T80" s="26"/>
      <c r="U80" s="26"/>
      <c r="V80" s="26"/>
      <c r="W80" s="27"/>
      <c r="X80" s="64"/>
    </row>
    <row r="81" spans="15:24" x14ac:dyDescent="0.25">
      <c r="O81" s="25"/>
      <c r="P81" s="26"/>
      <c r="Q81" s="26"/>
      <c r="R81" s="26"/>
      <c r="S81" s="26"/>
      <c r="T81" s="26"/>
      <c r="U81" s="26"/>
      <c r="V81" s="26"/>
      <c r="W81" s="27"/>
      <c r="X81" s="64"/>
    </row>
    <row r="82" spans="15:24" x14ac:dyDescent="0.25">
      <c r="O82" s="25"/>
      <c r="P82" s="26"/>
      <c r="Q82" s="26"/>
      <c r="R82" s="26"/>
      <c r="S82" s="26"/>
      <c r="T82" s="26"/>
      <c r="U82" s="26"/>
      <c r="V82" s="26"/>
      <c r="W82" s="27"/>
      <c r="X82" s="64"/>
    </row>
    <row r="83" spans="15:24" x14ac:dyDescent="0.25">
      <c r="O83" s="25"/>
      <c r="P83" s="26"/>
      <c r="Q83" s="26"/>
      <c r="R83" s="26"/>
      <c r="S83" s="26"/>
      <c r="T83" s="26"/>
      <c r="U83" s="26"/>
      <c r="V83" s="26"/>
      <c r="W83" s="27"/>
      <c r="X83" s="64"/>
    </row>
    <row r="84" spans="15:24" x14ac:dyDescent="0.25">
      <c r="O84" s="25"/>
      <c r="P84" s="26"/>
      <c r="Q84" s="26"/>
      <c r="R84" s="26"/>
      <c r="S84" s="26"/>
      <c r="T84" s="26"/>
      <c r="U84" s="26"/>
      <c r="V84" s="26"/>
      <c r="W84" s="27"/>
      <c r="X84" s="64"/>
    </row>
    <row r="85" spans="15:24" x14ac:dyDescent="0.25">
      <c r="O85" s="25"/>
      <c r="P85" s="26"/>
      <c r="Q85" s="26"/>
      <c r="R85" s="26"/>
      <c r="S85" s="26"/>
      <c r="T85" s="26"/>
      <c r="U85" s="26"/>
      <c r="V85" s="26"/>
      <c r="W85" s="27"/>
      <c r="X85" s="64"/>
    </row>
    <row r="86" spans="15:24" x14ac:dyDescent="0.25">
      <c r="O86" s="25"/>
      <c r="P86" s="26"/>
      <c r="Q86" s="26"/>
      <c r="R86" s="26"/>
      <c r="S86" s="26"/>
      <c r="T86" s="26"/>
      <c r="U86" s="26"/>
      <c r="V86" s="26"/>
      <c r="W86" s="27"/>
      <c r="X86" s="64"/>
    </row>
    <row r="87" spans="15:24" x14ac:dyDescent="0.25">
      <c r="O87" s="25"/>
      <c r="P87" s="26"/>
      <c r="Q87" s="26"/>
      <c r="R87" s="26"/>
      <c r="S87" s="26"/>
      <c r="T87" s="26"/>
      <c r="U87" s="26"/>
      <c r="V87" s="26"/>
      <c r="W87" s="27"/>
      <c r="X87" s="64"/>
    </row>
    <row r="88" spans="15:24" x14ac:dyDescent="0.25">
      <c r="O88" s="25"/>
      <c r="P88" s="26"/>
      <c r="Q88" s="26"/>
      <c r="R88" s="26"/>
      <c r="S88" s="26"/>
      <c r="T88" s="26"/>
      <c r="U88" s="26"/>
      <c r="V88" s="26"/>
      <c r="W88" s="27"/>
      <c r="X88" s="64"/>
    </row>
    <row r="89" spans="15:24" x14ac:dyDescent="0.25">
      <c r="O89" s="25"/>
      <c r="P89" s="26"/>
      <c r="Q89" s="26"/>
      <c r="R89" s="26"/>
      <c r="S89" s="26"/>
      <c r="T89" s="26"/>
      <c r="U89" s="26"/>
      <c r="V89" s="26"/>
      <c r="W89" s="27"/>
      <c r="X89" s="64"/>
    </row>
    <row r="90" spans="15:24" x14ac:dyDescent="0.25">
      <c r="O90" s="25"/>
      <c r="P90" s="26"/>
      <c r="Q90" s="26"/>
      <c r="R90" s="26"/>
      <c r="S90" s="26"/>
      <c r="T90" s="26"/>
      <c r="U90" s="26"/>
      <c r="V90" s="26"/>
      <c r="W90" s="27"/>
      <c r="X90" s="64"/>
    </row>
    <row r="91" spans="15:24" x14ac:dyDescent="0.25">
      <c r="O91" s="25"/>
      <c r="P91" s="26"/>
      <c r="Q91" s="26"/>
      <c r="R91" s="26"/>
      <c r="S91" s="26"/>
      <c r="T91" s="26"/>
      <c r="U91" s="26"/>
      <c r="V91" s="26"/>
      <c r="W91" s="27"/>
      <c r="X91" s="64"/>
    </row>
    <row r="92" spans="15:24" x14ac:dyDescent="0.25">
      <c r="O92" s="25"/>
      <c r="P92" s="26"/>
      <c r="Q92" s="26"/>
      <c r="R92" s="26"/>
      <c r="S92" s="26"/>
      <c r="T92" s="26"/>
      <c r="U92" s="26"/>
      <c r="V92" s="26"/>
      <c r="W92" s="27"/>
      <c r="X92" s="64"/>
    </row>
    <row r="93" spans="15:24" x14ac:dyDescent="0.25">
      <c r="O93" s="25"/>
      <c r="P93" s="26"/>
      <c r="Q93" s="26"/>
      <c r="R93" s="26"/>
      <c r="S93" s="26"/>
      <c r="T93" s="26"/>
      <c r="U93" s="26"/>
      <c r="V93" s="26"/>
      <c r="W93" s="27"/>
      <c r="X93" s="64"/>
    </row>
    <row r="94" spans="15:24" x14ac:dyDescent="0.25">
      <c r="O94" s="25"/>
      <c r="P94" s="26"/>
      <c r="Q94" s="26"/>
      <c r="R94" s="26"/>
      <c r="S94" s="26"/>
      <c r="T94" s="26"/>
      <c r="U94" s="26"/>
      <c r="V94" s="26"/>
      <c r="W94" s="27"/>
      <c r="X94" s="64"/>
    </row>
    <row r="95" spans="15:24" x14ac:dyDescent="0.25">
      <c r="O95" s="25"/>
      <c r="P95" s="26"/>
      <c r="Q95" s="26"/>
      <c r="R95" s="26"/>
      <c r="S95" s="26"/>
      <c r="T95" s="26"/>
      <c r="U95" s="26"/>
      <c r="V95" s="26"/>
      <c r="W95" s="27"/>
      <c r="X95" s="64"/>
    </row>
    <row r="96" spans="15:24" x14ac:dyDescent="0.25">
      <c r="O96" s="25"/>
      <c r="P96" s="26"/>
      <c r="Q96" s="26"/>
      <c r="R96" s="26"/>
      <c r="S96" s="26"/>
      <c r="T96" s="26"/>
      <c r="U96" s="26"/>
      <c r="V96" s="26"/>
      <c r="W96" s="27"/>
      <c r="X96" s="64"/>
    </row>
    <row r="97" spans="15:24" x14ac:dyDescent="0.25">
      <c r="O97" s="25"/>
      <c r="P97" s="26"/>
      <c r="Q97" s="26"/>
      <c r="R97" s="26"/>
      <c r="S97" s="26"/>
      <c r="T97" s="26"/>
      <c r="U97" s="26"/>
      <c r="V97" s="26"/>
      <c r="W97" s="27"/>
      <c r="X97" s="64"/>
    </row>
    <row r="98" spans="15:24" x14ac:dyDescent="0.25">
      <c r="O98" s="25"/>
      <c r="P98" s="26"/>
      <c r="Q98" s="26"/>
      <c r="R98" s="26"/>
      <c r="S98" s="26"/>
      <c r="T98" s="26"/>
      <c r="U98" s="26"/>
      <c r="V98" s="26"/>
      <c r="W98" s="27"/>
      <c r="X98" s="64"/>
    </row>
    <row r="99" spans="15:24" x14ac:dyDescent="0.25">
      <c r="O99" s="25"/>
      <c r="P99" s="26"/>
      <c r="Q99" s="26"/>
      <c r="R99" s="26"/>
      <c r="S99" s="26"/>
      <c r="T99" s="26"/>
      <c r="U99" s="26"/>
      <c r="V99" s="26"/>
      <c r="W99" s="27"/>
      <c r="X99" s="64"/>
    </row>
    <row r="100" spans="15:24" x14ac:dyDescent="0.25">
      <c r="O100" s="25"/>
      <c r="P100" s="26"/>
      <c r="Q100" s="26"/>
      <c r="R100" s="26"/>
      <c r="S100" s="26"/>
      <c r="T100" s="26"/>
      <c r="U100" s="26"/>
      <c r="V100" s="26"/>
      <c r="W100" s="27"/>
      <c r="X100" s="64"/>
    </row>
    <row r="101" spans="15:24" x14ac:dyDescent="0.25">
      <c r="O101" s="25"/>
      <c r="P101" s="26"/>
      <c r="Q101" s="26"/>
      <c r="R101" s="26"/>
      <c r="S101" s="26"/>
      <c r="T101" s="26"/>
      <c r="U101" s="26"/>
      <c r="V101" s="26"/>
      <c r="W101" s="27"/>
      <c r="X101" s="64"/>
    </row>
    <row r="102" spans="15:24" x14ac:dyDescent="0.25">
      <c r="O102" s="25"/>
      <c r="P102" s="26"/>
      <c r="Q102" s="26"/>
      <c r="R102" s="26"/>
      <c r="S102" s="26"/>
      <c r="T102" s="26"/>
      <c r="U102" s="26"/>
      <c r="V102" s="26"/>
      <c r="W102" s="27"/>
      <c r="X102" s="64"/>
    </row>
    <row r="103" spans="15:24" x14ac:dyDescent="0.25">
      <c r="O103" s="25"/>
      <c r="P103" s="26"/>
      <c r="Q103" s="26"/>
      <c r="R103" s="26"/>
      <c r="S103" s="26"/>
      <c r="T103" s="26"/>
      <c r="U103" s="26"/>
      <c r="V103" s="26"/>
      <c r="W103" s="27"/>
      <c r="X103" s="64"/>
    </row>
    <row r="104" spans="15:24" x14ac:dyDescent="0.25">
      <c r="O104" s="25"/>
      <c r="P104" s="26"/>
      <c r="Q104" s="26"/>
      <c r="R104" s="26"/>
      <c r="S104" s="26"/>
      <c r="T104" s="26"/>
      <c r="U104" s="26"/>
      <c r="V104" s="26"/>
      <c r="W104" s="27"/>
      <c r="X104" s="64"/>
    </row>
    <row r="105" spans="15:24" x14ac:dyDescent="0.25">
      <c r="O105" s="25"/>
      <c r="P105" s="26"/>
      <c r="Q105" s="26"/>
      <c r="R105" s="26"/>
      <c r="S105" s="26"/>
      <c r="T105" s="26"/>
      <c r="U105" s="26"/>
      <c r="V105" s="26"/>
      <c r="W105" s="27"/>
      <c r="X105" s="64"/>
    </row>
    <row r="106" spans="15:24" x14ac:dyDescent="0.25">
      <c r="O106" s="25"/>
      <c r="P106" s="26"/>
      <c r="Q106" s="26"/>
      <c r="R106" s="26"/>
      <c r="S106" s="26"/>
      <c r="T106" s="26"/>
      <c r="U106" s="26"/>
      <c r="V106" s="26"/>
      <c r="W106" s="27"/>
      <c r="X106" s="64"/>
    </row>
    <row r="107" spans="15:24" x14ac:dyDescent="0.25">
      <c r="O107" s="25"/>
      <c r="P107" s="26"/>
      <c r="Q107" s="26"/>
      <c r="R107" s="26"/>
      <c r="S107" s="26"/>
      <c r="T107" s="26"/>
      <c r="U107" s="26"/>
      <c r="V107" s="26"/>
      <c r="W107" s="27"/>
      <c r="X107" s="64"/>
    </row>
    <row r="108" spans="15:24" x14ac:dyDescent="0.25">
      <c r="O108" s="25"/>
      <c r="P108" s="26"/>
      <c r="Q108" s="26"/>
      <c r="R108" s="26"/>
      <c r="S108" s="26"/>
      <c r="T108" s="26"/>
      <c r="U108" s="26"/>
      <c r="V108" s="26"/>
      <c r="W108" s="27"/>
      <c r="X108" s="64"/>
    </row>
    <row r="109" spans="15:24" x14ac:dyDescent="0.25">
      <c r="O109" s="25"/>
      <c r="P109" s="26"/>
      <c r="Q109" s="26"/>
      <c r="R109" s="26"/>
      <c r="S109" s="26"/>
      <c r="T109" s="26"/>
      <c r="U109" s="26"/>
      <c r="V109" s="26"/>
      <c r="W109" s="27"/>
      <c r="X109" s="64"/>
    </row>
    <row r="110" spans="15:24" x14ac:dyDescent="0.25">
      <c r="O110" s="25"/>
      <c r="P110" s="26"/>
      <c r="Q110" s="26"/>
      <c r="R110" s="26"/>
      <c r="S110" s="26"/>
      <c r="T110" s="26"/>
      <c r="U110" s="26"/>
      <c r="V110" s="26"/>
      <c r="W110" s="27"/>
      <c r="X110" s="64"/>
    </row>
    <row r="111" spans="15:24" x14ac:dyDescent="0.25">
      <c r="O111" s="25"/>
      <c r="P111" s="26"/>
      <c r="Q111" s="26"/>
      <c r="R111" s="26"/>
      <c r="S111" s="26"/>
      <c r="T111" s="26"/>
      <c r="U111" s="26"/>
      <c r="V111" s="26"/>
      <c r="W111" s="27"/>
      <c r="X111" s="64"/>
    </row>
    <row r="112" spans="15:24" x14ac:dyDescent="0.25">
      <c r="O112" s="25"/>
      <c r="P112" s="26"/>
      <c r="Q112" s="26"/>
      <c r="R112" s="26"/>
      <c r="S112" s="26"/>
      <c r="T112" s="26"/>
      <c r="U112" s="26"/>
      <c r="V112" s="26"/>
      <c r="W112" s="27"/>
      <c r="X112" s="64"/>
    </row>
    <row r="113" spans="15:24" x14ac:dyDescent="0.25">
      <c r="O113" s="25"/>
      <c r="P113" s="26"/>
      <c r="Q113" s="26"/>
      <c r="R113" s="26"/>
      <c r="S113" s="26"/>
      <c r="T113" s="26"/>
      <c r="U113" s="26"/>
      <c r="V113" s="26"/>
      <c r="W113" s="27"/>
      <c r="X113" s="64"/>
    </row>
    <row r="114" spans="15:24" x14ac:dyDescent="0.25">
      <c r="O114" s="25"/>
      <c r="P114" s="26"/>
      <c r="Q114" s="26"/>
      <c r="R114" s="26"/>
      <c r="S114" s="26"/>
      <c r="T114" s="26"/>
      <c r="U114" s="26"/>
      <c r="V114" s="26"/>
      <c r="W114" s="27"/>
      <c r="X114" s="64"/>
    </row>
    <row r="115" spans="15:24" x14ac:dyDescent="0.25">
      <c r="O115" s="25"/>
      <c r="P115" s="26"/>
      <c r="Q115" s="26"/>
      <c r="R115" s="26"/>
      <c r="S115" s="26"/>
      <c r="T115" s="26"/>
      <c r="U115" s="26"/>
      <c r="V115" s="26"/>
      <c r="W115" s="27"/>
      <c r="X115" s="64"/>
    </row>
    <row r="116" spans="15:24" x14ac:dyDescent="0.25">
      <c r="O116" s="25"/>
      <c r="P116" s="26"/>
      <c r="Q116" s="26"/>
      <c r="R116" s="26"/>
      <c r="S116" s="26"/>
      <c r="T116" s="26"/>
      <c r="U116" s="26"/>
      <c r="V116" s="26"/>
      <c r="W116" s="27"/>
      <c r="X116" s="64"/>
    </row>
    <row r="117" spans="15:24" x14ac:dyDescent="0.25">
      <c r="O117" s="25"/>
      <c r="P117" s="26"/>
      <c r="Q117" s="26"/>
      <c r="R117" s="26"/>
      <c r="S117" s="26"/>
      <c r="T117" s="26"/>
      <c r="U117" s="26"/>
      <c r="V117" s="26"/>
      <c r="W117" s="27"/>
      <c r="X117" s="64"/>
    </row>
  </sheetData>
  <autoFilter ref="A10:AD10" xr:uid="{C397BE88-AA2D-467A-988A-B96C9D4BC7C8}"/>
  <conditionalFormatting sqref="A1:AD1 B2:AD2 A3:AD7">
    <cfRule type="expression" dxfId="2" priority="4">
      <formula>$I1&lt;&gt;""</formula>
    </cfRule>
  </conditionalFormatting>
  <conditionalFormatting sqref="A9:AD1048576">
    <cfRule type="expression" dxfId="1" priority="1">
      <formula>$I9&lt;&gt;""</formula>
    </cfRule>
  </conditionalFormatting>
  <conditionalFormatting sqref="P8">
    <cfRule type="expression" dxfId="0" priority="3">
      <formula>$D8&lt;&gt;""</formula>
    </cfRule>
  </conditionalFormatting>
  <pageMargins left="0.7" right="0.7" top="0.75" bottom="0.75" header="0.3" footer="0.3"/>
  <pageSetup paperSize="8" scale="56" orientation="portrait" r:id="rId1"/>
  <drawing r:id="rId2"/>
  <legacyDrawing r:id="rId3"/>
  <controls>
    <mc:AlternateContent xmlns:mc="http://schemas.openxmlformats.org/markup-compatibility/2006">
      <mc:Choice Requires="x14">
        <control shapeId="8193" r:id="rId4" name="CommandButton1">
          <controlPr defaultSize="0" autoFill="0" autoLine="0" r:id="rId5">
            <anchor moveWithCells="1">
              <from>
                <xdr:col>24</xdr:col>
                <xdr:colOff>323850</xdr:colOff>
                <xdr:row>0</xdr:row>
                <xdr:rowOff>47625</xdr:rowOff>
              </from>
              <to>
                <xdr:col>25</xdr:col>
                <xdr:colOff>409575</xdr:colOff>
                <xdr:row>1</xdr:row>
                <xdr:rowOff>123825</xdr:rowOff>
              </to>
            </anchor>
          </controlPr>
        </control>
      </mc:Choice>
      <mc:Fallback>
        <control shapeId="8193" r:id="rId4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List chi tiet</vt:lpstr>
      <vt:lpstr>Phieu vat tu</vt:lpstr>
      <vt:lpstr>Hao hut vat tu</vt:lpstr>
      <vt:lpstr>LSX-VT</vt:lpstr>
      <vt:lpstr> </vt:lpstr>
      <vt:lpstr>' '!Print_Area</vt:lpstr>
      <vt:lpstr>'Hao hut vat tu'!Print_Area</vt:lpstr>
      <vt:lpstr>'List chi tiet'!Print_Area</vt:lpstr>
      <vt:lpstr>'LSX-VT'!Print_Area</vt:lpstr>
      <vt:lpstr>'Phieu vat tu'!Print_Area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Bao, Phan Thanh - Nesting</dc:creator>
  <cp:lastModifiedBy>Huy, Vo Le - Nesting</cp:lastModifiedBy>
  <cp:lastPrinted>2026-04-11T01:27:09Z</cp:lastPrinted>
  <dcterms:created xsi:type="dcterms:W3CDTF">2026-04-10T09:06:08Z</dcterms:created>
  <dcterms:modified xsi:type="dcterms:W3CDTF">2026-09-18T11:09:30Z</dcterms:modified>
</cp:coreProperties>
</file>