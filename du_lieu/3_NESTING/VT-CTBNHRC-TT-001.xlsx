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3-KTSX-BPGC\.NESTING-CNC-DDC\19-TCTN.DVT.26.007N-CẢI TẠO NỀN BÃI HRC\01-VT-CTNBHRC-TT-001\01-REV00\"/>
    </mc:Choice>
  </mc:AlternateContent>
  <xr:revisionPtr revIDLastSave="0" documentId="13_ncr:1_{4D7B4438-03B8-4F26-A5B6-2B82F8C43ECD}" xr6:coauthVersionLast="47" xr6:coauthVersionMax="47" xr10:uidLastSave="{00000000-0000-0000-0000-000000000000}"/>
  <bookViews>
    <workbookView xWindow="-120" yWindow="-120" windowWidth="29040" windowHeight="15720" activeTab="1" xr2:uid="{53E759CF-5483-4916-9B90-A1F44AC319E1}"/>
  </bookViews>
  <sheets>
    <sheet name="List chi tiet" sheetId="1" r:id="rId1"/>
    <sheet name="Phieu vat tu" sheetId="2" r:id="rId2"/>
    <sheet name="Hao hut vat tu" sheetId="3" r:id="rId3"/>
    <sheet name="LSX-VT" sheetId="4" r:id="rId4"/>
    <sheet name="SAP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I8" i="4"/>
  <c r="H8" i="4"/>
  <c r="P11" i="4"/>
  <c r="AB11" i="4"/>
  <c r="P12" i="4"/>
  <c r="AB12" i="4"/>
  <c r="P13" i="4"/>
  <c r="AB13" i="4"/>
  <c r="P14" i="4"/>
  <c r="AB14" i="4"/>
  <c r="P15" i="4"/>
  <c r="AB15" i="4"/>
  <c r="C5" i="4"/>
  <c r="C3" i="4"/>
  <c r="K10" i="3"/>
  <c r="K9" i="3"/>
  <c r="K8" i="3"/>
  <c r="K7" i="3"/>
  <c r="K6" i="3"/>
  <c r="K5" i="3"/>
  <c r="K4" i="3"/>
  <c r="K3" i="3"/>
  <c r="K2" i="3"/>
  <c r="O17" i="3"/>
  <c r="L17" i="3"/>
  <c r="K17" i="3"/>
  <c r="H17" i="3"/>
  <c r="P17" i="3"/>
  <c r="J17" i="3"/>
  <c r="I17" i="3"/>
  <c r="G17" i="3"/>
  <c r="F17" i="3"/>
  <c r="E17" i="3"/>
  <c r="D17" i="3"/>
  <c r="H13" i="3"/>
  <c r="I13" i="3"/>
  <c r="J13" i="3"/>
  <c r="K13" i="3"/>
  <c r="L13" i="3"/>
  <c r="O13" i="3"/>
  <c r="H14" i="3"/>
  <c r="I14" i="3"/>
  <c r="J14" i="3"/>
  <c r="K14" i="3" s="1"/>
  <c r="O14" i="3"/>
  <c r="H15" i="3"/>
  <c r="I15" i="3"/>
  <c r="J15" i="3"/>
  <c r="K15" i="3"/>
  <c r="L15" i="3"/>
  <c r="O15" i="3"/>
  <c r="H16" i="3"/>
  <c r="I16" i="3"/>
  <c r="J16" i="3"/>
  <c r="K16" i="3"/>
  <c r="L16" i="3"/>
  <c r="O16" i="3"/>
  <c r="C3" i="3"/>
  <c r="C2" i="3"/>
  <c r="K1" i="3"/>
  <c r="C1" i="3"/>
  <c r="T3" i="2"/>
  <c r="S3" i="2"/>
  <c r="R3" i="2"/>
  <c r="Q3" i="2"/>
  <c r="P3" i="2"/>
  <c r="N3" i="2"/>
  <c r="M3" i="2"/>
  <c r="B5" i="2"/>
  <c r="D5" i="2"/>
  <c r="Q5" i="2"/>
  <c r="R5" i="2"/>
  <c r="U5" i="2"/>
  <c r="T5" i="2" s="1"/>
  <c r="X5" i="2"/>
  <c r="B6" i="2"/>
  <c r="D6" i="2"/>
  <c r="Q6" i="2"/>
  <c r="R6" i="2"/>
  <c r="U6" i="2"/>
  <c r="T6" i="2" s="1"/>
  <c r="X6" i="2"/>
  <c r="B7" i="2"/>
  <c r="D7" i="2"/>
  <c r="Q7" i="2"/>
  <c r="R7" i="2"/>
  <c r="U7" i="2"/>
  <c r="T7" i="2" s="1"/>
  <c r="X7" i="2"/>
  <c r="B8" i="2"/>
  <c r="D8" i="2"/>
  <c r="Q8" i="2"/>
  <c r="R8" i="2"/>
  <c r="U8" i="2"/>
  <c r="T8" i="2" s="1"/>
  <c r="X8" i="2"/>
  <c r="L4" i="1"/>
  <c r="J4" i="1"/>
  <c r="H4" i="1"/>
  <c r="V6" i="1"/>
  <c r="Z6" i="1"/>
  <c r="V7" i="1"/>
  <c r="Z7" i="1"/>
  <c r="V8" i="1"/>
  <c r="Z8" i="1"/>
  <c r="V9" i="1"/>
  <c r="Z9" i="1"/>
  <c r="V10" i="1"/>
  <c r="Z10" i="1"/>
  <c r="L14" i="3" l="1"/>
</calcChain>
</file>

<file path=xl/sharedStrings.xml><?xml version="1.0" encoding="utf-8"?>
<sst xmlns="http://schemas.openxmlformats.org/spreadsheetml/2006/main" count="378" uniqueCount="196">
  <si>
    <t>LIST CHI TIẾT CẤU KIỆN</t>
  </si>
  <si>
    <t>Tên Công Trình: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</si>
  <si>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</si>
  <si>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</si>
  <si>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</si>
  <si>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</si>
  <si>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</si>
  <si>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</si>
  <si>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</si>
  <si>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</si>
  <si>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</si>
  <si>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</si>
  <si>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</si>
  <si>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</si>
  <si>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</si>
  <si>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</si>
  <si>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</si>
  <si>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</si>
  <si>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</si>
  <si>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</si>
  <si>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</si>
  <si>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</si>
  <si>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</si>
  <si>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</si>
  <si>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</si>
  <si>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</si>
  <si>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</si>
  <si>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</si>
  <si>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</si>
  <si>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</si>
  <si>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</si>
  <si>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NEST PAGE NO</t>
  </si>
  <si>
    <t>LP1-CL1-C</t>
  </si>
  <si>
    <t>A572</t>
  </si>
  <si>
    <t>PL3x77x250</t>
  </si>
  <si>
    <t>PL3x1488x2042</t>
  </si>
  <si>
    <t>VT-CTNBHRC-TT-001-A572-SP3-001</t>
  </si>
  <si>
    <t>X</t>
  </si>
  <si>
    <t>30/09/2026</t>
  </si>
  <si>
    <t>REV0</t>
  </si>
  <si>
    <t>TAN DUNG</t>
  </si>
  <si>
    <t>VT-TCTN.DVT.26.007-Z01-001</t>
  </si>
  <si>
    <t>BE1-W1</t>
  </si>
  <si>
    <t>PL8x376x543</t>
  </si>
  <si>
    <t>PL8x758x1092</t>
  </si>
  <si>
    <t>VT-CTNBHRC-TT-001-A572-SP8-001</t>
  </si>
  <si>
    <t>VT-TCTN.DVT.26.007-Z01-002</t>
  </si>
  <si>
    <t>LP2-PH1-K</t>
  </si>
  <si>
    <t>PL12x120x250</t>
  </si>
  <si>
    <t>PL12x1460x3485</t>
  </si>
  <si>
    <t>VT-CTNBHRC-TT-001-A572-SP12-001</t>
  </si>
  <si>
    <t>K</t>
  </si>
  <si>
    <t>VT-TCTN.DVT.26.007-Z01-003</t>
  </si>
  <si>
    <t>BE1-FL1</t>
  </si>
  <si>
    <t>PL12x200x543</t>
  </si>
  <si>
    <t>BE1-EP1-K</t>
  </si>
  <si>
    <t>PL16x250x420</t>
  </si>
  <si>
    <t>PL16x506x846</t>
  </si>
  <si>
    <t>VT-CTNBHRC-TT-001-A572-SP16-001</t>
  </si>
  <si>
    <t>VT-TCTN.DVT.26.007-Z01-004</t>
  </si>
  <si>
    <t>Phiếu Yêu Cầu Vật Tư - VT-CTNBHRC-TT-001</t>
  </si>
  <si>
    <t>No
STT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</si>
  <si>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</si>
  <si>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</si>
  <si>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</si>
  <si>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</si>
  <si>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</si>
  <si>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</si>
  <si>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</si>
  <si>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</si>
  <si>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</si>
  <si>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</si>
  <si>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</si>
  <si>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</si>
  <si>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</si>
  <si>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Nguồn Gốc
Vật Tư</t>
  </si>
  <si>
    <t>Khối Lượng
Thành Phẩm</t>
  </si>
  <si>
    <t>Lệnh Xuất Vật Tư
Nguyên Khổ (kg)</t>
  </si>
  <si>
    <t>Lệnh Xuất 
Remain (kg)</t>
  </si>
  <si>
    <t>Lệnh Thu
Remain (kg)</t>
  </si>
  <si>
    <t>Lệnh Thu
Phế Liệu (kg)</t>
  </si>
  <si>
    <t>Phế Liệu Tiêu Hao
(Không Thu Hồi) (kg)</t>
  </si>
  <si>
    <t>Lần
Ban
Hành</t>
  </si>
  <si>
    <t>Lệnh Sản Xuất</t>
  </si>
  <si>
    <t>REV</t>
  </si>
  <si>
    <t>NGƯỜI BAN HÀNH</t>
  </si>
  <si>
    <t>PLATE</t>
  </si>
  <si>
    <t>3x1488x2042</t>
  </si>
  <si>
    <t>Pcs</t>
  </si>
  <si>
    <t>VT-CTNBHRC-TT-001</t>
  </si>
  <si>
    <t>NGUYEN SONG HUONG</t>
  </si>
  <si>
    <t>8x758x1092</t>
  </si>
  <si>
    <t>12x1460x3485</t>
  </si>
  <si>
    <t>16x506x846</t>
  </si>
  <si>
    <t>Thông Tin Dự Án</t>
  </si>
  <si>
    <t>Số Liệu Trung Bình Cho Dự Án</t>
  </si>
  <si>
    <t>ĐVT</t>
  </si>
  <si>
    <t>Project:</t>
  </si>
  <si>
    <t>Phase:</t>
  </si>
  <si>
    <t>OMS:</t>
  </si>
  <si>
    <t>Nesting:</t>
  </si>
  <si>
    <t>LSX: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</si>
  <si>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</si>
  <si>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</si>
  <si>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</si>
  <si>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</si>
  <si>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</si>
  <si>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</si>
  <si>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</si>
  <si>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</si>
  <si>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</si>
  <si>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%Remain</t>
  </si>
  <si>
    <t>Tiêu Hao (kg)</t>
  </si>
  <si>
    <t>Phế Liệu(Waste)</t>
  </si>
  <si>
    <t>%Phế Liệu</t>
  </si>
  <si>
    <t>%Hao Hụt</t>
  </si>
  <si>
    <t>LSX</t>
  </si>
  <si>
    <t>Lần B.Hành</t>
  </si>
  <si>
    <t>TỔNG CHIỀU DÀI ĐƯỜNG CẮT</t>
  </si>
  <si>
    <t>PL3</t>
  </si>
  <si>
    <t>PL8</t>
  </si>
  <si>
    <t>PL12</t>
  </si>
  <si>
    <t>PL16</t>
  </si>
  <si>
    <t>Total</t>
  </si>
  <si>
    <t>Tổng Thành Phẩm (Total Nesting) :</t>
  </si>
  <si>
    <t>kg</t>
  </si>
  <si>
    <t>Tổng Tấm Mới Cấp Vào (New Plate) :</t>
  </si>
  <si>
    <t>Tổng Remain Cấp Vào (Remain In) :</t>
  </si>
  <si>
    <t>Tổng Remain Sinh Ra (Remain Out):</t>
  </si>
  <si>
    <t>% Remain:</t>
  </si>
  <si>
    <t>%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</si>
  <si>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</si>
  <si>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</si>
  <si>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</si>
  <si>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</si>
  <si>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</si>
  <si>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</si>
  <si>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</si>
  <si>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</si>
  <si>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</si>
  <si>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</si>
  <si>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</si>
  <si>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</si>
  <si>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</si>
  <si>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</si>
  <si>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</si>
  <si>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</si>
  <si>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</si>
  <si>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</si>
  <si>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</si>
  <si>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</si>
  <si>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</si>
  <si>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</si>
  <si>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</si>
  <si>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</si>
  <si>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</si>
  <si>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</si>
  <si>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</si>
  <si>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</si>
  <si>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</si>
  <si>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</si>
  <si>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</si>
  <si>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</si>
  <si>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</si>
  <si>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Lần Ban
Hành</t>
  </si>
  <si>
    <t>Ngày B.hành</t>
  </si>
  <si>
    <t>NESTING</t>
  </si>
  <si>
    <t>SC</t>
  </si>
  <si>
    <t>Lệnh cấp phát và thu hồi VT  Prd Order ZP02 (*)</t>
  </si>
  <si>
    <t>Mã vật tư (*)</t>
  </si>
  <si>
    <t>Tên vật tư</t>
  </si>
  <si>
    <t>Lô</t>
  </si>
  <si>
    <t>KL yêu cầu xuất kho/ thu hồi (*)</t>
  </si>
  <si>
    <t>Nhà máy xuất (*)</t>
  </si>
  <si>
    <t>Kho xuất (*)</t>
  </si>
  <si>
    <t>Đã hoàn thành cấp/ thu hồi  (Chỉ khai báo nếu chọn phương án thu thập KL đã xuất/ thu hồi)</t>
  </si>
  <si>
    <t>Xưởng nhận (*)</t>
  </si>
  <si>
    <t>"Mã sơ đồ cắt  Cutting Plan (*)"</t>
  </si>
  <si>
    <t>Lệnh sản xuất</t>
  </si>
  <si>
    <t>Dự án</t>
  </si>
  <si>
    <t>Ngày Up SDC</t>
  </si>
  <si>
    <t>Người Up SDC</t>
  </si>
  <si>
    <t>Tồn Thép</t>
  </si>
  <si>
    <t>Mác Thép</t>
  </si>
  <si>
    <t>Hao hụt đường cắt  Scrap</t>
  </si>
  <si>
    <t>KL phế liệu thu hồi  By - Product</t>
  </si>
  <si>
    <t>Khối lượng lỡ cỡ phải thu hồi  Off - cut GI</t>
  </si>
  <si>
    <t>GHI CHÚ</t>
  </si>
  <si>
    <t>Tình Trạng</t>
  </si>
  <si>
    <t>Bom item</t>
  </si>
  <si>
    <t>SCVT1</t>
  </si>
  <si>
    <t>Thép tấm lỡ cỡ cường độ Cao</t>
  </si>
  <si>
    <t>KG</t>
  </si>
  <si>
    <t xml:space="preserve"> TCTN.DVT.26.007N-CẢI TẠO NỀN BÃI HRC</t>
  </si>
  <si>
    <t>CÃI TẠO NỀN BÃI HRC</t>
  </si>
  <si>
    <t xml:space="preserve"> TCTN.DVT.26.007N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</si>
</sst>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&quot;-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Continuous" vertical="center"/>
    </xf>
    <xf numFmtId="0" fontId="1" fillId="0" borderId="0" xfId="0" applyFont="1"/>
    <xf numFmtId="0" fontId="1" fillId="3" borderId="1" xfId="0" applyFont="1" applyFill="1" applyBorder="1"/>
    <xf numFmtId="0" fontId="0" fillId="0" borderId="0" xfId="0" quotePrefix="1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6" borderId="1" xfId="0" applyFont="1" applyFill="1" applyBorder="1"/>
    <xf numFmtId="164" fontId="0" fillId="0" borderId="1" xfId="0" applyNumberFormat="1" applyBorder="1"/>
    <xf numFmtId="10" fontId="0" fillId="0" borderId="1" xfId="0" applyNumberFormat="1" applyBorder="1"/>
    <xf numFmtId="0" fontId="4" fillId="0" borderId="0" xfId="0" applyFont="1"/>
    <xf numFmtId="0" fontId="1" fillId="0" borderId="1" xfId="0" applyFont="1" applyBorder="1"/>
    <xf numFmtId="0" fontId="3" fillId="0" borderId="1" xfId="0" applyFont="1" applyBorder="1"/>
    <xf numFmtId="10" fontId="3" fillId="0" borderId="1" xfId="0" applyNumberFormat="1" applyFont="1" applyBorder="1"/>
    <xf numFmtId="10" fontId="1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centerContinuous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4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FF48-59D6-45D9-807D-1FE1F2708263}">
  <sheetPr>
    <pageSetUpPr fitToPage="1"/>
  </sheetPr>
  <dimension ref="A1:AC10"/>
  <sheetViews>
    <sheetView workbookViewId="0">
      <pane ySplit="5" topLeftCell="A6" activePane="bottomLeft" state="frozenSplit"/>
      <selection pane="bottomLeft" activeCell="B3" sqref="B3"/>
    </sheetView>
  </sheetViews>
  <sheetFormatPr defaultRowHeight="15" x14ac:dyDescent="0.25"/>
  <cols>
    <col min="1" max="1" width="14.7109375" bestFit="1" customWidth="1"/>
    <col min="2" max="2" width="10.85546875" bestFit="1" customWidth="1"/>
    <col min="3" max="3" width="9.28515625" bestFit="1" customWidth="1"/>
    <col min="4" max="4" width="13.5703125" bestFit="1" customWidth="1"/>
    <col min="5" max="5" width="4.28515625" bestFit="1" customWidth="1"/>
    <col min="6" max="6" width="5.42578125" bestFit="1" customWidth="1"/>
    <col min="7" max="7" width="4" bestFit="1" customWidth="1"/>
    <col min="8" max="8" width="4.140625" bestFit="1" customWidth="1"/>
    <col min="9" max="9" width="9.5703125" bestFit="1" customWidth="1"/>
    <col min="10" max="10" width="7.7109375" bestFit="1" customWidth="1"/>
    <col min="11" max="11" width="15.5703125" bestFit="1" customWidth="1"/>
    <col min="12" max="12" width="33" bestFit="1" customWidth="1"/>
    <col min="13" max="13" width="7.42578125" bestFit="1" customWidth="1"/>
    <col min="14" max="14" width="6.5703125" bestFit="1" customWidth="1"/>
    <col min="15" max="15" width="5.42578125" bestFit="1" customWidth="1"/>
    <col min="16" max="16" width="8.42578125" bestFit="1" customWidth="1"/>
    <col min="17" max="17" width="7.140625" bestFit="1" customWidth="1"/>
    <col min="18" max="18" width="12.140625" bestFit="1" customWidth="1"/>
    <col min="19" max="19" width="5.42578125" bestFit="1" customWidth="1"/>
    <col min="20" max="21" width="6.42578125" bestFit="1" customWidth="1"/>
    <col min="22" max="22" width="9.85546875" bestFit="1" customWidth="1"/>
    <col min="23" max="23" width="3.140625" bestFit="1" customWidth="1"/>
    <col min="24" max="24" width="4" bestFit="1" customWidth="1"/>
    <col min="25" max="25" width="3.28515625" bestFit="1" customWidth="1"/>
    <col min="26" max="26" width="9.7109375" bestFit="1" customWidth="1"/>
    <col min="27" max="27" width="17.28515625" bestFit="1" customWidth="1"/>
    <col min="29" max="29" width="26.85546875" bestFit="1" customWidth="1"/>
  </cols>
  <sheetData>
    <row r="1" spans="1:29" ht="23.25" x14ac:dyDescent="0.25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ht="23.25" x14ac:dyDescent="0.25">
      <c r="A2" t="s">
        <v>1</v>
      </c>
      <c r="B2" s="27" t="s">
        <v>193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9" x14ac:dyDescent="0.25">
      <c r="A3" t="s">
        <v>2</v>
      </c>
      <c r="B3" s="27" t="s">
        <v>195</v>
      </c>
    </row>
    <row r="4" spans="1:29" x14ac:dyDescent="0.25">
      <c r="A4" t="s">
        <v>3</v>
      </c>
      <c r="B4" s="27" t="s">
        <v>194</v>
      </c>
      <c r="H4" s="9">
        <f>SUBTOTAL(9, H6:H10)</f>
        <v>264</v>
      </c>
      <c r="J4" s="9">
        <f>SUBTOTAL(9, J6:J10)</f>
        <v>557.1</v>
      </c>
      <c r="L4" s="9">
        <f>SUBTOTAL(3, L6:L10)</f>
        <v>5</v>
      </c>
    </row>
    <row r="5" spans="1:29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/>
      <c r="AC5" s="3" t="s">
        <v>31</v>
      </c>
    </row>
    <row r="6" spans="1:29" x14ac:dyDescent="0.25">
      <c r="A6" s="5">
        <v>1</v>
      </c>
      <c r="B6" s="5" t="s">
        <v>32</v>
      </c>
      <c r="C6" s="5" t="s">
        <v>33</v>
      </c>
      <c r="D6" s="5" t="s">
        <v>34</v>
      </c>
      <c r="E6" s="5">
        <v>3</v>
      </c>
      <c r="F6" s="5">
        <v>77</v>
      </c>
      <c r="G6" s="5">
        <v>250</v>
      </c>
      <c r="H6" s="5">
        <v>128</v>
      </c>
      <c r="I6" s="5">
        <v>0.45</v>
      </c>
      <c r="J6" s="5">
        <v>58.03</v>
      </c>
      <c r="K6" s="5" t="s">
        <v>35</v>
      </c>
      <c r="L6" s="5" t="s">
        <v>36</v>
      </c>
      <c r="M6" s="7"/>
      <c r="N6" s="7"/>
      <c r="O6" s="7" t="s">
        <v>37</v>
      </c>
      <c r="P6" s="7"/>
      <c r="Q6" s="7">
        <v>1</v>
      </c>
      <c r="R6" s="8" t="s">
        <v>38</v>
      </c>
      <c r="S6" s="7"/>
      <c r="T6" s="7" t="s">
        <v>39</v>
      </c>
      <c r="U6" s="7"/>
      <c r="V6" s="7" t="str">
        <f>IF(LEN($B$3)=0,"",$B$3)</f>
        <v xml:space="preserve"> TCTN.DVT.26.007N</v>
      </c>
      <c r="W6" s="7"/>
      <c r="X6" s="7"/>
      <c r="Y6" s="7"/>
      <c r="Z6" s="7" t="str">
        <f>IF(LEN($B$4)=0,"",$B$4)</f>
        <v>CÃI TẠO NỀN BÃI HRC</v>
      </c>
      <c r="AA6" s="7" t="s">
        <v>40</v>
      </c>
      <c r="AB6" s="7"/>
      <c r="AC6" s="7" t="s">
        <v>41</v>
      </c>
    </row>
    <row r="7" spans="1:29" x14ac:dyDescent="0.25">
      <c r="A7" s="5">
        <v>2</v>
      </c>
      <c r="B7" s="5" t="s">
        <v>42</v>
      </c>
      <c r="C7" s="5" t="s">
        <v>33</v>
      </c>
      <c r="D7" s="5" t="s">
        <v>43</v>
      </c>
      <c r="E7" s="5">
        <v>8</v>
      </c>
      <c r="F7" s="5">
        <v>376</v>
      </c>
      <c r="G7" s="5">
        <v>543</v>
      </c>
      <c r="H7" s="5">
        <v>4</v>
      </c>
      <c r="I7" s="5">
        <v>9.6199999999999992</v>
      </c>
      <c r="J7" s="5">
        <v>38.47</v>
      </c>
      <c r="K7" s="5" t="s">
        <v>44</v>
      </c>
      <c r="L7" s="5" t="s">
        <v>45</v>
      </c>
      <c r="M7" s="7"/>
      <c r="N7" s="7"/>
      <c r="O7" s="7"/>
      <c r="P7" s="7"/>
      <c r="Q7" s="7">
        <v>1</v>
      </c>
      <c r="R7" s="8" t="s">
        <v>38</v>
      </c>
      <c r="S7" s="7"/>
      <c r="T7" s="7" t="s">
        <v>39</v>
      </c>
      <c r="U7" s="7"/>
      <c r="V7" s="7" t="str">
        <f>IF(LEN($B$3)=0,"",$B$3)</f>
        <v xml:space="preserve"> TCTN.DVT.26.007N</v>
      </c>
      <c r="W7" s="7"/>
      <c r="X7" s="7"/>
      <c r="Y7" s="7" t="s">
        <v>37</v>
      </c>
      <c r="Z7" s="7" t="str">
        <f>IF(LEN($B$4)=0,"",$B$4)</f>
        <v>CÃI TẠO NỀN BÃI HRC</v>
      </c>
      <c r="AA7" s="7" t="s">
        <v>40</v>
      </c>
      <c r="AB7" s="7"/>
      <c r="AC7" s="7" t="s">
        <v>46</v>
      </c>
    </row>
    <row r="8" spans="1:29" x14ac:dyDescent="0.25">
      <c r="A8" s="5">
        <v>3</v>
      </c>
      <c r="B8" s="5" t="s">
        <v>47</v>
      </c>
      <c r="C8" s="5" t="s">
        <v>33</v>
      </c>
      <c r="D8" s="5" t="s">
        <v>48</v>
      </c>
      <c r="E8" s="5">
        <v>12</v>
      </c>
      <c r="F8" s="5">
        <v>120</v>
      </c>
      <c r="G8" s="5">
        <v>250</v>
      </c>
      <c r="H8" s="5">
        <v>120</v>
      </c>
      <c r="I8" s="5">
        <v>2.73</v>
      </c>
      <c r="J8" s="5">
        <v>327.10000000000002</v>
      </c>
      <c r="K8" s="5" t="s">
        <v>49</v>
      </c>
      <c r="L8" s="5" t="s">
        <v>50</v>
      </c>
      <c r="M8" s="7"/>
      <c r="N8" s="7" t="s">
        <v>51</v>
      </c>
      <c r="O8" s="7"/>
      <c r="P8" s="7"/>
      <c r="Q8" s="7">
        <v>1</v>
      </c>
      <c r="R8" s="8" t="s">
        <v>38</v>
      </c>
      <c r="S8" s="7"/>
      <c r="T8" s="7" t="s">
        <v>39</v>
      </c>
      <c r="U8" s="7"/>
      <c r="V8" s="7" t="str">
        <f>IF(LEN($B$3)=0,"",$B$3)</f>
        <v xml:space="preserve"> TCTN.DVT.26.007N</v>
      </c>
      <c r="W8" s="7"/>
      <c r="X8" s="7" t="s">
        <v>37</v>
      </c>
      <c r="Y8" s="7"/>
      <c r="Z8" s="7" t="str">
        <f>IF(LEN($B$4)=0,"",$B$4)</f>
        <v>CÃI TẠO NỀN BÃI HRC</v>
      </c>
      <c r="AA8" s="7" t="s">
        <v>40</v>
      </c>
      <c r="AB8" s="7"/>
      <c r="AC8" s="7" t="s">
        <v>52</v>
      </c>
    </row>
    <row r="9" spans="1:29" x14ac:dyDescent="0.25">
      <c r="A9" s="5">
        <v>4</v>
      </c>
      <c r="B9" s="5" t="s">
        <v>53</v>
      </c>
      <c r="C9" s="5" t="s">
        <v>33</v>
      </c>
      <c r="D9" s="5" t="s">
        <v>54</v>
      </c>
      <c r="E9" s="5">
        <v>12</v>
      </c>
      <c r="F9" s="5">
        <v>200</v>
      </c>
      <c r="G9" s="5">
        <v>543</v>
      </c>
      <c r="H9" s="5">
        <v>8</v>
      </c>
      <c r="I9" s="5">
        <v>10.220000000000001</v>
      </c>
      <c r="J9" s="5">
        <v>81.8</v>
      </c>
      <c r="K9" s="5" t="s">
        <v>49</v>
      </c>
      <c r="L9" s="5" t="s">
        <v>50</v>
      </c>
      <c r="M9" s="7"/>
      <c r="N9" s="7"/>
      <c r="O9" s="7"/>
      <c r="P9" s="7"/>
      <c r="Q9" s="7">
        <v>1</v>
      </c>
      <c r="R9" s="8" t="s">
        <v>38</v>
      </c>
      <c r="S9" s="7"/>
      <c r="T9" s="7" t="s">
        <v>39</v>
      </c>
      <c r="U9" s="7"/>
      <c r="V9" s="7" t="str">
        <f>IF(LEN($B$3)=0,"",$B$3)</f>
        <v xml:space="preserve"> TCTN.DVT.26.007N</v>
      </c>
      <c r="W9" s="7"/>
      <c r="X9" s="7"/>
      <c r="Y9" s="7" t="s">
        <v>37</v>
      </c>
      <c r="Z9" s="7" t="str">
        <f>IF(LEN($B$4)=0,"",$B$4)</f>
        <v>CÃI TẠO NỀN BÃI HRC</v>
      </c>
      <c r="AA9" s="7" t="s">
        <v>40</v>
      </c>
      <c r="AB9" s="7"/>
      <c r="AC9" s="7" t="s">
        <v>52</v>
      </c>
    </row>
    <row r="10" spans="1:29" x14ac:dyDescent="0.25">
      <c r="A10" s="5">
        <v>5</v>
      </c>
      <c r="B10" s="5" t="s">
        <v>55</v>
      </c>
      <c r="C10" s="5" t="s">
        <v>33</v>
      </c>
      <c r="D10" s="5" t="s">
        <v>56</v>
      </c>
      <c r="E10" s="5">
        <v>16</v>
      </c>
      <c r="F10" s="5">
        <v>250</v>
      </c>
      <c r="G10" s="5">
        <v>420</v>
      </c>
      <c r="H10" s="5">
        <v>4</v>
      </c>
      <c r="I10" s="5">
        <v>12.92</v>
      </c>
      <c r="J10" s="5">
        <v>51.7</v>
      </c>
      <c r="K10" s="5" t="s">
        <v>57</v>
      </c>
      <c r="L10" s="5" t="s">
        <v>58</v>
      </c>
      <c r="M10" s="7"/>
      <c r="N10" s="7" t="s">
        <v>51</v>
      </c>
      <c r="O10" s="7"/>
      <c r="P10" s="7"/>
      <c r="Q10" s="7">
        <v>1</v>
      </c>
      <c r="R10" s="8" t="s">
        <v>38</v>
      </c>
      <c r="S10" s="7"/>
      <c r="T10" s="7" t="s">
        <v>39</v>
      </c>
      <c r="U10" s="7"/>
      <c r="V10" s="7" t="str">
        <f>IF(LEN($B$3)=0,"",$B$3)</f>
        <v xml:space="preserve"> TCTN.DVT.26.007N</v>
      </c>
      <c r="W10" s="7"/>
      <c r="X10" s="7" t="s">
        <v>37</v>
      </c>
      <c r="Y10" s="7"/>
      <c r="Z10" s="7" t="str">
        <f>IF(LEN($B$4)=0,"",$B$4)</f>
        <v>CÃI TẠO NỀN BÃI HRC</v>
      </c>
      <c r="AA10" s="7" t="s">
        <v>40</v>
      </c>
      <c r="AB10" s="7"/>
      <c r="AC10" s="7" t="s">
        <v>59</v>
      </c>
    </row>
  </sheetData>
  <pageMargins left="0.7" right="0.7" top="0.75" bottom="0.75" header="0.3" footer="0.3"/>
  <pageSetup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A9D7-2650-4ECC-9F08-388F4E31B7A8}">
  <dimension ref="A1:Z8"/>
  <sheetViews>
    <sheetView tabSelected="1" workbookViewId="0">
      <pane ySplit="4" topLeftCell="A5" activePane="bottomLeft" state="frozenSplit"/>
      <selection pane="bottomLeft" activeCell="B5" sqref="B5"/>
    </sheetView>
  </sheetViews>
  <sheetFormatPr defaultRowHeight="15" x14ac:dyDescent="0.25"/>
  <cols>
    <col min="1" max="1" width="4" bestFit="1" customWidth="1"/>
    <col min="2" max="2" width="26.42578125" customWidth="1"/>
    <col min="3" max="3" width="33" bestFit="1" customWidth="1"/>
    <col min="4" max="4" width="23.85546875" customWidth="1"/>
    <col min="5" max="5" width="6.28515625" bestFit="1" customWidth="1"/>
    <col min="6" max="6" width="8.5703125" bestFit="1" customWidth="1"/>
    <col min="7" max="7" width="13.140625" bestFit="1" customWidth="1"/>
    <col min="8" max="8" width="8.7109375" bestFit="1" customWidth="1"/>
    <col min="9" max="9" width="6.5703125" bestFit="1" customWidth="1"/>
    <col min="10" max="10" width="7" bestFit="1" customWidth="1"/>
    <col min="11" max="11" width="4.85546875" bestFit="1" customWidth="1"/>
    <col min="12" max="12" width="8.140625" bestFit="1" customWidth="1"/>
    <col min="13" max="13" width="8.42578125" bestFit="1" customWidth="1"/>
    <col min="14" max="14" width="7.5703125" bestFit="1" customWidth="1"/>
    <col min="15" max="15" width="10.42578125" bestFit="1" customWidth="1"/>
    <col min="16" max="16" width="11.28515625" bestFit="1" customWidth="1"/>
    <col min="17" max="17" width="15.7109375" bestFit="1" customWidth="1"/>
    <col min="18" max="18" width="9.7109375" bestFit="1" customWidth="1"/>
    <col min="19" max="20" width="9" bestFit="1" customWidth="1"/>
    <col min="21" max="21" width="16.85546875" bestFit="1" customWidth="1"/>
    <col min="22" max="22" width="5.5703125" bestFit="1" customWidth="1"/>
    <col min="23" max="23" width="19" bestFit="1" customWidth="1"/>
    <col min="25" max="25" width="5.42578125" bestFit="1" customWidth="1"/>
    <col min="26" max="26" width="21.5703125" bestFit="1" customWidth="1"/>
  </cols>
  <sheetData>
    <row r="1" spans="1:26" ht="23.25" x14ac:dyDescent="0.25">
      <c r="F1" s="1" t="s">
        <v>60</v>
      </c>
      <c r="G1" s="1"/>
      <c r="H1" s="1"/>
      <c r="I1" s="1"/>
      <c r="J1" s="1"/>
      <c r="K1" s="1"/>
      <c r="L1" s="1"/>
      <c r="M1" s="1"/>
      <c r="N1" s="1"/>
      <c r="O1" s="1"/>
    </row>
    <row r="2" spans="1:26" ht="23.25" x14ac:dyDescent="0.25"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 x14ac:dyDescent="0.25">
      <c r="M3" s="9">
        <f>SUBTOTAL(9, M5:M8)</f>
        <v>4</v>
      </c>
      <c r="N3" s="9">
        <f>SUBTOTAL(9, N5:N8)</f>
        <v>643.62</v>
      </c>
      <c r="P3" s="9">
        <f>SUBTOTAL(9, P5:P8)</f>
        <v>557.1</v>
      </c>
      <c r="Q3" s="9">
        <f>SUBTOTAL(9, Q5:Q8)</f>
        <v>0</v>
      </c>
      <c r="R3" s="9">
        <f>SUBTOTAL(9, R5:R8)</f>
        <v>643.62</v>
      </c>
      <c r="S3" s="9">
        <f>SUBTOTAL(9, S5:S8)</f>
        <v>0</v>
      </c>
      <c r="T3" s="9">
        <f>SUBTOTAL(9, T5:T8)</f>
        <v>82.62</v>
      </c>
    </row>
    <row r="4" spans="1:26" ht="54.95" customHeight="1" x14ac:dyDescent="0.25">
      <c r="A4" s="10" t="s">
        <v>61</v>
      </c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67</v>
      </c>
      <c r="H4" s="10" t="s">
        <v>68</v>
      </c>
      <c r="I4" s="10" t="s">
        <v>69</v>
      </c>
      <c r="J4" s="10" t="s">
        <v>70</v>
      </c>
      <c r="K4" s="10" t="s">
        <v>71</v>
      </c>
      <c r="L4" s="10" t="s">
        <v>72</v>
      </c>
      <c r="M4" s="10" t="s">
        <v>73</v>
      </c>
      <c r="N4" s="10" t="s">
        <v>74</v>
      </c>
      <c r="O4" s="10" t="s">
        <v>75</v>
      </c>
      <c r="P4" s="10" t="s">
        <v>76</v>
      </c>
      <c r="Q4" s="10" t="s">
        <v>77</v>
      </c>
      <c r="R4" s="10" t="s">
        <v>78</v>
      </c>
      <c r="S4" s="10" t="s">
        <v>79</v>
      </c>
      <c r="T4" s="10" t="s">
        <v>80</v>
      </c>
      <c r="U4" s="10" t="s">
        <v>81</v>
      </c>
      <c r="V4" s="10" t="s">
        <v>82</v>
      </c>
      <c r="W4" s="10" t="s">
        <v>83</v>
      </c>
      <c r="X4" s="10"/>
      <c r="Y4" s="10" t="s">
        <v>84</v>
      </c>
      <c r="Z4" s="10" t="s">
        <v>85</v>
      </c>
    </row>
    <row r="5" spans="1:26" x14ac:dyDescent="0.25">
      <c r="A5" s="5">
        <v>1</v>
      </c>
      <c r="B5" s="5" t="str">
        <f>IF(LEN('List chi tiet'!$B$3)=0,"",'List chi tiet'!$B$3)</f>
        <v xml:space="preserve"> TCTN.DVT.26.007N</v>
      </c>
      <c r="C5" s="5" t="s">
        <v>36</v>
      </c>
      <c r="D5" s="5" t="str">
        <f>IF(LEN('List chi tiet'!$B$4)=0,"",'List chi tiet'!$B$4)</f>
        <v>CÃI TẠO NỀN BÃI HRC</v>
      </c>
      <c r="E5" s="5" t="s">
        <v>86</v>
      </c>
      <c r="F5" s="5" t="s">
        <v>33</v>
      </c>
      <c r="G5" s="5" t="s">
        <v>87</v>
      </c>
      <c r="H5" s="5">
        <v>3</v>
      </c>
      <c r="I5" s="5">
        <v>1488</v>
      </c>
      <c r="J5" s="5">
        <v>2042</v>
      </c>
      <c r="K5" s="5" t="s">
        <v>88</v>
      </c>
      <c r="L5" s="5"/>
      <c r="M5" s="5">
        <v>1</v>
      </c>
      <c r="N5" s="5">
        <v>71.56</v>
      </c>
      <c r="O5" s="5" t="s">
        <v>40</v>
      </c>
      <c r="P5" s="5">
        <v>58.03</v>
      </c>
      <c r="Q5" s="5" t="str">
        <f>IF(O5="NEWPLATE", N5, "")</f>
        <v/>
      </c>
      <c r="R5" s="5">
        <f>IF(O5&lt;&gt;"NEWPLATE", N5, "")</f>
        <v>71.56</v>
      </c>
      <c r="S5" s="5"/>
      <c r="T5" s="5">
        <f>MAX(ROUND(N5-P5-IF(S5="",0,S5)-U5, 2), 0)</f>
        <v>13.12</v>
      </c>
      <c r="U5" s="5">
        <f>ROUND(P5*0.7/100, 2)</f>
        <v>0.41</v>
      </c>
      <c r="V5" s="5">
        <v>1</v>
      </c>
      <c r="W5" s="5" t="s">
        <v>89</v>
      </c>
      <c r="X5" s="5" t="str">
        <f>IF(LEN('List chi tiet'!$B$2)=0,"",'List chi tiet'!$B$2)</f>
        <v xml:space="preserve"> TCTN.DVT.26.007N-CẢI TẠO NỀN BÃI HRC</v>
      </c>
      <c r="Y5" s="5" t="s">
        <v>39</v>
      </c>
      <c r="Z5" s="5" t="s">
        <v>90</v>
      </c>
    </row>
    <row r="6" spans="1:26" x14ac:dyDescent="0.25">
      <c r="A6" s="5">
        <v>2</v>
      </c>
      <c r="B6" s="5" t="str">
        <f>IF(LEN('List chi tiet'!$B$3)=0,"",'List chi tiet'!$B$3)</f>
        <v xml:space="preserve"> TCTN.DVT.26.007N</v>
      </c>
      <c r="C6" s="5" t="s">
        <v>45</v>
      </c>
      <c r="D6" s="5" t="str">
        <f>IF(LEN('List chi tiet'!$B$4)=0,"",'List chi tiet'!$B$4)</f>
        <v>CÃI TẠO NỀN BÃI HRC</v>
      </c>
      <c r="E6" s="5" t="s">
        <v>86</v>
      </c>
      <c r="F6" s="5" t="s">
        <v>33</v>
      </c>
      <c r="G6" s="5" t="s">
        <v>91</v>
      </c>
      <c r="H6" s="5">
        <v>8</v>
      </c>
      <c r="I6" s="5">
        <v>758</v>
      </c>
      <c r="J6" s="5">
        <v>1092</v>
      </c>
      <c r="K6" s="5" t="s">
        <v>88</v>
      </c>
      <c r="L6" s="5"/>
      <c r="M6" s="5">
        <v>1</v>
      </c>
      <c r="N6" s="5">
        <v>38.99</v>
      </c>
      <c r="O6" s="5" t="s">
        <v>40</v>
      </c>
      <c r="P6" s="5">
        <v>38.47</v>
      </c>
      <c r="Q6" s="5" t="str">
        <f>IF(O6="NEWPLATE", N6, "")</f>
        <v/>
      </c>
      <c r="R6" s="5">
        <f>IF(O6&lt;&gt;"NEWPLATE", N6, "")</f>
        <v>38.99</v>
      </c>
      <c r="S6" s="5"/>
      <c r="T6" s="5">
        <f>MAX(ROUND(N6-P6-IF(S6="",0,S6)-U6, 2), 0)</f>
        <v>0.25</v>
      </c>
      <c r="U6" s="5">
        <f>ROUND(P6*0.7/100, 2)</f>
        <v>0.27</v>
      </c>
      <c r="V6" s="5">
        <v>1</v>
      </c>
      <c r="W6" s="5" t="s">
        <v>89</v>
      </c>
      <c r="X6" s="5" t="str">
        <f>IF(LEN('List chi tiet'!$B$2)=0,"",'List chi tiet'!$B$2)</f>
        <v xml:space="preserve"> TCTN.DVT.26.007N-CẢI TẠO NỀN BÃI HRC</v>
      </c>
      <c r="Y6" s="5" t="s">
        <v>39</v>
      </c>
      <c r="Z6" s="5" t="s">
        <v>90</v>
      </c>
    </row>
    <row r="7" spans="1:26" x14ac:dyDescent="0.25">
      <c r="A7" s="5">
        <v>3</v>
      </c>
      <c r="B7" s="5" t="str">
        <f>IF(LEN('List chi tiet'!$B$3)=0,"",'List chi tiet'!$B$3)</f>
        <v xml:space="preserve"> TCTN.DVT.26.007N</v>
      </c>
      <c r="C7" s="5" t="s">
        <v>50</v>
      </c>
      <c r="D7" s="5" t="str">
        <f>IF(LEN('List chi tiet'!$B$4)=0,"",'List chi tiet'!$B$4)</f>
        <v>CÃI TẠO NỀN BÃI HRC</v>
      </c>
      <c r="E7" s="5" t="s">
        <v>86</v>
      </c>
      <c r="F7" s="5" t="s">
        <v>33</v>
      </c>
      <c r="G7" s="5" t="s">
        <v>92</v>
      </c>
      <c r="H7" s="5">
        <v>12</v>
      </c>
      <c r="I7" s="5">
        <v>1460</v>
      </c>
      <c r="J7" s="5">
        <v>3485</v>
      </c>
      <c r="K7" s="5" t="s">
        <v>88</v>
      </c>
      <c r="L7" s="5"/>
      <c r="M7" s="5">
        <v>1</v>
      </c>
      <c r="N7" s="5">
        <v>479.3</v>
      </c>
      <c r="O7" s="5" t="s">
        <v>40</v>
      </c>
      <c r="P7" s="5">
        <v>408.9</v>
      </c>
      <c r="Q7" s="5" t="str">
        <f>IF(O7="NEWPLATE", N7, "")</f>
        <v/>
      </c>
      <c r="R7" s="5">
        <f>IF(O7&lt;&gt;"NEWPLATE", N7, "")</f>
        <v>479.3</v>
      </c>
      <c r="S7" s="5"/>
      <c r="T7" s="5">
        <f>MAX(ROUND(N7-P7-IF(S7="",0,S7)-U7, 2), 0)</f>
        <v>67.540000000000006</v>
      </c>
      <c r="U7" s="5">
        <f>ROUND(P7*0.7/100, 2)</f>
        <v>2.86</v>
      </c>
      <c r="V7" s="5">
        <v>1</v>
      </c>
      <c r="W7" s="5" t="s">
        <v>89</v>
      </c>
      <c r="X7" s="5" t="str">
        <f>IF(LEN('List chi tiet'!$B$2)=0,"",'List chi tiet'!$B$2)</f>
        <v xml:space="preserve"> TCTN.DVT.26.007N-CẢI TẠO NỀN BÃI HRC</v>
      </c>
      <c r="Y7" s="5" t="s">
        <v>39</v>
      </c>
      <c r="Z7" s="5" t="s">
        <v>90</v>
      </c>
    </row>
    <row r="8" spans="1:26" x14ac:dyDescent="0.25">
      <c r="A8" s="5">
        <v>4</v>
      </c>
      <c r="B8" s="5" t="str">
        <f>IF(LEN('List chi tiet'!$B$3)=0,"",'List chi tiet'!$B$3)</f>
        <v xml:space="preserve"> TCTN.DVT.26.007N</v>
      </c>
      <c r="C8" s="5" t="s">
        <v>58</v>
      </c>
      <c r="D8" s="5" t="str">
        <f>IF(LEN('List chi tiet'!$B$4)=0,"",'List chi tiet'!$B$4)</f>
        <v>CÃI TẠO NỀN BÃI HRC</v>
      </c>
      <c r="E8" s="5" t="s">
        <v>86</v>
      </c>
      <c r="F8" s="5" t="s">
        <v>33</v>
      </c>
      <c r="G8" s="5" t="s">
        <v>93</v>
      </c>
      <c r="H8" s="5">
        <v>16</v>
      </c>
      <c r="I8" s="5">
        <v>506</v>
      </c>
      <c r="J8" s="5">
        <v>846</v>
      </c>
      <c r="K8" s="5" t="s">
        <v>88</v>
      </c>
      <c r="L8" s="5"/>
      <c r="M8" s="5">
        <v>1</v>
      </c>
      <c r="N8" s="5">
        <v>53.77</v>
      </c>
      <c r="O8" s="5" t="s">
        <v>40</v>
      </c>
      <c r="P8" s="5">
        <v>51.7</v>
      </c>
      <c r="Q8" s="5" t="str">
        <f>IF(O8="NEWPLATE", N8, "")</f>
        <v/>
      </c>
      <c r="R8" s="5">
        <f>IF(O8&lt;&gt;"NEWPLATE", N8, "")</f>
        <v>53.77</v>
      </c>
      <c r="S8" s="5"/>
      <c r="T8" s="5">
        <f>MAX(ROUND(N8-P8-IF(S8="",0,S8)-U8, 2), 0)</f>
        <v>1.71</v>
      </c>
      <c r="U8" s="5">
        <f>ROUND(P8*0.7/100, 2)</f>
        <v>0.36</v>
      </c>
      <c r="V8" s="5">
        <v>1</v>
      </c>
      <c r="W8" s="5" t="s">
        <v>89</v>
      </c>
      <c r="X8" s="5" t="str">
        <f>IF(LEN('List chi tiet'!$B$2)=0,"",'List chi tiet'!$B$2)</f>
        <v xml:space="preserve"> TCTN.DVT.26.007N-CẢI TẠO NỀN BÃI HRC</v>
      </c>
      <c r="Y8" s="5" t="s">
        <v>39</v>
      </c>
      <c r="Z8" s="5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F200-8423-4502-AE2A-5E4BE66A42E0}">
  <dimension ref="A1:Q17"/>
  <sheetViews>
    <sheetView workbookViewId="0">
      <pane ySplit="12" topLeftCell="A13" activePane="bottomLeft" state="frozenSplit"/>
      <selection pane="bottomLeft"/>
    </sheetView>
  </sheetViews>
  <sheetFormatPr defaultRowHeight="15" x14ac:dyDescent="0.25"/>
  <cols>
    <col min="1" max="1" width="32.140625" bestFit="1" customWidth="1"/>
    <col min="2" max="2" width="5" bestFit="1" customWidth="1"/>
    <col min="3" max="3" width="33" bestFit="1" customWidth="1"/>
    <col min="4" max="4" width="20.140625" bestFit="1" customWidth="1"/>
    <col min="5" max="5" width="19" bestFit="1" customWidth="1"/>
    <col min="6" max="6" width="11.85546875" bestFit="1" customWidth="1"/>
    <col min="7" max="7" width="19.5703125" bestFit="1" customWidth="1"/>
    <col min="8" max="8" width="9.28515625" bestFit="1" customWidth="1"/>
    <col min="9" max="9" width="33.85546875" bestFit="1" customWidth="1"/>
    <col min="10" max="10" width="15.85546875" bestFit="1" customWidth="1"/>
    <col min="11" max="11" width="10.140625" bestFit="1" customWidth="1"/>
    <col min="12" max="12" width="9.5703125" bestFit="1" customWidth="1"/>
    <col min="13" max="13" width="19" bestFit="1" customWidth="1"/>
    <col min="14" max="14" width="10.7109375" bestFit="1" customWidth="1"/>
    <col min="15" max="15" width="9.7109375" bestFit="1" customWidth="1"/>
    <col min="16" max="16" width="27.85546875" bestFit="1" customWidth="1"/>
    <col min="17" max="17" width="5.42578125" bestFit="1" customWidth="1"/>
  </cols>
  <sheetData>
    <row r="1" spans="1:17" x14ac:dyDescent="0.25">
      <c r="A1" s="11" t="s">
        <v>94</v>
      </c>
      <c r="C1" t="str">
        <f>IF(LEN('List chi tiet'!$B$3)=0,"",'List chi tiet'!$B$3)</f>
        <v xml:space="preserve"> TCTN.DVT.26.007N</v>
      </c>
      <c r="I1" s="11" t="s">
        <v>95</v>
      </c>
      <c r="K1" t="str">
        <f>IF(LEN('List chi tiet'!$B$3)=0,"",'List chi tiet'!$B$3)</f>
        <v xml:space="preserve"> TCTN.DVT.26.007N</v>
      </c>
      <c r="L1" s="2" t="s">
        <v>96</v>
      </c>
    </row>
    <row r="2" spans="1:17" x14ac:dyDescent="0.25">
      <c r="A2" t="s">
        <v>97</v>
      </c>
      <c r="C2" t="str">
        <f>IF(LEN('List chi tiet'!$B$2)=0,"",'List chi tiet'!$B$2)</f>
        <v xml:space="preserve"> TCTN.DVT.26.007N-CẢI TẠO NỀN BÃI HRC</v>
      </c>
      <c r="I2" t="s">
        <v>124</v>
      </c>
      <c r="K2" s="2">
        <f>F17</f>
        <v>557.1</v>
      </c>
      <c r="L2" t="s">
        <v>125</v>
      </c>
    </row>
    <row r="3" spans="1:17" x14ac:dyDescent="0.25">
      <c r="A3" t="s">
        <v>98</v>
      </c>
      <c r="C3" t="str">
        <f>IF(LEN('List chi tiet'!$B$4)=0,"",'List chi tiet'!$B$4)</f>
        <v>CÃI TẠO NỀN BÃI HRC</v>
      </c>
      <c r="I3" t="s">
        <v>126</v>
      </c>
      <c r="K3" s="2">
        <f>D17</f>
        <v>0</v>
      </c>
      <c r="L3" t="s">
        <v>125</v>
      </c>
    </row>
    <row r="4" spans="1:17" x14ac:dyDescent="0.25">
      <c r="A4" t="s">
        <v>99</v>
      </c>
      <c r="I4" t="s">
        <v>127</v>
      </c>
      <c r="K4" s="2">
        <f>E17</f>
        <v>643.62</v>
      </c>
      <c r="L4" t="s">
        <v>125</v>
      </c>
    </row>
    <row r="5" spans="1:17" x14ac:dyDescent="0.25">
      <c r="A5" t="s">
        <v>100</v>
      </c>
      <c r="I5" t="s">
        <v>128</v>
      </c>
      <c r="K5" s="2">
        <f>G17</f>
        <v>0</v>
      </c>
      <c r="L5" t="s">
        <v>125</v>
      </c>
    </row>
    <row r="6" spans="1:17" x14ac:dyDescent="0.25">
      <c r="A6" t="s">
        <v>101</v>
      </c>
      <c r="C6" t="s">
        <v>89</v>
      </c>
      <c r="I6" t="s">
        <v>129</v>
      </c>
      <c r="K6" s="19">
        <f>H17</f>
        <v>0</v>
      </c>
      <c r="L6" t="s">
        <v>130</v>
      </c>
    </row>
    <row r="7" spans="1:17" x14ac:dyDescent="0.25">
      <c r="A7" t="s">
        <v>102</v>
      </c>
      <c r="B7">
        <v>0</v>
      </c>
      <c r="I7" t="s">
        <v>131</v>
      </c>
      <c r="K7" s="2">
        <f>I17</f>
        <v>3.9</v>
      </c>
      <c r="L7" t="s">
        <v>125</v>
      </c>
    </row>
    <row r="8" spans="1:17" x14ac:dyDescent="0.25">
      <c r="A8" t="s">
        <v>103</v>
      </c>
      <c r="C8" s="4" t="s">
        <v>38</v>
      </c>
      <c r="I8" t="s">
        <v>132</v>
      </c>
      <c r="K8" s="2">
        <f>J17</f>
        <v>82.62</v>
      </c>
      <c r="L8" t="s">
        <v>125</v>
      </c>
    </row>
    <row r="9" spans="1:17" x14ac:dyDescent="0.25">
      <c r="I9" t="s">
        <v>133</v>
      </c>
      <c r="K9" s="19">
        <f>K17</f>
        <v>0.12836767036450081</v>
      </c>
      <c r="L9" t="s">
        <v>130</v>
      </c>
    </row>
    <row r="10" spans="1:17" x14ac:dyDescent="0.25">
      <c r="I10" s="15" t="s">
        <v>134</v>
      </c>
      <c r="K10" s="20">
        <f>L17</f>
        <v>0.14830371567043618</v>
      </c>
      <c r="L10" t="s">
        <v>130</v>
      </c>
    </row>
    <row r="11" spans="1:17" x14ac:dyDescent="0.25">
      <c r="A11" s="11" t="s">
        <v>104</v>
      </c>
    </row>
    <row r="12" spans="1:17" x14ac:dyDescent="0.25">
      <c r="A12" s="12" t="s">
        <v>4</v>
      </c>
      <c r="B12" s="12" t="s">
        <v>105</v>
      </c>
      <c r="C12" s="12" t="s">
        <v>106</v>
      </c>
      <c r="D12" s="12" t="s">
        <v>107</v>
      </c>
      <c r="E12" s="12" t="s">
        <v>108</v>
      </c>
      <c r="F12" s="12" t="s">
        <v>109</v>
      </c>
      <c r="G12" s="12" t="s">
        <v>110</v>
      </c>
      <c r="H12" s="12" t="s">
        <v>111</v>
      </c>
      <c r="I12" s="12" t="s">
        <v>112</v>
      </c>
      <c r="J12" s="12" t="s">
        <v>113</v>
      </c>
      <c r="K12" s="12" t="s">
        <v>114</v>
      </c>
      <c r="L12" s="12" t="s">
        <v>115</v>
      </c>
      <c r="M12" s="12" t="s">
        <v>116</v>
      </c>
      <c r="N12" s="12" t="s">
        <v>117</v>
      </c>
      <c r="O12" s="12" t="s">
        <v>29</v>
      </c>
      <c r="P12" s="12" t="s">
        <v>118</v>
      </c>
      <c r="Q12" s="12" t="s">
        <v>84</v>
      </c>
    </row>
    <row r="13" spans="1:17" x14ac:dyDescent="0.25">
      <c r="A13" s="5">
        <v>1</v>
      </c>
      <c r="B13" s="5" t="s">
        <v>119</v>
      </c>
      <c r="C13" s="5" t="s">
        <v>36</v>
      </c>
      <c r="D13" s="13">
        <v>0</v>
      </c>
      <c r="E13" s="13">
        <v>71.56</v>
      </c>
      <c r="F13" s="5">
        <v>58.03</v>
      </c>
      <c r="G13" s="13">
        <v>0</v>
      </c>
      <c r="H13" s="14">
        <f>IF(D13+E13&gt;0, G13/(D13+E13), 0)</f>
        <v>0</v>
      </c>
      <c r="I13" s="5">
        <f>ROUND(F13*0.7/100, 2)</f>
        <v>0.41</v>
      </c>
      <c r="J13" s="5">
        <f>MAX(ROUND(D13+E13-F13-G13-I13, 2), 0)</f>
        <v>13.12</v>
      </c>
      <c r="K13" s="14">
        <f>IF(D13+E13&gt;0, J13/(D13+E13), 0)</f>
        <v>0.18334264952487422</v>
      </c>
      <c r="L13" s="14">
        <f>IF(F13&gt;0, J13/F13, 0)</f>
        <v>0.22608995347234187</v>
      </c>
      <c r="M13" s="5" t="s">
        <v>89</v>
      </c>
      <c r="N13" s="5">
        <v>1</v>
      </c>
      <c r="O13" s="5" t="str">
        <f>IF(LEN('List chi tiet'!$B$4)=0,"",'List chi tiet'!$B$4)</f>
        <v>CÃI TẠO NỀN BÃI HRC</v>
      </c>
      <c r="P13" s="5">
        <v>83.71</v>
      </c>
      <c r="Q13" s="5" t="s">
        <v>39</v>
      </c>
    </row>
    <row r="14" spans="1:17" x14ac:dyDescent="0.25">
      <c r="A14" s="5">
        <v>2</v>
      </c>
      <c r="B14" s="5" t="s">
        <v>120</v>
      </c>
      <c r="C14" s="5" t="s">
        <v>45</v>
      </c>
      <c r="D14" s="13">
        <v>0</v>
      </c>
      <c r="E14" s="13">
        <v>38.99</v>
      </c>
      <c r="F14" s="5">
        <v>38.47</v>
      </c>
      <c r="G14" s="13">
        <v>0</v>
      </c>
      <c r="H14" s="14">
        <f>IF(D14+E14&gt;0, G14/(D14+E14), 0)</f>
        <v>0</v>
      </c>
      <c r="I14" s="5">
        <f>ROUND(F14*0.7/100, 2)</f>
        <v>0.27</v>
      </c>
      <c r="J14" s="5">
        <f>MAX(ROUND(D14+E14-F14-G14-I14, 2), 0)</f>
        <v>0.25</v>
      </c>
      <c r="K14" s="14">
        <f>IF(D14+E14&gt;0, J14/(D14+E14), 0)</f>
        <v>6.4119004873044363E-3</v>
      </c>
      <c r="L14" s="14">
        <f>IF(F14&gt;0, J14/F14, 0)</f>
        <v>6.4985703145308037E-3</v>
      </c>
      <c r="M14" s="5" t="s">
        <v>89</v>
      </c>
      <c r="N14" s="5">
        <v>1</v>
      </c>
      <c r="O14" s="5" t="str">
        <f>IF(LEN('List chi tiet'!$B$4)=0,"",'List chi tiet'!$B$4)</f>
        <v>CÃI TẠO NỀN BÃI HRC</v>
      </c>
      <c r="P14" s="5">
        <v>7.35</v>
      </c>
      <c r="Q14" s="5" t="s">
        <v>39</v>
      </c>
    </row>
    <row r="15" spans="1:17" x14ac:dyDescent="0.25">
      <c r="A15" s="5">
        <v>3</v>
      </c>
      <c r="B15" s="5" t="s">
        <v>121</v>
      </c>
      <c r="C15" s="5" t="s">
        <v>50</v>
      </c>
      <c r="D15" s="13">
        <v>0</v>
      </c>
      <c r="E15" s="13">
        <v>479.3</v>
      </c>
      <c r="F15" s="5">
        <v>408.9</v>
      </c>
      <c r="G15" s="13">
        <v>0</v>
      </c>
      <c r="H15" s="14">
        <f>IF(D15+E15&gt;0, G15/(D15+E15), 0)</f>
        <v>0</v>
      </c>
      <c r="I15" s="5">
        <f>ROUND(F15*0.7/100, 2)</f>
        <v>2.86</v>
      </c>
      <c r="J15" s="5">
        <f>MAX(ROUND(D15+E15-F15-G15-I15, 2), 0)</f>
        <v>67.540000000000006</v>
      </c>
      <c r="K15" s="14">
        <f>IF(D15+E15&gt;0, J15/(D15+E15), 0)</f>
        <v>0.14091383267264762</v>
      </c>
      <c r="L15" s="14">
        <f>IF(F15&gt;0, J15/F15, 0)</f>
        <v>0.16517485937882126</v>
      </c>
      <c r="M15" s="5" t="s">
        <v>89</v>
      </c>
      <c r="N15" s="5">
        <v>1</v>
      </c>
      <c r="O15" s="5" t="str">
        <f>IF(LEN('List chi tiet'!$B$4)=0,"",'List chi tiet'!$B$4)</f>
        <v>CÃI TẠO NỀN BÃI HRC</v>
      </c>
      <c r="P15" s="5">
        <v>120.29</v>
      </c>
      <c r="Q15" s="5" t="s">
        <v>39</v>
      </c>
    </row>
    <row r="16" spans="1:17" x14ac:dyDescent="0.25">
      <c r="A16" s="5">
        <v>4</v>
      </c>
      <c r="B16" s="5" t="s">
        <v>122</v>
      </c>
      <c r="C16" s="5" t="s">
        <v>58</v>
      </c>
      <c r="D16" s="13">
        <v>0</v>
      </c>
      <c r="E16" s="13">
        <v>53.77</v>
      </c>
      <c r="F16" s="5">
        <v>51.7</v>
      </c>
      <c r="G16" s="13">
        <v>0</v>
      </c>
      <c r="H16" s="14">
        <f>IF(D16+E16&gt;0, G16/(D16+E16), 0)</f>
        <v>0</v>
      </c>
      <c r="I16" s="5">
        <f>ROUND(F16*0.7/100, 2)</f>
        <v>0.36</v>
      </c>
      <c r="J16" s="5">
        <f>MAX(ROUND(D16+E16-F16-G16-I16, 2), 0)</f>
        <v>1.71</v>
      </c>
      <c r="K16" s="14">
        <f>IF(D16+E16&gt;0, J16/(D16+E16), 0)</f>
        <v>3.1802120141342753E-2</v>
      </c>
      <c r="L16" s="14">
        <f>IF(F16&gt;0, J16/F16, 0)</f>
        <v>3.3075435203094777E-2</v>
      </c>
      <c r="M16" s="5" t="s">
        <v>89</v>
      </c>
      <c r="N16" s="5">
        <v>1</v>
      </c>
      <c r="O16" s="5" t="str">
        <f>IF(LEN('List chi tiet'!$B$4)=0,"",'List chi tiet'!$B$4)</f>
        <v>CÃI TẠO NỀN BÃI HRC</v>
      </c>
      <c r="P16" s="5">
        <v>6.67</v>
      </c>
      <c r="Q16" s="5" t="s">
        <v>39</v>
      </c>
    </row>
    <row r="17" spans="1:17" x14ac:dyDescent="0.25">
      <c r="A17" s="16"/>
      <c r="B17" s="16"/>
      <c r="C17" s="17" t="s">
        <v>123</v>
      </c>
      <c r="D17" s="17">
        <f>SUBTOTAL(9, D13:D16)</f>
        <v>0</v>
      </c>
      <c r="E17" s="17">
        <f>SUBTOTAL(9, E13:E16)</f>
        <v>643.62</v>
      </c>
      <c r="F17" s="17">
        <f>SUBTOTAL(9, F13:F16)</f>
        <v>557.1</v>
      </c>
      <c r="G17" s="17">
        <f>SUBTOTAL(9, G13:G16)</f>
        <v>0</v>
      </c>
      <c r="H17" s="18">
        <f>IF(D17+E17&gt;0, G17/(D17+E17), 0)</f>
        <v>0</v>
      </c>
      <c r="I17" s="17">
        <f>SUBTOTAL(9, I13:I16)</f>
        <v>3.9</v>
      </c>
      <c r="J17" s="17">
        <f>SUBTOTAL(9, J13:J16)</f>
        <v>82.62</v>
      </c>
      <c r="K17" s="18">
        <f>IF(D17+E17&gt;0, J17/(D17+E17), 0)</f>
        <v>0.12836767036450081</v>
      </c>
      <c r="L17" s="18">
        <f>IF(F17&gt;0, J17/F17, 0)</f>
        <v>0.14830371567043618</v>
      </c>
      <c r="M17" s="16" t="s">
        <v>89</v>
      </c>
      <c r="N17" s="16">
        <v>1</v>
      </c>
      <c r="O17" s="16" t="str">
        <f>IF(LEN('List chi tiet'!$B$4)=0,"",'List chi tiet'!$B$4)</f>
        <v>CÃI TẠO NỀN BÃI HRC</v>
      </c>
      <c r="P17" s="16">
        <f>SUBTOTAL(9, P13:P16)</f>
        <v>218.01999999999998</v>
      </c>
      <c r="Q17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EADF-5D16-4D9C-A600-7AC626FA5C19}">
  <dimension ref="A1:AD15"/>
  <sheetViews>
    <sheetView workbookViewId="0">
      <pane ySplit="10" topLeftCell="A11" activePane="bottomLeft" state="frozenSplit"/>
      <selection pane="bottomLeft"/>
    </sheetView>
  </sheetViews>
  <sheetFormatPr defaultRowHeight="15" x14ac:dyDescent="0.25"/>
  <cols>
    <col min="1" max="1" width="30.5703125" bestFit="1" customWidth="1"/>
    <col min="2" max="2" width="10.7109375" bestFit="1" customWidth="1"/>
    <col min="3" max="3" width="19" bestFit="1" customWidth="1"/>
    <col min="4" max="4" width="6.5703125" bestFit="1" customWidth="1"/>
    <col min="5" max="5" width="7" bestFit="1" customWidth="1"/>
    <col min="6" max="6" width="10.140625" bestFit="1" customWidth="1"/>
    <col min="7" max="7" width="5.5703125" bestFit="1" customWidth="1"/>
    <col min="8" max="8" width="7.7109375" bestFit="1" customWidth="1"/>
    <col min="9" max="9" width="11.42578125" bestFit="1" customWidth="1"/>
    <col min="10" max="10" width="7.5703125" bestFit="1" customWidth="1"/>
    <col min="11" max="11" width="8.85546875" bestFit="1" customWidth="1"/>
    <col min="12" max="12" width="7.28515625" bestFit="1" customWidth="1"/>
    <col min="13" max="13" width="19" bestFit="1" customWidth="1"/>
    <col min="14" max="14" width="5.85546875" bestFit="1" customWidth="1"/>
    <col min="15" max="15" width="5.7109375" bestFit="1" customWidth="1"/>
    <col min="16" max="16" width="5.42578125" bestFit="1" customWidth="1"/>
    <col min="17" max="17" width="7.42578125" bestFit="1" customWidth="1"/>
    <col min="18" max="18" width="7.85546875" bestFit="1" customWidth="1"/>
    <col min="19" max="19" width="6.28515625" bestFit="1" customWidth="1"/>
    <col min="21" max="21" width="5.5703125" bestFit="1" customWidth="1"/>
    <col min="22" max="22" width="5.140625" bestFit="1" customWidth="1"/>
    <col min="23" max="23" width="7.7109375" bestFit="1" customWidth="1"/>
    <col min="24" max="24" width="10.7109375" bestFit="1" customWidth="1"/>
    <col min="25" max="25" width="5.42578125" bestFit="1" customWidth="1"/>
    <col min="26" max="27" width="6.42578125" bestFit="1" customWidth="1"/>
    <col min="28" max="28" width="7" bestFit="1" customWidth="1"/>
    <col min="29" max="29" width="33" bestFit="1" customWidth="1"/>
    <col min="30" max="30" width="10.42578125" bestFit="1" customWidth="1"/>
  </cols>
  <sheetData>
    <row r="1" spans="1:30" ht="21" x14ac:dyDescent="0.25">
      <c r="A1" s="21" t="s">
        <v>135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2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" t="s">
        <v>136</v>
      </c>
      <c r="C3" s="2" t="str">
        <f>IF(LEN('List chi tiet'!$B$2)=0,"",'List chi tiet'!$B$2)</f>
        <v xml:space="preserve"> TCTN.DVT.26.007N-CẢI TẠO NỀN BÃI HRC</v>
      </c>
    </row>
    <row r="4" spans="1:30" x14ac:dyDescent="0.25">
      <c r="A4" s="2" t="s">
        <v>137</v>
      </c>
      <c r="C4" s="11" t="s">
        <v>89</v>
      </c>
    </row>
    <row r="5" spans="1:30" x14ac:dyDescent="0.25">
      <c r="A5" s="2" t="s">
        <v>138</v>
      </c>
      <c r="C5" s="2" t="str">
        <f>IF(LEN('List chi tiet'!$B$4)=0,"",'List chi tiet'!$B$4)</f>
        <v>CÃI TẠO NỀN BÃI HRC</v>
      </c>
    </row>
    <row r="6" spans="1:30" x14ac:dyDescent="0.25">
      <c r="A6" s="2" t="s">
        <v>139</v>
      </c>
      <c r="C6" s="2" t="s">
        <v>140</v>
      </c>
    </row>
    <row r="7" spans="1:30" x14ac:dyDescent="0.25">
      <c r="A7" s="2" t="s">
        <v>141</v>
      </c>
      <c r="C7" s="2"/>
    </row>
    <row r="8" spans="1:30" x14ac:dyDescent="0.25">
      <c r="A8" s="2" t="s">
        <v>142</v>
      </c>
      <c r="C8" s="2"/>
      <c r="H8" s="2">
        <f>SUBTOTAL(9, H11:H15)</f>
        <v>264</v>
      </c>
      <c r="I8" s="2">
        <f>SUBTOTAL(9, I11:I15)</f>
        <v>557.1</v>
      </c>
    </row>
    <row r="9" spans="1:30" x14ac:dyDescent="0.25">
      <c r="A9" s="2" t="s">
        <v>143</v>
      </c>
      <c r="C9" s="2"/>
    </row>
    <row r="10" spans="1:30" ht="45" customHeight="1" x14ac:dyDescent="0.25">
      <c r="A10" s="22" t="s">
        <v>144</v>
      </c>
      <c r="B10" s="22" t="s">
        <v>145</v>
      </c>
      <c r="C10" s="22" t="s">
        <v>146</v>
      </c>
      <c r="D10" s="22" t="s">
        <v>147</v>
      </c>
      <c r="E10" s="22" t="s">
        <v>148</v>
      </c>
      <c r="F10" s="22" t="s">
        <v>149</v>
      </c>
      <c r="G10" s="22" t="s">
        <v>150</v>
      </c>
      <c r="H10" s="22" t="s">
        <v>151</v>
      </c>
      <c r="I10" s="22" t="s">
        <v>152</v>
      </c>
      <c r="J10" s="22" t="s">
        <v>153</v>
      </c>
      <c r="K10" s="22" t="s">
        <v>154</v>
      </c>
      <c r="L10" s="22" t="s">
        <v>155</v>
      </c>
      <c r="M10" s="22" t="s">
        <v>116</v>
      </c>
      <c r="N10" s="22" t="s">
        <v>156</v>
      </c>
      <c r="O10" s="22" t="s">
        <v>157</v>
      </c>
      <c r="P10" s="22" t="s">
        <v>29</v>
      </c>
      <c r="Q10" s="22" t="s">
        <v>158</v>
      </c>
      <c r="R10" s="22" t="s">
        <v>159</v>
      </c>
      <c r="S10" s="22" t="s">
        <v>160</v>
      </c>
      <c r="T10" s="22" t="s">
        <v>161</v>
      </c>
      <c r="U10" s="22" t="s">
        <v>162</v>
      </c>
      <c r="V10" s="22" t="s">
        <v>163</v>
      </c>
      <c r="W10" s="22" t="s">
        <v>164</v>
      </c>
      <c r="X10" s="22" t="s">
        <v>165</v>
      </c>
      <c r="Y10" s="22" t="s">
        <v>22</v>
      </c>
      <c r="Z10" s="22" t="s">
        <v>23</v>
      </c>
      <c r="AA10" s="22" t="s">
        <v>24</v>
      </c>
      <c r="AB10" s="22" t="s">
        <v>25</v>
      </c>
      <c r="AC10" s="22" t="s">
        <v>166</v>
      </c>
      <c r="AD10" s="22" t="s">
        <v>30</v>
      </c>
    </row>
    <row r="11" spans="1:30" x14ac:dyDescent="0.25">
      <c r="A11" s="5">
        <v>1</v>
      </c>
      <c r="B11" s="5" t="s">
        <v>32</v>
      </c>
      <c r="C11" s="5">
        <v>3</v>
      </c>
      <c r="D11" s="5">
        <v>77</v>
      </c>
      <c r="E11" s="5">
        <v>250</v>
      </c>
      <c r="F11" s="5" t="s">
        <v>33</v>
      </c>
      <c r="G11" s="5" t="s">
        <v>88</v>
      </c>
      <c r="H11" s="5">
        <v>128</v>
      </c>
      <c r="I11" s="5">
        <v>58.03</v>
      </c>
      <c r="J11" s="5" t="s">
        <v>167</v>
      </c>
      <c r="K11" s="5" t="s">
        <v>140</v>
      </c>
      <c r="L11" s="5"/>
      <c r="M11" s="5" t="s">
        <v>89</v>
      </c>
      <c r="N11" s="5"/>
      <c r="O11" s="23"/>
      <c r="P11" s="23" t="str">
        <f>IF(LEN('List chi tiet'!$B$4)=0,"",'List chi tiet'!$B$4)</f>
        <v>CÃI TẠO NỀN BÃI HRC</v>
      </c>
      <c r="Q11" s="23"/>
      <c r="R11" s="23"/>
      <c r="S11" s="23" t="s">
        <v>37</v>
      </c>
      <c r="T11" s="23"/>
      <c r="U11" s="23" t="s">
        <v>37</v>
      </c>
      <c r="V11" s="23"/>
      <c r="W11" s="23">
        <v>1</v>
      </c>
      <c r="X11" s="24" t="s">
        <v>38</v>
      </c>
      <c r="Y11" s="5"/>
      <c r="Z11" s="5" t="s">
        <v>39</v>
      </c>
      <c r="AA11" s="5"/>
      <c r="AB11" s="5" t="str">
        <f>IF(LEN('List chi tiet'!$B$3)=0,"",'List chi tiet'!$B$3)</f>
        <v xml:space="preserve"> TCTN.DVT.26.007N</v>
      </c>
      <c r="AC11" s="5" t="s">
        <v>36</v>
      </c>
      <c r="AD11" s="5" t="s">
        <v>40</v>
      </c>
    </row>
    <row r="12" spans="1:30" x14ac:dyDescent="0.25">
      <c r="A12" s="5">
        <v>2</v>
      </c>
      <c r="B12" s="5" t="s">
        <v>42</v>
      </c>
      <c r="C12" s="5">
        <v>8</v>
      </c>
      <c r="D12" s="5">
        <v>376</v>
      </c>
      <c r="E12" s="5">
        <v>543</v>
      </c>
      <c r="F12" s="5" t="s">
        <v>33</v>
      </c>
      <c r="G12" s="5" t="s">
        <v>88</v>
      </c>
      <c r="H12" s="5">
        <v>4</v>
      </c>
      <c r="I12" s="5">
        <v>38.47</v>
      </c>
      <c r="J12" s="5" t="s">
        <v>167</v>
      </c>
      <c r="K12" s="5" t="s">
        <v>140</v>
      </c>
      <c r="L12" s="5"/>
      <c r="M12" s="5" t="s">
        <v>89</v>
      </c>
      <c r="N12" s="5"/>
      <c r="O12" s="23"/>
      <c r="P12" s="23" t="str">
        <f>IF(LEN('List chi tiet'!$B$4)=0,"",'List chi tiet'!$B$4)</f>
        <v>CÃI TẠO NỀN BÃI HRC</v>
      </c>
      <c r="Q12" s="23" t="s">
        <v>28</v>
      </c>
      <c r="R12" s="23"/>
      <c r="S12" s="23" t="s">
        <v>37</v>
      </c>
      <c r="T12" s="23"/>
      <c r="U12" s="23"/>
      <c r="V12" s="23"/>
      <c r="W12" s="23">
        <v>1</v>
      </c>
      <c r="X12" s="24" t="s">
        <v>38</v>
      </c>
      <c r="Y12" s="5"/>
      <c r="Z12" s="5" t="s">
        <v>39</v>
      </c>
      <c r="AA12" s="5"/>
      <c r="AB12" s="5" t="str">
        <f>IF(LEN('List chi tiet'!$B$3)=0,"",'List chi tiet'!$B$3)</f>
        <v xml:space="preserve"> TCTN.DVT.26.007N</v>
      </c>
      <c r="AC12" s="5" t="s">
        <v>45</v>
      </c>
      <c r="AD12" s="5" t="s">
        <v>40</v>
      </c>
    </row>
    <row r="13" spans="1:30" x14ac:dyDescent="0.25">
      <c r="A13" s="5">
        <v>3</v>
      </c>
      <c r="B13" s="5" t="s">
        <v>47</v>
      </c>
      <c r="C13" s="5">
        <v>12</v>
      </c>
      <c r="D13" s="5">
        <v>120</v>
      </c>
      <c r="E13" s="5">
        <v>250</v>
      </c>
      <c r="F13" s="5" t="s">
        <v>33</v>
      </c>
      <c r="G13" s="5" t="s">
        <v>88</v>
      </c>
      <c r="H13" s="5">
        <v>120</v>
      </c>
      <c r="I13" s="5">
        <v>327.10000000000002</v>
      </c>
      <c r="J13" s="5" t="s">
        <v>167</v>
      </c>
      <c r="K13" s="5" t="s">
        <v>140</v>
      </c>
      <c r="L13" s="5"/>
      <c r="M13" s="5" t="s">
        <v>89</v>
      </c>
      <c r="N13" s="5"/>
      <c r="O13" s="23" t="s">
        <v>51</v>
      </c>
      <c r="P13" s="23" t="str">
        <f>IF(LEN('List chi tiet'!$B$4)=0,"",'List chi tiet'!$B$4)</f>
        <v>CÃI TẠO NỀN BÃI HRC</v>
      </c>
      <c r="Q13" s="23" t="s">
        <v>27</v>
      </c>
      <c r="R13" s="23"/>
      <c r="S13" s="23" t="s">
        <v>37</v>
      </c>
      <c r="T13" s="23"/>
      <c r="U13" s="23"/>
      <c r="V13" s="23"/>
      <c r="W13" s="23">
        <v>1</v>
      </c>
      <c r="X13" s="24" t="s">
        <v>38</v>
      </c>
      <c r="Y13" s="5"/>
      <c r="Z13" s="5" t="s">
        <v>39</v>
      </c>
      <c r="AA13" s="5"/>
      <c r="AB13" s="5" t="str">
        <f>IF(LEN('List chi tiet'!$B$3)=0,"",'List chi tiet'!$B$3)</f>
        <v xml:space="preserve"> TCTN.DVT.26.007N</v>
      </c>
      <c r="AC13" s="5" t="s">
        <v>50</v>
      </c>
      <c r="AD13" s="5" t="s">
        <v>40</v>
      </c>
    </row>
    <row r="14" spans="1:30" x14ac:dyDescent="0.25">
      <c r="A14" s="5">
        <v>4</v>
      </c>
      <c r="B14" s="5" t="s">
        <v>53</v>
      </c>
      <c r="C14" s="5">
        <v>12</v>
      </c>
      <c r="D14" s="5">
        <v>200</v>
      </c>
      <c r="E14" s="5">
        <v>543</v>
      </c>
      <c r="F14" s="5" t="s">
        <v>33</v>
      </c>
      <c r="G14" s="5" t="s">
        <v>88</v>
      </c>
      <c r="H14" s="5">
        <v>8</v>
      </c>
      <c r="I14" s="5">
        <v>81.8</v>
      </c>
      <c r="J14" s="5" t="s">
        <v>167</v>
      </c>
      <c r="K14" s="5" t="s">
        <v>140</v>
      </c>
      <c r="L14" s="5"/>
      <c r="M14" s="5" t="s">
        <v>89</v>
      </c>
      <c r="N14" s="5"/>
      <c r="O14" s="23"/>
      <c r="P14" s="23" t="str">
        <f>IF(LEN('List chi tiet'!$B$4)=0,"",'List chi tiet'!$B$4)</f>
        <v>CÃI TẠO NỀN BÃI HRC</v>
      </c>
      <c r="Q14" s="23" t="s">
        <v>28</v>
      </c>
      <c r="R14" s="23"/>
      <c r="S14" s="23" t="s">
        <v>37</v>
      </c>
      <c r="T14" s="23"/>
      <c r="U14" s="23"/>
      <c r="V14" s="23"/>
      <c r="W14" s="23">
        <v>1</v>
      </c>
      <c r="X14" s="24" t="s">
        <v>38</v>
      </c>
      <c r="Y14" s="5"/>
      <c r="Z14" s="5" t="s">
        <v>39</v>
      </c>
      <c r="AA14" s="5"/>
      <c r="AB14" s="5" t="str">
        <f>IF(LEN('List chi tiet'!$B$3)=0,"",'List chi tiet'!$B$3)</f>
        <v xml:space="preserve"> TCTN.DVT.26.007N</v>
      </c>
      <c r="AC14" s="5" t="s">
        <v>50</v>
      </c>
      <c r="AD14" s="5" t="s">
        <v>40</v>
      </c>
    </row>
    <row r="15" spans="1:30" x14ac:dyDescent="0.25">
      <c r="A15" s="5">
        <v>5</v>
      </c>
      <c r="B15" s="5" t="s">
        <v>55</v>
      </c>
      <c r="C15" s="5">
        <v>16</v>
      </c>
      <c r="D15" s="5">
        <v>250</v>
      </c>
      <c r="E15" s="5">
        <v>420</v>
      </c>
      <c r="F15" s="5" t="s">
        <v>33</v>
      </c>
      <c r="G15" s="5" t="s">
        <v>88</v>
      </c>
      <c r="H15" s="5">
        <v>4</v>
      </c>
      <c r="I15" s="5">
        <v>51.7</v>
      </c>
      <c r="J15" s="5" t="s">
        <v>167</v>
      </c>
      <c r="K15" s="5" t="s">
        <v>140</v>
      </c>
      <c r="L15" s="5"/>
      <c r="M15" s="5" t="s">
        <v>89</v>
      </c>
      <c r="N15" s="5"/>
      <c r="O15" s="23" t="s">
        <v>51</v>
      </c>
      <c r="P15" s="23" t="str">
        <f>IF(LEN('List chi tiet'!$B$4)=0,"",'List chi tiet'!$B$4)</f>
        <v>CÃI TẠO NỀN BÃI HRC</v>
      </c>
      <c r="Q15" s="23" t="s">
        <v>27</v>
      </c>
      <c r="R15" s="23"/>
      <c r="S15" s="23" t="s">
        <v>37</v>
      </c>
      <c r="T15" s="23"/>
      <c r="U15" s="23"/>
      <c r="V15" s="23"/>
      <c r="W15" s="23">
        <v>1</v>
      </c>
      <c r="X15" s="24" t="s">
        <v>38</v>
      </c>
      <c r="Y15" s="5"/>
      <c r="Z15" s="5" t="s">
        <v>39</v>
      </c>
      <c r="AA15" s="5"/>
      <c r="AB15" s="5" t="str">
        <f>IF(LEN('List chi tiet'!$B$3)=0,"",'List chi tiet'!$B$3)</f>
        <v xml:space="preserve"> TCTN.DVT.26.007N</v>
      </c>
      <c r="AC15" s="5" t="s">
        <v>58</v>
      </c>
      <c r="AD15" s="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33A1-9ADF-45E3-8EFD-6E233F6A1FE2}">
  <dimension ref="A1:Y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.7109375" bestFit="1" customWidth="1"/>
    <col min="2" max="2" width="7" bestFit="1" customWidth="1"/>
    <col min="3" max="3" width="27.140625" bestFit="1" customWidth="1"/>
    <col min="4" max="4" width="3" bestFit="1" customWidth="1"/>
    <col min="5" max="5" width="10.140625" bestFit="1" customWidth="1"/>
    <col min="6" max="6" width="4.7109375" bestFit="1" customWidth="1"/>
    <col min="7" max="8" width="8.7109375" bestFit="1" customWidth="1"/>
    <col min="9" max="9" width="29.28515625" bestFit="1" customWidth="1"/>
    <col min="10" max="10" width="8.28515625" bestFit="1" customWidth="1"/>
    <col min="11" max="11" width="26.85546875" bestFit="1" customWidth="1"/>
    <col min="12" max="12" width="19" bestFit="1" customWidth="1"/>
    <col min="13" max="13" width="6.28515625" bestFit="1" customWidth="1"/>
    <col min="14" max="14" width="10.7109375" bestFit="1" customWidth="1"/>
    <col min="15" max="15" width="21.5703125" bestFit="1" customWidth="1"/>
    <col min="16" max="16" width="5.42578125" bestFit="1" customWidth="1"/>
    <col min="18" max="18" width="5.42578125" bestFit="1" customWidth="1"/>
    <col min="20" max="20" width="10.7109375" bestFit="1" customWidth="1"/>
    <col min="21" max="21" width="14.42578125" bestFit="1" customWidth="1"/>
    <col min="22" max="22" width="13.140625" bestFit="1" customWidth="1"/>
    <col min="23" max="23" width="5.85546875" bestFit="1" customWidth="1"/>
    <col min="24" max="24" width="5.140625" bestFit="1" customWidth="1"/>
    <col min="25" max="25" width="6.42578125" bestFit="1" customWidth="1"/>
  </cols>
  <sheetData>
    <row r="1" spans="1:25" ht="45" customHeight="1" x14ac:dyDescent="0.25">
      <c r="A1" s="25" t="s">
        <v>168</v>
      </c>
      <c r="B1" s="25" t="s">
        <v>169</v>
      </c>
      <c r="C1" s="25" t="s">
        <v>170</v>
      </c>
      <c r="D1" s="25" t="s">
        <v>171</v>
      </c>
      <c r="E1" s="25" t="s">
        <v>172</v>
      </c>
      <c r="F1" s="25" t="s">
        <v>96</v>
      </c>
      <c r="G1" s="25" t="s">
        <v>173</v>
      </c>
      <c r="H1" s="25" t="s">
        <v>174</v>
      </c>
      <c r="I1" s="25" t="s">
        <v>175</v>
      </c>
      <c r="J1" s="25" t="s">
        <v>176</v>
      </c>
      <c r="K1" s="25" t="s">
        <v>177</v>
      </c>
      <c r="L1" s="25" t="s">
        <v>178</v>
      </c>
      <c r="M1" s="25" t="s">
        <v>179</v>
      </c>
      <c r="N1" s="25" t="s">
        <v>180</v>
      </c>
      <c r="O1" s="25" t="s">
        <v>181</v>
      </c>
      <c r="P1" s="25" t="s">
        <v>84</v>
      </c>
      <c r="Q1" s="25" t="s">
        <v>182</v>
      </c>
      <c r="R1" s="25" t="s">
        <v>183</v>
      </c>
      <c r="S1" s="25" t="s">
        <v>184</v>
      </c>
      <c r="T1" s="25" t="s">
        <v>185</v>
      </c>
      <c r="U1" s="25" t="s">
        <v>186</v>
      </c>
      <c r="V1" s="25" t="s">
        <v>187</v>
      </c>
      <c r="W1" s="25" t="s">
        <v>188</v>
      </c>
      <c r="X1" s="25" t="s">
        <v>189</v>
      </c>
      <c r="Y1" s="25" t="s">
        <v>190</v>
      </c>
    </row>
    <row r="2" spans="1:25" x14ac:dyDescent="0.25">
      <c r="A2" s="5"/>
      <c r="B2" s="5"/>
      <c r="C2" s="5" t="s">
        <v>191</v>
      </c>
      <c r="D2" s="5">
        <v>3</v>
      </c>
      <c r="E2" s="26">
        <v>71.56</v>
      </c>
      <c r="F2" s="5" t="s">
        <v>192</v>
      </c>
      <c r="G2" s="5"/>
      <c r="H2" s="5"/>
      <c r="I2" s="5"/>
      <c r="J2" s="5"/>
      <c r="K2" s="5" t="s">
        <v>41</v>
      </c>
      <c r="L2" s="5" t="s">
        <v>89</v>
      </c>
      <c r="M2" s="5" t="str">
        <f>IF(LEN('List chi tiet'!$B$2)=0,"",'List chi tiet'!$B$2)</f>
        <v xml:space="preserve"> TCTN.DVT.26.007N-CẢI TẠO NỀN BÃI HRC</v>
      </c>
      <c r="N2" s="6" t="s">
        <v>38</v>
      </c>
      <c r="O2" s="5" t="s">
        <v>90</v>
      </c>
      <c r="P2" s="5" t="s">
        <v>39</v>
      </c>
      <c r="Q2" s="5"/>
      <c r="R2" s="5" t="s">
        <v>33</v>
      </c>
      <c r="S2" s="26">
        <v>0.41</v>
      </c>
      <c r="T2" s="26">
        <v>13.12</v>
      </c>
      <c r="U2" s="26">
        <v>0</v>
      </c>
      <c r="V2" s="5" t="s">
        <v>87</v>
      </c>
      <c r="W2" s="5"/>
      <c r="X2" s="5"/>
      <c r="Y2" s="5"/>
    </row>
    <row r="3" spans="1:25" x14ac:dyDescent="0.25">
      <c r="A3" s="5"/>
      <c r="B3" s="5"/>
      <c r="C3" s="5" t="s">
        <v>191</v>
      </c>
      <c r="D3" s="5">
        <v>8</v>
      </c>
      <c r="E3" s="26">
        <v>38.99</v>
      </c>
      <c r="F3" s="5" t="s">
        <v>192</v>
      </c>
      <c r="G3" s="5"/>
      <c r="H3" s="5"/>
      <c r="I3" s="5"/>
      <c r="J3" s="5"/>
      <c r="K3" s="5" t="s">
        <v>46</v>
      </c>
      <c r="L3" s="5" t="s">
        <v>89</v>
      </c>
      <c r="M3" s="5" t="str">
        <f>IF(LEN('List chi tiet'!$B$2)=0,"",'List chi tiet'!$B$2)</f>
        <v xml:space="preserve"> TCTN.DVT.26.007N-CẢI TẠO NỀN BÃI HRC</v>
      </c>
      <c r="N3" s="6" t="s">
        <v>38</v>
      </c>
      <c r="O3" s="5" t="s">
        <v>90</v>
      </c>
      <c r="P3" s="5" t="s">
        <v>39</v>
      </c>
      <c r="Q3" s="5"/>
      <c r="R3" s="5" t="s">
        <v>33</v>
      </c>
      <c r="S3" s="26">
        <v>0.27</v>
      </c>
      <c r="T3" s="26">
        <v>0.25</v>
      </c>
      <c r="U3" s="26">
        <v>0</v>
      </c>
      <c r="V3" s="5" t="s">
        <v>91</v>
      </c>
      <c r="W3" s="5"/>
      <c r="X3" s="5"/>
      <c r="Y3" s="5"/>
    </row>
    <row r="4" spans="1:25" x14ac:dyDescent="0.25">
      <c r="A4" s="5"/>
      <c r="B4" s="5"/>
      <c r="C4" s="5" t="s">
        <v>191</v>
      </c>
      <c r="D4" s="5">
        <v>12</v>
      </c>
      <c r="E4" s="26">
        <v>479.3</v>
      </c>
      <c r="F4" s="5" t="s">
        <v>192</v>
      </c>
      <c r="G4" s="5"/>
      <c r="H4" s="5"/>
      <c r="I4" s="5"/>
      <c r="J4" s="5"/>
      <c r="K4" s="5" t="s">
        <v>52</v>
      </c>
      <c r="L4" s="5" t="s">
        <v>89</v>
      </c>
      <c r="M4" s="5" t="str">
        <f>IF(LEN('List chi tiet'!$B$2)=0,"",'List chi tiet'!$B$2)</f>
        <v xml:space="preserve"> TCTN.DVT.26.007N-CẢI TẠO NỀN BÃI HRC</v>
      </c>
      <c r="N4" s="6" t="s">
        <v>38</v>
      </c>
      <c r="O4" s="5" t="s">
        <v>90</v>
      </c>
      <c r="P4" s="5" t="s">
        <v>39</v>
      </c>
      <c r="Q4" s="5"/>
      <c r="R4" s="5" t="s">
        <v>33</v>
      </c>
      <c r="S4" s="26">
        <v>2.86</v>
      </c>
      <c r="T4" s="26">
        <v>67.540000000000006</v>
      </c>
      <c r="U4" s="26">
        <v>0</v>
      </c>
      <c r="V4" s="5" t="s">
        <v>92</v>
      </c>
      <c r="W4" s="5"/>
      <c r="X4" s="5"/>
      <c r="Y4" s="5"/>
    </row>
    <row r="5" spans="1:25" x14ac:dyDescent="0.25">
      <c r="A5" s="5"/>
      <c r="B5" s="5"/>
      <c r="C5" s="5" t="s">
        <v>191</v>
      </c>
      <c r="D5" s="5">
        <v>16</v>
      </c>
      <c r="E5" s="26">
        <v>53.77</v>
      </c>
      <c r="F5" s="5" t="s">
        <v>192</v>
      </c>
      <c r="G5" s="5"/>
      <c r="H5" s="5"/>
      <c r="I5" s="5"/>
      <c r="J5" s="5"/>
      <c r="K5" s="5" t="s">
        <v>59</v>
      </c>
      <c r="L5" s="5" t="s">
        <v>89</v>
      </c>
      <c r="M5" s="5" t="str">
        <f>IF(LEN('List chi tiet'!$B$2)=0,"",'List chi tiet'!$B$2)</f>
        <v xml:space="preserve"> TCTN.DVT.26.007N-CẢI TẠO NỀN BÃI HRC</v>
      </c>
      <c r="N5" s="6" t="s">
        <v>38</v>
      </c>
      <c r="O5" s="5" t="s">
        <v>90</v>
      </c>
      <c r="P5" s="5" t="s">
        <v>39</v>
      </c>
      <c r="Q5" s="5"/>
      <c r="R5" s="5" t="s">
        <v>33</v>
      </c>
      <c r="S5" s="26">
        <v>0.36</v>
      </c>
      <c r="T5" s="26">
        <v>1.71</v>
      </c>
      <c r="U5" s="26">
        <v>0</v>
      </c>
      <c r="V5" s="5" t="s">
        <v>93</v>
      </c>
      <c r="W5" s="5"/>
      <c r="X5" s="5"/>
      <c r="Y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chi tiet</vt:lpstr>
      <vt:lpstr>Phieu vat tu</vt:lpstr>
      <vt:lpstr>Hao hut vat tu</vt:lpstr>
      <vt:lpstr>LSX-VT</vt:lpstr>
      <vt:lpstr>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Huong, Nguyen Song - BienPhap</dc:creator>
  <cp:lastModifiedBy>Huong, Nguyen Song - BienPhap</cp:lastModifiedBy>
  <dcterms:created xsi:type="dcterms:W3CDTF">2026-09-30T07:59:39Z</dcterms:created>
  <dcterms:modified xsi:type="dcterms:W3CDTF">2026-09-30T08:33:52Z</dcterms:modified>
</cp:coreProperties>
</file>